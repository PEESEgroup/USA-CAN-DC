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jstefek\Desktop\jedi-offshore-wind-model-rel2021-3-installer-windows\JEDI_installer_Windows\"/>
    </mc:Choice>
  </mc:AlternateContent>
  <xr:revisionPtr revIDLastSave="0" documentId="13_ncr:1_{75CE3550-FD88-430F-9E5E-68997B450647}" xr6:coauthVersionLast="47" xr6:coauthVersionMax="47" xr10:uidLastSave="{00000000-0000-0000-0000-000000000000}"/>
  <workbookProtection workbookAlgorithmName="SHA-512" workbookHashValue="04ioGvgW5GE4POZ2DQfR6lJSU7cXEcHXCscdQgsvDE1D6ZfUCdRUWdEncJVZzZWhKKO1AQYGbiTZpfuvwb+Liw==" workbookSaltValue="aMUp0er1WF81Gy0BHXNbcQ==" workbookSpinCount="100000" lockStructure="1"/>
  <bookViews>
    <workbookView xWindow="-120" yWindow="-120" windowWidth="38640" windowHeight="21240" xr2:uid="{A45CB3E8-ADF9-40AD-8728-6843AE26CA75}"/>
  </bookViews>
  <sheets>
    <sheet name="Start" sheetId="1" r:id="rId1"/>
    <sheet name="Project Data - Step 1" sheetId="2" r:id="rId2"/>
    <sheet name="Project Costs - Step 2" sheetId="6" r:id="rId3"/>
    <sheet name="Local Share - Step 3" sheetId="4" r:id="rId4"/>
    <sheet name="Model Scenario - Step 4" sheetId="29" r:id="rId5"/>
    <sheet name="Economic Impact Results" sheetId="16" r:id="rId6"/>
    <sheet name="User Add-In Location" sheetId="24" r:id="rId7"/>
    <sheet name="Optional Turbine Subcomponents" sheetId="33" r:id="rId8"/>
    <sheet name="General-Calculations" sheetId="30" r:id="rId9"/>
    <sheet name="Multiplier-Calculations" sheetId="32" state="hidden" r:id="rId10"/>
    <sheet name="Installation Process Times" sheetId="35" state="hidden" r:id="rId11"/>
    <sheet name="Default Local" sheetId="34" state="hidden" r:id="rId12"/>
    <sheet name="Multipliers" sheetId="31" state="hidden" r:id="rId13"/>
    <sheet name="Deflators" sheetId="23" r:id="rId14"/>
    <sheet name="Project Data - JEDI Inputs" sheetId="21" r:id="rId15"/>
    <sheet name="Project Data - ORBIT Inputs" sheetId="19" r:id="rId16"/>
    <sheet name="O&amp;M Costs" sheetId="27" r:id="rId17"/>
    <sheet name="xlwings.conf" sheetId="28" state="hidden" r:id="rId18"/>
  </sheets>
  <functionGroups builtInGroupCount="19"/>
  <externalReferences>
    <externalReference r:id="rId19"/>
    <externalReference r:id="rId20"/>
    <externalReference r:id="rId21"/>
    <externalReference r:id="rId22"/>
    <externalReference r:id="rId23"/>
    <externalReference r:id="rId24"/>
  </externalReferences>
  <definedNames>
    <definedName name="_xlnm._FilterDatabase" localSheetId="15" hidden="1">'Project Data - ORBIT Inputs'!$B$16:$I$333</definedName>
    <definedName name="Anchor">'Project Data - JEDI Inputs'!$C$137:$C$138</definedName>
    <definedName name="cmadjust">Deflators!$C$34</definedName>
    <definedName name="constyears" localSheetId="8">'[1]STEP 3 - Edit Project Data'!$X$9:$X$39</definedName>
    <definedName name="constyears" localSheetId="4">'[1]STEP 3 - Edit Project Data'!$X$9:$X$39</definedName>
    <definedName name="constyears" localSheetId="9">'[1]STEP 3 - Edit Project Data'!$X$9:$X$39</definedName>
    <definedName name="constyears" localSheetId="12">'[1]STEP 3 - Edit Project Data'!$X$9:$X$39</definedName>
    <definedName name="constyears">'[1]STEP 3 - Edit Project Data'!$X$9:$X$39</definedName>
    <definedName name="cost_to_mult_adjust" localSheetId="8">[2]Deflators!$C$34</definedName>
    <definedName name="cost_to_mult_adjust" localSheetId="4">[2]Deflators!$C$34</definedName>
    <definedName name="cost_to_mult_adjust" localSheetId="9">[2]Deflators!$C$34</definedName>
    <definedName name="cost_to_mult_adjust" localSheetId="12">[2]Deflators!$C$34</definedName>
    <definedName name="cost_to_mult_adjust">Deflators!$C$34</definedName>
    <definedName name="cost_year">'[3]Project Data - Step 1'!$D$21</definedName>
    <definedName name="mcadjust">Deflators!$C$35</definedName>
    <definedName name="million">[3]Deflators!$G$36</definedName>
    <definedName name="mult_to_cost_adjust" localSheetId="8">[2]Deflators!$C$35</definedName>
    <definedName name="mult_to_cost_adjust" localSheetId="4">[2]Deflators!$C$35</definedName>
    <definedName name="mult_to_cost_adjust" localSheetId="9">[2]Deflators!$C$35</definedName>
    <definedName name="mult_to_cost_adjust" localSheetId="12">[2]Deflators!$C$35</definedName>
    <definedName name="mult_to_cost_adjust">Deflators!$C$35</definedName>
    <definedName name="NoAnchor" localSheetId="8">'[2]Project Data - JEDI Inputs'!#REF!</definedName>
    <definedName name="NoAnchor" localSheetId="4">'[2]Project Data - JEDI Inputs'!#REF!</definedName>
    <definedName name="NoAnchor" localSheetId="9">'[2]Project Data - JEDI Inputs'!#REF!</definedName>
    <definedName name="NoAnchor" localSheetId="12">'[2]Project Data - JEDI Inputs'!#REF!</definedName>
    <definedName name="NoAnchor">'Project Data - JEDI Inputs'!#REF!</definedName>
    <definedName name="nothing">'Project Data - Step 1'!$D$19</definedName>
    <definedName name="proxy_region">Multipliers!$D$402</definedName>
    <definedName name="state" localSheetId="8">'[2]Project Data - Step 1'!$D$19</definedName>
    <definedName name="state" localSheetId="4">'[2]Project Data - Step 1'!$D$19</definedName>
    <definedName name="state" localSheetId="9">'[2]Project Data - Step 1'!$D$19</definedName>
    <definedName name="state" localSheetId="12">'[2]Project Data - Step 1'!$D$19</definedName>
    <definedName name="state">'Project Data - Step 1'!$D$19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77" i="30" l="1"/>
  <c r="C14" i="16"/>
  <c r="C18" i="29"/>
  <c r="D49" i="2"/>
  <c r="D48" i="2"/>
  <c r="D46" i="2"/>
  <c r="AF400" i="31" l="1"/>
  <c r="AF399" i="31"/>
  <c r="AF398" i="31"/>
  <c r="AF397" i="31"/>
  <c r="AF395" i="31"/>
  <c r="AF394" i="31"/>
  <c r="AF364" i="31"/>
  <c r="AF365" i="31"/>
  <c r="AF366" i="31"/>
  <c r="AF367" i="31"/>
  <c r="AF368" i="31"/>
  <c r="AF369" i="31"/>
  <c r="AF370" i="31"/>
  <c r="AF371" i="31"/>
  <c r="AF372" i="31"/>
  <c r="AF373" i="31"/>
  <c r="AF374" i="31"/>
  <c r="AF375" i="31"/>
  <c r="AF376" i="31"/>
  <c r="AF377" i="31"/>
  <c r="AF378" i="31"/>
  <c r="AF379" i="31"/>
  <c r="AF380" i="31"/>
  <c r="AF381" i="31"/>
  <c r="AF382" i="31"/>
  <c r="AF383" i="31"/>
  <c r="AF384" i="31"/>
  <c r="AF385" i="31"/>
  <c r="AF386" i="31"/>
  <c r="AF387" i="31"/>
  <c r="AF388" i="31"/>
  <c r="AF389" i="31"/>
  <c r="AF363" i="31"/>
  <c r="AF335" i="31"/>
  <c r="AF336" i="31"/>
  <c r="AF337" i="31"/>
  <c r="AF338" i="31"/>
  <c r="AF339" i="31"/>
  <c r="AF340" i="31"/>
  <c r="AF341" i="31"/>
  <c r="AF342" i="31"/>
  <c r="AF343" i="31"/>
  <c r="AF344" i="31"/>
  <c r="AF345" i="31"/>
  <c r="AF346" i="31"/>
  <c r="AF347" i="31"/>
  <c r="AF348" i="31"/>
  <c r="AF349" i="31"/>
  <c r="AF350" i="31"/>
  <c r="AF351" i="31"/>
  <c r="AF352" i="31"/>
  <c r="AF353" i="31"/>
  <c r="AF354" i="31"/>
  <c r="AF355" i="31"/>
  <c r="AF356" i="31"/>
  <c r="AF357" i="31"/>
  <c r="AF358" i="31"/>
  <c r="AF359" i="31"/>
  <c r="AF360" i="31"/>
  <c r="AF334" i="31"/>
  <c r="AF306" i="31"/>
  <c r="AF307" i="31"/>
  <c r="AF308" i="31"/>
  <c r="AF309" i="31"/>
  <c r="AF310" i="31"/>
  <c r="AF311" i="31"/>
  <c r="AF312" i="31"/>
  <c r="AF313" i="31"/>
  <c r="AF314" i="31"/>
  <c r="AF315" i="31"/>
  <c r="AF316" i="31"/>
  <c r="AF317" i="31"/>
  <c r="AF318" i="31"/>
  <c r="AF319" i="31"/>
  <c r="AF320" i="31"/>
  <c r="AF321" i="31"/>
  <c r="AF322" i="31"/>
  <c r="AF323" i="31"/>
  <c r="AF324" i="31"/>
  <c r="AF325" i="31"/>
  <c r="AF326" i="31"/>
  <c r="AF327" i="31"/>
  <c r="AF328" i="31"/>
  <c r="AF329" i="31"/>
  <c r="AF330" i="31"/>
  <c r="AF331" i="31"/>
  <c r="AF305" i="31"/>
  <c r="AF277" i="31"/>
  <c r="AF278" i="31"/>
  <c r="AF279" i="31"/>
  <c r="AF280" i="31"/>
  <c r="AF281" i="31"/>
  <c r="AF282" i="31"/>
  <c r="AF283" i="31"/>
  <c r="AF284" i="31"/>
  <c r="AF285" i="31"/>
  <c r="AF286" i="31"/>
  <c r="AF287" i="31"/>
  <c r="AF288" i="31"/>
  <c r="AF289" i="31"/>
  <c r="AF290" i="31"/>
  <c r="AF291" i="31"/>
  <c r="AF292" i="31"/>
  <c r="AF293" i="31"/>
  <c r="AF294" i="31"/>
  <c r="AF295" i="31"/>
  <c r="AF296" i="31"/>
  <c r="AF297" i="31"/>
  <c r="AF298" i="31"/>
  <c r="AF299" i="31"/>
  <c r="AF300" i="31"/>
  <c r="AF301" i="31"/>
  <c r="AF302" i="31"/>
  <c r="AF276" i="31"/>
  <c r="AF248" i="31"/>
  <c r="AF249" i="31"/>
  <c r="AF250" i="31"/>
  <c r="AF251" i="31"/>
  <c r="AF252" i="31"/>
  <c r="AF253" i="31"/>
  <c r="AF254" i="31"/>
  <c r="AF255" i="31"/>
  <c r="AF256" i="31"/>
  <c r="AF257" i="31"/>
  <c r="AF258" i="31"/>
  <c r="AF259" i="31"/>
  <c r="AF260" i="31"/>
  <c r="AF261" i="31"/>
  <c r="AF262" i="31"/>
  <c r="AF263" i="31"/>
  <c r="AF264" i="31"/>
  <c r="AF265" i="31"/>
  <c r="AF266" i="31"/>
  <c r="AF267" i="31"/>
  <c r="AF268" i="31"/>
  <c r="AF269" i="31"/>
  <c r="AF270" i="31"/>
  <c r="AF271" i="31"/>
  <c r="AF272" i="31"/>
  <c r="AF273" i="31"/>
  <c r="AF247" i="31"/>
  <c r="AF219" i="31"/>
  <c r="AF220" i="31"/>
  <c r="AF221" i="31"/>
  <c r="AF222" i="31"/>
  <c r="AF223" i="31"/>
  <c r="AF224" i="31"/>
  <c r="AF225" i="31"/>
  <c r="AF226" i="31"/>
  <c r="AF227" i="31"/>
  <c r="AF228" i="31"/>
  <c r="AF229" i="31"/>
  <c r="AF230" i="31"/>
  <c r="AF231" i="31"/>
  <c r="AF232" i="31"/>
  <c r="AF233" i="31"/>
  <c r="AF234" i="31"/>
  <c r="AF235" i="31"/>
  <c r="AF236" i="31"/>
  <c r="AF237" i="31"/>
  <c r="AF238" i="31"/>
  <c r="AF239" i="31"/>
  <c r="AF240" i="31"/>
  <c r="AF241" i="31"/>
  <c r="AF242" i="31"/>
  <c r="AF243" i="31"/>
  <c r="AF244" i="31"/>
  <c r="AF218" i="31"/>
  <c r="AF190" i="31"/>
  <c r="AF191" i="31"/>
  <c r="AF192" i="31"/>
  <c r="AF193" i="31"/>
  <c r="AF194" i="31"/>
  <c r="AF195" i="31"/>
  <c r="AF196" i="31"/>
  <c r="AF197" i="31"/>
  <c r="AF198" i="31"/>
  <c r="AF199" i="31"/>
  <c r="AF200" i="31"/>
  <c r="AF201" i="31"/>
  <c r="AF202" i="31"/>
  <c r="AF203" i="31"/>
  <c r="AF204" i="31"/>
  <c r="AF205" i="31"/>
  <c r="AF206" i="31"/>
  <c r="AF207" i="31"/>
  <c r="AF208" i="31"/>
  <c r="AF209" i="31"/>
  <c r="AF210" i="31"/>
  <c r="AF211" i="31"/>
  <c r="AF212" i="31"/>
  <c r="AF213" i="31"/>
  <c r="AF214" i="31"/>
  <c r="AF215" i="31"/>
  <c r="AF189" i="31"/>
  <c r="AF161" i="31"/>
  <c r="AF162" i="31"/>
  <c r="AF163" i="31"/>
  <c r="AF164" i="31"/>
  <c r="AF165" i="31"/>
  <c r="AF166" i="31"/>
  <c r="AF167" i="31"/>
  <c r="AF168" i="31"/>
  <c r="AF169" i="31"/>
  <c r="AF170" i="31"/>
  <c r="AF171" i="31"/>
  <c r="AF172" i="31"/>
  <c r="AF173" i="31"/>
  <c r="AF174" i="31"/>
  <c r="AF175" i="31"/>
  <c r="AF176" i="31"/>
  <c r="AF177" i="31"/>
  <c r="AF178" i="31"/>
  <c r="AF179" i="31"/>
  <c r="AF180" i="31"/>
  <c r="AF181" i="31"/>
  <c r="AF182" i="31"/>
  <c r="AF183" i="31"/>
  <c r="AF184" i="31"/>
  <c r="AF185" i="31"/>
  <c r="AF186" i="31"/>
  <c r="AF160" i="31"/>
  <c r="AF132" i="31"/>
  <c r="AF133" i="31"/>
  <c r="AF134" i="31"/>
  <c r="AF135" i="31"/>
  <c r="AF136" i="31"/>
  <c r="AF137" i="31"/>
  <c r="AF138" i="31"/>
  <c r="AF139" i="31"/>
  <c r="AF140" i="31"/>
  <c r="AF141" i="31"/>
  <c r="AF142" i="31"/>
  <c r="AF143" i="31"/>
  <c r="AF144" i="31"/>
  <c r="AF145" i="31"/>
  <c r="AF146" i="31"/>
  <c r="AF147" i="31"/>
  <c r="AF148" i="31"/>
  <c r="AF149" i="31"/>
  <c r="AF150" i="31"/>
  <c r="AF151" i="31"/>
  <c r="AF152" i="31"/>
  <c r="AF153" i="31"/>
  <c r="AF154" i="31"/>
  <c r="AF155" i="31"/>
  <c r="AF156" i="31"/>
  <c r="AF157" i="31"/>
  <c r="AF131" i="31"/>
  <c r="AF103" i="31"/>
  <c r="AF104" i="31"/>
  <c r="AF105" i="31"/>
  <c r="AF106" i="31"/>
  <c r="AF107" i="31"/>
  <c r="AF108" i="31"/>
  <c r="AF109" i="31"/>
  <c r="AF110" i="31"/>
  <c r="AF111" i="31"/>
  <c r="AF112" i="31"/>
  <c r="AF113" i="31"/>
  <c r="AF114" i="31"/>
  <c r="AF115" i="31"/>
  <c r="AF116" i="31"/>
  <c r="AF117" i="31"/>
  <c r="AF118" i="31"/>
  <c r="AF119" i="31"/>
  <c r="AF120" i="31"/>
  <c r="AF121" i="31"/>
  <c r="AF122" i="31"/>
  <c r="AF123" i="31"/>
  <c r="AF124" i="31"/>
  <c r="AF125" i="31"/>
  <c r="AF126" i="31"/>
  <c r="AF127" i="31"/>
  <c r="AF128" i="31"/>
  <c r="AF102" i="31"/>
  <c r="AF74" i="31"/>
  <c r="AF75" i="31"/>
  <c r="AF76" i="31"/>
  <c r="AF77" i="31"/>
  <c r="AF78" i="31"/>
  <c r="AF79" i="31"/>
  <c r="AF80" i="31"/>
  <c r="AF81" i="31"/>
  <c r="AF82" i="31"/>
  <c r="AF83" i="31"/>
  <c r="AF84" i="31"/>
  <c r="AF85" i="31"/>
  <c r="AF86" i="31"/>
  <c r="AF87" i="31"/>
  <c r="AF88" i="31"/>
  <c r="AF89" i="31"/>
  <c r="AF90" i="31"/>
  <c r="AF91" i="31"/>
  <c r="AF92" i="31"/>
  <c r="AF93" i="31"/>
  <c r="AF94" i="31"/>
  <c r="AF95" i="31"/>
  <c r="AF96" i="31"/>
  <c r="AF97" i="31"/>
  <c r="AF98" i="31"/>
  <c r="AF99" i="31"/>
  <c r="AF73" i="31"/>
  <c r="AF45" i="31"/>
  <c r="AF46" i="31"/>
  <c r="AF47" i="31"/>
  <c r="AF48" i="31"/>
  <c r="AF49" i="31"/>
  <c r="AF50" i="31"/>
  <c r="AF51" i="31"/>
  <c r="AF52" i="31"/>
  <c r="AF53" i="31"/>
  <c r="AF54" i="31"/>
  <c r="AF55" i="31"/>
  <c r="AF56" i="31"/>
  <c r="AF57" i="31"/>
  <c r="AF58" i="31"/>
  <c r="AF59" i="31"/>
  <c r="AF60" i="31"/>
  <c r="AF61" i="31"/>
  <c r="AF62" i="31"/>
  <c r="AF63" i="31"/>
  <c r="AF64" i="31"/>
  <c r="AF65" i="31"/>
  <c r="AF66" i="31"/>
  <c r="AF67" i="31"/>
  <c r="AF68" i="31"/>
  <c r="AF69" i="31"/>
  <c r="AF70" i="31"/>
  <c r="AF44" i="31"/>
  <c r="AF16" i="31"/>
  <c r="AF17" i="31"/>
  <c r="AF18" i="31"/>
  <c r="AF19" i="31"/>
  <c r="AF20" i="31"/>
  <c r="AF21" i="31"/>
  <c r="AF22" i="31"/>
  <c r="AF23" i="31"/>
  <c r="AF24" i="31"/>
  <c r="AF25" i="31"/>
  <c r="AF26" i="31"/>
  <c r="AF27" i="31"/>
  <c r="AF28" i="31"/>
  <c r="AF29" i="31"/>
  <c r="AF30" i="31"/>
  <c r="AF31" i="31"/>
  <c r="AF32" i="31"/>
  <c r="AF33" i="31"/>
  <c r="AF34" i="31"/>
  <c r="AF35" i="31"/>
  <c r="AF36" i="31"/>
  <c r="AF37" i="31"/>
  <c r="AF38" i="31"/>
  <c r="AF39" i="31"/>
  <c r="AF40" i="31"/>
  <c r="AF41" i="31"/>
  <c r="AF15" i="31"/>
  <c r="BS54" i="31"/>
  <c r="BS15" i="31"/>
  <c r="BS11" i="31"/>
  <c r="BS12" i="31" s="1"/>
  <c r="D402" i="31" s="1"/>
  <c r="D436" i="31" l="1"/>
  <c r="U406" i="31"/>
  <c r="D406" i="31"/>
  <c r="F406" i="31"/>
  <c r="E406" i="31"/>
  <c r="D62" i="33"/>
  <c r="D61" i="33"/>
  <c r="D60" i="33"/>
  <c r="D59" i="33"/>
  <c r="D58" i="33"/>
  <c r="D57" i="33"/>
  <c r="D56" i="33"/>
  <c r="D55" i="33"/>
  <c r="D54" i="33"/>
  <c r="D53" i="33"/>
  <c r="D52" i="33"/>
  <c r="D51" i="33"/>
  <c r="D50" i="33"/>
  <c r="D49" i="33"/>
  <c r="D48" i="33"/>
  <c r="D47" i="33"/>
  <c r="D46" i="33"/>
  <c r="D45" i="33"/>
  <c r="D44" i="33"/>
  <c r="D43" i="33"/>
  <c r="G42" i="29"/>
  <c r="G58" i="29"/>
  <c r="G116" i="29"/>
  <c r="G111" i="29"/>
  <c r="C24" i="29" l="1"/>
  <c r="C23" i="29"/>
  <c r="C21" i="29"/>
  <c r="C20" i="29"/>
  <c r="C19" i="29"/>
  <c r="C17" i="29"/>
  <c r="D83" i="33"/>
  <c r="D82" i="33"/>
  <c r="D81" i="33"/>
  <c r="D80" i="33"/>
  <c r="D79" i="33"/>
  <c r="D78" i="33"/>
  <c r="D77" i="33"/>
  <c r="D76" i="33"/>
  <c r="D75" i="33"/>
  <c r="D74" i="33"/>
  <c r="D73" i="33"/>
  <c r="D72" i="33"/>
  <c r="D33" i="33"/>
  <c r="D32" i="33"/>
  <c r="D31" i="33"/>
  <c r="D30" i="33"/>
  <c r="D29" i="33"/>
  <c r="D28" i="33"/>
  <c r="D27" i="33"/>
  <c r="D26" i="33"/>
  <c r="D25" i="33"/>
  <c r="D24" i="33"/>
  <c r="D23" i="33"/>
  <c r="D22" i="33"/>
  <c r="D21" i="33"/>
  <c r="D20" i="33"/>
  <c r="D32" i="2" l="1"/>
  <c r="CO78" i="32"/>
  <c r="G161" i="29"/>
  <c r="D130" i="30" s="1"/>
  <c r="C161" i="29"/>
  <c r="C130" i="30" s="1"/>
  <c r="F130" i="30" l="1"/>
  <c r="G63" i="32" s="1"/>
  <c r="D31" i="2"/>
  <c r="G58" i="16"/>
  <c r="F58" i="16"/>
  <c r="E58" i="16"/>
  <c r="E36" i="16"/>
  <c r="C156" i="29" l="1"/>
  <c r="C39" i="29"/>
  <c r="B28" i="29"/>
  <c r="K37" i="30" l="1"/>
  <c r="C174" i="29"/>
  <c r="C20" i="16"/>
  <c r="C19" i="16"/>
  <c r="C17" i="16"/>
  <c r="C16" i="16"/>
  <c r="C15" i="16"/>
  <c r="C13" i="16"/>
  <c r="C38" i="16"/>
  <c r="G36" i="16"/>
  <c r="F36" i="16"/>
  <c r="D64" i="2"/>
  <c r="D65" i="2"/>
  <c r="D66" i="2"/>
  <c r="D63" i="2"/>
  <c r="D67" i="2"/>
  <c r="D61" i="2"/>
  <c r="D62" i="2"/>
  <c r="D60" i="2"/>
  <c r="D71" i="2"/>
  <c r="C87" i="6" l="1"/>
  <c r="L54" i="6"/>
  <c r="C39" i="6"/>
  <c r="C18" i="6"/>
  <c r="C22" i="6" l="1"/>
  <c r="C65" i="6"/>
  <c r="C55" i="6"/>
  <c r="D220" i="29"/>
  <c r="X70" i="30" s="1"/>
  <c r="G208" i="29"/>
  <c r="AA58" i="30" s="1"/>
  <c r="G213" i="29"/>
  <c r="AA63" i="30" s="1"/>
  <c r="G214" i="29"/>
  <c r="AA64" i="30" s="1"/>
  <c r="G216" i="29"/>
  <c r="G217" i="29"/>
  <c r="G205" i="29"/>
  <c r="AA55" i="30" s="1"/>
  <c r="D206" i="29"/>
  <c r="X56" i="30" s="1"/>
  <c r="D207" i="29"/>
  <c r="X57" i="30" s="1"/>
  <c r="D208" i="29"/>
  <c r="X58" i="30" s="1"/>
  <c r="D210" i="29"/>
  <c r="X60" i="30" s="1"/>
  <c r="D211" i="29"/>
  <c r="X61" i="30" s="1"/>
  <c r="D212" i="29"/>
  <c r="X62" i="30" s="1"/>
  <c r="D213" i="29"/>
  <c r="X63" i="30" s="1"/>
  <c r="D205" i="29"/>
  <c r="X55" i="30" s="1"/>
  <c r="D130" i="34"/>
  <c r="I190" i="30"/>
  <c r="D214" i="29"/>
  <c r="X64" i="30" s="1"/>
  <c r="D219" i="30"/>
  <c r="D218" i="30"/>
  <c r="D217" i="30"/>
  <c r="D216" i="30"/>
  <c r="D215" i="30"/>
  <c r="D214" i="30"/>
  <c r="D213" i="30"/>
  <c r="D212" i="30"/>
  <c r="D211" i="30"/>
  <c r="C178" i="30"/>
  <c r="D180" i="30"/>
  <c r="D216" i="29" l="1"/>
  <c r="AG22" i="30"/>
  <c r="AG24" i="30"/>
  <c r="AG26" i="30"/>
  <c r="AG28" i="30"/>
  <c r="AG30" i="30"/>
  <c r="AG32" i="30"/>
  <c r="AG34" i="30"/>
  <c r="AG36" i="30"/>
  <c r="AG38" i="30"/>
  <c r="AG40" i="30"/>
  <c r="AG42" i="30"/>
  <c r="AG44" i="30"/>
  <c r="AG46" i="30"/>
  <c r="AC24" i="30"/>
  <c r="AC28" i="30"/>
  <c r="AC32" i="30"/>
  <c r="AC36" i="30"/>
  <c r="AC40" i="30"/>
  <c r="AC44" i="30"/>
  <c r="AB23" i="30"/>
  <c r="AB27" i="30"/>
  <c r="AB31" i="30"/>
  <c r="AB35" i="30"/>
  <c r="AB39" i="30"/>
  <c r="AB43" i="30"/>
  <c r="AH35" i="30"/>
  <c r="AC35" i="30"/>
  <c r="AB34" i="30"/>
  <c r="AH22" i="30"/>
  <c r="AH24" i="30"/>
  <c r="AH26" i="30"/>
  <c r="AH28" i="30"/>
  <c r="AH30" i="30"/>
  <c r="AH32" i="30"/>
  <c r="AH34" i="30"/>
  <c r="AH36" i="30"/>
  <c r="AH38" i="30"/>
  <c r="AH40" i="30"/>
  <c r="AH42" i="30"/>
  <c r="AH44" i="30"/>
  <c r="AH46" i="30"/>
  <c r="AC25" i="30"/>
  <c r="AC29" i="30"/>
  <c r="AC33" i="30"/>
  <c r="AC37" i="30"/>
  <c r="AC41" i="30"/>
  <c r="AC45" i="30"/>
  <c r="AB24" i="30"/>
  <c r="AB28" i="30"/>
  <c r="AB32" i="30"/>
  <c r="AB36" i="30"/>
  <c r="AB40" i="30"/>
  <c r="AB44" i="30"/>
  <c r="AH27" i="30"/>
  <c r="AH31" i="30"/>
  <c r="AH37" i="30"/>
  <c r="AH41" i="30"/>
  <c r="AH45" i="30"/>
  <c r="AC27" i="30"/>
  <c r="AC39" i="30"/>
  <c r="AB22" i="30"/>
  <c r="AB30" i="30"/>
  <c r="AB42" i="30"/>
  <c r="AG23" i="30"/>
  <c r="AG25" i="30"/>
  <c r="AG27" i="30"/>
  <c r="AG29" i="30"/>
  <c r="AG31" i="30"/>
  <c r="AG33" i="30"/>
  <c r="AG35" i="30"/>
  <c r="AG37" i="30"/>
  <c r="AG39" i="30"/>
  <c r="AG41" i="30"/>
  <c r="AG43" i="30"/>
  <c r="AG45" i="30"/>
  <c r="AC22" i="30"/>
  <c r="AC26" i="30"/>
  <c r="AC30" i="30"/>
  <c r="AC34" i="30"/>
  <c r="AC38" i="30"/>
  <c r="AC42" i="30"/>
  <c r="AC46" i="30"/>
  <c r="AB25" i="30"/>
  <c r="AB29" i="30"/>
  <c r="AB33" i="30"/>
  <c r="AB37" i="30"/>
  <c r="AB41" i="30"/>
  <c r="AB45" i="30"/>
  <c r="AH23" i="30"/>
  <c r="AH25" i="30"/>
  <c r="AH29" i="30"/>
  <c r="AH33" i="30"/>
  <c r="AH39" i="30"/>
  <c r="AH43" i="30"/>
  <c r="AC23" i="30"/>
  <c r="AC31" i="30"/>
  <c r="AC43" i="30"/>
  <c r="AB26" i="30"/>
  <c r="AB38" i="30"/>
  <c r="AB46" i="30"/>
  <c r="X32" i="30"/>
  <c r="X36" i="30"/>
  <c r="X40" i="30"/>
  <c r="X44" i="30"/>
  <c r="W32" i="30"/>
  <c r="W36" i="30"/>
  <c r="W40" i="30"/>
  <c r="W44" i="30"/>
  <c r="X43" i="30"/>
  <c r="W43" i="30"/>
  <c r="X33" i="30"/>
  <c r="X37" i="30"/>
  <c r="X41" i="30"/>
  <c r="X45" i="30"/>
  <c r="W33" i="30"/>
  <c r="W37" i="30"/>
  <c r="W41" i="30"/>
  <c r="W45" i="30"/>
  <c r="X35" i="30"/>
  <c r="W39" i="30"/>
  <c r="X34" i="30"/>
  <c r="X38" i="30"/>
  <c r="X42" i="30"/>
  <c r="X46" i="30"/>
  <c r="W34" i="30"/>
  <c r="W38" i="30"/>
  <c r="W42" i="30"/>
  <c r="W46" i="30"/>
  <c r="X39" i="30"/>
  <c r="W35" i="30"/>
  <c r="G94" i="29"/>
  <c r="G90" i="29"/>
  <c r="G74" i="29"/>
  <c r="G66" i="29"/>
  <c r="G65" i="29"/>
  <c r="G54" i="29"/>
  <c r="G97" i="29"/>
  <c r="G83" i="29"/>
  <c r="G81" i="29"/>
  <c r="G80" i="29"/>
  <c r="G79" i="29"/>
  <c r="G73" i="29"/>
  <c r="G71" i="29"/>
  <c r="G55" i="29"/>
  <c r="G51" i="29"/>
  <c r="G50" i="29"/>
  <c r="G47" i="29"/>
  <c r="G46" i="29"/>
  <c r="G45" i="29"/>
  <c r="G76" i="29"/>
  <c r="G67" i="29"/>
  <c r="G64" i="29"/>
  <c r="G49" i="29"/>
  <c r="G69" i="29"/>
  <c r="G57" i="29"/>
  <c r="G52" i="29"/>
  <c r="G44" i="29"/>
  <c r="G98" i="29"/>
  <c r="G75" i="29"/>
  <c r="G70" i="29"/>
  <c r="G96" i="29"/>
  <c r="G48" i="29"/>
  <c r="G100" i="29"/>
  <c r="D167" i="30"/>
  <c r="CA78" i="32"/>
  <c r="D33" i="30"/>
  <c r="G148" i="29"/>
  <c r="G72" i="29"/>
  <c r="C234" i="29"/>
  <c r="K99" i="30" s="1"/>
  <c r="C233" i="29"/>
  <c r="K98" i="30" s="1"/>
  <c r="C226" i="29"/>
  <c r="C227" i="29"/>
  <c r="C228" i="29"/>
  <c r="C229" i="29"/>
  <c r="C230" i="29"/>
  <c r="C225" i="29"/>
  <c r="C108" i="29"/>
  <c r="G195" i="29"/>
  <c r="D164" i="30" s="1"/>
  <c r="G196" i="29"/>
  <c r="D165" i="30" s="1"/>
  <c r="G194" i="29"/>
  <c r="D163" i="30" s="1"/>
  <c r="G192" i="29"/>
  <c r="D161" i="30" s="1"/>
  <c r="G191" i="29"/>
  <c r="D160" i="30" s="1"/>
  <c r="G186" i="29"/>
  <c r="D156" i="30" s="1"/>
  <c r="G187" i="29"/>
  <c r="D157" i="30" s="1"/>
  <c r="G188" i="29"/>
  <c r="D158" i="30" s="1"/>
  <c r="G185" i="29"/>
  <c r="D155" i="30" s="1"/>
  <c r="G169" i="29"/>
  <c r="G170" i="29"/>
  <c r="G171" i="29"/>
  <c r="G172" i="29"/>
  <c r="G174" i="29"/>
  <c r="G168" i="29"/>
  <c r="C169" i="29"/>
  <c r="C170" i="29"/>
  <c r="C171" i="29"/>
  <c r="C172" i="29"/>
  <c r="C168" i="29"/>
  <c r="G164" i="29"/>
  <c r="G156" i="29"/>
  <c r="G157" i="29"/>
  <c r="G158" i="29"/>
  <c r="G159" i="29"/>
  <c r="G160" i="29"/>
  <c r="G155" i="29"/>
  <c r="C157" i="29"/>
  <c r="C158" i="29"/>
  <c r="C159" i="29"/>
  <c r="C160" i="29"/>
  <c r="G150" i="29"/>
  <c r="G151" i="29"/>
  <c r="G152" i="29"/>
  <c r="G149" i="29"/>
  <c r="G147" i="29"/>
  <c r="C150" i="29"/>
  <c r="C151" i="29"/>
  <c r="C152" i="29"/>
  <c r="C149" i="29"/>
  <c r="C148" i="29"/>
  <c r="C147" i="29"/>
  <c r="G135" i="29"/>
  <c r="G137" i="29"/>
  <c r="G138" i="29"/>
  <c r="G140" i="29"/>
  <c r="G141" i="29"/>
  <c r="G143" i="29"/>
  <c r="G144" i="29"/>
  <c r="G134" i="29"/>
  <c r="G132" i="29"/>
  <c r="G131" i="29"/>
  <c r="G129" i="29"/>
  <c r="G128" i="29"/>
  <c r="C136" i="29"/>
  <c r="C139" i="29"/>
  <c r="C142" i="29"/>
  <c r="C133" i="29"/>
  <c r="C130" i="29"/>
  <c r="C127" i="29"/>
  <c r="G119" i="29"/>
  <c r="G122" i="29"/>
  <c r="C119" i="29"/>
  <c r="C122" i="29"/>
  <c r="C116" i="29"/>
  <c r="G108" i="29"/>
  <c r="C111" i="29"/>
  <c r="G102" i="29"/>
  <c r="D71" i="30" s="1"/>
  <c r="G88" i="29"/>
  <c r="D60" i="30" s="1"/>
  <c r="G91" i="29"/>
  <c r="G92" i="29"/>
  <c r="G95" i="29"/>
  <c r="G101" i="29"/>
  <c r="C89" i="29"/>
  <c r="G84" i="29"/>
  <c r="D56" i="30" s="1"/>
  <c r="G78" i="29"/>
  <c r="G62" i="29"/>
  <c r="D44" i="30" s="1"/>
  <c r="C63" i="29"/>
  <c r="D28" i="30"/>
  <c r="C43" i="29"/>
  <c r="E25" i="4"/>
  <c r="E22" i="4"/>
  <c r="E19" i="4"/>
  <c r="C173" i="29" l="1"/>
  <c r="D217" i="29"/>
  <c r="D42" i="30"/>
  <c r="D40" i="30"/>
  <c r="D52" i="30"/>
  <c r="D50" i="30"/>
  <c r="D70" i="30"/>
  <c r="D54" i="30"/>
  <c r="D47" i="30"/>
  <c r="D64" i="30"/>
  <c r="D55" i="30"/>
  <c r="D43" i="30"/>
  <c r="D38" i="30"/>
  <c r="D48" i="30"/>
  <c r="D22" i="30"/>
  <c r="D26" i="30"/>
  <c r="D63" i="30"/>
  <c r="D25" i="30"/>
  <c r="D31" i="30"/>
  <c r="D19" i="30"/>
  <c r="D24" i="30"/>
  <c r="D46" i="30"/>
  <c r="D39" i="30"/>
  <c r="D66" i="30"/>
  <c r="D61" i="30"/>
  <c r="D32" i="30"/>
  <c r="D41" i="30"/>
  <c r="D49" i="30"/>
  <c r="D68" i="30"/>
  <c r="D27" i="30"/>
  <c r="D21" i="30"/>
  <c r="D67" i="30"/>
  <c r="D29" i="30"/>
  <c r="D23" i="30"/>
  <c r="D51" i="30"/>
  <c r="D59" i="30"/>
  <c r="D65" i="30"/>
  <c r="D30" i="30"/>
  <c r="D37" i="30"/>
  <c r="D45" i="30"/>
  <c r="D62" i="30"/>
  <c r="G93" i="29"/>
  <c r="D53" i="30"/>
  <c r="D20" i="30"/>
  <c r="D69" i="30"/>
  <c r="G99" i="29"/>
  <c r="G82" i="29"/>
  <c r="G77" i="29"/>
  <c r="G68" i="29"/>
  <c r="D36" i="30"/>
  <c r="G56" i="29"/>
  <c r="G53" i="29"/>
  <c r="BS16" i="31"/>
  <c r="BS17" i="31"/>
  <c r="BS18" i="31"/>
  <c r="BS19" i="31"/>
  <c r="BS20" i="31"/>
  <c r="BS21" i="31"/>
  <c r="BS22" i="31"/>
  <c r="BS23" i="31"/>
  <c r="BS24" i="31"/>
  <c r="BS25" i="31"/>
  <c r="BS26" i="31"/>
  <c r="BS27" i="31"/>
  <c r="BS28" i="31"/>
  <c r="BS29" i="31"/>
  <c r="BS30" i="31"/>
  <c r="BS31" i="31"/>
  <c r="BS32" i="31"/>
  <c r="BS33" i="31"/>
  <c r="BS36" i="31"/>
  <c r="BS37" i="31"/>
  <c r="BS38" i="31"/>
  <c r="BS39" i="31"/>
  <c r="BS40" i="31"/>
  <c r="BS41" i="31"/>
  <c r="BS42" i="31"/>
  <c r="BS43" i="31"/>
  <c r="BS44" i="31"/>
  <c r="BS45" i="31"/>
  <c r="M222" i="32"/>
  <c r="N182" i="32"/>
  <c r="K153" i="32"/>
  <c r="K154" i="32"/>
  <c r="K155" i="32"/>
  <c r="K156" i="32"/>
  <c r="K157" i="32"/>
  <c r="K158" i="32"/>
  <c r="K159" i="32"/>
  <c r="K160" i="32"/>
  <c r="K161" i="32"/>
  <c r="K163" i="32"/>
  <c r="K166" i="32"/>
  <c r="K169" i="32"/>
  <c r="K171" i="32"/>
  <c r="K172" i="32"/>
  <c r="K174" i="32"/>
  <c r="K175" i="32"/>
  <c r="K178" i="32"/>
  <c r="K30" i="30"/>
  <c r="K31" i="30"/>
  <c r="K32" i="30"/>
  <c r="K33" i="30"/>
  <c r="K34" i="30"/>
  <c r="K29" i="30"/>
  <c r="I115" i="32"/>
  <c r="BM78" i="32"/>
  <c r="AY78" i="32"/>
  <c r="AK78" i="32"/>
  <c r="W78" i="32"/>
  <c r="BE43" i="32"/>
  <c r="C32" i="23"/>
  <c r="D3" i="32"/>
  <c r="BD10" i="32"/>
  <c r="BD11" i="32"/>
  <c r="BD12" i="32"/>
  <c r="BD13" i="32"/>
  <c r="BD14" i="32"/>
  <c r="BD15" i="32"/>
  <c r="BD16" i="32"/>
  <c r="BD17" i="32"/>
  <c r="BD18" i="32"/>
  <c r="BD19" i="32"/>
  <c r="BD21" i="32"/>
  <c r="BD22" i="32"/>
  <c r="BD24" i="32"/>
  <c r="BD25" i="32"/>
  <c r="BD26" i="32"/>
  <c r="BD27" i="32"/>
  <c r="BD28" i="32"/>
  <c r="BD29" i="32"/>
  <c r="BD31" i="32"/>
  <c r="BD32" i="32"/>
  <c r="BD34" i="32"/>
  <c r="BD35" i="32"/>
  <c r="BD9" i="32"/>
  <c r="AP10" i="32"/>
  <c r="AP11" i="32"/>
  <c r="AP12" i="32"/>
  <c r="AP13" i="32"/>
  <c r="AP14" i="32"/>
  <c r="AP15" i="32"/>
  <c r="AP16" i="32"/>
  <c r="AP17" i="32"/>
  <c r="AP18" i="32"/>
  <c r="AP19" i="32"/>
  <c r="AP22" i="32"/>
  <c r="AP24" i="32"/>
  <c r="AP25" i="32"/>
  <c r="AP26" i="32"/>
  <c r="AP27" i="32"/>
  <c r="AP28" i="32"/>
  <c r="AP29" i="32"/>
  <c r="AP31" i="32"/>
  <c r="AP32" i="32"/>
  <c r="AP34" i="32"/>
  <c r="AP35" i="32"/>
  <c r="AP9" i="32"/>
  <c r="S10" i="32"/>
  <c r="S11" i="32"/>
  <c r="S12" i="32"/>
  <c r="S13" i="32"/>
  <c r="S14" i="32"/>
  <c r="S15" i="32"/>
  <c r="S16" i="32"/>
  <c r="S17" i="32"/>
  <c r="S18" i="32"/>
  <c r="S19" i="32"/>
  <c r="S22" i="32"/>
  <c r="S25" i="32"/>
  <c r="S27" i="32"/>
  <c r="S28" i="32"/>
  <c r="S29" i="32"/>
  <c r="S30" i="32"/>
  <c r="S31" i="32"/>
  <c r="S32" i="32"/>
  <c r="S33" i="32"/>
  <c r="S34" i="32"/>
  <c r="S35" i="32"/>
  <c r="S9" i="32"/>
  <c r="D144" i="30"/>
  <c r="D137" i="30"/>
  <c r="D138" i="30"/>
  <c r="D139" i="30"/>
  <c r="D140" i="30"/>
  <c r="D142" i="30"/>
  <c r="D136" i="30"/>
  <c r="D133" i="30"/>
  <c r="D125" i="30"/>
  <c r="D126" i="30"/>
  <c r="D127" i="30"/>
  <c r="D128" i="30"/>
  <c r="D129" i="30"/>
  <c r="D124" i="30"/>
  <c r="C142" i="30"/>
  <c r="C137" i="30"/>
  <c r="C138" i="30"/>
  <c r="C139" i="30"/>
  <c r="C140" i="30"/>
  <c r="C136" i="30"/>
  <c r="C125" i="30"/>
  <c r="C126" i="30"/>
  <c r="C127" i="30"/>
  <c r="C128" i="30"/>
  <c r="C129" i="30"/>
  <c r="D119" i="30"/>
  <c r="D120" i="30"/>
  <c r="D121" i="30"/>
  <c r="D118" i="30"/>
  <c r="D117" i="30"/>
  <c r="D116" i="30"/>
  <c r="C117" i="30"/>
  <c r="C121" i="30"/>
  <c r="C119" i="30"/>
  <c r="C120" i="30"/>
  <c r="C118" i="30"/>
  <c r="C116" i="30"/>
  <c r="B148" i="29"/>
  <c r="D103" i="30"/>
  <c r="D104" i="30"/>
  <c r="D106" i="30"/>
  <c r="D107" i="30"/>
  <c r="D109" i="30"/>
  <c r="D110" i="30"/>
  <c r="D112" i="30"/>
  <c r="D113" i="30"/>
  <c r="D100" i="30"/>
  <c r="D101" i="30"/>
  <c r="D97" i="30"/>
  <c r="D98" i="30"/>
  <c r="B130" i="29"/>
  <c r="D88" i="30"/>
  <c r="D91" i="30"/>
  <c r="D85" i="30"/>
  <c r="C88" i="30"/>
  <c r="C91" i="30"/>
  <c r="C85" i="30"/>
  <c r="D80" i="30"/>
  <c r="D77" i="30"/>
  <c r="C80" i="30"/>
  <c r="B108" i="29"/>
  <c r="B111" i="29" s="1"/>
  <c r="AM65" i="30"/>
  <c r="AO70" i="30" s="1"/>
  <c r="A65" i="30"/>
  <c r="A58" i="30"/>
  <c r="AM50" i="30"/>
  <c r="AO51" i="30" s="1"/>
  <c r="A50" i="30"/>
  <c r="A35" i="30"/>
  <c r="AM33" i="30"/>
  <c r="AO32" i="30"/>
  <c r="AO31" i="30"/>
  <c r="AO30" i="30"/>
  <c r="AO29" i="30"/>
  <c r="AO28" i="30"/>
  <c r="AO27" i="30"/>
  <c r="AO26" i="30"/>
  <c r="AO25" i="30"/>
  <c r="AO24" i="30"/>
  <c r="AO23" i="30"/>
  <c r="AO22" i="30"/>
  <c r="AO21" i="30"/>
  <c r="AO20" i="30"/>
  <c r="AO19" i="30"/>
  <c r="A18" i="30"/>
  <c r="D51" i="2"/>
  <c r="F120" i="30" l="1"/>
  <c r="F116" i="30"/>
  <c r="F127" i="30"/>
  <c r="F125" i="30"/>
  <c r="F88" i="30"/>
  <c r="F80" i="30"/>
  <c r="D62" i="32" s="1"/>
  <c r="F117" i="30"/>
  <c r="AO59" i="30"/>
  <c r="F140" i="30"/>
  <c r="F91" i="30"/>
  <c r="F58" i="32" s="1"/>
  <c r="F126" i="30"/>
  <c r="F138" i="30"/>
  <c r="AO63" i="30"/>
  <c r="F136" i="30"/>
  <c r="F139" i="30"/>
  <c r="AO62" i="30"/>
  <c r="AO67" i="30"/>
  <c r="AO60" i="30"/>
  <c r="AO64" i="30"/>
  <c r="AO68" i="30"/>
  <c r="F129" i="30"/>
  <c r="AO61" i="30"/>
  <c r="F119" i="30"/>
  <c r="F121" i="30"/>
  <c r="A34" i="30"/>
  <c r="AO38" i="30"/>
  <c r="AO39" i="30"/>
  <c r="F85" i="30"/>
  <c r="F118" i="30"/>
  <c r="F137" i="30"/>
  <c r="F128" i="30"/>
  <c r="F142" i="30"/>
  <c r="AO54" i="30"/>
  <c r="AO55" i="30"/>
  <c r="AO33" i="30"/>
  <c r="AO36" i="30"/>
  <c r="AO40" i="30"/>
  <c r="AO50" i="30"/>
  <c r="A57" i="30"/>
  <c r="AO69" i="30"/>
  <c r="AO37" i="30"/>
  <c r="AO49" i="30"/>
  <c r="AO65" i="30"/>
  <c r="AM71" i="30"/>
  <c r="C125" i="29"/>
  <c r="C153" i="29"/>
  <c r="C77" i="30"/>
  <c r="F77" i="30" s="1"/>
  <c r="D63" i="32" s="1"/>
  <c r="AI35" i="30"/>
  <c r="AI32" i="30"/>
  <c r="AD37" i="30"/>
  <c r="AD38" i="30"/>
  <c r="AD39" i="30"/>
  <c r="AI42" i="30"/>
  <c r="AI46" i="30"/>
  <c r="AD35" i="30"/>
  <c r="AD36" i="30"/>
  <c r="AI37" i="30"/>
  <c r="AD34" i="30"/>
  <c r="AD40" i="30"/>
  <c r="AI43" i="30"/>
  <c r="AD32" i="30"/>
  <c r="AI33" i="30"/>
  <c r="AI39" i="30"/>
  <c r="AI41" i="30"/>
  <c r="AD41" i="30"/>
  <c r="AD42" i="30"/>
  <c r="AI44" i="30"/>
  <c r="AI45" i="30"/>
  <c r="AD33" i="30"/>
  <c r="AI34" i="30"/>
  <c r="AI36" i="30"/>
  <c r="AI38" i="30"/>
  <c r="AI40" i="30"/>
  <c r="AD44" i="30"/>
  <c r="AD45" i="30"/>
  <c r="AD46" i="30"/>
  <c r="AI31" i="30"/>
  <c r="AD43" i="30"/>
  <c r="AO52" i="30"/>
  <c r="AO53" i="30"/>
  <c r="AO48" i="30"/>
  <c r="AO47" i="30"/>
  <c r="AO46" i="30"/>
  <c r="AO45" i="30"/>
  <c r="AO44" i="30"/>
  <c r="AO43" i="30"/>
  <c r="AO42" i="30"/>
  <c r="AO41" i="30"/>
  <c r="AM56" i="30"/>
  <c r="AO66" i="30"/>
  <c r="D408" i="31" l="1"/>
  <c r="N406" i="31"/>
  <c r="H70" i="32"/>
  <c r="O407" i="31"/>
  <c r="O411" i="31"/>
  <c r="O415" i="31"/>
  <c r="O419" i="31"/>
  <c r="O423" i="31"/>
  <c r="O427" i="31"/>
  <c r="O431" i="31"/>
  <c r="N408" i="31"/>
  <c r="N412" i="31"/>
  <c r="N416" i="31"/>
  <c r="N420" i="31"/>
  <c r="N424" i="31"/>
  <c r="N428" i="31"/>
  <c r="N432" i="31"/>
  <c r="M409" i="31"/>
  <c r="M413" i="31"/>
  <c r="M417" i="31"/>
  <c r="M421" i="31"/>
  <c r="M425" i="31"/>
  <c r="M429" i="31"/>
  <c r="M406" i="31"/>
  <c r="L410" i="31"/>
  <c r="L414" i="31"/>
  <c r="L418" i="31"/>
  <c r="L422" i="31"/>
  <c r="L426" i="31"/>
  <c r="L430" i="31"/>
  <c r="K407" i="31"/>
  <c r="K411" i="31"/>
  <c r="K415" i="31"/>
  <c r="K419" i="31"/>
  <c r="K423" i="31"/>
  <c r="K427" i="31"/>
  <c r="K431" i="31"/>
  <c r="J408" i="31"/>
  <c r="J412" i="31"/>
  <c r="J416" i="31"/>
  <c r="J420" i="31"/>
  <c r="J424" i="31"/>
  <c r="J428" i="31"/>
  <c r="J432" i="31"/>
  <c r="I409" i="31"/>
  <c r="I413" i="31"/>
  <c r="I417" i="31"/>
  <c r="I421" i="31"/>
  <c r="I425" i="31"/>
  <c r="I429" i="31"/>
  <c r="I406" i="31"/>
  <c r="G409" i="31"/>
  <c r="G413" i="31"/>
  <c r="G417" i="31"/>
  <c r="G421" i="31"/>
  <c r="G425" i="31"/>
  <c r="G429" i="31"/>
  <c r="G406" i="31"/>
  <c r="O408" i="31"/>
  <c r="O412" i="31"/>
  <c r="O416" i="31"/>
  <c r="O420" i="31"/>
  <c r="O424" i="31"/>
  <c r="O428" i="31"/>
  <c r="O432" i="31"/>
  <c r="N409" i="31"/>
  <c r="N413" i="31"/>
  <c r="N417" i="31"/>
  <c r="N421" i="31"/>
  <c r="N425" i="31"/>
  <c r="N429" i="31"/>
  <c r="M410" i="31"/>
  <c r="M414" i="31"/>
  <c r="M418" i="31"/>
  <c r="M422" i="31"/>
  <c r="M426" i="31"/>
  <c r="M430" i="31"/>
  <c r="L407" i="31"/>
  <c r="L411" i="31"/>
  <c r="L415" i="31"/>
  <c r="L419" i="31"/>
  <c r="L423" i="31"/>
  <c r="L427" i="31"/>
  <c r="L431" i="31"/>
  <c r="K408" i="31"/>
  <c r="K412" i="31"/>
  <c r="K416" i="31"/>
  <c r="K420" i="31"/>
  <c r="K424" i="31"/>
  <c r="K428" i="31"/>
  <c r="K432" i="31"/>
  <c r="J409" i="31"/>
  <c r="J413" i="31"/>
  <c r="J417" i="31"/>
  <c r="J421" i="31"/>
  <c r="J425" i="31"/>
  <c r="J429" i="31"/>
  <c r="J406" i="31"/>
  <c r="I410" i="31"/>
  <c r="I414" i="31"/>
  <c r="I418" i="31"/>
  <c r="I422" i="31"/>
  <c r="I426" i="31"/>
  <c r="I430" i="31"/>
  <c r="H406" i="31"/>
  <c r="G410" i="31"/>
  <c r="G414" i="31"/>
  <c r="G418" i="31"/>
  <c r="G422" i="31"/>
  <c r="G426" i="31"/>
  <c r="G430" i="31"/>
  <c r="L406" i="31"/>
  <c r="K430" i="31"/>
  <c r="J411" i="31"/>
  <c r="J419" i="31"/>
  <c r="J427" i="31"/>
  <c r="I408" i="31"/>
  <c r="I420" i="31"/>
  <c r="I428" i="31"/>
  <c r="G412" i="31"/>
  <c r="G424" i="31"/>
  <c r="G432" i="31"/>
  <c r="O409" i="31"/>
  <c r="O413" i="31"/>
  <c r="O417" i="31"/>
  <c r="O421" i="31"/>
  <c r="O425" i="31"/>
  <c r="O429" i="31"/>
  <c r="O406" i="31"/>
  <c r="N410" i="31"/>
  <c r="N414" i="31"/>
  <c r="N418" i="31"/>
  <c r="N422" i="31"/>
  <c r="N426" i="31"/>
  <c r="N430" i="31"/>
  <c r="M407" i="31"/>
  <c r="M411" i="31"/>
  <c r="M415" i="31"/>
  <c r="M419" i="31"/>
  <c r="M423" i="31"/>
  <c r="M427" i="31"/>
  <c r="M431" i="31"/>
  <c r="L408" i="31"/>
  <c r="L412" i="31"/>
  <c r="L416" i="31"/>
  <c r="L420" i="31"/>
  <c r="L424" i="31"/>
  <c r="L428" i="31"/>
  <c r="L432" i="31"/>
  <c r="K409" i="31"/>
  <c r="K413" i="31"/>
  <c r="K417" i="31"/>
  <c r="K421" i="31"/>
  <c r="K425" i="31"/>
  <c r="K429" i="31"/>
  <c r="K406" i="31"/>
  <c r="J410" i="31"/>
  <c r="J414" i="31"/>
  <c r="J418" i="31"/>
  <c r="J422" i="31"/>
  <c r="J426" i="31"/>
  <c r="J430" i="31"/>
  <c r="I407" i="31"/>
  <c r="I411" i="31"/>
  <c r="I415" i="31"/>
  <c r="I419" i="31"/>
  <c r="I423" i="31"/>
  <c r="I427" i="31"/>
  <c r="I431" i="31"/>
  <c r="G407" i="31"/>
  <c r="G411" i="31"/>
  <c r="G415" i="31"/>
  <c r="G419" i="31"/>
  <c r="G423" i="31"/>
  <c r="G427" i="31"/>
  <c r="G431" i="31"/>
  <c r="I412" i="31"/>
  <c r="G408" i="31"/>
  <c r="G420" i="31"/>
  <c r="G428" i="31"/>
  <c r="O410" i="31"/>
  <c r="O414" i="31"/>
  <c r="O418" i="31"/>
  <c r="O422" i="31"/>
  <c r="O426" i="31"/>
  <c r="O430" i="31"/>
  <c r="N407" i="31"/>
  <c r="N411" i="31"/>
  <c r="N415" i="31"/>
  <c r="N419" i="31"/>
  <c r="N423" i="31"/>
  <c r="N427" i="31"/>
  <c r="N431" i="31"/>
  <c r="M408" i="31"/>
  <c r="M412" i="31"/>
  <c r="M416" i="31"/>
  <c r="M420" i="31"/>
  <c r="M424" i="31"/>
  <c r="M428" i="31"/>
  <c r="M432" i="31"/>
  <c r="L409" i="31"/>
  <c r="L413" i="31"/>
  <c r="L417" i="31"/>
  <c r="L421" i="31"/>
  <c r="L425" i="31"/>
  <c r="L429" i="31"/>
  <c r="K410" i="31"/>
  <c r="K414" i="31"/>
  <c r="K418" i="31"/>
  <c r="K422" i="31"/>
  <c r="K426" i="31"/>
  <c r="J407" i="31"/>
  <c r="J415" i="31"/>
  <c r="J423" i="31"/>
  <c r="J431" i="31"/>
  <c r="I416" i="31"/>
  <c r="I424" i="31"/>
  <c r="I432" i="31"/>
  <c r="G416" i="31"/>
  <c r="D437" i="31"/>
  <c r="D441" i="31"/>
  <c r="U407" i="31"/>
  <c r="U411" i="31"/>
  <c r="U415" i="31"/>
  <c r="U419" i="31"/>
  <c r="U423" i="31"/>
  <c r="U427" i="31"/>
  <c r="U431" i="31"/>
  <c r="H409" i="31"/>
  <c r="H413" i="31"/>
  <c r="H417" i="31"/>
  <c r="H421" i="31"/>
  <c r="H425" i="31"/>
  <c r="H429" i="31"/>
  <c r="D407" i="31"/>
  <c r="E408" i="31"/>
  <c r="F409" i="31"/>
  <c r="D411" i="31"/>
  <c r="E412" i="31"/>
  <c r="F413" i="31"/>
  <c r="D415" i="31"/>
  <c r="E416" i="31"/>
  <c r="F417" i="31"/>
  <c r="D419" i="31"/>
  <c r="E420" i="31"/>
  <c r="F421" i="31"/>
  <c r="D423" i="31"/>
  <c r="E424" i="31"/>
  <c r="F425" i="31"/>
  <c r="D427" i="31"/>
  <c r="E428" i="31"/>
  <c r="F429" i="31"/>
  <c r="D438" i="31"/>
  <c r="D442" i="31"/>
  <c r="D30" i="6" s="1"/>
  <c r="U408" i="31"/>
  <c r="U412" i="31"/>
  <c r="U416" i="31"/>
  <c r="U420" i="31"/>
  <c r="U424" i="31"/>
  <c r="U428" i="31"/>
  <c r="U432" i="31"/>
  <c r="H408" i="31"/>
  <c r="H412" i="31"/>
  <c r="H416" i="31"/>
  <c r="H420" i="31"/>
  <c r="H424" i="31"/>
  <c r="H428" i="31"/>
  <c r="H432" i="31"/>
  <c r="E407" i="31"/>
  <c r="F408" i="31"/>
  <c r="D410" i="31"/>
  <c r="E411" i="31"/>
  <c r="F412" i="31"/>
  <c r="D414" i="31"/>
  <c r="E415" i="31"/>
  <c r="F416" i="31"/>
  <c r="D418" i="31"/>
  <c r="E419" i="31"/>
  <c r="F420" i="31"/>
  <c r="D422" i="31"/>
  <c r="E423" i="31"/>
  <c r="F424" i="31"/>
  <c r="D426" i="31"/>
  <c r="E427" i="31"/>
  <c r="F428" i="31"/>
  <c r="D430" i="31"/>
  <c r="D439" i="31"/>
  <c r="D45" i="6" s="1"/>
  <c r="D443" i="31"/>
  <c r="U409" i="31"/>
  <c r="U413" i="31"/>
  <c r="U417" i="31"/>
  <c r="U421" i="31"/>
  <c r="U425" i="31"/>
  <c r="U429" i="31"/>
  <c r="H407" i="31"/>
  <c r="H411" i="31"/>
  <c r="D440" i="31"/>
  <c r="D33" i="6" s="1"/>
  <c r="U410" i="31"/>
  <c r="U414" i="31"/>
  <c r="U418" i="31"/>
  <c r="U422" i="31"/>
  <c r="U426" i="31"/>
  <c r="U430" i="31"/>
  <c r="H410" i="31"/>
  <c r="H419" i="31"/>
  <c r="H427" i="31"/>
  <c r="D409" i="31"/>
  <c r="F411" i="31"/>
  <c r="E414" i="31"/>
  <c r="D417" i="31"/>
  <c r="F419" i="31"/>
  <c r="E422" i="31"/>
  <c r="D425" i="31"/>
  <c r="F427" i="31"/>
  <c r="E430" i="31"/>
  <c r="F431" i="31"/>
  <c r="H414" i="31"/>
  <c r="H422" i="31"/>
  <c r="H430" i="31"/>
  <c r="E409" i="31"/>
  <c r="D412" i="31"/>
  <c r="F414" i="31"/>
  <c r="E417" i="31"/>
  <c r="D420" i="31"/>
  <c r="F422" i="31"/>
  <c r="E425" i="31"/>
  <c r="D428" i="31"/>
  <c r="F430" i="31"/>
  <c r="D432" i="31"/>
  <c r="H415" i="31"/>
  <c r="H423" i="31"/>
  <c r="H431" i="31"/>
  <c r="F407" i="31"/>
  <c r="E410" i="31"/>
  <c r="D413" i="31"/>
  <c r="F415" i="31"/>
  <c r="E418" i="31"/>
  <c r="D421" i="31"/>
  <c r="F423" i="31"/>
  <c r="E426" i="31"/>
  <c r="D429" i="31"/>
  <c r="D431" i="31"/>
  <c r="E432" i="31"/>
  <c r="H418" i="31"/>
  <c r="H426" i="31"/>
  <c r="F410" i="31"/>
  <c r="E413" i="31"/>
  <c r="D416" i="31"/>
  <c r="F418" i="31"/>
  <c r="E421" i="31"/>
  <c r="D424" i="31"/>
  <c r="F426" i="31"/>
  <c r="E429" i="31"/>
  <c r="E431" i="31"/>
  <c r="F432" i="31"/>
  <c r="C114" i="29"/>
  <c r="E63" i="32"/>
  <c r="I68" i="32"/>
  <c r="AO71" i="30"/>
  <c r="AO56" i="30"/>
  <c r="AI24" i="30"/>
  <c r="Y43" i="30"/>
  <c r="Y32" i="30"/>
  <c r="Y36" i="30"/>
  <c r="AI25" i="30"/>
  <c r="AI29" i="30"/>
  <c r="Y35" i="30"/>
  <c r="AD29" i="30"/>
  <c r="Y45" i="30"/>
  <c r="Y33" i="30"/>
  <c r="Y41" i="30"/>
  <c r="Y46" i="30"/>
  <c r="Y40" i="30"/>
  <c r="AI30" i="30"/>
  <c r="AI28" i="30"/>
  <c r="Y37" i="30"/>
  <c r="Y39" i="30"/>
  <c r="AI23" i="30"/>
  <c r="AI22" i="30"/>
  <c r="Y42" i="30"/>
  <c r="Y38" i="30"/>
  <c r="Y34" i="30"/>
  <c r="AI27" i="30"/>
  <c r="AI26" i="30"/>
  <c r="Y44" i="30"/>
  <c r="D80" i="6" l="1"/>
  <c r="C80" i="6" s="1"/>
  <c r="C141" i="29" s="1"/>
  <c r="C110" i="30" s="1"/>
  <c r="F110" i="30" s="1"/>
  <c r="D68" i="6"/>
  <c r="C68" i="6" s="1"/>
  <c r="C129" i="29" s="1"/>
  <c r="D83" i="6"/>
  <c r="D71" i="6"/>
  <c r="C71" i="6" s="1"/>
  <c r="D77" i="6"/>
  <c r="D86" i="6"/>
  <c r="C86" i="6" s="1"/>
  <c r="D74" i="6"/>
  <c r="C74" i="6" s="1"/>
  <c r="C135" i="29" s="1"/>
  <c r="C104" i="30" s="1"/>
  <c r="F104" i="30" s="1"/>
  <c r="K23" i="30" s="1"/>
  <c r="L49" i="30" s="1"/>
  <c r="D54" i="6"/>
  <c r="C54" i="6" s="1"/>
  <c r="D42" i="6"/>
  <c r="C42" i="6" s="1"/>
  <c r="D36" i="6"/>
  <c r="D51" i="6"/>
  <c r="D61" i="6"/>
  <c r="D48" i="6"/>
  <c r="C48" i="6" s="1"/>
  <c r="D58" i="6"/>
  <c r="C58" i="6" s="1"/>
  <c r="D64" i="6"/>
  <c r="C64" i="6" s="1"/>
  <c r="C45" i="6"/>
  <c r="D44" i="6"/>
  <c r="C44" i="6" s="1"/>
  <c r="C77" i="6"/>
  <c r="C138" i="29" s="1"/>
  <c r="C107" i="30" s="1"/>
  <c r="F107" i="30" s="1"/>
  <c r="C83" i="6"/>
  <c r="C144" i="29" s="1"/>
  <c r="C113" i="30" s="1"/>
  <c r="F113" i="30" s="1"/>
  <c r="K25" i="30" s="1"/>
  <c r="C51" i="6"/>
  <c r="C61" i="6"/>
  <c r="C121" i="29" s="1"/>
  <c r="D103" i="32"/>
  <c r="D102" i="32"/>
  <c r="D105" i="32"/>
  <c r="D108" i="32"/>
  <c r="D92" i="32"/>
  <c r="D99" i="32"/>
  <c r="D98" i="32"/>
  <c r="D101" i="32"/>
  <c r="D104" i="32"/>
  <c r="D111" i="32"/>
  <c r="D95" i="32"/>
  <c r="D110" i="32"/>
  <c r="D94" i="32"/>
  <c r="D113" i="32"/>
  <c r="D97" i="32"/>
  <c r="D100" i="32"/>
  <c r="D107" i="32"/>
  <c r="D106" i="32"/>
  <c r="D109" i="32"/>
  <c r="D93" i="32"/>
  <c r="D112" i="32"/>
  <c r="D96" i="32"/>
  <c r="C85" i="33"/>
  <c r="AD25" i="30"/>
  <c r="AD27" i="30"/>
  <c r="AD26" i="30"/>
  <c r="AD22" i="30"/>
  <c r="AD31" i="30"/>
  <c r="AD24" i="30"/>
  <c r="AD28" i="30"/>
  <c r="AD30" i="30"/>
  <c r="AD23" i="30"/>
  <c r="G5" i="27"/>
  <c r="G6" i="27"/>
  <c r="G7" i="27"/>
  <c r="G8" i="27"/>
  <c r="G9" i="27"/>
  <c r="G10" i="27"/>
  <c r="G11" i="27"/>
  <c r="G12" i="27"/>
  <c r="G4" i="27"/>
  <c r="F5" i="27"/>
  <c r="F6" i="27"/>
  <c r="F7" i="27"/>
  <c r="F8" i="27"/>
  <c r="F9" i="27"/>
  <c r="F10" i="27"/>
  <c r="F11" i="27"/>
  <c r="F12" i="27"/>
  <c r="F4" i="27"/>
  <c r="D5" i="27"/>
  <c r="D6" i="27"/>
  <c r="D7" i="27"/>
  <c r="D8" i="27"/>
  <c r="D9" i="27"/>
  <c r="D10" i="27"/>
  <c r="D11" i="27"/>
  <c r="D12" i="27"/>
  <c r="D4" i="27"/>
  <c r="D110" i="2"/>
  <c r="E137" i="19" s="1"/>
  <c r="D87" i="2"/>
  <c r="E71" i="19" s="1"/>
  <c r="D86" i="2"/>
  <c r="E70" i="19" s="1"/>
  <c r="D85" i="2"/>
  <c r="E69" i="19" s="1"/>
  <c r="D84" i="2"/>
  <c r="E68" i="19" s="1"/>
  <c r="D83" i="2"/>
  <c r="E67" i="19" s="1"/>
  <c r="D81" i="2"/>
  <c r="E65" i="19" s="1"/>
  <c r="D82" i="2"/>
  <c r="E66" i="19" s="1"/>
  <c r="D80" i="2"/>
  <c r="E64" i="19" s="1"/>
  <c r="D75" i="2"/>
  <c r="D76" i="2"/>
  <c r="D77" i="2"/>
  <c r="D74" i="2"/>
  <c r="D73" i="2"/>
  <c r="D72" i="2"/>
  <c r="D78" i="2"/>
  <c r="E62" i="19" s="1"/>
  <c r="E114" i="19"/>
  <c r="D68" i="2"/>
  <c r="E107" i="19"/>
  <c r="E63" i="19"/>
  <c r="E54" i="19"/>
  <c r="D93" i="2"/>
  <c r="D92" i="2"/>
  <c r="E130" i="19"/>
  <c r="C111" i="2"/>
  <c r="C114" i="2" s="1"/>
  <c r="D115" i="2" s="1"/>
  <c r="E143" i="19" s="1"/>
  <c r="E113" i="19"/>
  <c r="E112" i="19"/>
  <c r="E111" i="19"/>
  <c r="E110" i="19"/>
  <c r="E109" i="19"/>
  <c r="E108" i="19"/>
  <c r="E52" i="19"/>
  <c r="D97" i="2"/>
  <c r="E164" i="19" s="1"/>
  <c r="E106" i="19"/>
  <c r="E103" i="19"/>
  <c r="E22" i="19"/>
  <c r="E20" i="19"/>
  <c r="E19" i="19"/>
  <c r="E18" i="19"/>
  <c r="C35" i="23"/>
  <c r="C31" i="23"/>
  <c r="E40" i="19"/>
  <c r="D96" i="2"/>
  <c r="C98" i="2"/>
  <c r="D100" i="2" s="1"/>
  <c r="D122" i="2"/>
  <c r="D119" i="2"/>
  <c r="E213" i="19" s="1"/>
  <c r="D109" i="2"/>
  <c r="E205" i="19" s="1"/>
  <c r="D106" i="2"/>
  <c r="E194" i="19" s="1"/>
  <c r="D103" i="2"/>
  <c r="E301" i="19" s="1"/>
  <c r="D121" i="2"/>
  <c r="D118" i="2"/>
  <c r="E139" i="19"/>
  <c r="E138" i="19"/>
  <c r="D102" i="2"/>
  <c r="K39" i="30" l="1"/>
  <c r="K41" i="30"/>
  <c r="K40" i="30"/>
  <c r="K42" i="30"/>
  <c r="K43" i="30"/>
  <c r="K38" i="30"/>
  <c r="E39" i="16"/>
  <c r="F39" i="16"/>
  <c r="G39" i="16"/>
  <c r="D73" i="6"/>
  <c r="C73" i="6" s="1"/>
  <c r="C134" i="29" s="1"/>
  <c r="C132" i="29"/>
  <c r="C101" i="30" s="1"/>
  <c r="F101" i="30" s="1"/>
  <c r="K22" i="30" s="1"/>
  <c r="E236" i="19"/>
  <c r="E342" i="19"/>
  <c r="D67" i="6"/>
  <c r="C67" i="6" s="1"/>
  <c r="C128" i="29" s="1"/>
  <c r="C97" i="30" s="1"/>
  <c r="F97" i="30" s="1"/>
  <c r="D79" i="6"/>
  <c r="C79" i="6" s="1"/>
  <c r="D76" i="6"/>
  <c r="C76" i="6" s="1"/>
  <c r="D85" i="6"/>
  <c r="C85" i="6" s="1"/>
  <c r="D47" i="6"/>
  <c r="C47" i="6" s="1"/>
  <c r="D70" i="6"/>
  <c r="C70" i="6" s="1"/>
  <c r="D82" i="6"/>
  <c r="C82" i="6" s="1"/>
  <c r="C124" i="29"/>
  <c r="C113" i="29"/>
  <c r="K24" i="30"/>
  <c r="L50" i="30" s="1"/>
  <c r="K49" i="30"/>
  <c r="D39" i="16" s="1"/>
  <c r="C118" i="29"/>
  <c r="D57" i="6"/>
  <c r="C57" i="6" s="1"/>
  <c r="L51" i="30"/>
  <c r="K51" i="30"/>
  <c r="D41" i="16" s="1"/>
  <c r="C64" i="33"/>
  <c r="D112" i="2"/>
  <c r="D113" i="2"/>
  <c r="E187" i="19"/>
  <c r="D116" i="2"/>
  <c r="D99" i="2"/>
  <c r="E40" i="16" l="1"/>
  <c r="F40" i="16"/>
  <c r="G40" i="16"/>
  <c r="E41" i="16"/>
  <c r="F41" i="16"/>
  <c r="G41" i="16"/>
  <c r="K21" i="30"/>
  <c r="K48" i="30" s="1"/>
  <c r="D38" i="16" s="1"/>
  <c r="C140" i="29"/>
  <c r="C109" i="30" s="1"/>
  <c r="F109" i="30" s="1"/>
  <c r="C131" i="29"/>
  <c r="C100" i="30" s="1"/>
  <c r="F100" i="30" s="1"/>
  <c r="C137" i="29"/>
  <c r="C106" i="30" s="1"/>
  <c r="F106" i="30" s="1"/>
  <c r="C143" i="29"/>
  <c r="C112" i="30" s="1"/>
  <c r="F112" i="30" s="1"/>
  <c r="C110" i="29"/>
  <c r="C117" i="29"/>
  <c r="K50" i="30"/>
  <c r="D40" i="16" s="1"/>
  <c r="D91" i="32"/>
  <c r="D90" i="32"/>
  <c r="D89" i="32"/>
  <c r="C98" i="30"/>
  <c r="F98" i="30" s="1"/>
  <c r="K20" i="30" s="1"/>
  <c r="K47" i="30" s="1"/>
  <c r="C103" i="30"/>
  <c r="F103" i="30" s="1"/>
  <c r="E315" i="19"/>
  <c r="E290" i="19"/>
  <c r="E331" i="19"/>
  <c r="E270" i="19"/>
  <c r="L48" i="30" l="1"/>
  <c r="L47" i="30"/>
  <c r="D37" i="16"/>
  <c r="D42" i="16" s="1"/>
  <c r="C145" i="29"/>
  <c r="H69" i="32"/>
  <c r="E38" i="16" l="1"/>
  <c r="F38" i="16"/>
  <c r="G38" i="16"/>
  <c r="E37" i="16"/>
  <c r="G37" i="16"/>
  <c r="F37" i="16"/>
  <c r="D88" i="32"/>
  <c r="D87" i="32"/>
  <c r="E42" i="16" l="1"/>
  <c r="G42" i="16"/>
  <c r="F42" i="16"/>
  <c r="D32" i="6"/>
  <c r="D29" i="6"/>
  <c r="D50" i="6" l="1"/>
  <c r="C50" i="6" s="1"/>
  <c r="D53" i="6"/>
  <c r="C53" i="6" s="1"/>
  <c r="D35" i="6"/>
  <c r="D63" i="6"/>
  <c r="C63" i="6" s="1"/>
  <c r="C123" i="29" l="1"/>
  <c r="D60" i="6"/>
  <c r="C60" i="6" s="1"/>
  <c r="C120" i="29" l="1"/>
  <c r="C34" i="23"/>
  <c r="CQ51" i="32" l="1"/>
  <c r="CR9" i="32"/>
  <c r="CQ72" i="32"/>
  <c r="CQ61" i="32"/>
  <c r="CQ50" i="32"/>
  <c r="CQ58" i="32"/>
  <c r="AI56" i="32"/>
  <c r="Z53" i="32"/>
  <c r="AC53" i="32"/>
  <c r="AA68" i="32"/>
  <c r="AG52" i="32"/>
  <c r="AD74" i="32"/>
  <c r="AH54" i="32"/>
  <c r="AC49" i="32"/>
  <c r="AH57" i="32"/>
  <c r="AE67" i="32"/>
  <c r="AJ74" i="32"/>
  <c r="AC54" i="32"/>
  <c r="AA56" i="32"/>
  <c r="AH75" i="32"/>
  <c r="AD70" i="32"/>
  <c r="AH50" i="32"/>
  <c r="AD73" i="32"/>
  <c r="AH53" i="32"/>
  <c r="AE63" i="32"/>
  <c r="AJ70" i="32"/>
  <c r="AJ73" i="32"/>
  <c r="AA65" i="32"/>
  <c r="AC50" i="32"/>
  <c r="AC60" i="32"/>
  <c r="AI66" i="32"/>
  <c r="AE61" i="32"/>
  <c r="AJ68" i="32"/>
  <c r="AE64" i="32"/>
  <c r="AJ71" i="32"/>
  <c r="AF54" i="32"/>
  <c r="AC62" i="32"/>
  <c r="AB75" i="32"/>
  <c r="Z72" i="32"/>
  <c r="Z57" i="32"/>
  <c r="AA64" i="32"/>
  <c r="AH67" i="32"/>
  <c r="AD62" i="32"/>
  <c r="AI69" i="32"/>
  <c r="AD65" i="32"/>
  <c r="AI72" i="32"/>
  <c r="AE55" i="32"/>
  <c r="AJ62" i="32"/>
  <c r="AF66" i="32"/>
  <c r="AC69" i="32"/>
  <c r="AA54" i="32"/>
  <c r="AA52" i="32"/>
  <c r="AH63" i="32"/>
  <c r="AD58" i="32"/>
  <c r="AI65" i="32"/>
  <c r="AD61" i="32"/>
  <c r="AI68" i="32"/>
  <c r="AE51" i="32"/>
  <c r="AJ58" i="32"/>
  <c r="AI53" i="32"/>
  <c r="Z73" i="32"/>
  <c r="AA72" i="32"/>
  <c r="AH59" i="32"/>
  <c r="AD54" i="32"/>
  <c r="AI61" i="32"/>
  <c r="AD57" i="32"/>
  <c r="AI64" i="32"/>
  <c r="AF74" i="32"/>
  <c r="AJ54" i="32"/>
  <c r="AD49" i="32"/>
  <c r="AA49" i="32"/>
  <c r="AA70" i="32"/>
  <c r="Z71" i="32"/>
  <c r="AG60" i="32"/>
  <c r="AB54" i="32"/>
  <c r="AH62" i="32"/>
  <c r="AB57" i="32"/>
  <c r="AH65" i="32"/>
  <c r="AE75" i="32"/>
  <c r="AI55" i="32"/>
  <c r="CQ65" i="32"/>
  <c r="CQ67" i="32"/>
  <c r="CQ56" i="32"/>
  <c r="CU73" i="32"/>
  <c r="CZ56" i="32"/>
  <c r="CR68" i="32"/>
  <c r="CR66" i="32"/>
  <c r="CU68" i="32"/>
  <c r="DA74" i="32"/>
  <c r="CW69" i="32"/>
  <c r="DB49" i="32"/>
  <c r="CW72" i="32"/>
  <c r="DA52" i="32"/>
  <c r="CX62" i="32"/>
  <c r="CT51" i="32"/>
  <c r="CR54" i="32"/>
  <c r="CU64" i="32"/>
  <c r="DA70" i="32"/>
  <c r="CW65" i="32"/>
  <c r="DB72" i="32"/>
  <c r="CW68" i="32"/>
  <c r="DB75" i="32"/>
  <c r="CX58" i="32"/>
  <c r="CR75" i="32"/>
  <c r="CZ58" i="32"/>
  <c r="CS53" i="32"/>
  <c r="CS63" i="32"/>
  <c r="CW74" i="32"/>
  <c r="DB61" i="32"/>
  <c r="CX56" i="32"/>
  <c r="CV71" i="32"/>
  <c r="CX59" i="32"/>
  <c r="CT68" i="32"/>
  <c r="CZ49" i="32"/>
  <c r="CU67" i="32"/>
  <c r="DB51" i="32"/>
  <c r="CS66" i="32"/>
  <c r="CR62" i="32"/>
  <c r="CU56" i="32"/>
  <c r="DA62" i="32"/>
  <c r="CW57" i="32"/>
  <c r="DB64" i="32"/>
  <c r="CW60" i="32"/>
  <c r="DB67" i="32"/>
  <c r="CX50" i="32"/>
  <c r="CX65" i="32"/>
  <c r="CS50" i="32"/>
  <c r="CU58" i="32"/>
  <c r="CS71" i="32"/>
  <c r="CU52" i="32"/>
  <c r="DA58" i="32"/>
  <c r="CW53" i="32"/>
  <c r="DB60" i="32"/>
  <c r="CW56" i="32"/>
  <c r="DB63" i="32"/>
  <c r="CY73" i="32"/>
  <c r="CS61" i="32"/>
  <c r="CX71" i="32"/>
  <c r="CR70" i="32"/>
  <c r="CR51" i="32"/>
  <c r="DA54" i="32"/>
  <c r="CX49" i="32"/>
  <c r="DB56" i="32"/>
  <c r="CW52" i="32"/>
  <c r="DB59" i="32"/>
  <c r="CY69" i="32"/>
  <c r="CZ51" i="32"/>
  <c r="CS75" i="32"/>
  <c r="CS58" i="32"/>
  <c r="CU70" i="32"/>
  <c r="CS60" i="32"/>
  <c r="CZ55" i="32"/>
  <c r="CV50" i="32"/>
  <c r="DA57" i="32"/>
  <c r="CV53" i="32"/>
  <c r="DA60" i="32"/>
  <c r="CX70" i="32"/>
  <c r="DB50" i="32"/>
  <c r="CQ59" i="32"/>
  <c r="CQ63" i="32"/>
  <c r="CQ75" i="32"/>
  <c r="CQ71" i="32"/>
  <c r="AC73" i="32"/>
  <c r="AH56" i="32"/>
  <c r="Z68" i="32"/>
  <c r="Z66" i="32"/>
  <c r="AC68" i="32"/>
  <c r="AI74" i="32"/>
  <c r="AE69" i="32"/>
  <c r="AJ49" i="32"/>
  <c r="AE72" i="32"/>
  <c r="AI52" i="32"/>
  <c r="AF62" i="32"/>
  <c r="AB51" i="32"/>
  <c r="Z54" i="32"/>
  <c r="AC64" i="32"/>
  <c r="AI70" i="32"/>
  <c r="AE65" i="32"/>
  <c r="AJ72" i="32"/>
  <c r="AE68" i="32"/>
  <c r="AJ75" i="32"/>
  <c r="AF58" i="32"/>
  <c r="Z75" i="32"/>
  <c r="AH58" i="32"/>
  <c r="AA53" i="32"/>
  <c r="AA63" i="32"/>
  <c r="AE74" i="32"/>
  <c r="AJ61" i="32"/>
  <c r="AF56" i="32"/>
  <c r="AD71" i="32"/>
  <c r="AF59" i="32"/>
  <c r="AB68" i="32"/>
  <c r="AH49" i="32"/>
  <c r="AC67" i="32"/>
  <c r="AJ51" i="32"/>
  <c r="AA66" i="32"/>
  <c r="Z62" i="32"/>
  <c r="AC56" i="32"/>
  <c r="AI62" i="32"/>
  <c r="AE57" i="32"/>
  <c r="AJ64" i="32"/>
  <c r="AE60" i="32"/>
  <c r="AJ67" i="32"/>
  <c r="AF50" i="32"/>
  <c r="AF65" i="32"/>
  <c r="AA50" i="32"/>
  <c r="AC58" i="32"/>
  <c r="AA71" i="32"/>
  <c r="AC52" i="32"/>
  <c r="AI58" i="32"/>
  <c r="AE53" i="32"/>
  <c r="AJ60" i="32"/>
  <c r="AE56" i="32"/>
  <c r="AJ63" i="32"/>
  <c r="AG73" i="32"/>
  <c r="AA61" i="32"/>
  <c r="AF71" i="32"/>
  <c r="Z70" i="32"/>
  <c r="Z51" i="32"/>
  <c r="AI54" i="32"/>
  <c r="AF49" i="32"/>
  <c r="AJ56" i="32"/>
  <c r="AE52" i="32"/>
  <c r="AJ59" i="32"/>
  <c r="AG69" i="32"/>
  <c r="AH51" i="32"/>
  <c r="AA75" i="32"/>
  <c r="AA58" i="32"/>
  <c r="AC70" i="32"/>
  <c r="AA60" i="32"/>
  <c r="AH55" i="32"/>
  <c r="AD50" i="32"/>
  <c r="AI57" i="32"/>
  <c r="AD53" i="32"/>
  <c r="AI60" i="32"/>
  <c r="AF70" i="32"/>
  <c r="AJ50" i="32"/>
  <c r="AI50" i="32"/>
  <c r="AJ52" i="32"/>
  <c r="AG65" i="32"/>
  <c r="CT52" i="32"/>
  <c r="Z49" i="32"/>
  <c r="AF61" i="32"/>
  <c r="AG62" i="32"/>
  <c r="CQ60" i="32"/>
  <c r="CQ55" i="32"/>
  <c r="CQ68" i="32"/>
  <c r="CT50" i="32"/>
  <c r="DA51" i="32"/>
  <c r="CU65" i="32"/>
  <c r="CS55" i="32"/>
  <c r="CV67" i="32"/>
  <c r="DB69" i="32"/>
  <c r="CX64" i="32"/>
  <c r="CT67" i="32"/>
  <c r="CX67" i="32"/>
  <c r="CT49" i="32"/>
  <c r="CY57" i="32"/>
  <c r="CZ61" i="32"/>
  <c r="CU59" i="32"/>
  <c r="CV59" i="32"/>
  <c r="DB65" i="32"/>
  <c r="CX60" i="32"/>
  <c r="CT55" i="32"/>
  <c r="CX63" i="32"/>
  <c r="CT72" i="32"/>
  <c r="CY53" i="32"/>
  <c r="CS67" i="32"/>
  <c r="CY66" i="32"/>
  <c r="CR69" i="32"/>
  <c r="CU55" i="32"/>
  <c r="CX53" i="32"/>
  <c r="CT70" i="32"/>
  <c r="CY51" i="32"/>
  <c r="CT73" i="32"/>
  <c r="CY54" i="32"/>
  <c r="CV64" i="32"/>
  <c r="DA71" i="32"/>
  <c r="CV75" i="32"/>
  <c r="CR56" i="32"/>
  <c r="CU66" i="32"/>
  <c r="CS51" i="32"/>
  <c r="CW66" i="32"/>
  <c r="DB57" i="32"/>
  <c r="CX52" i="32"/>
  <c r="CV63" i="32"/>
  <c r="CX55" i="32"/>
  <c r="CT64" i="32"/>
  <c r="CZ72" i="32"/>
  <c r="CX68" i="32"/>
  <c r="CR74" i="32"/>
  <c r="CS57" i="32"/>
  <c r="CR50" i="32"/>
  <c r="CW58" i="32"/>
  <c r="DB53" i="32"/>
  <c r="CY75" i="32"/>
  <c r="CV51" i="32"/>
  <c r="CX51" i="32"/>
  <c r="CT60" i="32"/>
  <c r="CZ68" i="32"/>
  <c r="CR59" i="32"/>
  <c r="CY61" i="32"/>
  <c r="CS59" i="32"/>
  <c r="CW50" i="32"/>
  <c r="CT71" i="32"/>
  <c r="CY71" i="32"/>
  <c r="CW70" i="32"/>
  <c r="CY74" i="32"/>
  <c r="CT56" i="32"/>
  <c r="CZ64" i="32"/>
  <c r="CY63" i="32"/>
  <c r="CU61" i="32"/>
  <c r="CS73" i="32"/>
  <c r="CR58" i="32"/>
  <c r="CT59" i="32"/>
  <c r="DA50" i="32"/>
  <c r="CX72" i="32"/>
  <c r="DB52" i="32"/>
  <c r="CX75" i="32"/>
  <c r="DB55" i="32"/>
  <c r="CY65" i="32"/>
  <c r="CQ49" i="32"/>
  <c r="AB59" i="32"/>
  <c r="AF75" i="32"/>
  <c r="AM49" i="32"/>
  <c r="CZ60" i="32"/>
  <c r="AE54" i="32"/>
  <c r="AD55" i="32"/>
  <c r="AD72" i="32"/>
  <c r="CQ53" i="32"/>
  <c r="CQ52" i="32"/>
  <c r="CQ57" i="32"/>
  <c r="AB50" i="32"/>
  <c r="AI51" i="32"/>
  <c r="AC65" i="32"/>
  <c r="AA55" i="32"/>
  <c r="AD67" i="32"/>
  <c r="AJ69" i="32"/>
  <c r="AF64" i="32"/>
  <c r="AB67" i="32"/>
  <c r="AF67" i="32"/>
  <c r="AB49" i="32"/>
  <c r="AG57" i="32"/>
  <c r="AH61" i="32"/>
  <c r="AC59" i="32"/>
  <c r="AD59" i="32"/>
  <c r="AJ65" i="32"/>
  <c r="AF60" i="32"/>
  <c r="AB55" i="32"/>
  <c r="AF63" i="32"/>
  <c r="AB72" i="32"/>
  <c r="AG53" i="32"/>
  <c r="AA67" i="32"/>
  <c r="AG66" i="32"/>
  <c r="Z69" i="32"/>
  <c r="AC55" i="32"/>
  <c r="AF53" i="32"/>
  <c r="AB70" i="32"/>
  <c r="AG51" i="32"/>
  <c r="AB73" i="32"/>
  <c r="AG54" i="32"/>
  <c r="AD64" i="32"/>
  <c r="AI71" i="32"/>
  <c r="AD75" i="32"/>
  <c r="Z56" i="32"/>
  <c r="AC66" i="32"/>
  <c r="AA51" i="32"/>
  <c r="AE66" i="32"/>
  <c r="AJ57" i="32"/>
  <c r="AF52" i="32"/>
  <c r="AD63" i="32"/>
  <c r="AF55" i="32"/>
  <c r="AB64" i="32"/>
  <c r="AH72" i="32"/>
  <c r="AF68" i="32"/>
  <c r="Z74" i="32"/>
  <c r="AA57" i="32"/>
  <c r="Z50" i="32"/>
  <c r="AE58" i="32"/>
  <c r="AJ53" i="32"/>
  <c r="AG75" i="32"/>
  <c r="AD51" i="32"/>
  <c r="AF51" i="32"/>
  <c r="AB60" i="32"/>
  <c r="AH68" i="32"/>
  <c r="Z59" i="32"/>
  <c r="AG61" i="32"/>
  <c r="AA59" i="32"/>
  <c r="AE50" i="32"/>
  <c r="AB71" i="32"/>
  <c r="AG71" i="32"/>
  <c r="AE70" i="32"/>
  <c r="AG74" i="32"/>
  <c r="AB56" i="32"/>
  <c r="AH64" i="32"/>
  <c r="AG63" i="32"/>
  <c r="AC61" i="32"/>
  <c r="AA73" i="32"/>
  <c r="Z58" i="32"/>
  <c r="AF72" i="32"/>
  <c r="AJ55" i="32"/>
  <c r="CQ73" i="32"/>
  <c r="AC63" i="32"/>
  <c r="AG59" i="32"/>
  <c r="AH52" i="32"/>
  <c r="CQ66" i="32"/>
  <c r="CQ62" i="32"/>
  <c r="CQ70" i="32"/>
  <c r="CW54" i="32"/>
  <c r="CR49" i="32"/>
  <c r="CR65" i="32"/>
  <c r="CU63" i="32"/>
  <c r="CX61" i="32"/>
  <c r="CV55" i="32"/>
  <c r="CY59" i="32"/>
  <c r="CX73" i="32"/>
  <c r="CY62" i="32"/>
  <c r="CV72" i="32"/>
  <c r="CZ52" i="32"/>
  <c r="CS62" i="32"/>
  <c r="CR67" i="32"/>
  <c r="CX57" i="32"/>
  <c r="CT74" i="32"/>
  <c r="CY55" i="32"/>
  <c r="CY49" i="32"/>
  <c r="CY58" i="32"/>
  <c r="CV68" i="32"/>
  <c r="DA75" i="32"/>
  <c r="CU72" i="32"/>
  <c r="CW71" i="32"/>
  <c r="CU74" i="32"/>
  <c r="CR55" i="32"/>
  <c r="CZ71" i="32"/>
  <c r="CV66" i="32"/>
  <c r="DA73" i="32"/>
  <c r="CV69" i="32"/>
  <c r="DA49" i="32"/>
  <c r="CW59" i="32"/>
  <c r="DB66" i="32"/>
  <c r="CW73" i="32"/>
  <c r="CU57" i="32"/>
  <c r="CR60" i="32"/>
  <c r="CU51" i="32"/>
  <c r="CY72" i="32"/>
  <c r="CT66" i="32"/>
  <c r="CZ74" i="32"/>
  <c r="CT69" i="32"/>
  <c r="CY50" i="32"/>
  <c r="CV60" i="32"/>
  <c r="DA67" i="32"/>
  <c r="CT53" i="32"/>
  <c r="CS69" i="32"/>
  <c r="CS74" i="32"/>
  <c r="CR63" i="32"/>
  <c r="CY68" i="32"/>
  <c r="CT62" i="32"/>
  <c r="CZ70" i="32"/>
  <c r="CT65" i="32"/>
  <c r="CZ73" i="32"/>
  <c r="CV56" i="32"/>
  <c r="DA63" i="32"/>
  <c r="CY56" i="32"/>
  <c r="CR61" i="32"/>
  <c r="CU75" i="32"/>
  <c r="CY64" i="32"/>
  <c r="CT58" i="32"/>
  <c r="CZ66" i="32"/>
  <c r="CT61" i="32"/>
  <c r="CZ69" i="32"/>
  <c r="CV52" i="32"/>
  <c r="DA59" i="32"/>
  <c r="CW49" i="32"/>
  <c r="CV76" i="32" s="1"/>
  <c r="CR64" i="32"/>
  <c r="CR52" i="32"/>
  <c r="CU71" i="32"/>
  <c r="CX69" i="32"/>
  <c r="CT63" i="32"/>
  <c r="CY67" i="32"/>
  <c r="CW62" i="32"/>
  <c r="CY70" i="32"/>
  <c r="AM63" i="32"/>
  <c r="CQ54" i="32"/>
  <c r="Z65" i="32"/>
  <c r="AF73" i="32"/>
  <c r="AA62" i="32"/>
  <c r="CQ69" i="32"/>
  <c r="CZ54" i="32"/>
  <c r="AF57" i="32"/>
  <c r="AG58" i="32"/>
  <c r="AE71" i="32"/>
  <c r="AD66" i="32"/>
  <c r="AE59" i="32"/>
  <c r="Z60" i="32"/>
  <c r="AH74" i="32"/>
  <c r="AI67" i="32"/>
  <c r="Z63" i="32"/>
  <c r="AB65" i="32"/>
  <c r="AG56" i="32"/>
  <c r="AB58" i="32"/>
  <c r="AD52" i="32"/>
  <c r="Z52" i="32"/>
  <c r="AG67" i="32"/>
  <c r="AH60" i="32"/>
  <c r="CQ74" i="32"/>
  <c r="CU49" i="32"/>
  <c r="CZ75" i="32"/>
  <c r="CZ53" i="32"/>
  <c r="CS65" i="32"/>
  <c r="CW61" i="32"/>
  <c r="CX54" i="32"/>
  <c r="CR57" i="32"/>
  <c r="DA69" i="32"/>
  <c r="DB62" i="32"/>
  <c r="CS52" i="32"/>
  <c r="CV61" i="32"/>
  <c r="DA53" i="32"/>
  <c r="CV54" i="32"/>
  <c r="CX74" i="32"/>
  <c r="CS70" i="32"/>
  <c r="CZ62" i="32"/>
  <c r="DA55" i="32"/>
  <c r="CZ63" i="32"/>
  <c r="DB54" i="32"/>
  <c r="AG70" i="32"/>
  <c r="CY52" i="32"/>
  <c r="AB66" i="32"/>
  <c r="AH69" i="32"/>
  <c r="CS56" i="32"/>
  <c r="CR72" i="32"/>
  <c r="CZ59" i="32"/>
  <c r="DA56" i="32"/>
  <c r="CZ57" i="32"/>
  <c r="AB74" i="32"/>
  <c r="AD68" i="32"/>
  <c r="AC74" i="32"/>
  <c r="AI73" i="32"/>
  <c r="AJ66" i="32"/>
  <c r="AC51" i="32"/>
  <c r="AB69" i="32"/>
  <c r="AB53" i="32"/>
  <c r="AG68" i="32"/>
  <c r="AH73" i="32"/>
  <c r="Z61" i="32"/>
  <c r="AH66" i="32"/>
  <c r="AI59" i="32"/>
  <c r="AC71" i="32"/>
  <c r="AE62" i="32"/>
  <c r="CR73" i="32"/>
  <c r="CR71" i="32"/>
  <c r="Z67" i="32"/>
  <c r="AA74" i="32"/>
  <c r="AB52" i="32"/>
  <c r="CV73" i="32"/>
  <c r="CS54" i="32"/>
  <c r="CW75" i="32"/>
  <c r="CR53" i="32"/>
  <c r="CW67" i="32"/>
  <c r="CV70" i="32"/>
  <c r="CW63" i="32"/>
  <c r="CU50" i="32"/>
  <c r="DB68" i="32"/>
  <c r="CU62" i="32"/>
  <c r="CS64" i="32"/>
  <c r="CV65" i="32"/>
  <c r="CX66" i="32"/>
  <c r="DA68" i="32"/>
  <c r="DA61" i="32"/>
  <c r="CT57" i="32"/>
  <c r="AH71" i="32"/>
  <c r="AH70" i="32"/>
  <c r="AB63" i="32"/>
  <c r="CQ64" i="32"/>
  <c r="DA66" i="32"/>
  <c r="CW55" i="32"/>
  <c r="DA64" i="32"/>
  <c r="CU53" i="32"/>
  <c r="DB74" i="32"/>
  <c r="AG55" i="32"/>
  <c r="AI75" i="32"/>
  <c r="Z55" i="32"/>
  <c r="AD69" i="32"/>
  <c r="AE73" i="32"/>
  <c r="AG72" i="32"/>
  <c r="AG50" i="32"/>
  <c r="AA69" i="32"/>
  <c r="AB62" i="32"/>
  <c r="AD56" i="32"/>
  <c r="AC75" i="32"/>
  <c r="AB61" i="32"/>
  <c r="AE49" i="32"/>
  <c r="AF69" i="32"/>
  <c r="AC72" i="32"/>
  <c r="AC57" i="32"/>
  <c r="AI63" i="32"/>
  <c r="Z64" i="32"/>
  <c r="DB73" i="32"/>
  <c r="CV62" i="32"/>
  <c r="DB58" i="32"/>
  <c r="CS49" i="32"/>
  <c r="CS68" i="32"/>
  <c r="CU54" i="32"/>
  <c r="CZ50" i="32"/>
  <c r="DB70" i="32"/>
  <c r="CU60" i="32"/>
  <c r="CW64" i="32"/>
  <c r="CT75" i="32"/>
  <c r="CZ67" i="32"/>
  <c r="DA72" i="32"/>
  <c r="CU69" i="32"/>
  <c r="CV58" i="32"/>
  <c r="CW51" i="32"/>
  <c r="CS72" i="32"/>
  <c r="CV57" i="32"/>
  <c r="CV49" i="32"/>
  <c r="CY60" i="32"/>
  <c r="CZ65" i="32"/>
  <c r="AG49" i="32"/>
  <c r="AI49" i="32"/>
  <c r="AD60" i="32"/>
  <c r="AG64" i="32"/>
  <c r="CV74" i="32"/>
  <c r="DB71" i="32"/>
  <c r="DA65" i="32"/>
  <c r="CT54" i="32"/>
  <c r="CD56" i="32"/>
  <c r="CD49" i="32"/>
  <c r="CD61" i="32"/>
  <c r="CD58" i="32"/>
  <c r="AQ66" i="32"/>
  <c r="AO67" i="32"/>
  <c r="AO51" i="32"/>
  <c r="CL27" i="32"/>
  <c r="CL11" i="32"/>
  <c r="BW24" i="32"/>
  <c r="AQ56" i="32"/>
  <c r="CH75" i="32"/>
  <c r="CI66" i="32"/>
  <c r="BO25" i="32"/>
  <c r="BW56" i="32"/>
  <c r="BX67" i="32"/>
  <c r="CL51" i="32"/>
  <c r="CM62" i="32"/>
  <c r="AX57" i="32"/>
  <c r="BR51" i="32"/>
  <c r="CF66" i="32"/>
  <c r="BK10" i="32"/>
  <c r="BM22" i="32"/>
  <c r="CI57" i="32"/>
  <c r="BO28" i="32"/>
  <c r="CO12" i="32"/>
  <c r="BX74" i="32"/>
  <c r="CQ18" i="32"/>
  <c r="CR29" i="32"/>
  <c r="BR13" i="32"/>
  <c r="AP75" i="32"/>
  <c r="CH63" i="32"/>
  <c r="AP53" i="32"/>
  <c r="CH65" i="32"/>
  <c r="CN9" i="32"/>
  <c r="AT71" i="32"/>
  <c r="BV55" i="32"/>
  <c r="CK66" i="32"/>
  <c r="CC10" i="32"/>
  <c r="CR16" i="32"/>
  <c r="CN67" i="32"/>
  <c r="CF11" i="32"/>
  <c r="AR49" i="32"/>
  <c r="AR60" i="32"/>
  <c r="CN31" i="32"/>
  <c r="BN15" i="32"/>
  <c r="AT50" i="32"/>
  <c r="BW61" i="32"/>
  <c r="BQ32" i="32"/>
  <c r="AW51" i="32"/>
  <c r="BZ62" i="32"/>
  <c r="CE61" i="32"/>
  <c r="BL18" i="32"/>
  <c r="AO74" i="32"/>
  <c r="BQ54" i="32"/>
  <c r="CL13" i="32"/>
  <c r="CJ31" i="32"/>
  <c r="BW15" i="32"/>
  <c r="BQ68" i="32"/>
  <c r="CJ12" i="32"/>
  <c r="BY28" i="32"/>
  <c r="CL12" i="32"/>
  <c r="BZ27" i="32"/>
  <c r="CK68" i="32"/>
  <c r="CP12" i="32"/>
  <c r="AW74" i="32"/>
  <c r="BY58" i="32"/>
  <c r="CN69" i="32"/>
  <c r="CF13" i="32"/>
  <c r="BZ15" i="32"/>
  <c r="AR58" i="32"/>
  <c r="CI69" i="32"/>
  <c r="CN13" i="32"/>
  <c r="CB24" i="32"/>
  <c r="AU59" i="32"/>
  <c r="BX70" i="32"/>
  <c r="CD14" i="32"/>
  <c r="CD54" i="32"/>
  <c r="CD65" i="32"/>
  <c r="CD73" i="32"/>
  <c r="CD71" i="32"/>
  <c r="AO66" i="32"/>
  <c r="CG66" i="32"/>
  <c r="BS62" i="32"/>
  <c r="BQ67" i="32"/>
  <c r="CE51" i="32"/>
  <c r="CG67" i="32"/>
  <c r="BL11" i="32"/>
  <c r="BS56" i="32"/>
  <c r="CM35" i="32"/>
  <c r="CA26" i="32"/>
  <c r="AU56" i="32"/>
  <c r="CL67" i="32"/>
  <c r="BQ11" i="32"/>
  <c r="BR22" i="32"/>
  <c r="BZ57" i="32"/>
  <c r="CK11" i="32"/>
  <c r="CK26" i="32"/>
  <c r="BX10" i="32"/>
  <c r="CN17" i="32"/>
  <c r="CO28" i="32"/>
  <c r="CB12" i="32"/>
  <c r="CL74" i="32"/>
  <c r="CL58" i="32"/>
  <c r="BR29" i="32"/>
  <c r="CF75" i="32"/>
  <c r="AS54" i="32"/>
  <c r="AP69" i="32"/>
  <c r="CK13" i="32"/>
  <c r="BM25" i="32"/>
  <c r="CA9" i="32"/>
  <c r="BV71" i="32"/>
  <c r="CO15" i="32"/>
  <c r="CC26" i="32"/>
  <c r="BP10" i="32"/>
  <c r="CR32" i="32"/>
  <c r="CM56" i="32"/>
  <c r="CF27" i="32"/>
  <c r="BS11" i="32"/>
  <c r="BT60" i="32"/>
  <c r="BN31" i="32"/>
  <c r="AT66" i="32"/>
  <c r="CJ50" i="32"/>
  <c r="CP21" i="32"/>
  <c r="AW67" i="32"/>
  <c r="BY51" i="32"/>
  <c r="CN62" i="32"/>
  <c r="CJ21" i="32"/>
  <c r="AQ65" i="32"/>
  <c r="BQ74" i="32"/>
  <c r="CJ14" i="32"/>
  <c r="CG53" i="32"/>
  <c r="BW31" i="32"/>
  <c r="BJ15" i="32"/>
  <c r="CJ28" i="32"/>
  <c r="CE52" i="32"/>
  <c r="CL28" i="32"/>
  <c r="BL12" i="32"/>
  <c r="AT61" i="32"/>
  <c r="CP28" i="32"/>
  <c r="CC12" i="32"/>
  <c r="BY74" i="32"/>
  <c r="CR18" i="32"/>
  <c r="CF29" i="32"/>
  <c r="BS13" i="32"/>
  <c r="AR74" i="32"/>
  <c r="BT58" i="32"/>
  <c r="CN29" i="32"/>
  <c r="CA13" i="32"/>
  <c r="CD67" i="32"/>
  <c r="CD50" i="32"/>
  <c r="CD70" i="32"/>
  <c r="BQ66" i="32"/>
  <c r="CL26" i="32"/>
  <c r="AQ62" i="32"/>
  <c r="CE67" i="32"/>
  <c r="CJ11" i="32"/>
  <c r="BL27" i="32"/>
  <c r="BY11" i="32"/>
  <c r="AQ72" i="32"/>
  <c r="CG56" i="32"/>
  <c r="BM35" i="32"/>
  <c r="AU72" i="32"/>
  <c r="CK56" i="32"/>
  <c r="BQ27" i="32"/>
  <c r="CQ11" i="32"/>
  <c r="CE22" i="32"/>
  <c r="CS17" i="32"/>
  <c r="CF51" i="32"/>
  <c r="BX26" i="32"/>
  <c r="AS73" i="32"/>
  <c r="CA17" i="32"/>
  <c r="CD55" i="32"/>
  <c r="CD63" i="32"/>
  <c r="CD51" i="32"/>
  <c r="CJ26" i="32"/>
  <c r="BY26" i="32"/>
  <c r="CG62" i="32"/>
  <c r="CJ27" i="32"/>
  <c r="BW11" i="32"/>
  <c r="BY27" i="32"/>
  <c r="CG72" i="32"/>
  <c r="BY16" i="32"/>
  <c r="BZ35" i="32"/>
  <c r="AT65" i="32"/>
  <c r="CK72" i="32"/>
  <c r="CP16" i="32"/>
  <c r="CQ27" i="32"/>
  <c r="CD11" i="32"/>
  <c r="CN57" i="32"/>
  <c r="BX11" i="32"/>
  <c r="AP50" i="32"/>
  <c r="AR62" i="32"/>
  <c r="CI73" i="32"/>
  <c r="BN17" i="32"/>
  <c r="AU63" i="32"/>
  <c r="CQ34" i="32"/>
  <c r="BQ18" i="32"/>
  <c r="AW53" i="32"/>
  <c r="BZ64" i="32"/>
  <c r="CK35" i="32"/>
  <c r="BU54" i="32"/>
  <c r="CF69" i="32"/>
  <c r="BX13" i="32"/>
  <c r="BZ25" i="32"/>
  <c r="CJ71" i="32"/>
  <c r="CB15" i="32"/>
  <c r="BR32" i="32"/>
  <c r="CE16" i="32"/>
  <c r="AP64" i="32"/>
  <c r="BT49" i="32"/>
  <c r="AS55" i="32"/>
  <c r="BV66" i="32"/>
  <c r="CO10" i="32"/>
  <c r="BX56" i="32"/>
  <c r="BY67" i="32"/>
  <c r="CR11" i="32"/>
  <c r="CS22" i="32"/>
  <c r="BS58" i="32"/>
  <c r="AO57" i="32"/>
  <c r="CL25" i="32"/>
  <c r="CJ34" i="32"/>
  <c r="BJ14" i="32"/>
  <c r="BY13" i="32"/>
  <c r="AQ63" i="32"/>
  <c r="BJ28" i="32"/>
  <c r="BW12" i="32"/>
  <c r="AR67" i="32"/>
  <c r="BU58" i="32"/>
  <c r="CO21" i="32"/>
  <c r="BP28" i="32"/>
  <c r="CR34" i="32"/>
  <c r="BR18" i="32"/>
  <c r="AR55" i="32"/>
  <c r="BR62" i="32"/>
  <c r="CH74" i="32"/>
  <c r="CH58" i="32"/>
  <c r="BN29" i="32"/>
  <c r="CK75" i="32"/>
  <c r="CK59" i="32"/>
  <c r="BY65" i="32"/>
  <c r="CD72" i="32"/>
  <c r="CD75" i="32"/>
  <c r="CD66" i="32"/>
  <c r="CE66" i="32"/>
  <c r="CL22" i="32"/>
  <c r="BW27" i="32"/>
  <c r="BJ11" i="32"/>
  <c r="AQ51" i="32"/>
  <c r="AO64" i="32"/>
  <c r="BY32" i="32"/>
  <c r="CL16" i="32"/>
  <c r="BV65" i="32"/>
  <c r="CP32" i="32"/>
  <c r="CC16" i="32"/>
  <c r="CD27" i="32"/>
  <c r="AX73" i="32"/>
  <c r="CF17" i="32"/>
  <c r="BK11" i="32"/>
  <c r="BT62" i="32"/>
  <c r="BN33" i="32"/>
  <c r="AT52" i="32"/>
  <c r="BW63" i="32"/>
  <c r="BQ34" i="32"/>
  <c r="BY53" i="32"/>
  <c r="CN64" i="32"/>
  <c r="BK35" i="32"/>
  <c r="CN14" i="32"/>
  <c r="BX29" i="32"/>
  <c r="BK13" i="32"/>
  <c r="AS60" i="32"/>
  <c r="CB31" i="32"/>
  <c r="BO15" i="32"/>
  <c r="AU50" i="32"/>
  <c r="BX61" i="32"/>
  <c r="CE32" i="32"/>
  <c r="AX51" i="32"/>
  <c r="BR64" i="32"/>
  <c r="CM9" i="32"/>
  <c r="AS71" i="32"/>
  <c r="BU55" i="32"/>
  <c r="CJ66" i="32"/>
  <c r="BO10" i="32"/>
  <c r="AV72" i="32"/>
  <c r="CQ16" i="32"/>
  <c r="CR27" i="32"/>
  <c r="CE11" i="32"/>
  <c r="CF22" i="32"/>
  <c r="AQ58" i="32"/>
  <c r="CE57" i="32"/>
  <c r="CG65" i="32"/>
  <c r="BJ34" i="32"/>
  <c r="BW14" i="32"/>
  <c r="AO55" i="32"/>
  <c r="BS63" i="32"/>
  <c r="BW28" i="32"/>
  <c r="AQ52" i="32"/>
  <c r="CD60" i="32"/>
  <c r="CD59" i="32"/>
  <c r="CD57" i="32"/>
  <c r="AQ73" i="32"/>
  <c r="BQ51" i="32"/>
  <c r="CJ24" i="32"/>
  <c r="AS66" i="32"/>
  <c r="BY62" i="32"/>
  <c r="BZ22" i="32"/>
  <c r="BV52" i="32"/>
  <c r="CM53" i="32"/>
  <c r="AR63" i="32"/>
  <c r="BK29" i="32"/>
  <c r="AS49" i="32"/>
  <c r="BO31" i="32"/>
  <c r="BW50" i="32"/>
  <c r="BZ51" i="32"/>
  <c r="BM9" i="32"/>
  <c r="CI55" i="32"/>
  <c r="CB10" i="32"/>
  <c r="CL56" i="32"/>
  <c r="BR11" i="32"/>
  <c r="CG58" i="32"/>
  <c r="BL25" i="32"/>
  <c r="AQ53" i="32"/>
  <c r="BQ55" i="32"/>
  <c r="AO52" i="32"/>
  <c r="BS52" i="32"/>
  <c r="AS58" i="32"/>
  <c r="AU68" i="32"/>
  <c r="AV63" i="32"/>
  <c r="AW58" i="32"/>
  <c r="BZ53" i="32"/>
  <c r="AP62" i="32"/>
  <c r="BM34" i="32"/>
  <c r="CO24" i="32"/>
  <c r="CP19" i="32"/>
  <c r="BX54" i="32"/>
  <c r="CR25" i="32"/>
  <c r="BS9" i="32"/>
  <c r="CK27" i="32"/>
  <c r="CM11" i="32"/>
  <c r="AP65" i="32"/>
  <c r="BS49" i="32"/>
  <c r="CH61" i="32"/>
  <c r="AT67" i="32"/>
  <c r="AT51" i="32"/>
  <c r="CK62" i="32"/>
  <c r="AW68" i="32"/>
  <c r="BY52" i="32"/>
  <c r="CN63" i="32"/>
  <c r="AP60" i="32"/>
  <c r="BZ32" i="32"/>
  <c r="BM16" i="32"/>
  <c r="AT62" i="32"/>
  <c r="CK73" i="32"/>
  <c r="CC17" i="32"/>
  <c r="BY63" i="32"/>
  <c r="BS34" i="32"/>
  <c r="CF18" i="32"/>
  <c r="AO75" i="32"/>
  <c r="CL21" i="32"/>
  <c r="BW10" i="32"/>
  <c r="AO62" i="32"/>
  <c r="BS54" i="32"/>
  <c r="CE59" i="32"/>
  <c r="BL35" i="32"/>
  <c r="BY19" i="32"/>
  <c r="AO56" i="32"/>
  <c r="AQ64" i="32"/>
  <c r="CM19" i="32"/>
  <c r="BN10" i="32"/>
  <c r="BO17" i="32"/>
  <c r="AV75" i="32"/>
  <c r="CL59" i="32"/>
  <c r="CD62" i="32"/>
  <c r="CG73" i="32"/>
  <c r="CE64" i="32"/>
  <c r="BU66" i="32"/>
  <c r="BP16" i="32"/>
  <c r="CR22" i="32"/>
  <c r="AP66" i="32"/>
  <c r="CJ52" i="32"/>
  <c r="AV58" i="32"/>
  <c r="CE13" i="32"/>
  <c r="BU49" i="32"/>
  <c r="CK50" i="32"/>
  <c r="AW56" i="32"/>
  <c r="CS11" i="32"/>
  <c r="BZ9" i="32"/>
  <c r="CA15" i="32"/>
  <c r="CD16" i="32"/>
  <c r="CL18" i="32"/>
  <c r="BY25" i="32"/>
  <c r="CE55" i="32"/>
  <c r="CG52" i="32"/>
  <c r="CN18" i="32"/>
  <c r="BW68" i="32"/>
  <c r="BX63" i="32"/>
  <c r="CM58" i="32"/>
  <c r="CS13" i="32"/>
  <c r="CF62" i="32"/>
  <c r="AS53" i="32"/>
  <c r="BP19" i="32"/>
  <c r="CQ14" i="32"/>
  <c r="BR25" i="32"/>
  <c r="CF67" i="32"/>
  <c r="BM11" i="32"/>
  <c r="BR65" i="32"/>
  <c r="CG49" i="32"/>
  <c r="CM21" i="32"/>
  <c r="AS56" i="32"/>
  <c r="BV67" i="32"/>
  <c r="CO11" i="32"/>
  <c r="CC22" i="32"/>
  <c r="AV57" i="32"/>
  <c r="BY68" i="32"/>
  <c r="CR12" i="32"/>
  <c r="BM32" i="32"/>
  <c r="AS51" i="32"/>
  <c r="BV62" i="32"/>
  <c r="BP33" i="32"/>
  <c r="AV52" i="32"/>
  <c r="AW63" i="32"/>
  <c r="CF34" i="32"/>
  <c r="CE75" i="32"/>
  <c r="CG61" i="32"/>
  <c r="AQ57" i="32"/>
  <c r="BQ62" i="32"/>
  <c r="CG54" i="32"/>
  <c r="CJ19" i="32"/>
  <c r="BY35" i="32"/>
  <c r="AO72" i="32"/>
  <c r="BQ56" i="32"/>
  <c r="CG64" i="32"/>
  <c r="BM19" i="32"/>
  <c r="CA10" i="32"/>
  <c r="CL75" i="32"/>
  <c r="BQ19" i="32"/>
  <c r="AW54" i="32"/>
  <c r="AX65" i="32"/>
  <c r="CD53" i="32"/>
  <c r="BL33" i="32"/>
  <c r="AQ67" i="32"/>
  <c r="CL32" i="32"/>
  <c r="CN26" i="32"/>
  <c r="CN73" i="32"/>
  <c r="BR66" i="32"/>
  <c r="BU57" i="32"/>
  <c r="BO12" i="32"/>
  <c r="BX58" i="32"/>
  <c r="CR13" i="32"/>
  <c r="BT63" i="32"/>
  <c r="BR53" i="32"/>
  <c r="CI49" i="32"/>
  <c r="AT55" i="32"/>
  <c r="CP10" i="32"/>
  <c r="BY56" i="32"/>
  <c r="CN51" i="32"/>
  <c r="CN15" i="32"/>
  <c r="AU61" i="32"/>
  <c r="BQ16" i="32"/>
  <c r="AX62" i="32"/>
  <c r="BY18" i="32"/>
  <c r="BS53" i="32"/>
  <c r="CJ15" i="32"/>
  <c r="BQ52" i="32"/>
  <c r="BY12" i="32"/>
  <c r="CI58" i="32"/>
  <c r="CC28" i="32"/>
  <c r="CL63" i="32"/>
  <c r="CE18" i="32"/>
  <c r="CN53" i="32"/>
  <c r="BK22" i="32"/>
  <c r="CM18" i="32"/>
  <c r="BU53" i="32"/>
  <c r="AU75" i="32"/>
  <c r="CC19" i="32"/>
  <c r="CL54" i="32"/>
  <c r="AX60" i="32"/>
  <c r="BX27" i="32"/>
  <c r="BZ11" i="32"/>
  <c r="CK25" i="32"/>
  <c r="CL9" i="32"/>
  <c r="BU56" i="32"/>
  <c r="CO27" i="32"/>
  <c r="CJ51" i="32"/>
  <c r="CP22" i="32"/>
  <c r="BX57" i="32"/>
  <c r="CR28" i="32"/>
  <c r="CM52" i="32"/>
  <c r="BR49" i="32"/>
  <c r="BR60" i="32"/>
  <c r="AS67" i="32"/>
  <c r="BU51" i="32"/>
  <c r="CJ62" i="32"/>
  <c r="AV68" i="32"/>
  <c r="BX52" i="32"/>
  <c r="CM63" i="32"/>
  <c r="AO69" i="32"/>
  <c r="BW35" i="32"/>
  <c r="AO50" i="32"/>
  <c r="BQ65" i="32"/>
  <c r="BS57" i="32"/>
  <c r="CJ22" i="32"/>
  <c r="CL14" i="32"/>
  <c r="BW19" i="32"/>
  <c r="CJ16" i="32"/>
  <c r="BY24" i="32"/>
  <c r="BZ19" i="32"/>
  <c r="BW64" i="32"/>
  <c r="CQ35" i="32"/>
  <c r="CQ19" i="32"/>
  <c r="BZ65" i="32"/>
  <c r="CD74" i="32"/>
  <c r="BY22" i="32"/>
  <c r="BS67" i="32"/>
  <c r="BL32" i="32"/>
  <c r="CO25" i="32"/>
  <c r="AV67" i="32"/>
  <c r="BS33" i="32"/>
  <c r="CF50" i="32"/>
  <c r="AS57" i="32"/>
  <c r="CD18" i="32"/>
  <c r="AX64" i="32"/>
  <c r="CF53" i="32"/>
  <c r="BN9" i="32"/>
  <c r="CJ55" i="32"/>
  <c r="AV61" i="32"/>
  <c r="BR16" i="32"/>
  <c r="CH60" i="32"/>
  <c r="CK61" i="32"/>
  <c r="CM67" i="32"/>
  <c r="BS22" i="32"/>
  <c r="BQ57" i="32"/>
  <c r="CE74" i="32"/>
  <c r="BL13" i="32"/>
  <c r="BJ12" i="32"/>
  <c r="BN18" i="32"/>
  <c r="CK22" i="32"/>
  <c r="BZ18" i="32"/>
  <c r="CI53" i="32"/>
  <c r="CP35" i="32"/>
  <c r="BQ14" i="32"/>
  <c r="AX49" i="32"/>
  <c r="BZ60" i="32"/>
  <c r="BK27" i="32"/>
  <c r="CF65" i="32"/>
  <c r="BL9" i="32"/>
  <c r="AS72" i="32"/>
  <c r="CN16" i="32"/>
  <c r="CJ67" i="32"/>
  <c r="CB11" i="32"/>
  <c r="BP22" i="32"/>
  <c r="CL57" i="32"/>
  <c r="CM68" i="32"/>
  <c r="BR12" i="32"/>
  <c r="AP49" i="32"/>
  <c r="CF60" i="32"/>
  <c r="AR56" i="32"/>
  <c r="CI67" i="32"/>
  <c r="CI51" i="32"/>
  <c r="CO22" i="32"/>
  <c r="AU57" i="32"/>
  <c r="BX68" i="32"/>
  <c r="CQ12" i="32"/>
  <c r="AX58" i="32"/>
  <c r="CE69" i="32"/>
  <c r="CJ35" i="32"/>
  <c r="AO65" i="32"/>
  <c r="CL17" i="32"/>
  <c r="CE62" i="32"/>
  <c r="BY14" i="32"/>
  <c r="BJ19" i="32"/>
  <c r="AQ59" i="32"/>
  <c r="CJ32" i="32"/>
  <c r="CE56" i="32"/>
  <c r="CL24" i="32"/>
  <c r="AS50" i="32"/>
  <c r="AT57" i="32"/>
  <c r="AU64" i="32"/>
  <c r="BQ35" i="32"/>
  <c r="CD19" i="32"/>
  <c r="CD52" i="32"/>
  <c r="BJ27" i="32"/>
  <c r="CG51" i="32"/>
  <c r="AR75" i="32"/>
  <c r="CC32" i="32"/>
  <c r="BX51" i="32"/>
  <c r="CM22" i="32"/>
  <c r="CJ68" i="32"/>
  <c r="AV74" i="32"/>
  <c r="CE29" i="32"/>
  <c r="CA14" i="32"/>
  <c r="BT65" i="32"/>
  <c r="BW66" i="32"/>
  <c r="AW72" i="32"/>
  <c r="CS27" i="32"/>
  <c r="BX24" i="32"/>
  <c r="CA31" i="32"/>
  <c r="CD32" i="32"/>
  <c r="AO61" i="32"/>
  <c r="BJ17" i="32"/>
  <c r="BQ71" i="32"/>
  <c r="AO68" i="32"/>
  <c r="CG68" i="32"/>
  <c r="CM27" i="32"/>
  <c r="CJ61" i="32"/>
  <c r="CK52" i="32"/>
  <c r="CE34" i="32"/>
  <c r="BS29" i="32"/>
  <c r="CM15" i="32"/>
  <c r="BZ34" i="32"/>
  <c r="AS69" i="32"/>
  <c r="BV64" i="32"/>
  <c r="BQ30" i="32"/>
  <c r="CM65" i="32"/>
  <c r="CN49" i="32"/>
  <c r="AP67" i="32"/>
  <c r="CH51" i="32"/>
  <c r="BO33" i="32"/>
  <c r="AQ49" i="32"/>
  <c r="AR61" i="32"/>
  <c r="BN32" i="32"/>
  <c r="CA16" i="32"/>
  <c r="BW62" i="32"/>
  <c r="CL73" i="32"/>
  <c r="CD17" i="32"/>
  <c r="AW52" i="32"/>
  <c r="AX63" i="32"/>
  <c r="BX9" i="32"/>
  <c r="CM32" i="32"/>
  <c r="CH56" i="32"/>
  <c r="CN27" i="32"/>
  <c r="BN11" i="32"/>
  <c r="AU73" i="32"/>
  <c r="CK57" i="32"/>
  <c r="CD28" i="32"/>
  <c r="BQ12" i="32"/>
  <c r="BZ74" i="32"/>
  <c r="BS18" i="32"/>
  <c r="BJ29" i="32"/>
  <c r="AQ61" i="32"/>
  <c r="CE50" i="32"/>
  <c r="CJ25" i="32"/>
  <c r="BY17" i="32"/>
  <c r="BQ59" i="32"/>
  <c r="CG75" i="32"/>
  <c r="CG59" i="32"/>
  <c r="BW32" i="32"/>
  <c r="BT59" i="32"/>
  <c r="CN10" i="32"/>
  <c r="CJ57" i="32"/>
  <c r="CC24" i="32"/>
  <c r="AV59" i="32"/>
  <c r="BY70" i="32"/>
  <c r="BR14" i="32"/>
  <c r="BS66" i="32"/>
  <c r="BQ64" i="32"/>
  <c r="BP32" i="32"/>
  <c r="AW62" i="32"/>
  <c r="AP51" i="32"/>
  <c r="CH62" i="32"/>
  <c r="CB28" i="32"/>
  <c r="CD34" i="32"/>
  <c r="BX35" i="32"/>
  <c r="CK29" i="32"/>
  <c r="CM25" i="32"/>
  <c r="CO31" i="32"/>
  <c r="CP26" i="32"/>
  <c r="CM72" i="32"/>
  <c r="BS27" i="32"/>
  <c r="CH49" i="32"/>
  <c r="BV50" i="32"/>
  <c r="AV56" i="32"/>
  <c r="CM51" i="32"/>
  <c r="BS65" i="32"/>
  <c r="CE54" i="32"/>
  <c r="BJ31" i="32"/>
  <c r="CE68" i="32"/>
  <c r="BL28" i="32"/>
  <c r="BM27" i="32"/>
  <c r="BP12" i="32"/>
  <c r="AX53" i="32"/>
  <c r="BM15" i="32"/>
  <c r="CM34" i="32"/>
  <c r="CA29" i="32"/>
  <c r="CJ64" i="32"/>
  <c r="BW59" i="32"/>
  <c r="AV54" i="32"/>
  <c r="CE25" i="32"/>
  <c r="CF9" i="32"/>
  <c r="BR67" i="32"/>
  <c r="BT51" i="32"/>
  <c r="BT61" i="32"/>
  <c r="CA32" i="32"/>
  <c r="BV51" i="32"/>
  <c r="AU62" i="32"/>
  <c r="BQ33" i="32"/>
  <c r="BZ63" i="32"/>
  <c r="BK9" i="32"/>
  <c r="CH72" i="32"/>
  <c r="BZ16" i="32"/>
  <c r="BN27" i="32"/>
  <c r="BP17" i="32"/>
  <c r="BQ28" i="32"/>
  <c r="CS34" i="32"/>
  <c r="CS18" i="32"/>
  <c r="BS61" i="32"/>
  <c r="BJ10" i="32"/>
  <c r="BJ25" i="32"/>
  <c r="AQ54" i="32"/>
  <c r="AO59" i="32"/>
  <c r="CL35" i="32"/>
  <c r="BL19" i="32"/>
  <c r="BS64" i="32"/>
  <c r="CH59" i="32"/>
  <c r="CI50" i="32"/>
  <c r="CB17" i="32"/>
  <c r="BX59" i="32"/>
  <c r="CM70" i="32"/>
  <c r="CE14" i="32"/>
  <c r="CD69" i="32"/>
  <c r="BW26" i="32"/>
  <c r="CB25" i="32"/>
  <c r="BV68" i="32"/>
  <c r="BN14" i="32"/>
  <c r="CQ21" i="32"/>
  <c r="CB26" i="32"/>
  <c r="CJ17" i="32"/>
  <c r="BS68" i="32"/>
  <c r="BR34" i="32"/>
  <c r="AW65" i="32"/>
  <c r="CJ73" i="32"/>
  <c r="BN16" i="32"/>
  <c r="BQ17" i="32"/>
  <c r="AR72" i="32"/>
  <c r="CB22" i="32"/>
  <c r="CN74" i="32"/>
  <c r="CJ10" i="32"/>
  <c r="BW16" i="32"/>
  <c r="CP24" i="32"/>
  <c r="CM54" i="32"/>
  <c r="BR71" i="32"/>
  <c r="BR74" i="32"/>
  <c r="BK18" i="32"/>
  <c r="BU65" i="32"/>
  <c r="BV49" i="32"/>
  <c r="CJ60" i="32"/>
  <c r="AU55" i="32"/>
  <c r="AV66" i="32"/>
  <c r="CL50" i="32"/>
  <c r="CR21" i="32"/>
  <c r="BR55" i="32"/>
  <c r="CI70" i="32"/>
  <c r="CC9" i="32"/>
  <c r="CH73" i="32"/>
  <c r="BZ17" i="32"/>
  <c r="AS52" i="32"/>
  <c r="AT63" i="32"/>
  <c r="CP34" i="32"/>
  <c r="BP18" i="32"/>
  <c r="AV53" i="32"/>
  <c r="BY64" i="32"/>
  <c r="CS35" i="32"/>
  <c r="BS19" i="32"/>
  <c r="AP56" i="32"/>
  <c r="BT68" i="32"/>
  <c r="CM12" i="32"/>
  <c r="AT74" i="32"/>
  <c r="CP29" i="32"/>
  <c r="CK53" i="32"/>
  <c r="CD24" i="32"/>
  <c r="BY59" i="32"/>
  <c r="CN70" i="32"/>
  <c r="CS14" i="32"/>
  <c r="AO49" i="32"/>
  <c r="BQ58" i="32"/>
  <c r="BS74" i="32"/>
  <c r="CG70" i="32"/>
  <c r="BL10" i="32"/>
  <c r="BS71" i="32"/>
  <c r="CG55" i="32"/>
  <c r="BS60" i="32"/>
  <c r="BX19" i="32"/>
  <c r="CA34" i="32"/>
  <c r="AT53" i="32"/>
  <c r="AU60" i="32"/>
  <c r="CD31" i="32"/>
  <c r="BY50" i="32"/>
  <c r="CS21" i="32"/>
  <c r="CF70" i="32"/>
  <c r="CK14" i="32"/>
  <c r="BU61" i="32"/>
  <c r="CO32" i="32"/>
  <c r="CB16" i="32"/>
  <c r="AU51" i="32"/>
  <c r="AV62" i="32"/>
  <c r="CM73" i="32"/>
  <c r="BR17" i="32"/>
  <c r="CD64" i="32"/>
  <c r="BL22" i="32"/>
  <c r="AV51" i="32"/>
  <c r="AR65" i="32"/>
  <c r="BZ67" i="32"/>
  <c r="CL72" i="32"/>
  <c r="AO54" i="32"/>
  <c r="CH67" i="32"/>
  <c r="CS29" i="32"/>
  <c r="AT64" i="32"/>
  <c r="CS9" i="32"/>
  <c r="BK25" i="32"/>
  <c r="BO27" i="32"/>
  <c r="CE28" i="32"/>
  <c r="CM16" i="32"/>
  <c r="CP17" i="32"/>
  <c r="CN58" i="32"/>
  <c r="BW25" i="32"/>
  <c r="AR59" i="32"/>
  <c r="CS25" i="32"/>
  <c r="CF71" i="32"/>
  <c r="BK34" i="32"/>
  <c r="BX18" i="32"/>
  <c r="BT54" i="32"/>
  <c r="CI65" i="32"/>
  <c r="CJ49" i="32"/>
  <c r="AU71" i="32"/>
  <c r="BW55" i="32"/>
  <c r="CQ26" i="32"/>
  <c r="CD10" i="32"/>
  <c r="CN56" i="32"/>
  <c r="CF55" i="32"/>
  <c r="AU49" i="32"/>
  <c r="AP61" i="32"/>
  <c r="AS68" i="32"/>
  <c r="BU52" i="32"/>
  <c r="CJ63" i="32"/>
  <c r="CL53" i="32"/>
  <c r="CM64" i="32"/>
  <c r="CF56" i="32"/>
  <c r="CH68" i="32"/>
  <c r="BZ12" i="32"/>
  <c r="BV74" i="32"/>
  <c r="CJ58" i="32"/>
  <c r="BP29" i="32"/>
  <c r="CC13" i="32"/>
  <c r="AW75" i="32"/>
  <c r="CM59" i="32"/>
  <c r="BS30" i="32"/>
  <c r="BQ53" i="32"/>
  <c r="CE49" i="32"/>
  <c r="CE58" i="32"/>
  <c r="CL34" i="32"/>
  <c r="BQ70" i="32"/>
  <c r="BQ63" i="32"/>
  <c r="BL31" i="32"/>
  <c r="BY15" i="32"/>
  <c r="AW69" i="32"/>
  <c r="BS51" i="32"/>
  <c r="BS17" i="32"/>
  <c r="CM69" i="32"/>
  <c r="CI60" i="32"/>
  <c r="CK24" i="32"/>
  <c r="BR27" i="32"/>
  <c r="CE71" i="32"/>
  <c r="BV61" i="32"/>
  <c r="CH55" i="32"/>
  <c r="CC35" i="32"/>
  <c r="CA27" i="32"/>
  <c r="CL68" i="32"/>
  <c r="CJ29" i="32"/>
  <c r="BL17" i="32"/>
  <c r="CL19" i="32"/>
  <c r="BU50" i="32"/>
  <c r="AW70" i="32"/>
  <c r="CF25" i="32"/>
  <c r="BK31" i="32"/>
  <c r="AR70" i="32"/>
  <c r="CH54" i="32"/>
  <c r="CA25" i="32"/>
  <c r="BO9" i="32"/>
  <c r="BW71" i="32"/>
  <c r="CK55" i="32"/>
  <c r="CD26" i="32"/>
  <c r="CS32" i="32"/>
  <c r="BS16" i="32"/>
  <c r="BK15" i="32"/>
  <c r="BW49" i="32"/>
  <c r="CK21" i="32"/>
  <c r="BT57" i="32"/>
  <c r="CN28" i="32"/>
  <c r="CI52" i="32"/>
  <c r="AU74" i="32"/>
  <c r="AU58" i="32"/>
  <c r="CQ29" i="32"/>
  <c r="BQ13" i="32"/>
  <c r="BZ59" i="32"/>
  <c r="CK32" i="32"/>
  <c r="BK16" i="32"/>
  <c r="BM28" i="32"/>
  <c r="CO34" i="32"/>
  <c r="BO18" i="32"/>
  <c r="AU53" i="32"/>
  <c r="AV64" i="32"/>
  <c r="CE35" i="32"/>
  <c r="CE19" i="32"/>
  <c r="CL29" i="32"/>
  <c r="BW13" i="32"/>
  <c r="BW9" i="32"/>
  <c r="BW18" i="32"/>
  <c r="BJ30" i="32"/>
  <c r="BS50" i="32"/>
  <c r="CE63" i="32"/>
  <c r="AQ55" i="32"/>
  <c r="AO60" i="32"/>
  <c r="AP59" i="32"/>
  <c r="BU74" i="32"/>
  <c r="CJ69" i="32"/>
  <c r="CB13" i="32"/>
  <c r="CL71" i="32"/>
  <c r="CL55" i="32"/>
  <c r="CM66" i="32"/>
  <c r="CE10" i="32"/>
  <c r="BR63" i="32"/>
  <c r="AP54" i="32"/>
  <c r="BT66" i="32"/>
  <c r="CH50" i="32"/>
  <c r="BV56" i="32"/>
  <c r="CP27" i="32"/>
  <c r="CK51" i="32"/>
  <c r="CD22" i="32"/>
  <c r="BY57" i="32"/>
  <c r="BL16" i="32"/>
  <c r="CK10" i="32"/>
  <c r="CF24" i="32"/>
  <c r="AU66" i="32"/>
  <c r="CI71" i="32"/>
  <c r="BQ61" i="32"/>
  <c r="AU52" i="32"/>
  <c r="BT74" i="32"/>
  <c r="CL70" i="32"/>
  <c r="AR51" i="32"/>
  <c r="CI72" i="32"/>
  <c r="AV73" i="32"/>
  <c r="CK9" i="32"/>
  <c r="CN11" i="32"/>
  <c r="CD12" i="32"/>
  <c r="BW22" i="32"/>
  <c r="BJ32" i="32"/>
  <c r="CO17" i="32"/>
  <c r="BY54" i="32"/>
  <c r="AP74" i="32"/>
  <c r="BR58" i="32"/>
  <c r="CH70" i="32"/>
  <c r="BM14" i="32"/>
  <c r="AT60" i="32"/>
  <c r="BP31" i="32"/>
  <c r="CC15" i="32"/>
  <c r="AV50" i="32"/>
  <c r="AW61" i="32"/>
  <c r="CF32" i="32"/>
  <c r="BR50" i="32"/>
  <c r="CL61" i="32"/>
  <c r="BW17" i="32"/>
  <c r="CM74" i="32"/>
  <c r="CI56" i="32"/>
  <c r="AX74" i="32"/>
  <c r="BL14" i="32"/>
  <c r="CK64" i="32"/>
  <c r="AP71" i="32"/>
  <c r="CF58" i="32"/>
  <c r="BV60" i="32"/>
  <c r="CM61" i="32"/>
  <c r="AP55" i="32"/>
  <c r="CK49" i="32"/>
  <c r="BM33" i="32"/>
  <c r="BN28" i="32"/>
  <c r="CP18" i="32"/>
  <c r="CD13" i="32"/>
  <c r="BS35" i="32"/>
  <c r="BX32" i="32"/>
  <c r="BZ28" i="32"/>
  <c r="CI63" i="32"/>
  <c r="CB18" i="32"/>
  <c r="BP13" i="32"/>
  <c r="AT68" i="32"/>
  <c r="AX67" i="32"/>
  <c r="BW34" i="32"/>
  <c r="AX69" i="32"/>
  <c r="BZ49" i="32"/>
  <c r="CB27" i="32"/>
  <c r="BT56" i="32"/>
  <c r="BZ58" i="32"/>
  <c r="AQ75" i="32"/>
  <c r="CD35" i="32"/>
  <c r="CK31" i="32"/>
  <c r="CK18" i="32"/>
  <c r="AS65" i="32"/>
  <c r="BX66" i="32"/>
  <c r="AX72" i="32"/>
  <c r="CK15" i="32"/>
  <c r="CK63" i="32"/>
  <c r="CF64" i="32"/>
  <c r="AO71" i="32"/>
  <c r="BT55" i="32"/>
  <c r="CN60" i="32"/>
  <c r="BO11" i="32"/>
  <c r="BU67" i="32"/>
  <c r="BW29" i="32"/>
  <c r="BS59" i="32"/>
  <c r="BX31" i="32"/>
  <c r="CN25" i="32"/>
  <c r="CP31" i="32"/>
  <c r="CL66" i="32"/>
  <c r="CN72" i="32"/>
  <c r="BX15" i="32"/>
  <c r="BP9" i="32"/>
  <c r="CH57" i="32"/>
  <c r="CK74" i="32"/>
  <c r="CL69" i="32"/>
  <c r="AW64" i="32"/>
  <c r="CS19" i="32"/>
  <c r="BR56" i="32"/>
  <c r="AR52" i="32"/>
  <c r="CJ74" i="32"/>
  <c r="AU69" i="32"/>
  <c r="BX64" i="32"/>
  <c r="AW59" i="32"/>
  <c r="CS24" i="32"/>
  <c r="BU71" i="32"/>
  <c r="CG63" i="32"/>
  <c r="BX22" i="32"/>
  <c r="CA11" i="32"/>
  <c r="BJ35" i="32"/>
  <c r="CE72" i="32"/>
  <c r="BR30" i="32"/>
  <c r="BT70" i="32"/>
  <c r="BN25" i="32"/>
  <c r="CK71" i="32"/>
  <c r="BS32" i="32"/>
  <c r="AS70" i="32"/>
  <c r="BM17" i="32"/>
  <c r="CN12" i="32"/>
  <c r="CC34" i="32"/>
  <c r="BQ29" i="32"/>
  <c r="CR24" i="32"/>
  <c r="CN59" i="32"/>
  <c r="CK16" i="32"/>
  <c r="BT52" i="32"/>
  <c r="BO34" i="32"/>
  <c r="CK69" i="32"/>
  <c r="CQ24" i="32"/>
  <c r="CR19" i="32"/>
  <c r="BS14" i="32"/>
  <c r="CJ13" i="32"/>
  <c r="CJ18" i="32"/>
  <c r="CE73" i="32"/>
  <c r="AQ50" i="32"/>
  <c r="CL31" i="32"/>
  <c r="BQ60" i="32"/>
  <c r="CF59" i="32"/>
  <c r="AT69" i="32"/>
  <c r="BO13" i="32"/>
  <c r="CQ31" i="32"/>
  <c r="BY66" i="32"/>
  <c r="AP70" i="32"/>
  <c r="BZ10" i="32"/>
  <c r="BO32" i="32"/>
  <c r="AU67" i="32"/>
  <c r="BP11" i="32"/>
  <c r="AW73" i="32"/>
  <c r="AX68" i="32"/>
  <c r="CN52" i="32"/>
  <c r="BM31" i="32"/>
  <c r="CA22" i="32"/>
  <c r="CK17" i="32"/>
  <c r="CM29" i="32"/>
  <c r="BZ13" i="32"/>
  <c r="AT75" i="32"/>
  <c r="CO19" i="32"/>
  <c r="BP30" i="32"/>
  <c r="AW49" i="32"/>
  <c r="BY60" i="32"/>
  <c r="BS31" i="32"/>
  <c r="AP68" i="32"/>
  <c r="AP52" i="32"/>
  <c r="BT64" i="32"/>
  <c r="CN35" i="32"/>
  <c r="BN19" i="32"/>
  <c r="BV54" i="32"/>
  <c r="CP25" i="32"/>
  <c r="CQ9" i="32"/>
  <c r="AW71" i="32"/>
  <c r="AW55" i="32"/>
  <c r="CN66" i="32"/>
  <c r="BS10" i="32"/>
  <c r="CC65" i="32"/>
  <c r="CC51" i="32"/>
  <c r="CI54" i="32"/>
  <c r="CO26" i="32"/>
  <c r="AQ68" i="32"/>
  <c r="BM18" i="32"/>
  <c r="AT73" i="32"/>
  <c r="CQ17" i="32"/>
  <c r="BO22" i="32"/>
  <c r="BU60" i="32"/>
  <c r="CE27" i="32"/>
  <c r="CA18" i="32"/>
  <c r="BP35" i="32"/>
  <c r="BY9" i="32"/>
  <c r="CE12" i="32"/>
  <c r="CQ28" i="32"/>
  <c r="CG57" i="32"/>
  <c r="CN65" i="32"/>
  <c r="BX34" i="32"/>
  <c r="CM14" i="32"/>
  <c r="CB9" i="32"/>
  <c r="CP15" i="32"/>
  <c r="BQ10" i="32"/>
  <c r="CS16" i="32"/>
  <c r="BN30" i="32"/>
  <c r="BU68" i="32"/>
  <c r="CK58" i="32"/>
  <c r="BX53" i="32"/>
  <c r="CN75" i="32"/>
  <c r="CF72" i="32"/>
  <c r="AR68" i="32"/>
  <c r="BU63" i="32"/>
  <c r="BV58" i="32"/>
  <c r="BW53" i="32"/>
  <c r="CM75" i="32"/>
  <c r="AX70" i="32"/>
  <c r="CG69" i="32"/>
  <c r="BQ49" i="32"/>
  <c r="AQ74" i="32"/>
  <c r="CE70" i="32"/>
  <c r="BY10" i="32"/>
  <c r="AQ60" i="32"/>
  <c r="BO29" i="32"/>
  <c r="CK60" i="32"/>
  <c r="BX55" i="32"/>
  <c r="AW50" i="32"/>
  <c r="CN61" i="32"/>
  <c r="CH66" i="32"/>
  <c r="AS61" i="32"/>
  <c r="AT56" i="32"/>
  <c r="BP27" i="32"/>
  <c r="BX62" i="32"/>
  <c r="AW57" i="32"/>
  <c r="CS28" i="32"/>
  <c r="CF12" i="32"/>
  <c r="AS62" i="32"/>
  <c r="CF73" i="32"/>
  <c r="BK17" i="32"/>
  <c r="BU64" i="32"/>
  <c r="CO35" i="32"/>
  <c r="BO19" i="32"/>
  <c r="BW54" i="32"/>
  <c r="CL65" i="32"/>
  <c r="AX71" i="32"/>
  <c r="BZ55" i="32"/>
  <c r="CF68" i="32"/>
  <c r="CK12" i="32"/>
  <c r="BZ24" i="32"/>
  <c r="BU59" i="32"/>
  <c r="CJ70" i="32"/>
  <c r="BO14" i="32"/>
  <c r="CC25" i="32"/>
  <c r="CR31" i="32"/>
  <c r="CE15" i="32"/>
  <c r="CC71" i="32"/>
  <c r="CC50" i="32"/>
  <c r="CC53" i="32"/>
  <c r="CC75" i="32"/>
  <c r="CC57" i="32"/>
  <c r="CC63" i="32"/>
  <c r="CJ65" i="32"/>
  <c r="BW52" i="32"/>
  <c r="AV70" i="32"/>
  <c r="CN32" i="32"/>
  <c r="CF49" i="32"/>
  <c r="BT67" i="32"/>
  <c r="BJ22" i="32"/>
  <c r="CK34" i="32"/>
  <c r="CC31" i="32"/>
  <c r="CF16" i="32"/>
  <c r="AR57" i="32"/>
  <c r="BW74" i="32"/>
  <c r="BZ70" i="32"/>
  <c r="AO53" i="32"/>
  <c r="BJ18" i="32"/>
  <c r="AQ71" i="32"/>
  <c r="CE60" i="32"/>
  <c r="CI74" i="32"/>
  <c r="CO13" i="32"/>
  <c r="CF63" i="32"/>
  <c r="AR66" i="32"/>
  <c r="CI61" i="32"/>
  <c r="CO16" i="32"/>
  <c r="CC11" i="32"/>
  <c r="CM57" i="32"/>
  <c r="AX52" i="32"/>
  <c r="BZ31" i="32"/>
  <c r="BK33" i="32"/>
  <c r="CH69" i="32"/>
  <c r="BO35" i="32"/>
  <c r="CK70" i="32"/>
  <c r="AV65" i="32"/>
  <c r="CE9" i="32"/>
  <c r="CN71" i="32"/>
  <c r="BK12" i="32"/>
  <c r="CI75" i="32"/>
  <c r="CB14" i="32"/>
  <c r="CL49" i="32"/>
  <c r="BY71" i="32"/>
  <c r="BR15" i="32"/>
  <c r="BZ50" i="32"/>
  <c r="CC69" i="32"/>
  <c r="CC60" i="32"/>
  <c r="CC58" i="32"/>
  <c r="BN13" i="32"/>
  <c r="BJ16" i="32"/>
  <c r="AP58" i="32"/>
  <c r="CM17" i="32"/>
  <c r="BP34" i="32"/>
  <c r="CE24" i="32"/>
  <c r="BX16" i="32"/>
  <c r="CB34" i="32"/>
  <c r="CL64" i="32"/>
  <c r="AX54" i="32"/>
  <c r="CE53" i="32"/>
  <c r="AQ70" i="32"/>
  <c r="CN34" i="32"/>
  <c r="CJ53" i="32"/>
  <c r="AV55" i="32"/>
  <c r="CM50" i="32"/>
  <c r="CM26" i="32"/>
  <c r="CN21" i="32"/>
  <c r="CE17" i="32"/>
  <c r="BZ52" i="32"/>
  <c r="BM29" i="32"/>
  <c r="AS64" i="32"/>
  <c r="BW70" i="32"/>
  <c r="BX65" i="32"/>
  <c r="BR9" i="32"/>
  <c r="CF31" i="32"/>
  <c r="BR68" i="32"/>
  <c r="BX12" i="32"/>
  <c r="CA35" i="32"/>
  <c r="AT70" i="32"/>
  <c r="BX49" i="32"/>
  <c r="CM71" i="32"/>
  <c r="CS10" i="32"/>
  <c r="CC66" i="32"/>
  <c r="BM30" i="32"/>
  <c r="BP15" i="32"/>
  <c r="BU70" i="32"/>
  <c r="AX75" i="32"/>
  <c r="AT58" i="32"/>
  <c r="BZ54" i="32"/>
  <c r="BJ13" i="32"/>
  <c r="CG74" i="32"/>
  <c r="BS70" i="32"/>
  <c r="CG71" i="32"/>
  <c r="CG60" i="32"/>
  <c r="BN34" i="32"/>
  <c r="BQ15" i="32"/>
  <c r="CR10" i="32"/>
  <c r="BR70" i="32"/>
  <c r="BZ26" i="32"/>
  <c r="AT72" i="32"/>
  <c r="BW67" i="32"/>
  <c r="CQ22" i="32"/>
  <c r="CR17" i="32"/>
  <c r="CS12" i="32"/>
  <c r="BU62" i="32"/>
  <c r="AP57" i="32"/>
  <c r="BZ29" i="32"/>
  <c r="CN24" i="32"/>
  <c r="AT59" i="32"/>
  <c r="CQ25" i="32"/>
  <c r="CK28" i="32"/>
  <c r="BN35" i="32"/>
  <c r="BV70" i="32"/>
  <c r="BX25" i="32"/>
  <c r="BW58" i="32"/>
  <c r="BR28" i="32"/>
  <c r="BV57" i="32"/>
  <c r="AR54" i="32"/>
  <c r="BX50" i="32"/>
  <c r="CI68" i="32"/>
  <c r="CC18" i="32"/>
  <c r="CF35" i="32"/>
  <c r="CM28" i="32"/>
  <c r="CO18" i="32"/>
  <c r="CR35" i="32"/>
  <c r="CN54" i="32"/>
  <c r="BY34" i="32"/>
  <c r="BL30" i="32"/>
  <c r="BY31" i="32"/>
  <c r="BW60" i="32"/>
  <c r="CQ15" i="32"/>
  <c r="BR10" i="32"/>
  <c r="BK30" i="32"/>
  <c r="AR50" i="32"/>
  <c r="CJ72" i="32"/>
  <c r="CK67" i="32"/>
  <c r="CL62" i="32"/>
  <c r="BS12" i="32"/>
  <c r="CN22" i="32"/>
  <c r="BR57" i="32"/>
  <c r="AR53" i="32"/>
  <c r="CI64" i="32"/>
  <c r="BV59" i="32"/>
  <c r="AU54" i="32"/>
  <c r="BQ25" i="32"/>
  <c r="AW60" i="32"/>
  <c r="AX55" i="32"/>
  <c r="BK28" i="32"/>
  <c r="AR64" i="32"/>
  <c r="BO30" i="32"/>
  <c r="BW65" i="32"/>
  <c r="CD9" i="32"/>
  <c r="BR31" i="32"/>
  <c r="BZ66" i="32"/>
  <c r="CC67" i="32"/>
  <c r="CC54" i="32"/>
  <c r="CC59" i="32"/>
  <c r="BW57" i="32"/>
  <c r="CR14" i="32"/>
  <c r="BZ14" i="32"/>
  <c r="CQ10" i="32"/>
  <c r="CP9" i="32"/>
  <c r="CA28" i="32"/>
  <c r="AV69" i="32"/>
  <c r="AX59" i="32"/>
  <c r="BR35" i="32"/>
  <c r="CF14" i="32"/>
  <c r="CJ9" i="32"/>
  <c r="BL34" i="32"/>
  <c r="CG50" i="32"/>
  <c r="BS55" i="32"/>
  <c r="BR59" i="32"/>
  <c r="CO29" i="32"/>
  <c r="CD15" i="32"/>
  <c r="AX61" i="32"/>
  <c r="BR54" i="32"/>
  <c r="BT50" i="32"/>
  <c r="CB32" i="32"/>
  <c r="CC27" i="32"/>
  <c r="BQ22" i="32"/>
  <c r="BZ68" i="32"/>
  <c r="AR71" i="32"/>
  <c r="CI62" i="32"/>
  <c r="CF57" i="32"/>
  <c r="BT53" i="32"/>
  <c r="CA24" i="32"/>
  <c r="CJ59" i="32"/>
  <c r="CK54" i="32"/>
  <c r="CD25" i="32"/>
  <c r="CM60" i="32"/>
  <c r="CS15" i="32"/>
  <c r="BX28" i="32"/>
  <c r="CM24" i="32"/>
  <c r="AS59" i="32"/>
  <c r="CK65" i="32"/>
  <c r="AV60" i="32"/>
  <c r="CS26" i="32"/>
  <c r="CC49" i="32"/>
  <c r="CC56" i="32"/>
  <c r="CC72" i="32"/>
  <c r="CL52" i="32"/>
  <c r="AT49" i="32"/>
  <c r="BY61" i="32"/>
  <c r="BR61" i="32"/>
  <c r="BN12" i="32"/>
  <c r="CD29" i="32"/>
  <c r="CF19" i="32"/>
  <c r="CH52" i="32"/>
  <c r="CC29" i="32"/>
  <c r="AQ69" i="32"/>
  <c r="BJ9" i="32"/>
  <c r="AO73" i="32"/>
  <c r="CL10" i="32"/>
  <c r="CL15" i="32"/>
  <c r="CK19" i="32"/>
  <c r="CB29" i="32"/>
  <c r="BQ50" i="32"/>
  <c r="BS25" i="32"/>
  <c r="CO9" i="32"/>
  <c r="AX56" i="32"/>
  <c r="CF61" i="32"/>
  <c r="CA12" i="32"/>
  <c r="AP72" i="32"/>
  <c r="BM12" i="32"/>
  <c r="BR19" i="32"/>
  <c r="BL29" i="32"/>
  <c r="BJ33" i="32"/>
  <c r="BL15" i="32"/>
  <c r="BK19" i="32"/>
  <c r="BX71" i="32"/>
  <c r="CR26" i="32"/>
  <c r="BK14" i="32"/>
  <c r="BM10" i="32"/>
  <c r="CJ56" i="32"/>
  <c r="BW51" i="32"/>
  <c r="BR33" i="32"/>
  <c r="BS28" i="32"/>
  <c r="CH71" i="32"/>
  <c r="BM13" i="32"/>
  <c r="CJ75" i="32"/>
  <c r="CP14" i="32"/>
  <c r="BY49" i="32"/>
  <c r="BZ71" i="32"/>
  <c r="CF15" i="32"/>
  <c r="BR52" i="32"/>
  <c r="CA19" i="32"/>
  <c r="CJ54" i="32"/>
  <c r="AV49" i="32"/>
  <c r="CL60" i="32"/>
  <c r="CM55" i="32"/>
  <c r="AX50" i="32"/>
  <c r="CF74" i="32"/>
  <c r="CP13" i="32"/>
  <c r="AS74" i="32"/>
  <c r="CF54" i="32"/>
  <c r="BX17" i="32"/>
  <c r="CC14" i="32"/>
  <c r="AU65" i="32"/>
  <c r="CR15" i="32"/>
  <c r="CC73" i="32"/>
  <c r="BN22" i="32"/>
  <c r="CC68" i="32"/>
  <c r="CP11" i="32"/>
  <c r="BY55" i="32"/>
  <c r="CC61" i="32"/>
  <c r="BV53" i="32"/>
  <c r="BX14" i="32"/>
  <c r="AR69" i="32"/>
  <c r="BP14" i="32"/>
  <c r="CF52" i="32"/>
  <c r="BP25" i="32"/>
  <c r="AX66" i="32"/>
  <c r="CC74" i="32"/>
  <c r="CE31" i="32"/>
  <c r="AS63" i="32"/>
  <c r="AP73" i="32"/>
  <c r="CO14" i="32"/>
  <c r="CC70" i="32"/>
  <c r="BZ56" i="32"/>
  <c r="AV71" i="32"/>
  <c r="CM10" i="32"/>
  <c r="CN68" i="32"/>
  <c r="CH53" i="32"/>
  <c r="CH64" i="32"/>
  <c r="CF26" i="32"/>
  <c r="CC64" i="32"/>
  <c r="CC62" i="32"/>
  <c r="BK32" i="32"/>
  <c r="CE65" i="32"/>
  <c r="BS15" i="32"/>
  <c r="AR73" i="32"/>
  <c r="BY29" i="32"/>
  <c r="BQ31" i="32"/>
  <c r="CF28" i="32"/>
  <c r="CM13" i="32"/>
  <c r="CM49" i="32"/>
  <c r="AS75" i="32"/>
  <c r="BQ9" i="32"/>
  <c r="CN50" i="32"/>
  <c r="CC52" i="32"/>
  <c r="CC55" i="32"/>
  <c r="CQ13" i="32"/>
  <c r="AO70" i="32"/>
  <c r="CE26" i="32"/>
  <c r="CM31" i="32"/>
  <c r="CB35" i="32"/>
  <c r="CS31" i="32"/>
  <c r="AO63" i="32"/>
  <c r="CB19" i="32"/>
  <c r="AT54" i="32"/>
  <c r="AP63" i="32"/>
  <c r="AU70" i="32"/>
  <c r="BV63" i="32"/>
  <c r="AO58" i="32"/>
  <c r="AW66" i="32"/>
  <c r="BT71" i="32"/>
  <c r="CI59" i="32"/>
  <c r="BX60" i="32"/>
  <c r="CF10" i="32"/>
  <c r="BO16" i="32"/>
  <c r="CN19" i="32"/>
  <c r="CD68" i="32"/>
  <c r="CQ32" i="32"/>
  <c r="BZ61" i="32"/>
  <c r="CN55" i="32"/>
  <c r="BR69" i="32"/>
  <c r="BQ69" i="32"/>
  <c r="BV69" i="32"/>
  <c r="BU69" i="32"/>
  <c r="BT69" i="32"/>
  <c r="BX69" i="32"/>
  <c r="BZ69" i="32"/>
  <c r="BY69" i="32"/>
  <c r="BS69" i="32"/>
  <c r="BW69" i="32"/>
  <c r="AN50" i="32"/>
  <c r="AN51" i="32"/>
  <c r="AN52" i="32"/>
  <c r="AN53" i="32"/>
  <c r="AN54" i="32"/>
  <c r="AN55" i="32"/>
  <c r="AN56" i="32"/>
  <c r="AN57" i="32"/>
  <c r="AN58" i="32"/>
  <c r="AN59" i="32"/>
  <c r="AN60" i="32"/>
  <c r="AN61" i="32"/>
  <c r="AN62" i="32"/>
  <c r="AN64" i="32"/>
  <c r="AN65" i="32"/>
  <c r="AN66" i="32"/>
  <c r="AN67" i="32"/>
  <c r="AN68" i="32"/>
  <c r="AN69" i="32"/>
  <c r="AN70" i="32"/>
  <c r="AN71" i="32"/>
  <c r="AN72" i="32"/>
  <c r="AN73" i="32"/>
  <c r="AM50" i="32"/>
  <c r="AM51" i="32"/>
  <c r="AM52" i="32"/>
  <c r="AM53" i="32"/>
  <c r="AM54" i="32"/>
  <c r="AM55" i="32"/>
  <c r="AM56" i="32"/>
  <c r="AM57" i="32"/>
  <c r="AM58" i="32"/>
  <c r="AM59" i="32"/>
  <c r="AM60" i="32"/>
  <c r="AM61" i="32"/>
  <c r="AM62" i="32"/>
  <c r="AM64" i="32"/>
  <c r="AM65" i="32"/>
  <c r="AM66" i="32"/>
  <c r="AM67" i="32"/>
  <c r="AM68" i="32"/>
  <c r="AM69" i="32"/>
  <c r="AM70" i="32"/>
  <c r="AM71" i="32"/>
  <c r="AM73" i="32"/>
  <c r="BO49" i="32"/>
  <c r="BD50" i="32"/>
  <c r="BH50" i="32"/>
  <c r="BL50" i="32"/>
  <c r="BD51" i="32"/>
  <c r="BO50" i="32"/>
  <c r="BO51" i="32"/>
  <c r="BO52" i="32"/>
  <c r="BO53" i="32"/>
  <c r="BO54" i="32"/>
  <c r="BO55" i="32"/>
  <c r="BO56" i="32"/>
  <c r="BO57" i="32"/>
  <c r="BO58" i="32"/>
  <c r="BO59" i="32"/>
  <c r="BO60" i="32"/>
  <c r="BO61" i="32"/>
  <c r="BO62" i="32"/>
  <c r="BO63" i="32"/>
  <c r="BO64" i="32"/>
  <c r="BO65" i="32"/>
  <c r="BO66" i="32"/>
  <c r="BO67" i="32"/>
  <c r="BO68" i="32"/>
  <c r="BO71" i="32"/>
  <c r="BO74" i="32"/>
  <c r="BP49" i="32"/>
  <c r="BA50" i="32"/>
  <c r="BE50" i="32"/>
  <c r="BI50" i="32"/>
  <c r="BA51" i="32"/>
  <c r="BE51" i="32"/>
  <c r="AM72" i="32"/>
  <c r="AM74" i="32"/>
  <c r="AM75" i="32"/>
  <c r="AN49" i="32"/>
  <c r="BP50" i="32"/>
  <c r="BP51" i="32"/>
  <c r="BP52" i="32"/>
  <c r="BP53" i="32"/>
  <c r="AN74" i="32"/>
  <c r="AN75" i="32"/>
  <c r="BC50" i="32"/>
  <c r="BK50" i="32"/>
  <c r="BG51" i="32"/>
  <c r="BK51" i="32"/>
  <c r="BC52" i="32"/>
  <c r="BG52" i="32"/>
  <c r="BK52" i="32"/>
  <c r="BC53" i="32"/>
  <c r="BG53" i="32"/>
  <c r="BK53" i="32"/>
  <c r="BC54" i="32"/>
  <c r="BG54" i="32"/>
  <c r="BK54" i="32"/>
  <c r="BC55" i="32"/>
  <c r="BG55" i="32"/>
  <c r="BK55" i="32"/>
  <c r="BC56" i="32"/>
  <c r="BG56" i="32"/>
  <c r="BK56" i="32"/>
  <c r="BC57" i="32"/>
  <c r="BG57" i="32"/>
  <c r="BK57" i="32"/>
  <c r="BC58" i="32"/>
  <c r="BG58" i="32"/>
  <c r="BK58" i="32"/>
  <c r="BC59" i="32"/>
  <c r="BG59" i="32"/>
  <c r="BK59" i="32"/>
  <c r="BC60" i="32"/>
  <c r="BG60" i="32"/>
  <c r="BK60" i="32"/>
  <c r="BC61" i="32"/>
  <c r="BG61" i="32"/>
  <c r="BK61" i="32"/>
  <c r="BC62" i="32"/>
  <c r="BG62" i="32"/>
  <c r="BK62" i="32"/>
  <c r="BC64" i="32"/>
  <c r="BG64" i="32"/>
  <c r="BK64" i="32"/>
  <c r="BC65" i="32"/>
  <c r="BG65" i="32"/>
  <c r="BK65" i="32"/>
  <c r="BC66" i="32"/>
  <c r="BG66" i="32"/>
  <c r="BK66" i="32"/>
  <c r="BC67" i="32"/>
  <c r="BG67" i="32"/>
  <c r="BK67" i="32"/>
  <c r="BP55" i="32"/>
  <c r="BP57" i="32"/>
  <c r="BP59" i="32"/>
  <c r="BP61" i="32"/>
  <c r="BP63" i="32"/>
  <c r="BP65" i="32"/>
  <c r="BP67" i="32"/>
  <c r="BP71" i="32"/>
  <c r="BF50" i="32"/>
  <c r="BB51" i="32"/>
  <c r="BH51" i="32"/>
  <c r="BL51" i="32"/>
  <c r="BD52" i="32"/>
  <c r="BH52" i="32"/>
  <c r="BL52" i="32"/>
  <c r="BD53" i="32"/>
  <c r="BH53" i="32"/>
  <c r="BL53" i="32"/>
  <c r="BD54" i="32"/>
  <c r="BH54" i="32"/>
  <c r="BL54" i="32"/>
  <c r="BD55" i="32"/>
  <c r="BH55" i="32"/>
  <c r="BL55" i="32"/>
  <c r="BD56" i="32"/>
  <c r="BH56" i="32"/>
  <c r="BL56" i="32"/>
  <c r="BD57" i="32"/>
  <c r="BH57" i="32"/>
  <c r="BL57" i="32"/>
  <c r="BD58" i="32"/>
  <c r="BH58" i="32"/>
  <c r="BL58" i="32"/>
  <c r="BD59" i="32"/>
  <c r="BH59" i="32"/>
  <c r="BL59" i="32"/>
  <c r="BD60" i="32"/>
  <c r="BH60" i="32"/>
  <c r="BL60" i="32"/>
  <c r="BD61" i="32"/>
  <c r="BH61" i="32"/>
  <c r="BL61" i="32"/>
  <c r="BD62" i="32"/>
  <c r="BH62" i="32"/>
  <c r="BL62" i="32"/>
  <c r="BD64" i="32"/>
  <c r="BH64" i="32"/>
  <c r="BL64" i="32"/>
  <c r="BD65" i="32"/>
  <c r="BH65" i="32"/>
  <c r="BL65" i="32"/>
  <c r="BD66" i="32"/>
  <c r="BH66" i="32"/>
  <c r="BL66" i="32"/>
  <c r="BD67" i="32"/>
  <c r="BH67" i="32"/>
  <c r="BL67" i="32"/>
  <c r="BD68" i="32"/>
  <c r="BH68" i="32"/>
  <c r="BL68" i="32"/>
  <c r="BD69" i="32"/>
  <c r="BH69" i="32"/>
  <c r="BL69" i="32"/>
  <c r="BG50" i="32"/>
  <c r="BC51" i="32"/>
  <c r="BI51" i="32"/>
  <c r="BA52" i="32"/>
  <c r="BE52" i="32"/>
  <c r="BI52" i="32"/>
  <c r="BA53" i="32"/>
  <c r="BE53" i="32"/>
  <c r="BI53" i="32"/>
  <c r="BA54" i="32"/>
  <c r="BE54" i="32"/>
  <c r="BI54" i="32"/>
  <c r="BA55" i="32"/>
  <c r="BE55" i="32"/>
  <c r="BI55" i="32"/>
  <c r="BA56" i="32"/>
  <c r="BE56" i="32"/>
  <c r="BI56" i="32"/>
  <c r="BA57" i="32"/>
  <c r="BE57" i="32"/>
  <c r="BI57" i="32"/>
  <c r="BA58" i="32"/>
  <c r="BE58" i="32"/>
  <c r="BI58" i="32"/>
  <c r="BA59" i="32"/>
  <c r="BE59" i="32"/>
  <c r="BI59" i="32"/>
  <c r="BA60" i="32"/>
  <c r="BE60" i="32"/>
  <c r="BI60" i="32"/>
  <c r="BA61" i="32"/>
  <c r="BE61" i="32"/>
  <c r="BI61" i="32"/>
  <c r="BA62" i="32"/>
  <c r="BE62" i="32"/>
  <c r="BI62" i="32"/>
  <c r="BA64" i="32"/>
  <c r="BE64" i="32"/>
  <c r="BI64" i="32"/>
  <c r="BA65" i="32"/>
  <c r="BE65" i="32"/>
  <c r="BI65" i="32"/>
  <c r="BA66" i="32"/>
  <c r="BE66" i="32"/>
  <c r="BI66" i="32"/>
  <c r="BA67" i="32"/>
  <c r="BE67" i="32"/>
  <c r="BI67" i="32"/>
  <c r="BA68" i="32"/>
  <c r="BE68" i="32"/>
  <c r="BI68" i="32"/>
  <c r="BA69" i="32"/>
  <c r="BE69" i="32"/>
  <c r="BI69" i="32"/>
  <c r="BA70" i="32"/>
  <c r="BE70" i="32"/>
  <c r="BI70" i="32"/>
  <c r="BA71" i="32"/>
  <c r="BP54" i="32"/>
  <c r="BP56" i="32"/>
  <c r="BP58" i="32"/>
  <c r="BP60" i="32"/>
  <c r="BP62" i="32"/>
  <c r="BP64" i="32"/>
  <c r="BP66" i="32"/>
  <c r="BP68" i="32"/>
  <c r="BP74" i="32"/>
  <c r="BB50" i="32"/>
  <c r="BJ50" i="32"/>
  <c r="BF51" i="32"/>
  <c r="BJ51" i="32"/>
  <c r="BB52" i="32"/>
  <c r="BF52" i="32"/>
  <c r="BJ52" i="32"/>
  <c r="BB53" i="32"/>
  <c r="BF53" i="32"/>
  <c r="BJ53" i="32"/>
  <c r="BB54" i="32"/>
  <c r="BF54" i="32"/>
  <c r="BJ54" i="32"/>
  <c r="BB55" i="32"/>
  <c r="BF55" i="32"/>
  <c r="BJ55" i="32"/>
  <c r="BB56" i="32"/>
  <c r="BF56" i="32"/>
  <c r="BJ56" i="32"/>
  <c r="BB57" i="32"/>
  <c r="BF57" i="32"/>
  <c r="BJ57" i="32"/>
  <c r="BB58" i="32"/>
  <c r="BF58" i="32"/>
  <c r="BJ58" i="32"/>
  <c r="BB59" i="32"/>
  <c r="BF59" i="32"/>
  <c r="BJ59" i="32"/>
  <c r="BB60" i="32"/>
  <c r="BF60" i="32"/>
  <c r="BJ60" i="32"/>
  <c r="BB61" i="32"/>
  <c r="BF61" i="32"/>
  <c r="BJ61" i="32"/>
  <c r="BB62" i="32"/>
  <c r="BF62" i="32"/>
  <c r="BJ62" i="32"/>
  <c r="BB64" i="32"/>
  <c r="BF64" i="32"/>
  <c r="BJ64" i="32"/>
  <c r="BB65" i="32"/>
  <c r="BF65" i="32"/>
  <c r="BJ65" i="32"/>
  <c r="BB66" i="32"/>
  <c r="BF66" i="32"/>
  <c r="BJ66" i="32"/>
  <c r="BB67" i="32"/>
  <c r="BF67" i="32"/>
  <c r="BJ67" i="32"/>
  <c r="BB68" i="32"/>
  <c r="BF68" i="32"/>
  <c r="BJ68" i="32"/>
  <c r="BB69" i="32"/>
  <c r="BG68" i="32"/>
  <c r="BG69" i="32"/>
  <c r="BC70" i="32"/>
  <c r="BH70" i="32"/>
  <c r="BB71" i="32"/>
  <c r="BF71" i="32"/>
  <c r="BJ71" i="32"/>
  <c r="BB72" i="32"/>
  <c r="BF72" i="32"/>
  <c r="BJ72" i="32"/>
  <c r="BB73" i="32"/>
  <c r="BF73" i="32"/>
  <c r="BJ73" i="32"/>
  <c r="BB74" i="32"/>
  <c r="BF74" i="32"/>
  <c r="BJ74" i="32"/>
  <c r="BB75" i="32"/>
  <c r="BF75" i="32"/>
  <c r="BJ75" i="32"/>
  <c r="BC49" i="32"/>
  <c r="BG49" i="32"/>
  <c r="BK49" i="32"/>
  <c r="BK68" i="32"/>
  <c r="BJ69" i="32"/>
  <c r="BD70" i="32"/>
  <c r="BJ70" i="32"/>
  <c r="BC71" i="32"/>
  <c r="BG71" i="32"/>
  <c r="BK71" i="32"/>
  <c r="BC72" i="32"/>
  <c r="BG72" i="32"/>
  <c r="BK72" i="32"/>
  <c r="BC73" i="32"/>
  <c r="BG73" i="32"/>
  <c r="BK73" i="32"/>
  <c r="BC74" i="32"/>
  <c r="BG74" i="32"/>
  <c r="BK74" i="32"/>
  <c r="BC75" i="32"/>
  <c r="BG75" i="32"/>
  <c r="BK75" i="32"/>
  <c r="BD49" i="32"/>
  <c r="BH49" i="32"/>
  <c r="BL49" i="32"/>
  <c r="BC69" i="32"/>
  <c r="BK69" i="32"/>
  <c r="BF70" i="32"/>
  <c r="BK70" i="32"/>
  <c r="BD71" i="32"/>
  <c r="BH71" i="32"/>
  <c r="BL71" i="32"/>
  <c r="BD72" i="32"/>
  <c r="BH72" i="32"/>
  <c r="BL72" i="32"/>
  <c r="BD73" i="32"/>
  <c r="BH73" i="32"/>
  <c r="BL73" i="32"/>
  <c r="BD74" i="32"/>
  <c r="BH74" i="32"/>
  <c r="BL74" i="32"/>
  <c r="BD75" i="32"/>
  <c r="BH75" i="32"/>
  <c r="BL75" i="32"/>
  <c r="BE49" i="32"/>
  <c r="BI49" i="32"/>
  <c r="BA49" i="32"/>
  <c r="BC68" i="32"/>
  <c r="BF69" i="32"/>
  <c r="BB70" i="32"/>
  <c r="BG70" i="32"/>
  <c r="BL70" i="32"/>
  <c r="BE71" i="32"/>
  <c r="BI71" i="32"/>
  <c r="BA72" i="32"/>
  <c r="BE72" i="32"/>
  <c r="BI72" i="32"/>
  <c r="BA73" i="32"/>
  <c r="BE73" i="32"/>
  <c r="BI73" i="32"/>
  <c r="BA74" i="32"/>
  <c r="BE74" i="32"/>
  <c r="BI74" i="32"/>
  <c r="BA75" i="32"/>
  <c r="BE75" i="32"/>
  <c r="BI75" i="32"/>
  <c r="BB49" i="32"/>
  <c r="BF49" i="32"/>
  <c r="BJ49" i="32"/>
  <c r="Y50" i="32"/>
  <c r="Y51" i="32"/>
  <c r="Y52" i="32"/>
  <c r="Y53" i="32"/>
  <c r="Y54" i="32"/>
  <c r="Y55" i="32"/>
  <c r="Y56" i="32"/>
  <c r="Y57" i="32"/>
  <c r="Y58" i="32"/>
  <c r="Y59" i="32"/>
  <c r="Y60" i="32"/>
  <c r="Y61" i="32"/>
  <c r="Y64" i="32"/>
  <c r="Y65" i="32"/>
  <c r="Y66" i="32"/>
  <c r="Y67" i="32"/>
  <c r="Y68" i="32"/>
  <c r="Y69" i="32"/>
  <c r="Y70" i="32"/>
  <c r="Y71" i="32"/>
  <c r="Y72" i="32"/>
  <c r="BH9" i="32"/>
  <c r="Y49" i="32"/>
  <c r="Y73" i="32"/>
  <c r="Y74" i="32"/>
  <c r="Y75" i="32"/>
  <c r="Y62" i="32"/>
  <c r="BH35" i="32"/>
  <c r="BU32" i="32"/>
  <c r="BU28" i="32"/>
  <c r="BU24" i="32"/>
  <c r="BU19" i="32"/>
  <c r="BU15" i="32"/>
  <c r="BU11" i="32"/>
  <c r="CH34" i="32"/>
  <c r="CH26" i="32"/>
  <c r="CH22" i="32"/>
  <c r="CH18" i="32"/>
  <c r="CH14" i="32"/>
  <c r="CH10" i="32"/>
  <c r="BH13" i="32"/>
  <c r="BI33" i="32"/>
  <c r="BH12" i="32"/>
  <c r="BH32" i="32"/>
  <c r="BH19" i="32"/>
  <c r="BH11" i="32"/>
  <c r="BI17" i="32"/>
  <c r="BI16" i="32"/>
  <c r="BU27" i="32"/>
  <c r="BU18" i="32"/>
  <c r="BU10" i="32"/>
  <c r="CH29" i="32"/>
  <c r="CH25" i="32"/>
  <c r="CH13" i="32"/>
  <c r="BI27" i="32"/>
  <c r="BI14" i="32"/>
  <c r="BV34" i="32"/>
  <c r="BV29" i="32"/>
  <c r="BV11" i="32"/>
  <c r="BI30" i="32"/>
  <c r="BI22" i="32"/>
  <c r="BV31" i="32"/>
  <c r="BV14" i="32"/>
  <c r="CI21" i="32"/>
  <c r="CI17" i="32"/>
  <c r="BI28" i="32"/>
  <c r="BI15" i="32"/>
  <c r="BV35" i="32"/>
  <c r="BV26" i="32"/>
  <c r="BV22" i="32"/>
  <c r="BV17" i="32"/>
  <c r="BV13" i="32"/>
  <c r="CH9" i="32"/>
  <c r="CI32" i="32"/>
  <c r="CI28" i="32"/>
  <c r="CI24" i="32"/>
  <c r="CI16" i="32"/>
  <c r="CI12" i="32"/>
  <c r="BH17" i="32"/>
  <c r="BH16" i="32"/>
  <c r="BH27" i="32"/>
  <c r="BH14" i="32"/>
  <c r="BU34" i="32"/>
  <c r="BU29" i="32"/>
  <c r="BH34" i="32"/>
  <c r="BH30" i="32"/>
  <c r="BH33" i="32"/>
  <c r="BH22" i="32"/>
  <c r="BU31" i="32"/>
  <c r="BU14" i="32"/>
  <c r="CH21" i="32"/>
  <c r="CH17" i="32"/>
  <c r="BH28" i="32"/>
  <c r="BH15" i="32"/>
  <c r="BU35" i="32"/>
  <c r="BU26" i="32"/>
  <c r="BU22" i="32"/>
  <c r="BU17" i="32"/>
  <c r="BU13" i="32"/>
  <c r="CI9" i="32"/>
  <c r="CH32" i="32"/>
  <c r="CH28" i="32"/>
  <c r="BI9" i="32"/>
  <c r="BV32" i="32"/>
  <c r="BV28" i="32"/>
  <c r="BV24" i="32"/>
  <c r="BV19" i="32"/>
  <c r="BV15" i="32"/>
  <c r="CI34" i="32"/>
  <c r="CI26" i="32"/>
  <c r="CI22" i="32"/>
  <c r="CI18" i="32"/>
  <c r="CI14" i="32"/>
  <c r="CI10" i="32"/>
  <c r="BU9" i="32"/>
  <c r="BI13" i="32"/>
  <c r="BI12" i="32"/>
  <c r="BI32" i="32"/>
  <c r="BI19" i="32"/>
  <c r="BI11" i="32"/>
  <c r="CH12" i="32"/>
  <c r="BI29" i="32"/>
  <c r="BI31" i="32"/>
  <c r="BI10" i="32"/>
  <c r="BV25" i="32"/>
  <c r="BV16" i="32"/>
  <c r="BV12" i="32"/>
  <c r="CI35" i="32"/>
  <c r="CI31" i="32"/>
  <c r="CI27" i="32"/>
  <c r="CI19" i="32"/>
  <c r="CI15" i="32"/>
  <c r="CI11" i="32"/>
  <c r="P178" i="32"/>
  <c r="V178" i="32"/>
  <c r="Z178" i="32"/>
  <c r="P174" i="32"/>
  <c r="V174" i="32"/>
  <c r="Z174" i="32"/>
  <c r="P166" i="32"/>
  <c r="U166" i="32"/>
  <c r="Z166" i="32"/>
  <c r="P158" i="32"/>
  <c r="U158" i="32"/>
  <c r="Z158" i="32"/>
  <c r="BI35" i="32"/>
  <c r="BH25" i="32"/>
  <c r="BV9" i="32"/>
  <c r="BV18" i="32"/>
  <c r="CI29" i="32"/>
  <c r="CI13" i="32"/>
  <c r="BH18" i="32"/>
  <c r="BU25" i="32"/>
  <c r="BU16" i="32"/>
  <c r="BU12" i="32"/>
  <c r="CH35" i="32"/>
  <c r="CH31" i="32"/>
  <c r="CH27" i="32"/>
  <c r="CH19" i="32"/>
  <c r="CH15" i="32"/>
  <c r="CH11" i="32"/>
  <c r="O178" i="32"/>
  <c r="T178" i="32"/>
  <c r="Q178" i="32"/>
  <c r="O174" i="32"/>
  <c r="T174" i="32"/>
  <c r="Q174" i="32"/>
  <c r="O166" i="32"/>
  <c r="T166" i="32"/>
  <c r="Y166" i="32"/>
  <c r="O158" i="32"/>
  <c r="T158" i="32"/>
  <c r="Y158" i="32"/>
  <c r="O154" i="32"/>
  <c r="T154" i="32"/>
  <c r="Y154" i="32"/>
  <c r="O169" i="32"/>
  <c r="T169" i="32"/>
  <c r="Y169" i="32"/>
  <c r="O161" i="32"/>
  <c r="T161" i="32"/>
  <c r="Y161" i="32"/>
  <c r="O157" i="32"/>
  <c r="T157" i="32"/>
  <c r="Y157" i="32"/>
  <c r="P153" i="32"/>
  <c r="Z153" i="32"/>
  <c r="R153" i="32"/>
  <c r="P172" i="32"/>
  <c r="V172" i="32"/>
  <c r="Z172" i="32"/>
  <c r="P160" i="32"/>
  <c r="U160" i="32"/>
  <c r="Z160" i="32"/>
  <c r="P156" i="32"/>
  <c r="U156" i="32"/>
  <c r="Z156" i="32"/>
  <c r="CH24" i="32"/>
  <c r="CH16" i="32"/>
  <c r="BI34" i="32"/>
  <c r="BI25" i="32"/>
  <c r="BI18" i="32"/>
  <c r="S178" i="32"/>
  <c r="X178" i="32"/>
  <c r="Y178" i="32"/>
  <c r="S174" i="32"/>
  <c r="X174" i="32"/>
  <c r="Y174" i="32"/>
  <c r="S166" i="32"/>
  <c r="X166" i="32"/>
  <c r="R166" i="32"/>
  <c r="S158" i="32"/>
  <c r="X158" i="32"/>
  <c r="R158" i="32"/>
  <c r="S154" i="32"/>
  <c r="X154" i="32"/>
  <c r="R154" i="32"/>
  <c r="S169" i="32"/>
  <c r="X169" i="32"/>
  <c r="Z169" i="32"/>
  <c r="S161" i="32"/>
  <c r="X161" i="32"/>
  <c r="R161" i="32"/>
  <c r="S157" i="32"/>
  <c r="X157" i="32"/>
  <c r="R157" i="32"/>
  <c r="T153" i="32"/>
  <c r="Q153" i="32"/>
  <c r="W153" i="32"/>
  <c r="O172" i="32"/>
  <c r="T172" i="32"/>
  <c r="Q172" i="32"/>
  <c r="O160" i="32"/>
  <c r="T160" i="32"/>
  <c r="Y160" i="32"/>
  <c r="O156" i="32"/>
  <c r="T156" i="32"/>
  <c r="Y156" i="32"/>
  <c r="BH29" i="32"/>
  <c r="BV27" i="32"/>
  <c r="BV10" i="32"/>
  <c r="CI25" i="32"/>
  <c r="BH31" i="32"/>
  <c r="BH10" i="32"/>
  <c r="W178" i="32"/>
  <c r="U178" i="32"/>
  <c r="R178" i="32"/>
  <c r="W174" i="32"/>
  <c r="U174" i="32"/>
  <c r="R174" i="32"/>
  <c r="W166" i="32"/>
  <c r="Q166" i="32"/>
  <c r="V166" i="32"/>
  <c r="W158" i="32"/>
  <c r="Q158" i="32"/>
  <c r="V158" i="32"/>
  <c r="U154" i="32"/>
  <c r="P169" i="32"/>
  <c r="V169" i="32"/>
  <c r="U161" i="32"/>
  <c r="P157" i="32"/>
  <c r="Z157" i="32"/>
  <c r="O153" i="32"/>
  <c r="X172" i="32"/>
  <c r="S160" i="32"/>
  <c r="R160" i="32"/>
  <c r="X156" i="32"/>
  <c r="Z175" i="32"/>
  <c r="S163" i="32"/>
  <c r="S159" i="32"/>
  <c r="X155" i="32"/>
  <c r="W154" i="32"/>
  <c r="V154" i="32"/>
  <c r="Q169" i="32"/>
  <c r="W161" i="32"/>
  <c r="V161" i="32"/>
  <c r="Q157" i="32"/>
  <c r="X153" i="32"/>
  <c r="S153" i="32"/>
  <c r="U172" i="32"/>
  <c r="W160" i="32"/>
  <c r="V160" i="32"/>
  <c r="Q156" i="32"/>
  <c r="W175" i="32"/>
  <c r="Q175" i="32"/>
  <c r="U175" i="32"/>
  <c r="W171" i="32"/>
  <c r="Q171" i="32"/>
  <c r="U171" i="32"/>
  <c r="W163" i="32"/>
  <c r="Q163" i="32"/>
  <c r="V163" i="32"/>
  <c r="W159" i="32"/>
  <c r="Q159" i="32"/>
  <c r="V159" i="32"/>
  <c r="W155" i="32"/>
  <c r="Q155" i="32"/>
  <c r="V155" i="32"/>
  <c r="R172" i="32"/>
  <c r="V156" i="32"/>
  <c r="O175" i="32"/>
  <c r="O171" i="32"/>
  <c r="O163" i="32"/>
  <c r="O159" i="32"/>
  <c r="T155" i="32"/>
  <c r="X175" i="32"/>
  <c r="Z171" i="32"/>
  <c r="R163" i="32"/>
  <c r="S155" i="32"/>
  <c r="P154" i="32"/>
  <c r="Z154" i="32"/>
  <c r="U169" i="32"/>
  <c r="P161" i="32"/>
  <c r="Z161" i="32"/>
  <c r="U157" i="32"/>
  <c r="U153" i="32"/>
  <c r="Y153" i="32"/>
  <c r="S172" i="32"/>
  <c r="Y172" i="32"/>
  <c r="X160" i="32"/>
  <c r="S156" i="32"/>
  <c r="R156" i="32"/>
  <c r="P175" i="32"/>
  <c r="Y175" i="32"/>
  <c r="V175" i="32"/>
  <c r="P171" i="32"/>
  <c r="Y171" i="32"/>
  <c r="V171" i="32"/>
  <c r="P163" i="32"/>
  <c r="U163" i="32"/>
  <c r="Z163" i="32"/>
  <c r="P159" i="32"/>
  <c r="U159" i="32"/>
  <c r="Z159" i="32"/>
  <c r="P155" i="32"/>
  <c r="U155" i="32"/>
  <c r="Z155" i="32"/>
  <c r="W172" i="32"/>
  <c r="W156" i="32"/>
  <c r="T175" i="32"/>
  <c r="T171" i="32"/>
  <c r="T163" i="32"/>
  <c r="T159" i="32"/>
  <c r="O155" i="32"/>
  <c r="Y155" i="32"/>
  <c r="S175" i="32"/>
  <c r="X171" i="32"/>
  <c r="X163" i="32"/>
  <c r="R159" i="32"/>
  <c r="Q154" i="32"/>
  <c r="W169" i="32"/>
  <c r="R169" i="32"/>
  <c r="Q161" i="32"/>
  <c r="W157" i="32"/>
  <c r="V157" i="32"/>
  <c r="V153" i="32"/>
  <c r="Q160" i="32"/>
  <c r="R175" i="32"/>
  <c r="R171" i="32"/>
  <c r="Y163" i="32"/>
  <c r="Y159" i="32"/>
  <c r="S171" i="32"/>
  <c r="X159" i="32"/>
  <c r="R155" i="32"/>
  <c r="BA63" i="32"/>
  <c r="BJ63" i="32"/>
  <c r="BC63" i="32"/>
  <c r="BL63" i="32"/>
  <c r="BD63" i="32"/>
  <c r="BO70" i="32"/>
  <c r="AN63" i="32"/>
  <c r="BE63" i="32"/>
  <c r="BG63" i="32"/>
  <c r="BI63" i="32"/>
  <c r="BK63" i="32"/>
  <c r="BB63" i="32"/>
  <c r="Y63" i="32"/>
  <c r="BF63" i="32"/>
  <c r="BH63" i="32"/>
  <c r="BP69" i="32"/>
  <c r="BP70" i="32"/>
  <c r="BO69" i="32"/>
  <c r="C112" i="29"/>
  <c r="D41" i="6"/>
  <c r="C41" i="6" s="1"/>
  <c r="E131" i="19"/>
  <c r="E129" i="19"/>
  <c r="D69" i="2"/>
  <c r="E116" i="19" s="1"/>
  <c r="E115" i="19"/>
  <c r="E88" i="19"/>
  <c r="D56" i="2"/>
  <c r="E105" i="19" s="1"/>
  <c r="C136" i="21"/>
  <c r="D54" i="2" s="1"/>
  <c r="E28" i="19"/>
  <c r="E27" i="19"/>
  <c r="E26" i="19"/>
  <c r="E25" i="19"/>
  <c r="E55" i="19"/>
  <c r="E56" i="19"/>
  <c r="E57" i="19"/>
  <c r="E58" i="19"/>
  <c r="E59" i="19"/>
  <c r="E60" i="19"/>
  <c r="E61" i="19"/>
  <c r="D37" i="2"/>
  <c r="D36" i="2"/>
  <c r="E45" i="19" s="1"/>
  <c r="D38" i="2"/>
  <c r="E46" i="19" s="1"/>
  <c r="D39" i="2"/>
  <c r="E47" i="19" s="1"/>
  <c r="D40" i="2"/>
  <c r="E48" i="19" s="1"/>
  <c r="D41" i="2"/>
  <c r="E49" i="19" s="1"/>
  <c r="D42" i="2"/>
  <c r="E50" i="19" s="1"/>
  <c r="D43" i="2"/>
  <c r="E51" i="19" s="1"/>
  <c r="D35" i="2"/>
  <c r="E44" i="19" s="1"/>
  <c r="D33" i="2"/>
  <c r="E41" i="19" s="1"/>
  <c r="D34" i="2"/>
  <c r="E42" i="19" s="1"/>
  <c r="CR76" i="32" l="1"/>
  <c r="CP80" i="32" s="1"/>
  <c r="E142" i="32" s="1"/>
  <c r="CU76" i="32"/>
  <c r="CQ80" i="32" s="1"/>
  <c r="F142" i="32" s="1"/>
  <c r="CW76" i="32"/>
  <c r="CR79" i="32" s="1"/>
  <c r="G129" i="32" s="1"/>
  <c r="F49" i="16" s="1"/>
  <c r="CZ76" i="32"/>
  <c r="DA76" i="32"/>
  <c r="CS80" i="32" s="1"/>
  <c r="H142" i="32" s="1"/>
  <c r="CQ76" i="32"/>
  <c r="CP76" i="32"/>
  <c r="CP79" i="32" s="1"/>
  <c r="E129" i="32" s="1"/>
  <c r="D49" i="16" s="1"/>
  <c r="CY76" i="32"/>
  <c r="CT76" i="32"/>
  <c r="CX76" i="32"/>
  <c r="CR80" i="32" s="1"/>
  <c r="G142" i="32" s="1"/>
  <c r="CS76" i="32"/>
  <c r="CQ79" i="32" s="1"/>
  <c r="F129" i="32" s="1"/>
  <c r="E49" i="16" s="1"/>
  <c r="C21" i="16"/>
  <c r="C25" i="29"/>
  <c r="CK76" i="32"/>
  <c r="CC76" i="32"/>
  <c r="CD76" i="32"/>
  <c r="CB80" i="32" s="1"/>
  <c r="E143" i="32" s="1"/>
  <c r="CI76" i="32"/>
  <c r="CG76" i="32"/>
  <c r="CC80" i="32" s="1"/>
  <c r="F143" i="32" s="1"/>
  <c r="CH76" i="32"/>
  <c r="CE76" i="32"/>
  <c r="CJ76" i="32"/>
  <c r="CD80" i="32" s="1"/>
  <c r="G143" i="32" s="1"/>
  <c r="CM76" i="32"/>
  <c r="CE80" i="32" s="1"/>
  <c r="H143" i="32" s="1"/>
  <c r="CL76" i="32"/>
  <c r="CB76" i="32"/>
  <c r="CF76" i="32"/>
  <c r="BE76" i="32"/>
  <c r="BA80" i="32" s="1"/>
  <c r="F141" i="32" s="1"/>
  <c r="BB76" i="32"/>
  <c r="AZ80" i="32" s="1"/>
  <c r="E141" i="32" s="1"/>
  <c r="AZ76" i="32"/>
  <c r="BI76" i="32"/>
  <c r="BD76" i="32"/>
  <c r="BK76" i="32"/>
  <c r="BC80" i="32" s="1"/>
  <c r="H141" i="32" s="1"/>
  <c r="BF76" i="32"/>
  <c r="BG76" i="32"/>
  <c r="BA76" i="32"/>
  <c r="BC76" i="32"/>
  <c r="BH76" i="32"/>
  <c r="BB80" i="32" s="1"/>
  <c r="G141" i="32" s="1"/>
  <c r="BJ76" i="32"/>
  <c r="AU76" i="32"/>
  <c r="AI76" i="32"/>
  <c r="AA80" i="32" s="1"/>
  <c r="H139" i="32" s="1"/>
  <c r="AV76" i="32"/>
  <c r="AE76" i="32"/>
  <c r="AW76" i="32"/>
  <c r="AO80" i="32" s="1"/>
  <c r="H140" i="32" s="1"/>
  <c r="AQ76" i="32"/>
  <c r="AM80" i="32" s="1"/>
  <c r="F140" i="32" s="1"/>
  <c r="AB76" i="32"/>
  <c r="AH76" i="32"/>
  <c r="AL76" i="32"/>
  <c r="AT76" i="32"/>
  <c r="AN80" i="32" s="1"/>
  <c r="G140" i="32" s="1"/>
  <c r="Z76" i="32"/>
  <c r="X80" i="32" s="1"/>
  <c r="E139" i="32" s="1"/>
  <c r="AD76" i="32"/>
  <c r="AM76" i="32"/>
  <c r="Y76" i="32"/>
  <c r="AR76" i="32"/>
  <c r="AN76" i="32"/>
  <c r="AL80" i="32" s="1"/>
  <c r="E140" i="32" s="1"/>
  <c r="X76" i="32"/>
  <c r="AO76" i="32"/>
  <c r="AS76" i="32"/>
  <c r="AP76" i="32"/>
  <c r="AG76" i="32"/>
  <c r="AC76" i="32"/>
  <c r="Y80" i="32" s="1"/>
  <c r="F139" i="32" s="1"/>
  <c r="AF76" i="32"/>
  <c r="Z80" i="32" s="1"/>
  <c r="G139" i="32" s="1"/>
  <c r="AA76" i="32"/>
  <c r="E24" i="19"/>
  <c r="E21" i="19"/>
  <c r="D24" i="2"/>
  <c r="C22" i="29" s="1"/>
  <c r="E43" i="19"/>
  <c r="CS79" i="32" l="1"/>
  <c r="H129" i="32" s="1"/>
  <c r="G49" i="16" s="1"/>
  <c r="C17" i="6"/>
  <c r="C18" i="16"/>
  <c r="CE79" i="32"/>
  <c r="H130" i="32" s="1"/>
  <c r="G50" i="16" s="1"/>
  <c r="CC79" i="32"/>
  <c r="F130" i="32" s="1"/>
  <c r="E50" i="16" s="1"/>
  <c r="CD79" i="32"/>
  <c r="G130" i="32" s="1"/>
  <c r="F50" i="16" s="1"/>
  <c r="CB79" i="32"/>
  <c r="E130" i="32" s="1"/>
  <c r="D50" i="16" s="1"/>
  <c r="AY27" i="30"/>
  <c r="AY28" i="30"/>
  <c r="C34" i="6" s="1"/>
  <c r="AY26" i="30"/>
  <c r="C109" i="29"/>
  <c r="BA79" i="32"/>
  <c r="F128" i="32" s="1"/>
  <c r="E48" i="16" s="1"/>
  <c r="AZ79" i="32"/>
  <c r="E128" i="32" s="1"/>
  <c r="D48" i="16" s="1"/>
  <c r="BB79" i="32"/>
  <c r="G128" i="32" s="1"/>
  <c r="F48" i="16" s="1"/>
  <c r="BC79" i="32"/>
  <c r="H128" i="32" s="1"/>
  <c r="G48" i="16" s="1"/>
  <c r="Y79" i="32"/>
  <c r="F126" i="32" s="1"/>
  <c r="E46" i="16" s="1"/>
  <c r="AL79" i="32"/>
  <c r="E127" i="32" s="1"/>
  <c r="D47" i="16" s="1"/>
  <c r="AN79" i="32"/>
  <c r="G127" i="32" s="1"/>
  <c r="F47" i="16" s="1"/>
  <c r="AO79" i="32"/>
  <c r="H127" i="32" s="1"/>
  <c r="G47" i="16" s="1"/>
  <c r="AA79" i="32"/>
  <c r="H126" i="32" s="1"/>
  <c r="G46" i="16" s="1"/>
  <c r="X79" i="32"/>
  <c r="E126" i="32" s="1"/>
  <c r="D46" i="16" s="1"/>
  <c r="Z79" i="32"/>
  <c r="G126" i="32" s="1"/>
  <c r="F46" i="16" s="1"/>
  <c r="AM79" i="32"/>
  <c r="F127" i="32" s="1"/>
  <c r="E47" i="16" s="1"/>
  <c r="E17" i="19"/>
  <c r="D89" i="2"/>
  <c r="C31" i="6" l="1"/>
  <c r="C32" i="6" s="1"/>
  <c r="C28" i="6"/>
  <c r="C30" i="6" s="1"/>
  <c r="C58" i="29" s="1"/>
  <c r="K36" i="6"/>
  <c r="E102" i="6"/>
  <c r="C104" i="6"/>
  <c r="K38" i="6"/>
  <c r="K37" i="6"/>
  <c r="K33" i="6"/>
  <c r="C96" i="6"/>
  <c r="C95" i="6" s="1"/>
  <c r="K31" i="6"/>
  <c r="D22" i="6"/>
  <c r="K30" i="6"/>
  <c r="L30" i="6" s="1"/>
  <c r="K39" i="6"/>
  <c r="K35" i="6"/>
  <c r="C20" i="6"/>
  <c r="C33" i="6"/>
  <c r="C84" i="29" s="1"/>
  <c r="C36" i="6"/>
  <c r="C102" i="29" s="1"/>
  <c r="C35" i="6"/>
  <c r="E120" i="19"/>
  <c r="E142" i="19"/>
  <c r="E28" i="6" l="1"/>
  <c r="C29" i="6"/>
  <c r="E29" i="6" s="1"/>
  <c r="E95" i="6"/>
  <c r="K34" i="6"/>
  <c r="D20" i="6"/>
  <c r="C41" i="33"/>
  <c r="AP35" i="30"/>
  <c r="C62" i="29"/>
  <c r="C35" i="30" s="1"/>
  <c r="C56" i="30"/>
  <c r="F56" i="30" s="1"/>
  <c r="AP58" i="30"/>
  <c r="C70" i="33"/>
  <c r="C88" i="29"/>
  <c r="C58" i="30" s="1"/>
  <c r="C71" i="30"/>
  <c r="F71" i="30" s="1"/>
  <c r="C33" i="30"/>
  <c r="F33" i="30" s="1"/>
  <c r="C59" i="21"/>
  <c r="C18" i="33" l="1"/>
  <c r="AP18" i="30"/>
  <c r="AP32" i="30" s="1"/>
  <c r="C33" i="33" s="1"/>
  <c r="AX21" i="30"/>
  <c r="AP63" i="30"/>
  <c r="C76" i="33" s="1"/>
  <c r="AP66" i="30"/>
  <c r="C79" i="33" s="1"/>
  <c r="AP62" i="30"/>
  <c r="C75" i="33" s="1"/>
  <c r="AP68" i="30"/>
  <c r="C81" i="33" s="1"/>
  <c r="AP65" i="30"/>
  <c r="C78" i="33" s="1"/>
  <c r="AP59" i="30"/>
  <c r="C72" i="33" s="1"/>
  <c r="AP61" i="30"/>
  <c r="C74" i="33" s="1"/>
  <c r="AP69" i="30"/>
  <c r="C82" i="33" s="1"/>
  <c r="AP70" i="30"/>
  <c r="C83" i="33" s="1"/>
  <c r="AP67" i="30"/>
  <c r="C80" i="33" s="1"/>
  <c r="AP60" i="30"/>
  <c r="C73" i="33" s="1"/>
  <c r="AP64" i="30"/>
  <c r="C77" i="33" s="1"/>
  <c r="C85" i="29"/>
  <c r="C103" i="29"/>
  <c r="AP40" i="30"/>
  <c r="C47" i="33" s="1"/>
  <c r="AP42" i="30"/>
  <c r="C49" i="33" s="1"/>
  <c r="AP52" i="30"/>
  <c r="C59" i="33" s="1"/>
  <c r="AP46" i="30"/>
  <c r="C53" i="33" s="1"/>
  <c r="AP43" i="30"/>
  <c r="C50" i="33" s="1"/>
  <c r="AP55" i="30"/>
  <c r="C62" i="33" s="1"/>
  <c r="AP51" i="30"/>
  <c r="C58" i="33" s="1"/>
  <c r="AP49" i="30"/>
  <c r="C56" i="33" s="1"/>
  <c r="AP53" i="30"/>
  <c r="C60" i="33" s="1"/>
  <c r="AP37" i="30"/>
  <c r="C44" i="33" s="1"/>
  <c r="AP39" i="30"/>
  <c r="C46" i="33" s="1"/>
  <c r="AP44" i="30"/>
  <c r="C51" i="33" s="1"/>
  <c r="AP41" i="30"/>
  <c r="C48" i="33" s="1"/>
  <c r="AP47" i="30"/>
  <c r="C54" i="33" s="1"/>
  <c r="AX20" i="30"/>
  <c r="AP38" i="30"/>
  <c r="C45" i="33" s="1"/>
  <c r="AP54" i="30"/>
  <c r="C61" i="33" s="1"/>
  <c r="AP36" i="30"/>
  <c r="C43" i="33" s="1"/>
  <c r="AP45" i="30"/>
  <c r="C52" i="33" s="1"/>
  <c r="AP50" i="30"/>
  <c r="C57" i="33" s="1"/>
  <c r="AP48" i="30"/>
  <c r="C55" i="33" s="1"/>
  <c r="C191" i="29"/>
  <c r="C160" i="30" s="1"/>
  <c r="F160" i="30" s="1"/>
  <c r="C188" i="29"/>
  <c r="C186" i="29"/>
  <c r="C198" i="29" s="1"/>
  <c r="C167" i="30" s="1"/>
  <c r="F167" i="30" s="1"/>
  <c r="C195" i="29"/>
  <c r="E55" i="6"/>
  <c r="E39" i="6"/>
  <c r="E67" i="6"/>
  <c r="E75" i="6"/>
  <c r="E83" i="6"/>
  <c r="E76" i="6"/>
  <c r="E69" i="6"/>
  <c r="E77" i="6"/>
  <c r="E89" i="6"/>
  <c r="E90" i="6"/>
  <c r="E70" i="6"/>
  <c r="E78" i="6"/>
  <c r="E86" i="6"/>
  <c r="E71" i="6"/>
  <c r="E79" i="6"/>
  <c r="E111" i="6"/>
  <c r="E72" i="6"/>
  <c r="E80" i="6"/>
  <c r="E73" i="6"/>
  <c r="E81" i="6"/>
  <c r="E74" i="6"/>
  <c r="E82" i="6"/>
  <c r="E68" i="6"/>
  <c r="E84" i="6"/>
  <c r="E85" i="6"/>
  <c r="E91" i="6"/>
  <c r="E92" i="6"/>
  <c r="E93" i="6"/>
  <c r="E94" i="6"/>
  <c r="E112" i="6"/>
  <c r="C185" i="29"/>
  <c r="C155" i="30" s="1"/>
  <c r="F155" i="30" s="1"/>
  <c r="K94" i="30" s="1"/>
  <c r="C196" i="29"/>
  <c r="C194" i="29"/>
  <c r="C192" i="29"/>
  <c r="C161" i="30" s="1"/>
  <c r="F161" i="30" s="1"/>
  <c r="E46" i="6"/>
  <c r="E54" i="6"/>
  <c r="E52" i="6"/>
  <c r="E45" i="6"/>
  <c r="E47" i="6"/>
  <c r="E48" i="6"/>
  <c r="E51" i="6"/>
  <c r="E44" i="6"/>
  <c r="E53" i="6"/>
  <c r="E41" i="6"/>
  <c r="E49" i="6"/>
  <c r="E42" i="6"/>
  <c r="E50" i="6"/>
  <c r="E43" i="6"/>
  <c r="E31" i="6"/>
  <c r="E109" i="6"/>
  <c r="AP27" i="30" l="1"/>
  <c r="C28" i="33" s="1"/>
  <c r="AP26" i="30"/>
  <c r="C27" i="33" s="1"/>
  <c r="AP30" i="30"/>
  <c r="C31" i="33" s="1"/>
  <c r="AP19" i="30"/>
  <c r="C20" i="33" s="1"/>
  <c r="AP24" i="30"/>
  <c r="C25" i="33" s="1"/>
  <c r="AP20" i="30"/>
  <c r="C21" i="33" s="1"/>
  <c r="AP21" i="30"/>
  <c r="C22" i="33" s="1"/>
  <c r="AP22" i="30"/>
  <c r="C23" i="33" s="1"/>
  <c r="AP23" i="30"/>
  <c r="C24" i="33" s="1"/>
  <c r="AP31" i="30"/>
  <c r="C32" i="33" s="1"/>
  <c r="AP25" i="30"/>
  <c r="C26" i="33" s="1"/>
  <c r="AP29" i="30"/>
  <c r="C30" i="33" s="1"/>
  <c r="AP28" i="30"/>
  <c r="C29" i="33" s="1"/>
  <c r="AX19" i="30"/>
  <c r="AX22" i="30" s="1"/>
  <c r="J179" i="32"/>
  <c r="K179" i="32" s="1"/>
  <c r="R179" i="32" s="1"/>
  <c r="K93" i="30"/>
  <c r="L107" i="30" s="1"/>
  <c r="C35" i="33"/>
  <c r="C64" i="29"/>
  <c r="C36" i="30"/>
  <c r="F36" i="30" s="1"/>
  <c r="C65" i="29"/>
  <c r="C37" i="30"/>
  <c r="F37" i="30" s="1"/>
  <c r="C70" i="29"/>
  <c r="C42" i="30"/>
  <c r="F42" i="30" s="1"/>
  <c r="C26" i="30"/>
  <c r="F26" i="30" s="1"/>
  <c r="C92" i="29"/>
  <c r="C61" i="30"/>
  <c r="F61" i="30" s="1"/>
  <c r="C82" i="29"/>
  <c r="C54" i="30"/>
  <c r="F54" i="30" s="1"/>
  <c r="C81" i="29"/>
  <c r="C53" i="30"/>
  <c r="F53" i="30" s="1"/>
  <c r="C68" i="29"/>
  <c r="C40" i="30"/>
  <c r="F40" i="30" s="1"/>
  <c r="C31" i="30"/>
  <c r="F31" i="30" s="1"/>
  <c r="C90" i="29"/>
  <c r="C59" i="30"/>
  <c r="F59" i="30" s="1"/>
  <c r="C66" i="29"/>
  <c r="C38" i="30"/>
  <c r="F38" i="30" s="1"/>
  <c r="C77" i="29"/>
  <c r="C49" i="30"/>
  <c r="F49" i="30" s="1"/>
  <c r="C96" i="29"/>
  <c r="C65" i="30"/>
  <c r="F65" i="30" s="1"/>
  <c r="C79" i="29"/>
  <c r="C51" i="30"/>
  <c r="F51" i="30" s="1"/>
  <c r="C95" i="29"/>
  <c r="C64" i="30"/>
  <c r="F64" i="30" s="1"/>
  <c r="C99" i="29"/>
  <c r="C68" i="30"/>
  <c r="F68" i="30" s="1"/>
  <c r="C75" i="29"/>
  <c r="C47" i="30"/>
  <c r="F47" i="30" s="1"/>
  <c r="C83" i="29"/>
  <c r="C55" i="30"/>
  <c r="F55" i="30" s="1"/>
  <c r="C24" i="30"/>
  <c r="F24" i="30" s="1"/>
  <c r="C91" i="29"/>
  <c r="C60" i="30"/>
  <c r="F60" i="30" s="1"/>
  <c r="C93" i="29"/>
  <c r="C62" i="30"/>
  <c r="F62" i="30" s="1"/>
  <c r="C76" i="29"/>
  <c r="C48" i="30"/>
  <c r="F48" i="30" s="1"/>
  <c r="C69" i="29"/>
  <c r="C41" i="30"/>
  <c r="F41" i="30" s="1"/>
  <c r="C71" i="29"/>
  <c r="C43" i="30"/>
  <c r="F43" i="30" s="1"/>
  <c r="C98" i="29"/>
  <c r="C67" i="30"/>
  <c r="F67" i="30" s="1"/>
  <c r="C97" i="29"/>
  <c r="C66" i="30"/>
  <c r="F66" i="30" s="1"/>
  <c r="C78" i="29"/>
  <c r="C50" i="30"/>
  <c r="F50" i="30" s="1"/>
  <c r="C72" i="29"/>
  <c r="C44" i="30"/>
  <c r="F44" i="30" s="1"/>
  <c r="C74" i="29"/>
  <c r="C46" i="30"/>
  <c r="F46" i="30" s="1"/>
  <c r="C25" i="30"/>
  <c r="F25" i="30" s="1"/>
  <c r="C101" i="29"/>
  <c r="C70" i="30"/>
  <c r="F70" i="30" s="1"/>
  <c r="C94" i="29"/>
  <c r="C63" i="30"/>
  <c r="F63" i="30" s="1"/>
  <c r="C73" i="29"/>
  <c r="C45" i="30"/>
  <c r="F45" i="30" s="1"/>
  <c r="C67" i="29"/>
  <c r="C39" i="30"/>
  <c r="F39" i="30" s="1"/>
  <c r="C80" i="29"/>
  <c r="C52" i="30"/>
  <c r="F52" i="30" s="1"/>
  <c r="C32" i="30"/>
  <c r="F32" i="30" s="1"/>
  <c r="C100" i="29"/>
  <c r="C69" i="30"/>
  <c r="F69" i="30" s="1"/>
  <c r="C103" i="6"/>
  <c r="C21" i="6" s="1"/>
  <c r="C164" i="29"/>
  <c r="C163" i="30"/>
  <c r="F163" i="30" s="1"/>
  <c r="C164" i="30"/>
  <c r="F164" i="30" s="1"/>
  <c r="I152" i="32" s="1"/>
  <c r="I176" i="32" s="1"/>
  <c r="C156" i="30"/>
  <c r="F156" i="30" s="1"/>
  <c r="D152" i="32" s="1"/>
  <c r="C165" i="30"/>
  <c r="F165" i="30" s="1"/>
  <c r="C158" i="30"/>
  <c r="F158" i="30" s="1"/>
  <c r="F152" i="32" s="1"/>
  <c r="F162" i="32" s="1"/>
  <c r="G152" i="32"/>
  <c r="G162" i="32" s="1"/>
  <c r="C197" i="29"/>
  <c r="L36" i="6"/>
  <c r="L31" i="6"/>
  <c r="L33" i="6"/>
  <c r="L37" i="6"/>
  <c r="L38" i="6"/>
  <c r="L35" i="6"/>
  <c r="L39" i="6"/>
  <c r="E32" i="6"/>
  <c r="E98" i="6"/>
  <c r="E108" i="6"/>
  <c r="E100" i="6"/>
  <c r="C22" i="30" l="1"/>
  <c r="F22" i="30" s="1"/>
  <c r="C29" i="30"/>
  <c r="F29" i="30" s="1"/>
  <c r="C27" i="30"/>
  <c r="F27" i="30" s="1"/>
  <c r="C19" i="30"/>
  <c r="F19" i="30" s="1"/>
  <c r="C21" i="30"/>
  <c r="F21" i="30" s="1"/>
  <c r="C30" i="30"/>
  <c r="F30" i="30" s="1"/>
  <c r="C23" i="30"/>
  <c r="F23" i="30" s="1"/>
  <c r="C20" i="30"/>
  <c r="F20" i="30" s="1"/>
  <c r="C28" i="30"/>
  <c r="F28" i="30" s="1"/>
  <c r="V179" i="32"/>
  <c r="Z179" i="32"/>
  <c r="T179" i="32"/>
  <c r="S179" i="32"/>
  <c r="Q179" i="32"/>
  <c r="O179" i="32"/>
  <c r="X179" i="32"/>
  <c r="P179" i="32"/>
  <c r="U179" i="32"/>
  <c r="Y179" i="32"/>
  <c r="W179" i="32"/>
  <c r="C36" i="33"/>
  <c r="C42" i="29"/>
  <c r="E103" i="6"/>
  <c r="AR8" i="32" a="1"/>
  <c r="AY19" i="30"/>
  <c r="AY21" i="30"/>
  <c r="AY20" i="30"/>
  <c r="C54" i="29"/>
  <c r="AR29" i="30"/>
  <c r="AR22" i="30"/>
  <c r="C47" i="29"/>
  <c r="C44" i="29"/>
  <c r="AR19" i="30"/>
  <c r="AR28" i="30"/>
  <c r="C53" i="29"/>
  <c r="C52" i="29"/>
  <c r="AR27" i="30"/>
  <c r="C50" i="29"/>
  <c r="AR25" i="30"/>
  <c r="C55" i="29"/>
  <c r="AR30" i="30"/>
  <c r="AR21" i="30"/>
  <c r="C46" i="29"/>
  <c r="C57" i="29"/>
  <c r="AR32" i="30"/>
  <c r="AR20" i="30"/>
  <c r="C45" i="29"/>
  <c r="C56" i="29"/>
  <c r="AR31" i="30"/>
  <c r="U8" i="32" a="1"/>
  <c r="C48" i="29"/>
  <c r="AR23" i="30"/>
  <c r="AR24" i="30"/>
  <c r="C49" i="29"/>
  <c r="AR26" i="30"/>
  <c r="C51" i="29"/>
  <c r="C165" i="29"/>
  <c r="C133" i="30"/>
  <c r="F133" i="30" s="1"/>
  <c r="H73" i="32" s="1"/>
  <c r="K162" i="32"/>
  <c r="O162" i="32" s="1"/>
  <c r="H152" i="32"/>
  <c r="H177" i="32" s="1"/>
  <c r="K177" i="32" s="1"/>
  <c r="R177" i="32" s="1"/>
  <c r="L108" i="30"/>
  <c r="L109" i="30" s="1"/>
  <c r="K108" i="30"/>
  <c r="K107" i="30"/>
  <c r="L34" i="6"/>
  <c r="E101" i="6"/>
  <c r="E99" i="6"/>
  <c r="E97" i="6"/>
  <c r="E88" i="6"/>
  <c r="E56" i="6"/>
  <c r="E36" i="6"/>
  <c r="E87" i="6"/>
  <c r="E35" i="6"/>
  <c r="E34" i="6"/>
  <c r="E33" i="6"/>
  <c r="E110" i="6"/>
  <c r="E30" i="6"/>
  <c r="E107" i="6"/>
  <c r="E62" i="6"/>
  <c r="E59" i="6"/>
  <c r="D8" i="32" l="1" a="1"/>
  <c r="I8" i="32" s="1"/>
  <c r="I24" i="32" s="1"/>
  <c r="D195" i="32"/>
  <c r="D194" i="32"/>
  <c r="D165" i="32"/>
  <c r="K165" i="32" s="1"/>
  <c r="T165" i="32" s="1"/>
  <c r="C18" i="30"/>
  <c r="C59" i="29"/>
  <c r="C104" i="29" s="1"/>
  <c r="E59" i="16"/>
  <c r="G59" i="16"/>
  <c r="F59" i="16"/>
  <c r="AD8" i="32"/>
  <c r="AD21" i="32" s="1"/>
  <c r="AJ8" i="32"/>
  <c r="AJ30" i="32" s="1"/>
  <c r="X8" i="32"/>
  <c r="X20" i="32" s="1"/>
  <c r="AE8" i="32"/>
  <c r="AE20" i="32" s="1"/>
  <c r="Z8" i="32"/>
  <c r="Z21" i="32" s="1"/>
  <c r="V8" i="32"/>
  <c r="V23" i="32" s="1"/>
  <c r="AO8" i="32"/>
  <c r="AO21" i="32" s="1"/>
  <c r="AN8" i="32"/>
  <c r="AN36" i="32" s="1"/>
  <c r="AM8" i="32"/>
  <c r="AM30" i="32" s="1"/>
  <c r="W8" i="32"/>
  <c r="W23" i="32" s="1"/>
  <c r="AF8" i="32"/>
  <c r="AF21" i="32" s="1"/>
  <c r="U8" i="32"/>
  <c r="AB8" i="32"/>
  <c r="AB21" i="32" s="1"/>
  <c r="AI8" i="32"/>
  <c r="AI21" i="32" s="1"/>
  <c r="Y8" i="32"/>
  <c r="Y20" i="32" s="1"/>
  <c r="AL8" i="32"/>
  <c r="AL33" i="32" s="1"/>
  <c r="AP33" i="32" s="1"/>
  <c r="AA8" i="32"/>
  <c r="AA21" i="32" s="1"/>
  <c r="AG8" i="32"/>
  <c r="AG21" i="32" s="1"/>
  <c r="AC8" i="32"/>
  <c r="AC21" i="32" s="1"/>
  <c r="AK8" i="32"/>
  <c r="AK30" i="32" s="1"/>
  <c r="AH8" i="32"/>
  <c r="AH21" i="32" s="1"/>
  <c r="BA19" i="30"/>
  <c r="D170" i="32" s="1"/>
  <c r="K170" i="32" s="1"/>
  <c r="Q170" i="32" s="1"/>
  <c r="BC19" i="30"/>
  <c r="D167" i="32" s="1"/>
  <c r="K167" i="32" s="1"/>
  <c r="Z167" i="32" s="1"/>
  <c r="BD19" i="30"/>
  <c r="D164" i="32" s="1"/>
  <c r="K164" i="32" s="1"/>
  <c r="O164" i="32" s="1"/>
  <c r="BB19" i="30"/>
  <c r="D168" i="32" s="1"/>
  <c r="K168" i="32" s="1"/>
  <c r="P168" i="32" s="1"/>
  <c r="AS8" i="32"/>
  <c r="AS20" i="32" s="1"/>
  <c r="AX8" i="32"/>
  <c r="AX20" i="32" s="1"/>
  <c r="AU8" i="32"/>
  <c r="AU23" i="32" s="1"/>
  <c r="AZ8" i="32"/>
  <c r="AZ30" i="32" s="1"/>
  <c r="AR8" i="32"/>
  <c r="AR23" i="32" s="1"/>
  <c r="BC8" i="32"/>
  <c r="BC36" i="32" s="1"/>
  <c r="AW8" i="32"/>
  <c r="AW23" i="32" s="1"/>
  <c r="BA8" i="32"/>
  <c r="BA33" i="32" s="1"/>
  <c r="BD33" i="32" s="1"/>
  <c r="AT8" i="32"/>
  <c r="AT20" i="32" s="1"/>
  <c r="AV8" i="32"/>
  <c r="AV23" i="32" s="1"/>
  <c r="AY8" i="32"/>
  <c r="AY30" i="32" s="1"/>
  <c r="BB8" i="32"/>
  <c r="BB30" i="32" s="1"/>
  <c r="BV73" i="32"/>
  <c r="BT73" i="32"/>
  <c r="BR73" i="32"/>
  <c r="BY73" i="32"/>
  <c r="BX73" i="32"/>
  <c r="BU73" i="32"/>
  <c r="BQ73" i="32"/>
  <c r="BW73" i="32"/>
  <c r="BS73" i="32"/>
  <c r="BZ73" i="32"/>
  <c r="BP73" i="32"/>
  <c r="BO73" i="32"/>
  <c r="U162" i="32"/>
  <c r="V177" i="32"/>
  <c r="D216" i="32"/>
  <c r="D212" i="32"/>
  <c r="D206" i="32"/>
  <c r="D218" i="32"/>
  <c r="D210" i="32"/>
  <c r="D197" i="32"/>
  <c r="D214" i="32"/>
  <c r="D207" i="32"/>
  <c r="D196" i="32"/>
  <c r="D201" i="32"/>
  <c r="D202" i="32"/>
  <c r="D217" i="32"/>
  <c r="D204" i="32"/>
  <c r="D198" i="32"/>
  <c r="D203" i="32"/>
  <c r="D219" i="32"/>
  <c r="D215" i="32"/>
  <c r="D209" i="32"/>
  <c r="D208" i="32"/>
  <c r="D211" i="32"/>
  <c r="D205" i="32"/>
  <c r="D199" i="32"/>
  <c r="D200" i="32"/>
  <c r="D213" i="32"/>
  <c r="X162" i="32"/>
  <c r="T162" i="32"/>
  <c r="Z177" i="32"/>
  <c r="Y177" i="32"/>
  <c r="O177" i="32"/>
  <c r="S177" i="32"/>
  <c r="W162" i="32"/>
  <c r="T177" i="32"/>
  <c r="Q177" i="32"/>
  <c r="Z162" i="32"/>
  <c r="V162" i="32"/>
  <c r="U177" i="32"/>
  <c r="X177" i="32"/>
  <c r="Y162" i="32"/>
  <c r="S162" i="32"/>
  <c r="R162" i="32"/>
  <c r="W177" i="32"/>
  <c r="P177" i="32"/>
  <c r="P162" i="32"/>
  <c r="Q162" i="32"/>
  <c r="K109" i="30"/>
  <c r="D59" i="16" s="1"/>
  <c r="E66" i="6"/>
  <c r="E65" i="6"/>
  <c r="E40" i="6"/>
  <c r="E104" i="6"/>
  <c r="E64" i="6"/>
  <c r="E63" i="6"/>
  <c r="E61" i="6"/>
  <c r="E60" i="6"/>
  <c r="F8" i="32" l="1"/>
  <c r="F23" i="32" s="1"/>
  <c r="L8" i="32"/>
  <c r="L20" i="32" s="1"/>
  <c r="M8" i="32"/>
  <c r="H8" i="32"/>
  <c r="H26" i="32" s="1"/>
  <c r="O8" i="32"/>
  <c r="G8" i="32"/>
  <c r="G24" i="32" s="1"/>
  <c r="S24" i="32" s="1"/>
  <c r="BP24" i="32" s="1"/>
  <c r="R8" i="32"/>
  <c r="R21" i="32" s="1"/>
  <c r="K8" i="32"/>
  <c r="K24" i="32" s="1"/>
  <c r="Q8" i="32"/>
  <c r="Q21" i="32" s="1"/>
  <c r="P8" i="32"/>
  <c r="P20" i="32" s="1"/>
  <c r="E8" i="32"/>
  <c r="E20" i="32" s="1"/>
  <c r="S20" i="32" s="1"/>
  <c r="J8" i="32"/>
  <c r="J26" i="32" s="1"/>
  <c r="S26" i="32" s="1"/>
  <c r="N8" i="32"/>
  <c r="N21" i="32" s="1"/>
  <c r="D8" i="32"/>
  <c r="D23" i="32" s="1"/>
  <c r="E87" i="32"/>
  <c r="F87" i="32" s="1"/>
  <c r="S165" i="32"/>
  <c r="Y165" i="32"/>
  <c r="U165" i="32"/>
  <c r="V165" i="32"/>
  <c r="Q165" i="32"/>
  <c r="W165" i="32"/>
  <c r="X165" i="32"/>
  <c r="R165" i="32"/>
  <c r="O165" i="32"/>
  <c r="Z165" i="32"/>
  <c r="P165" i="32"/>
  <c r="C73" i="30"/>
  <c r="C176" i="29"/>
  <c r="C144" i="30" s="1"/>
  <c r="F144" i="30" s="1"/>
  <c r="R168" i="32"/>
  <c r="Z168" i="32"/>
  <c r="W168" i="32"/>
  <c r="Y168" i="32"/>
  <c r="X168" i="32"/>
  <c r="Q168" i="32"/>
  <c r="V168" i="32"/>
  <c r="S168" i="32"/>
  <c r="T168" i="32"/>
  <c r="O168" i="32"/>
  <c r="T164" i="32"/>
  <c r="R164" i="32"/>
  <c r="W164" i="32"/>
  <c r="X164" i="32"/>
  <c r="Y164" i="32"/>
  <c r="V167" i="32"/>
  <c r="R167" i="32"/>
  <c r="S164" i="32"/>
  <c r="V164" i="32"/>
  <c r="X167" i="32"/>
  <c r="Z164" i="32"/>
  <c r="U164" i="32"/>
  <c r="Q164" i="32"/>
  <c r="P164" i="32"/>
  <c r="T167" i="32"/>
  <c r="Q167" i="32"/>
  <c r="P167" i="32"/>
  <c r="Y167" i="32"/>
  <c r="U167" i="32"/>
  <c r="W167" i="32"/>
  <c r="S167" i="32"/>
  <c r="O167" i="32"/>
  <c r="U170" i="32"/>
  <c r="U168" i="32"/>
  <c r="E90" i="32"/>
  <c r="F90" i="32" s="1"/>
  <c r="N89" i="32" s="1"/>
  <c r="AP23" i="32"/>
  <c r="BX23" i="32" s="1"/>
  <c r="Z170" i="32"/>
  <c r="Y170" i="32"/>
  <c r="V170" i="32"/>
  <c r="R170" i="32"/>
  <c r="S170" i="32"/>
  <c r="P170" i="32"/>
  <c r="X170" i="32"/>
  <c r="T170" i="32"/>
  <c r="O170" i="32"/>
  <c r="W170" i="32"/>
  <c r="BW33" i="32"/>
  <c r="BZ33" i="32"/>
  <c r="BV33" i="32"/>
  <c r="CA33" i="32"/>
  <c r="CD33" i="32"/>
  <c r="CE33" i="32"/>
  <c r="BX33" i="32"/>
  <c r="CB33" i="32"/>
  <c r="BU33" i="32"/>
  <c r="BY33" i="32"/>
  <c r="CF33" i="32"/>
  <c r="CC33" i="32"/>
  <c r="E91" i="32"/>
  <c r="F91" i="32" s="1"/>
  <c r="E107" i="32"/>
  <c r="F107" i="32" s="1"/>
  <c r="J106" i="32" s="1"/>
  <c r="E99" i="32"/>
  <c r="F99" i="32" s="1"/>
  <c r="E102" i="32"/>
  <c r="F102" i="32" s="1"/>
  <c r="E98" i="32"/>
  <c r="F98" i="32" s="1"/>
  <c r="E100" i="32"/>
  <c r="F100" i="32" s="1"/>
  <c r="E97" i="32"/>
  <c r="F97" i="32" s="1"/>
  <c r="E92" i="32"/>
  <c r="F92" i="32" s="1"/>
  <c r="E108" i="32"/>
  <c r="F108" i="32" s="1"/>
  <c r="E103" i="32"/>
  <c r="F103" i="32" s="1"/>
  <c r="E112" i="32"/>
  <c r="F112" i="32" s="1"/>
  <c r="E93" i="32"/>
  <c r="F93" i="32" s="1"/>
  <c r="E109" i="32"/>
  <c r="F109" i="32" s="1"/>
  <c r="E111" i="32"/>
  <c r="F111" i="32" s="1"/>
  <c r="E89" i="32"/>
  <c r="F89" i="32" s="1"/>
  <c r="E96" i="32"/>
  <c r="F96" i="32" s="1"/>
  <c r="E105" i="32"/>
  <c r="F105" i="32" s="1"/>
  <c r="E106" i="32"/>
  <c r="F106" i="32" s="1"/>
  <c r="E113" i="32"/>
  <c r="F113" i="32" s="1"/>
  <c r="E101" i="32"/>
  <c r="F101" i="32" s="1"/>
  <c r="E110" i="32"/>
  <c r="F110" i="32" s="1"/>
  <c r="E94" i="32"/>
  <c r="F94" i="32" s="1"/>
  <c r="E88" i="32"/>
  <c r="F88" i="32" s="1"/>
  <c r="E95" i="32"/>
  <c r="F95" i="32" s="1"/>
  <c r="E104" i="32"/>
  <c r="F104" i="32" s="1"/>
  <c r="BD23" i="32"/>
  <c r="AP21" i="32"/>
  <c r="BD30" i="32"/>
  <c r="AP20" i="32"/>
  <c r="BD20" i="32"/>
  <c r="AP30" i="32"/>
  <c r="CM33" i="32"/>
  <c r="CQ33" i="32"/>
  <c r="CH33" i="32"/>
  <c r="CJ33" i="32"/>
  <c r="CN33" i="32"/>
  <c r="CR33" i="32"/>
  <c r="CI33" i="32"/>
  <c r="CK33" i="32"/>
  <c r="CL33" i="32"/>
  <c r="CO33" i="32"/>
  <c r="CP33" i="32"/>
  <c r="CS33" i="32"/>
  <c r="R214" i="32"/>
  <c r="T214" i="32"/>
  <c r="V214" i="32"/>
  <c r="P214" i="32"/>
  <c r="Y214" i="32"/>
  <c r="W214" i="32"/>
  <c r="N214" i="32"/>
  <c r="S214" i="32"/>
  <c r="Q214" i="32"/>
  <c r="O214" i="32"/>
  <c r="U214" i="32"/>
  <c r="X214" i="32"/>
  <c r="R199" i="32"/>
  <c r="S199" i="32"/>
  <c r="T199" i="32"/>
  <c r="U199" i="32"/>
  <c r="X199" i="32"/>
  <c r="P199" i="32"/>
  <c r="V199" i="32"/>
  <c r="Q199" i="32"/>
  <c r="Y199" i="32"/>
  <c r="W199" i="32"/>
  <c r="N199" i="32"/>
  <c r="O199" i="32"/>
  <c r="Q200" i="32"/>
  <c r="T200" i="32"/>
  <c r="N200" i="32"/>
  <c r="P200" i="32"/>
  <c r="U200" i="32"/>
  <c r="V200" i="32"/>
  <c r="R200" i="32"/>
  <c r="W200" i="32"/>
  <c r="O200" i="32"/>
  <c r="S200" i="32"/>
  <c r="Y200" i="32"/>
  <c r="X200" i="32"/>
  <c r="R208" i="32"/>
  <c r="W208" i="32"/>
  <c r="X208" i="32"/>
  <c r="Y208" i="32"/>
  <c r="S208" i="32"/>
  <c r="N208" i="32"/>
  <c r="Q208" i="32"/>
  <c r="O208" i="32"/>
  <c r="T208" i="32"/>
  <c r="V208" i="32"/>
  <c r="P208" i="32"/>
  <c r="U208" i="32"/>
  <c r="R206" i="32"/>
  <c r="S206" i="32"/>
  <c r="U206" i="32"/>
  <c r="Y206" i="32"/>
  <c r="P206" i="32"/>
  <c r="N206" i="32"/>
  <c r="T206" i="32"/>
  <c r="Q206" i="32"/>
  <c r="W206" i="32"/>
  <c r="V206" i="32"/>
  <c r="X206" i="32"/>
  <c r="O206" i="32"/>
  <c r="W211" i="32"/>
  <c r="N211" i="32"/>
  <c r="U211" i="32"/>
  <c r="Q211" i="32"/>
  <c r="P211" i="32"/>
  <c r="S211" i="32"/>
  <c r="R211" i="32"/>
  <c r="O211" i="32"/>
  <c r="Y211" i="32"/>
  <c r="X211" i="32"/>
  <c r="T211" i="32"/>
  <c r="V211" i="32"/>
  <c r="O203" i="32"/>
  <c r="R203" i="32"/>
  <c r="W203" i="32"/>
  <c r="Y203" i="32"/>
  <c r="S203" i="32"/>
  <c r="X203" i="32"/>
  <c r="U203" i="32"/>
  <c r="N203" i="32"/>
  <c r="P203" i="32"/>
  <c r="T203" i="32"/>
  <c r="V203" i="32"/>
  <c r="Q203" i="32"/>
  <c r="V217" i="32"/>
  <c r="Y217" i="32"/>
  <c r="Q217" i="32"/>
  <c r="X217" i="32"/>
  <c r="U217" i="32"/>
  <c r="O217" i="32"/>
  <c r="S217" i="32"/>
  <c r="N217" i="32"/>
  <c r="T217" i="32"/>
  <c r="R217" i="32"/>
  <c r="P217" i="32"/>
  <c r="W217" i="32"/>
  <c r="U202" i="32"/>
  <c r="P202" i="32"/>
  <c r="R202" i="32"/>
  <c r="X202" i="32"/>
  <c r="W202" i="32"/>
  <c r="Q202" i="32"/>
  <c r="T202" i="32"/>
  <c r="N202" i="32"/>
  <c r="S202" i="32"/>
  <c r="Y202" i="32"/>
  <c r="V202" i="32"/>
  <c r="O202" i="32"/>
  <c r="S210" i="32"/>
  <c r="Q210" i="32"/>
  <c r="N210" i="32"/>
  <c r="R210" i="32"/>
  <c r="Y210" i="32"/>
  <c r="X210" i="32"/>
  <c r="T210" i="32"/>
  <c r="P210" i="32"/>
  <c r="O210" i="32"/>
  <c r="W210" i="32"/>
  <c r="V210" i="32"/>
  <c r="U210" i="32"/>
  <c r="N209" i="32"/>
  <c r="S209" i="32"/>
  <c r="Y209" i="32"/>
  <c r="T209" i="32"/>
  <c r="W209" i="32"/>
  <c r="O209" i="32"/>
  <c r="X209" i="32"/>
  <c r="V209" i="32"/>
  <c r="U209" i="32"/>
  <c r="R209" i="32"/>
  <c r="P209" i="32"/>
  <c r="Q209" i="32"/>
  <c r="R207" i="32"/>
  <c r="Q207" i="32"/>
  <c r="T207" i="32"/>
  <c r="X207" i="32"/>
  <c r="O207" i="32"/>
  <c r="U207" i="32"/>
  <c r="Y207" i="32"/>
  <c r="P207" i="32"/>
  <c r="N207" i="32"/>
  <c r="V207" i="32"/>
  <c r="W207" i="32"/>
  <c r="S207" i="32"/>
  <c r="T195" i="32"/>
  <c r="X195" i="32"/>
  <c r="V195" i="32"/>
  <c r="N195" i="32"/>
  <c r="S195" i="32"/>
  <c r="R195" i="32"/>
  <c r="O195" i="32"/>
  <c r="W195" i="32"/>
  <c r="P195" i="32"/>
  <c r="Q195" i="32"/>
  <c r="Y195" i="32"/>
  <c r="U195" i="32"/>
  <c r="P205" i="32"/>
  <c r="R205" i="32"/>
  <c r="S205" i="32"/>
  <c r="O205" i="32"/>
  <c r="X205" i="32"/>
  <c r="Y205" i="32"/>
  <c r="N205" i="32"/>
  <c r="Q205" i="32"/>
  <c r="T205" i="32"/>
  <c r="U205" i="32"/>
  <c r="W205" i="32"/>
  <c r="V205" i="32"/>
  <c r="O197" i="32"/>
  <c r="P197" i="32"/>
  <c r="W197" i="32"/>
  <c r="X197" i="32"/>
  <c r="T197" i="32"/>
  <c r="V197" i="32"/>
  <c r="S197" i="32"/>
  <c r="R197" i="32"/>
  <c r="N197" i="32"/>
  <c r="Y197" i="32"/>
  <c r="Q197" i="32"/>
  <c r="U197" i="32"/>
  <c r="O196" i="32"/>
  <c r="P196" i="32"/>
  <c r="S196" i="32"/>
  <c r="X196" i="32"/>
  <c r="R196" i="32"/>
  <c r="V196" i="32"/>
  <c r="T196" i="32"/>
  <c r="N196" i="32"/>
  <c r="W196" i="32"/>
  <c r="Y196" i="32"/>
  <c r="U196" i="32"/>
  <c r="Q196" i="32"/>
  <c r="T216" i="32"/>
  <c r="R216" i="32"/>
  <c r="O216" i="32"/>
  <c r="S216" i="32"/>
  <c r="U216" i="32"/>
  <c r="P216" i="32"/>
  <c r="Y216" i="32"/>
  <c r="Q216" i="32"/>
  <c r="V216" i="32"/>
  <c r="X216" i="32"/>
  <c r="W216" i="32"/>
  <c r="N216" i="32"/>
  <c r="T213" i="32"/>
  <c r="O213" i="32"/>
  <c r="P213" i="32"/>
  <c r="V213" i="32"/>
  <c r="Y213" i="32"/>
  <c r="X213" i="32"/>
  <c r="N213" i="32"/>
  <c r="Q213" i="32"/>
  <c r="U213" i="32"/>
  <c r="S213" i="32"/>
  <c r="W213" i="32"/>
  <c r="R213" i="32"/>
  <c r="V201" i="32"/>
  <c r="T201" i="32"/>
  <c r="P201" i="32"/>
  <c r="Y201" i="32"/>
  <c r="X201" i="32"/>
  <c r="S201" i="32"/>
  <c r="Q201" i="32"/>
  <c r="W201" i="32"/>
  <c r="O201" i="32"/>
  <c r="R201" i="32"/>
  <c r="N201" i="32"/>
  <c r="U201" i="32"/>
  <c r="U219" i="32"/>
  <c r="W219" i="32"/>
  <c r="O219" i="32"/>
  <c r="P219" i="32"/>
  <c r="R219" i="32"/>
  <c r="X219" i="32"/>
  <c r="Q219" i="32"/>
  <c r="N219" i="32"/>
  <c r="V219" i="32"/>
  <c r="Y219" i="32"/>
  <c r="T219" i="32"/>
  <c r="S219" i="32"/>
  <c r="T215" i="32"/>
  <c r="N215" i="32"/>
  <c r="V215" i="32"/>
  <c r="U215" i="32"/>
  <c r="Q215" i="32"/>
  <c r="P215" i="32"/>
  <c r="O215" i="32"/>
  <c r="R215" i="32"/>
  <c r="W215" i="32"/>
  <c r="X215" i="32"/>
  <c r="S215" i="32"/>
  <c r="Y215" i="32"/>
  <c r="S204" i="32"/>
  <c r="P204" i="32"/>
  <c r="V204" i="32"/>
  <c r="Y204" i="32"/>
  <c r="W204" i="32"/>
  <c r="N204" i="32"/>
  <c r="U204" i="32"/>
  <c r="R204" i="32"/>
  <c r="T204" i="32"/>
  <c r="X204" i="32"/>
  <c r="O204" i="32"/>
  <c r="Q204" i="32"/>
  <c r="N194" i="32"/>
  <c r="P194" i="32"/>
  <c r="X194" i="32"/>
  <c r="O194" i="32"/>
  <c r="R194" i="32"/>
  <c r="S194" i="32"/>
  <c r="V194" i="32"/>
  <c r="W194" i="32"/>
  <c r="T194" i="32"/>
  <c r="Y194" i="32"/>
  <c r="U194" i="32"/>
  <c r="Q194" i="32"/>
  <c r="T212" i="32"/>
  <c r="Q212" i="32"/>
  <c r="U212" i="32"/>
  <c r="V212" i="32"/>
  <c r="X212" i="32"/>
  <c r="N212" i="32"/>
  <c r="S212" i="32"/>
  <c r="P212" i="32"/>
  <c r="Y212" i="32"/>
  <c r="R212" i="32"/>
  <c r="W212" i="32"/>
  <c r="O212" i="32"/>
  <c r="U218" i="32"/>
  <c r="N218" i="32"/>
  <c r="T218" i="32"/>
  <c r="O218" i="32"/>
  <c r="P218" i="32"/>
  <c r="Q218" i="32"/>
  <c r="V218" i="32"/>
  <c r="R218" i="32"/>
  <c r="W218" i="32"/>
  <c r="Y218" i="32"/>
  <c r="S218" i="32"/>
  <c r="X218" i="32"/>
  <c r="U198" i="32"/>
  <c r="N198" i="32"/>
  <c r="V198" i="32"/>
  <c r="T198" i="32"/>
  <c r="P198" i="32"/>
  <c r="W198" i="32"/>
  <c r="O198" i="32"/>
  <c r="R198" i="32"/>
  <c r="X198" i="32"/>
  <c r="Y198" i="32"/>
  <c r="S198" i="32"/>
  <c r="Q198" i="32"/>
  <c r="E57" i="6"/>
  <c r="E58" i="6"/>
  <c r="S21" i="32" l="1"/>
  <c r="BQ21" i="32" s="1"/>
  <c r="S23" i="32"/>
  <c r="H75" i="32"/>
  <c r="BY75" i="32" s="1"/>
  <c r="BN20" i="32"/>
  <c r="BH20" i="32"/>
  <c r="BY23" i="32"/>
  <c r="O89" i="32"/>
  <c r="BZ23" i="32"/>
  <c r="R89" i="32"/>
  <c r="CC23" i="32"/>
  <c r="CF23" i="32"/>
  <c r="CB23" i="32"/>
  <c r="BU23" i="32"/>
  <c r="CE23" i="32"/>
  <c r="CD23" i="32"/>
  <c r="BV23" i="32"/>
  <c r="BW23" i="32"/>
  <c r="L89" i="32"/>
  <c r="K89" i="32"/>
  <c r="J89" i="32"/>
  <c r="P89" i="32"/>
  <c r="T89" i="32"/>
  <c r="U89" i="32"/>
  <c r="M89" i="32"/>
  <c r="Q89" i="32"/>
  <c r="S89" i="32"/>
  <c r="CA23" i="32"/>
  <c r="BO24" i="32"/>
  <c r="BS20" i="32"/>
  <c r="BO20" i="32"/>
  <c r="BK20" i="32"/>
  <c r="BR20" i="32"/>
  <c r="BJ20" i="32"/>
  <c r="BH24" i="32"/>
  <c r="BI20" i="32"/>
  <c r="BP20" i="32"/>
  <c r="BQ20" i="32"/>
  <c r="BM20" i="32"/>
  <c r="BL20" i="32"/>
  <c r="BK24" i="32"/>
  <c r="BL24" i="32"/>
  <c r="BR24" i="32"/>
  <c r="BN24" i="32"/>
  <c r="BM24" i="32"/>
  <c r="BQ24" i="32"/>
  <c r="BI24" i="32"/>
  <c r="BJ24" i="32"/>
  <c r="BS24" i="32"/>
  <c r="CK23" i="32"/>
  <c r="CN23" i="32"/>
  <c r="CO23" i="32"/>
  <c r="CQ23" i="32"/>
  <c r="CS23" i="32"/>
  <c r="CL23" i="32"/>
  <c r="CP23" i="32"/>
  <c r="CJ23" i="32"/>
  <c r="CR23" i="32"/>
  <c r="CH23" i="32"/>
  <c r="CI23" i="32"/>
  <c r="CM23" i="32"/>
  <c r="M112" i="32"/>
  <c r="K112" i="32"/>
  <c r="U112" i="32"/>
  <c r="T112" i="32"/>
  <c r="L112" i="32"/>
  <c r="Q112" i="32"/>
  <c r="R112" i="32"/>
  <c r="O112" i="32"/>
  <c r="P112" i="32"/>
  <c r="N112" i="32"/>
  <c r="J112" i="32"/>
  <c r="S112" i="32"/>
  <c r="J111" i="32"/>
  <c r="L111" i="32"/>
  <c r="R111" i="32"/>
  <c r="P111" i="32"/>
  <c r="T111" i="32"/>
  <c r="K111" i="32"/>
  <c r="U111" i="32"/>
  <c r="Q111" i="32"/>
  <c r="S111" i="32"/>
  <c r="N111" i="32"/>
  <c r="O111" i="32"/>
  <c r="M111" i="32"/>
  <c r="O101" i="32"/>
  <c r="U101" i="32"/>
  <c r="L101" i="32"/>
  <c r="N101" i="32"/>
  <c r="K101" i="32"/>
  <c r="T101" i="32"/>
  <c r="J101" i="32"/>
  <c r="S101" i="32"/>
  <c r="P101" i="32"/>
  <c r="Q101" i="32"/>
  <c r="M101" i="32"/>
  <c r="R101" i="32"/>
  <c r="J105" i="32"/>
  <c r="N105" i="32"/>
  <c r="S105" i="32"/>
  <c r="L105" i="32"/>
  <c r="R105" i="32"/>
  <c r="T105" i="32"/>
  <c r="K105" i="32"/>
  <c r="P105" i="32"/>
  <c r="U105" i="32"/>
  <c r="M105" i="32"/>
  <c r="O105" i="32"/>
  <c r="Q105" i="32"/>
  <c r="T102" i="32"/>
  <c r="M102" i="32"/>
  <c r="L102" i="32"/>
  <c r="U102" i="32"/>
  <c r="Q102" i="32"/>
  <c r="R102" i="32"/>
  <c r="N102" i="32"/>
  <c r="S102" i="32"/>
  <c r="P102" i="32"/>
  <c r="O102" i="32"/>
  <c r="K102" i="32"/>
  <c r="J102" i="32"/>
  <c r="O98" i="32"/>
  <c r="R98" i="32"/>
  <c r="U98" i="32"/>
  <c r="Q98" i="32"/>
  <c r="N98" i="32"/>
  <c r="L98" i="32"/>
  <c r="M98" i="32"/>
  <c r="S98" i="32"/>
  <c r="T98" i="32"/>
  <c r="P98" i="32"/>
  <c r="K98" i="32"/>
  <c r="J98" i="32"/>
  <c r="CL30" i="32"/>
  <c r="CO30" i="32"/>
  <c r="CP30" i="32"/>
  <c r="CM30" i="32"/>
  <c r="CK30" i="32"/>
  <c r="CI30" i="32"/>
  <c r="CQ30" i="32"/>
  <c r="CS30" i="32"/>
  <c r="CJ30" i="32"/>
  <c r="CH30" i="32"/>
  <c r="CN30" i="32"/>
  <c r="CR30" i="32"/>
  <c r="O103" i="32"/>
  <c r="M103" i="32"/>
  <c r="P103" i="32"/>
  <c r="U103" i="32"/>
  <c r="N103" i="32"/>
  <c r="S103" i="32"/>
  <c r="K103" i="32"/>
  <c r="L103" i="32"/>
  <c r="J103" i="32"/>
  <c r="R103" i="32"/>
  <c r="Q103" i="32"/>
  <c r="T103" i="32"/>
  <c r="U104" i="32"/>
  <c r="L104" i="32"/>
  <c r="Q104" i="32"/>
  <c r="P104" i="32"/>
  <c r="N104" i="32"/>
  <c r="O104" i="32"/>
  <c r="J104" i="32"/>
  <c r="M104" i="32"/>
  <c r="R104" i="32"/>
  <c r="S104" i="32"/>
  <c r="K104" i="32"/>
  <c r="T104" i="32"/>
  <c r="T107" i="32"/>
  <c r="J107" i="32"/>
  <c r="Q107" i="32"/>
  <c r="U107" i="32"/>
  <c r="L107" i="32"/>
  <c r="M107" i="32"/>
  <c r="S107" i="32"/>
  <c r="K107" i="32"/>
  <c r="R107" i="32"/>
  <c r="P107" i="32"/>
  <c r="N107" i="32"/>
  <c r="O107" i="32"/>
  <c r="U106" i="32"/>
  <c r="Q106" i="32"/>
  <c r="M106" i="32"/>
  <c r="P106" i="32"/>
  <c r="N106" i="32"/>
  <c r="O106" i="32"/>
  <c r="T106" i="32"/>
  <c r="K106" i="32"/>
  <c r="R106" i="32"/>
  <c r="S106" i="32"/>
  <c r="L106" i="32"/>
  <c r="BR23" i="32"/>
  <c r="BK23" i="32"/>
  <c r="BH23" i="32"/>
  <c r="BL23" i="32"/>
  <c r="BO23" i="32"/>
  <c r="BI23" i="32"/>
  <c r="BP23" i="32"/>
  <c r="BS23" i="32"/>
  <c r="BM23" i="32"/>
  <c r="BQ23" i="32"/>
  <c r="BJ23" i="32"/>
  <c r="BN23" i="32"/>
  <c r="O94" i="32"/>
  <c r="K94" i="32"/>
  <c r="S94" i="32"/>
  <c r="R94" i="32"/>
  <c r="J94" i="32"/>
  <c r="U94" i="32"/>
  <c r="P94" i="32"/>
  <c r="Q94" i="32"/>
  <c r="N94" i="32"/>
  <c r="L94" i="32"/>
  <c r="M94" i="32"/>
  <c r="T94" i="32"/>
  <c r="J95" i="32"/>
  <c r="R95" i="32"/>
  <c r="P95" i="32"/>
  <c r="T95" i="32"/>
  <c r="Q95" i="32"/>
  <c r="M95" i="32"/>
  <c r="L95" i="32"/>
  <c r="O95" i="32"/>
  <c r="U95" i="32"/>
  <c r="K95" i="32"/>
  <c r="N95" i="32"/>
  <c r="S95" i="32"/>
  <c r="O91" i="32"/>
  <c r="L91" i="32"/>
  <c r="J91" i="32"/>
  <c r="P91" i="32"/>
  <c r="S91" i="32"/>
  <c r="M91" i="32"/>
  <c r="N91" i="32"/>
  <c r="Q91" i="32"/>
  <c r="K91" i="32"/>
  <c r="U91" i="32"/>
  <c r="R91" i="32"/>
  <c r="T91" i="32"/>
  <c r="T90" i="32"/>
  <c r="L90" i="32"/>
  <c r="O90" i="32"/>
  <c r="U90" i="32"/>
  <c r="S90" i="32"/>
  <c r="R90" i="32"/>
  <c r="K90" i="32"/>
  <c r="M90" i="32"/>
  <c r="P90" i="32"/>
  <c r="J90" i="32"/>
  <c r="Q90" i="32"/>
  <c r="N90" i="32"/>
  <c r="O87" i="32"/>
  <c r="K87" i="32"/>
  <c r="L87" i="32"/>
  <c r="P87" i="32"/>
  <c r="M87" i="32"/>
  <c r="N87" i="32"/>
  <c r="T87" i="32"/>
  <c r="R87" i="32"/>
  <c r="U87" i="32"/>
  <c r="J87" i="32"/>
  <c r="Q87" i="32"/>
  <c r="S87" i="32"/>
  <c r="T88" i="32"/>
  <c r="M88" i="32"/>
  <c r="J88" i="32"/>
  <c r="P88" i="32"/>
  <c r="K88" i="32"/>
  <c r="O88" i="32"/>
  <c r="R88" i="32"/>
  <c r="N88" i="32"/>
  <c r="Q88" i="32"/>
  <c r="S88" i="32"/>
  <c r="U88" i="32"/>
  <c r="L88" i="32"/>
  <c r="J96" i="32"/>
  <c r="O96" i="32"/>
  <c r="U96" i="32"/>
  <c r="L96" i="32"/>
  <c r="S96" i="32"/>
  <c r="P96" i="32"/>
  <c r="R96" i="32"/>
  <c r="Q96" i="32"/>
  <c r="T96" i="32"/>
  <c r="M96" i="32"/>
  <c r="N96" i="32"/>
  <c r="K96" i="32"/>
  <c r="CA30" i="32"/>
  <c r="BV30" i="32"/>
  <c r="CE30" i="32"/>
  <c r="BX30" i="32"/>
  <c r="BU30" i="32"/>
  <c r="BY30" i="32"/>
  <c r="CB30" i="32"/>
  <c r="CC30" i="32"/>
  <c r="CF30" i="32"/>
  <c r="BZ30" i="32"/>
  <c r="CD30" i="32"/>
  <c r="BW30" i="32"/>
  <c r="BO26" i="32"/>
  <c r="BS26" i="32"/>
  <c r="BI26" i="32"/>
  <c r="BH26" i="32"/>
  <c r="BL26" i="32"/>
  <c r="BP26" i="32"/>
  <c r="BJ26" i="32"/>
  <c r="BM26" i="32"/>
  <c r="BN26" i="32"/>
  <c r="BQ26" i="32"/>
  <c r="BR26" i="32"/>
  <c r="BK26" i="32"/>
  <c r="O93" i="32"/>
  <c r="L93" i="32"/>
  <c r="N93" i="32"/>
  <c r="K93" i="32"/>
  <c r="Q93" i="32"/>
  <c r="T93" i="32"/>
  <c r="M93" i="32"/>
  <c r="P93" i="32"/>
  <c r="S93" i="32"/>
  <c r="J93" i="32"/>
  <c r="U93" i="32"/>
  <c r="R93" i="32"/>
  <c r="O110" i="32"/>
  <c r="T110" i="32"/>
  <c r="M110" i="32"/>
  <c r="L110" i="32"/>
  <c r="Q110" i="32"/>
  <c r="P110" i="32"/>
  <c r="U110" i="32"/>
  <c r="R110" i="32"/>
  <c r="K110" i="32"/>
  <c r="J110" i="32"/>
  <c r="S110" i="32"/>
  <c r="N110" i="32"/>
  <c r="R86" i="32"/>
  <c r="O86" i="32"/>
  <c r="M86" i="32"/>
  <c r="S86" i="32"/>
  <c r="Q86" i="32"/>
  <c r="L86" i="32"/>
  <c r="J86" i="32"/>
  <c r="U86" i="32"/>
  <c r="K86" i="32"/>
  <c r="T86" i="32"/>
  <c r="P86" i="32"/>
  <c r="N86" i="32"/>
  <c r="CJ20" i="32"/>
  <c r="CN20" i="32"/>
  <c r="CR20" i="32"/>
  <c r="CP20" i="32"/>
  <c r="CK20" i="32"/>
  <c r="CI20" i="32"/>
  <c r="CS20" i="32"/>
  <c r="CH20" i="32"/>
  <c r="CM20" i="32"/>
  <c r="CL20" i="32"/>
  <c r="CQ20" i="32"/>
  <c r="CO20" i="32"/>
  <c r="CB21" i="32"/>
  <c r="BU21" i="32"/>
  <c r="CF21" i="32"/>
  <c r="BV21" i="32"/>
  <c r="BY21" i="32"/>
  <c r="CC21" i="32"/>
  <c r="BW21" i="32"/>
  <c r="BZ21" i="32"/>
  <c r="CA21" i="32"/>
  <c r="CD21" i="32"/>
  <c r="CE21" i="32"/>
  <c r="BX21" i="32"/>
  <c r="O109" i="32"/>
  <c r="J109" i="32"/>
  <c r="T109" i="32"/>
  <c r="L109" i="32"/>
  <c r="U109" i="32"/>
  <c r="M109" i="32"/>
  <c r="S109" i="32"/>
  <c r="R109" i="32"/>
  <c r="N109" i="32"/>
  <c r="P109" i="32"/>
  <c r="K109" i="32"/>
  <c r="Q109" i="32"/>
  <c r="O108" i="32"/>
  <c r="T108" i="32"/>
  <c r="U108" i="32"/>
  <c r="J108" i="32"/>
  <c r="P108" i="32"/>
  <c r="S108" i="32"/>
  <c r="K108" i="32"/>
  <c r="M108" i="32"/>
  <c r="L108" i="32"/>
  <c r="R108" i="32"/>
  <c r="Q108" i="32"/>
  <c r="N108" i="32"/>
  <c r="T99" i="32"/>
  <c r="U99" i="32"/>
  <c r="N99" i="32"/>
  <c r="K99" i="32"/>
  <c r="M99" i="32"/>
  <c r="R99" i="32"/>
  <c r="O99" i="32"/>
  <c r="L99" i="32"/>
  <c r="S99" i="32"/>
  <c r="P99" i="32"/>
  <c r="J99" i="32"/>
  <c r="Q99" i="32"/>
  <c r="BZ20" i="32"/>
  <c r="BV20" i="32"/>
  <c r="CD20" i="32"/>
  <c r="BW20" i="32"/>
  <c r="CA20" i="32"/>
  <c r="CE20" i="32"/>
  <c r="BX20" i="32"/>
  <c r="BU20" i="32"/>
  <c r="BY20" i="32"/>
  <c r="CB20" i="32"/>
  <c r="CC20" i="32"/>
  <c r="CF20" i="32"/>
  <c r="BM21" i="32"/>
  <c r="T100" i="32"/>
  <c r="J100" i="32"/>
  <c r="R100" i="32"/>
  <c r="K100" i="32"/>
  <c r="P100" i="32"/>
  <c r="N100" i="32"/>
  <c r="O100" i="32"/>
  <c r="U100" i="32"/>
  <c r="M100" i="32"/>
  <c r="Q100" i="32"/>
  <c r="L100" i="32"/>
  <c r="S100" i="32"/>
  <c r="O92" i="32"/>
  <c r="N92" i="32"/>
  <c r="M92" i="32"/>
  <c r="P92" i="32"/>
  <c r="S92" i="32"/>
  <c r="Q92" i="32"/>
  <c r="L92" i="32"/>
  <c r="K92" i="32"/>
  <c r="R92" i="32"/>
  <c r="T92" i="32"/>
  <c r="J92" i="32"/>
  <c r="U92" i="32"/>
  <c r="T97" i="32"/>
  <c r="M97" i="32"/>
  <c r="L97" i="32"/>
  <c r="R97" i="32"/>
  <c r="P97" i="32"/>
  <c r="N97" i="32"/>
  <c r="Q97" i="32"/>
  <c r="S97" i="32"/>
  <c r="O97" i="32"/>
  <c r="J97" i="32"/>
  <c r="K97" i="32"/>
  <c r="U97" i="32"/>
  <c r="BI21" i="32" l="1"/>
  <c r="BP21" i="32"/>
  <c r="BS21" i="32"/>
  <c r="BH21" i="32"/>
  <c r="BR21" i="32"/>
  <c r="BO21" i="32"/>
  <c r="BK21" i="32"/>
  <c r="BL21" i="32"/>
  <c r="BL36" i="32" s="1"/>
  <c r="BJ21" i="32"/>
  <c r="BN21" i="32"/>
  <c r="BN36" i="32" s="1"/>
  <c r="J113" i="32"/>
  <c r="BV75" i="32"/>
  <c r="BU75" i="32"/>
  <c r="BP75" i="32"/>
  <c r="BS75" i="32"/>
  <c r="BQ75" i="32"/>
  <c r="BW75" i="32"/>
  <c r="BO75" i="32"/>
  <c r="BT75" i="32"/>
  <c r="BZ75" i="32"/>
  <c r="BX75" i="32"/>
  <c r="BR75" i="32"/>
  <c r="CK36" i="32"/>
  <c r="CP36" i="32"/>
  <c r="CJ40" i="32" s="1"/>
  <c r="G138" i="32" s="1"/>
  <c r="CI36" i="32"/>
  <c r="CL36" i="32"/>
  <c r="CR36" i="32"/>
  <c r="CN36" i="32"/>
  <c r="CJ36" i="32"/>
  <c r="CH40" i="32" s="1"/>
  <c r="E138" i="32" s="1"/>
  <c r="BW36" i="32"/>
  <c r="BU40" i="32" s="1"/>
  <c r="E137" i="32" s="1"/>
  <c r="CB36" i="32"/>
  <c r="CF36" i="32"/>
  <c r="BX40" i="32" s="1"/>
  <c r="H137" i="32" s="1"/>
  <c r="CD36" i="32"/>
  <c r="BZ36" i="32"/>
  <c r="BV40" i="32" s="1"/>
  <c r="F137" i="32" s="1"/>
  <c r="BJ36" i="32"/>
  <c r="BH40" i="32" s="1"/>
  <c r="E136" i="32" s="1"/>
  <c r="BP36" i="32"/>
  <c r="BJ40" i="32" s="1"/>
  <c r="G136" i="32" s="1"/>
  <c r="BK36" i="32"/>
  <c r="BH36" i="32"/>
  <c r="BR36" i="32"/>
  <c r="BO36" i="32"/>
  <c r="CM36" i="32"/>
  <c r="CI40" i="32" s="1"/>
  <c r="F138" i="32" s="1"/>
  <c r="BQ36" i="32"/>
  <c r="CC36" i="32"/>
  <c r="BW40" i="32" s="1"/>
  <c r="G137" i="32" s="1"/>
  <c r="CS36" i="32"/>
  <c r="CK40" i="32" s="1"/>
  <c r="H138" i="32" s="1"/>
  <c r="BM36" i="32"/>
  <c r="BI40" i="32" s="1"/>
  <c r="F136" i="32" s="1"/>
  <c r="BV36" i="32"/>
  <c r="BS36" i="32"/>
  <c r="BK40" i="32" s="1"/>
  <c r="H136" i="32" s="1"/>
  <c r="CH36" i="32"/>
  <c r="BY36" i="32"/>
  <c r="BI36" i="32"/>
  <c r="BU36" i="32"/>
  <c r="CO36" i="32"/>
  <c r="BX36" i="32"/>
  <c r="CQ36" i="32"/>
  <c r="L113" i="32"/>
  <c r="Q113" i="32"/>
  <c r="N113" i="32"/>
  <c r="S113" i="32"/>
  <c r="P113" i="32"/>
  <c r="M113" i="32"/>
  <c r="T113" i="32"/>
  <c r="O113" i="32"/>
  <c r="K113" i="32"/>
  <c r="R113" i="32"/>
  <c r="CE36" i="32"/>
  <c r="U113" i="32"/>
  <c r="CA36" i="32"/>
  <c r="J117" i="32" l="1"/>
  <c r="E145" i="32" s="1"/>
  <c r="CI39" i="32"/>
  <c r="F125" i="32" s="1"/>
  <c r="E45" i="16" s="1"/>
  <c r="CJ39" i="32"/>
  <c r="G125" i="32" s="1"/>
  <c r="F45" i="16" s="1"/>
  <c r="BW39" i="32"/>
  <c r="G124" i="32" s="1"/>
  <c r="F44" i="16" s="1"/>
  <c r="CH39" i="32"/>
  <c r="E125" i="32" s="1"/>
  <c r="D45" i="16" s="1"/>
  <c r="CK39" i="32"/>
  <c r="H125" i="32" s="1"/>
  <c r="G45" i="16" s="1"/>
  <c r="BX39" i="32"/>
  <c r="H124" i="32" s="1"/>
  <c r="G44" i="16" s="1"/>
  <c r="BI39" i="32"/>
  <c r="F123" i="32" s="1"/>
  <c r="E43" i="16" s="1"/>
  <c r="BH39" i="32"/>
  <c r="E123" i="32" s="1"/>
  <c r="D43" i="16" s="1"/>
  <c r="BJ39" i="32"/>
  <c r="G123" i="32" s="1"/>
  <c r="F43" i="16" s="1"/>
  <c r="BK39" i="32"/>
  <c r="H123" i="32" s="1"/>
  <c r="G43" i="16" s="1"/>
  <c r="BU39" i="32"/>
  <c r="E124" i="32" s="1"/>
  <c r="D44" i="16" s="1"/>
  <c r="BV39" i="32"/>
  <c r="F124" i="32" s="1"/>
  <c r="E44" i="16" s="1"/>
  <c r="K117" i="32"/>
  <c r="F145" i="32" s="1"/>
  <c r="L117" i="32"/>
  <c r="G145" i="32" s="1"/>
  <c r="M117" i="32"/>
  <c r="H145" i="32" s="1"/>
  <c r="K32" i="6" l="1"/>
  <c r="K29" i="6" l="1"/>
  <c r="K28" i="6" s="1"/>
  <c r="L32" i="6"/>
  <c r="C187" i="29"/>
  <c r="C157" i="30" s="1"/>
  <c r="F157" i="30" s="1"/>
  <c r="L29" i="6" l="1"/>
  <c r="K27" i="6"/>
  <c r="M28" i="6" s="1"/>
  <c r="C189" i="29"/>
  <c r="C199" i="29" s="1"/>
  <c r="E152" i="32"/>
  <c r="F169" i="30"/>
  <c r="L28" i="6"/>
  <c r="M30" i="6" l="1"/>
  <c r="M31" i="6"/>
  <c r="M32" i="6"/>
  <c r="C34" i="29"/>
  <c r="C30" i="16"/>
  <c r="C33" i="29"/>
  <c r="C200" i="29"/>
  <c r="C29" i="16"/>
  <c r="C23" i="6"/>
  <c r="M27" i="6"/>
  <c r="M37" i="6"/>
  <c r="L27" i="6"/>
  <c r="M39" i="6"/>
  <c r="M38" i="6"/>
  <c r="M36" i="6"/>
  <c r="M34" i="6"/>
  <c r="M33" i="6"/>
  <c r="M35" i="6"/>
  <c r="E173" i="32"/>
  <c r="K173" i="32" s="1"/>
  <c r="C32" i="29" l="1"/>
  <c r="C28" i="16"/>
  <c r="C31" i="16"/>
  <c r="C35" i="29"/>
  <c r="U173" i="32"/>
  <c r="W173" i="32"/>
  <c r="X173" i="32"/>
  <c r="V173" i="32"/>
  <c r="P173" i="32"/>
  <c r="S173" i="32"/>
  <c r="T173" i="32"/>
  <c r="Z173" i="32"/>
  <c r="R173" i="32"/>
  <c r="O173" i="32"/>
  <c r="Y173" i="32"/>
  <c r="Q173" i="32"/>
  <c r="D23" i="6"/>
  <c r="C155" i="29" l="1"/>
  <c r="E96" i="6"/>
  <c r="C19" i="6"/>
  <c r="D19" i="6" l="1"/>
  <c r="F87" i="6"/>
  <c r="F55" i="6"/>
  <c r="F28" i="6"/>
  <c r="F39" i="6"/>
  <c r="C162" i="29"/>
  <c r="C166" i="29" s="1"/>
  <c r="C175" i="29" s="1"/>
  <c r="F102" i="6"/>
  <c r="F95" i="6"/>
  <c r="F103" i="6"/>
  <c r="C124" i="30"/>
  <c r="F124" i="30" s="1"/>
  <c r="F146" i="30" s="1"/>
  <c r="D21" i="6"/>
  <c r="C29" i="29" l="1"/>
  <c r="C25" i="16"/>
  <c r="F107" i="6"/>
  <c r="F112" i="6"/>
  <c r="F43" i="6"/>
  <c r="F46" i="6"/>
  <c r="F75" i="6"/>
  <c r="F66" i="6"/>
  <c r="F90" i="6"/>
  <c r="F110" i="6"/>
  <c r="F72" i="6"/>
  <c r="F108" i="6"/>
  <c r="F105" i="6"/>
  <c r="F56" i="6"/>
  <c r="F88" i="6"/>
  <c r="F92" i="6"/>
  <c r="F97" i="6"/>
  <c r="F59" i="6"/>
  <c r="F96" i="6"/>
  <c r="F81" i="6"/>
  <c r="F93" i="6"/>
  <c r="F49" i="6"/>
  <c r="F65" i="6"/>
  <c r="F100" i="6"/>
  <c r="F89" i="6"/>
  <c r="F31" i="6"/>
  <c r="F69" i="6"/>
  <c r="F62" i="6"/>
  <c r="F101" i="6"/>
  <c r="F40" i="6"/>
  <c r="F99" i="6"/>
  <c r="F78" i="6"/>
  <c r="F109" i="6"/>
  <c r="F111" i="6"/>
  <c r="F84" i="6"/>
  <c r="F52" i="6"/>
  <c r="F91" i="6"/>
  <c r="F98" i="6"/>
  <c r="F104" i="6"/>
  <c r="F34" i="6"/>
  <c r="F94" i="6"/>
  <c r="F27" i="6" l="1"/>
  <c r="C177" i="29"/>
  <c r="AG14" i="30" s="1"/>
  <c r="C178" i="29" l="1"/>
  <c r="C28" i="29"/>
  <c r="C30" i="29" s="1"/>
  <c r="C24" i="16"/>
  <c r="C26" i="16" s="1"/>
  <c r="AB14" i="30"/>
  <c r="W14" i="30"/>
  <c r="C27" i="29" l="1"/>
  <c r="C23" i="16"/>
  <c r="W18" i="30"/>
  <c r="W23" i="30"/>
  <c r="W24" i="30"/>
  <c r="W28" i="30"/>
  <c r="X26" i="30"/>
  <c r="X24" i="30"/>
  <c r="W50" i="30"/>
  <c r="W30" i="30"/>
  <c r="X20" i="30"/>
  <c r="X21" i="30"/>
  <c r="W17" i="30"/>
  <c r="W20" i="30"/>
  <c r="X22" i="30"/>
  <c r="X17" i="30"/>
  <c r="W31" i="30"/>
  <c r="W22" i="30"/>
  <c r="W25" i="30"/>
  <c r="X25" i="30"/>
  <c r="X18" i="30"/>
  <c r="W27" i="30"/>
  <c r="W26" i="30"/>
  <c r="X23" i="30"/>
  <c r="W29" i="30"/>
  <c r="W19" i="30"/>
  <c r="X19" i="30"/>
  <c r="X31" i="30"/>
  <c r="X27" i="30"/>
  <c r="W21" i="30"/>
  <c r="X29" i="30"/>
  <c r="X28" i="30"/>
  <c r="X30" i="30"/>
  <c r="AC21" i="30"/>
  <c r="AB19" i="30"/>
  <c r="AH20" i="30"/>
  <c r="AC19" i="30"/>
  <c r="AB17" i="30"/>
  <c r="AH21" i="30"/>
  <c r="AB20" i="30"/>
  <c r="AG17" i="30"/>
  <c r="AH19" i="30"/>
  <c r="AB18" i="30"/>
  <c r="AC20" i="30"/>
  <c r="AH18" i="30"/>
  <c r="AG20" i="30"/>
  <c r="AC18" i="30"/>
  <c r="AC17" i="30"/>
  <c r="AH17" i="30"/>
  <c r="AG18" i="30"/>
  <c r="AB21" i="30"/>
  <c r="AG21" i="30"/>
  <c r="AG19" i="30"/>
  <c r="H72" i="32" l="1"/>
  <c r="BY72" i="32" s="1"/>
  <c r="BX76" i="32" s="1"/>
  <c r="Y19" i="30"/>
  <c r="Y20" i="30"/>
  <c r="AI18" i="30"/>
  <c r="Y26" i="30"/>
  <c r="Y22" i="30"/>
  <c r="Y27" i="30"/>
  <c r="AI20" i="30"/>
  <c r="Y21" i="30"/>
  <c r="Y28" i="30"/>
  <c r="Y30" i="30"/>
  <c r="AH47" i="30"/>
  <c r="AH48" i="30" s="1"/>
  <c r="AI17" i="30"/>
  <c r="AG47" i="30"/>
  <c r="Y29" i="30"/>
  <c r="Y31" i="30"/>
  <c r="AC47" i="30"/>
  <c r="AC48" i="30" s="1"/>
  <c r="AD20" i="30"/>
  <c r="X47" i="30"/>
  <c r="X48" i="30" s="1"/>
  <c r="AB47" i="30"/>
  <c r="AB48" i="30" s="1"/>
  <c r="AD17" i="30"/>
  <c r="AI19" i="30"/>
  <c r="Y17" i="30"/>
  <c r="W47" i="30"/>
  <c r="W48" i="30" s="1"/>
  <c r="Y24" i="30"/>
  <c r="Y23" i="30"/>
  <c r="AI21" i="30"/>
  <c r="AD21" i="30"/>
  <c r="AD18" i="30"/>
  <c r="AD19" i="30"/>
  <c r="Y25" i="30"/>
  <c r="Y18" i="30"/>
  <c r="BU72" i="32" l="1"/>
  <c r="BT76" i="32" s="1"/>
  <c r="BV72" i="32"/>
  <c r="BU76" i="32" s="1"/>
  <c r="BP72" i="32"/>
  <c r="BO76" i="32" s="1"/>
  <c r="BQ72" i="32"/>
  <c r="BP76" i="32" s="1"/>
  <c r="BN80" i="32" s="1"/>
  <c r="E144" i="32" s="1"/>
  <c r="E133" i="32" s="1"/>
  <c r="BS72" i="32"/>
  <c r="BR76" i="32" s="1"/>
  <c r="BW72" i="32"/>
  <c r="BV76" i="32" s="1"/>
  <c r="BP80" i="32" s="1"/>
  <c r="G144" i="32" s="1"/>
  <c r="G133" i="32" s="1"/>
  <c r="F53" i="16" s="1"/>
  <c r="BT72" i="32"/>
  <c r="BS76" i="32" s="1"/>
  <c r="BO80" i="32" s="1"/>
  <c r="F144" i="32" s="1"/>
  <c r="F133" i="32" s="1"/>
  <c r="E53" i="16" s="1"/>
  <c r="BZ72" i="32"/>
  <c r="BY76" i="32" s="1"/>
  <c r="BQ80" i="32" s="1"/>
  <c r="H144" i="32" s="1"/>
  <c r="H133" i="32" s="1"/>
  <c r="G53" i="16" s="1"/>
  <c r="BX72" i="32"/>
  <c r="BW76" i="32" s="1"/>
  <c r="BQ79" i="32" s="1"/>
  <c r="H131" i="32" s="1"/>
  <c r="G51" i="16" s="1"/>
  <c r="G52" i="16" s="1"/>
  <c r="BR72" i="32"/>
  <c r="BQ76" i="32" s="1"/>
  <c r="BO72" i="32"/>
  <c r="BN76" i="32" s="1"/>
  <c r="Y48" i="30"/>
  <c r="W49" i="30"/>
  <c r="AD47" i="30"/>
  <c r="AD48" i="30"/>
  <c r="AB49" i="30"/>
  <c r="AI47" i="30"/>
  <c r="AG48" i="30"/>
  <c r="AG49" i="30" s="1"/>
  <c r="D193" i="32" s="1"/>
  <c r="N193" i="32" s="1"/>
  <c r="N220" i="32" s="1"/>
  <c r="Y47" i="30"/>
  <c r="BN79" i="32" l="1"/>
  <c r="E131" i="32" s="1"/>
  <c r="D51" i="16" s="1"/>
  <c r="D52" i="16" s="1"/>
  <c r="BP79" i="32"/>
  <c r="G131" i="32" s="1"/>
  <c r="F51" i="16" s="1"/>
  <c r="F52" i="16" s="1"/>
  <c r="F54" i="16" s="1"/>
  <c r="BO79" i="32"/>
  <c r="F131" i="32" s="1"/>
  <c r="E51" i="16" s="1"/>
  <c r="E52" i="16" s="1"/>
  <c r="E54" i="16" s="1"/>
  <c r="G54" i="16"/>
  <c r="D53" i="16"/>
  <c r="J152" i="32"/>
  <c r="AI48" i="30"/>
  <c r="D54" i="16" l="1"/>
  <c r="Y193" i="32"/>
  <c r="Y220" i="32" s="1"/>
  <c r="K152" i="32"/>
  <c r="J176" i="32"/>
  <c r="K176" i="32" s="1"/>
  <c r="X193" i="32" l="1"/>
  <c r="X220" i="32" s="1"/>
  <c r="V193" i="32"/>
  <c r="V220" i="32" s="1"/>
  <c r="R193" i="32"/>
  <c r="R220" i="32" s="1"/>
  <c r="Q193" i="32"/>
  <c r="Q220" i="32" s="1"/>
  <c r="T193" i="32"/>
  <c r="T220" i="32" s="1"/>
  <c r="S193" i="32"/>
  <c r="S220" i="32" s="1"/>
  <c r="U193" i="32"/>
  <c r="U220" i="32" s="1"/>
  <c r="P193" i="32"/>
  <c r="P220" i="32" s="1"/>
  <c r="O193" i="32"/>
  <c r="O220" i="32" s="1"/>
  <c r="W193" i="32"/>
  <c r="W220" i="32" s="1"/>
  <c r="Y176" i="32"/>
  <c r="Y180" i="32" s="1"/>
  <c r="U176" i="32"/>
  <c r="U180" i="32" s="1"/>
  <c r="O176" i="32"/>
  <c r="O180" i="32" s="1"/>
  <c r="S176" i="32"/>
  <c r="S180" i="32" s="1"/>
  <c r="P176" i="32"/>
  <c r="P180" i="32" s="1"/>
  <c r="W176" i="32"/>
  <c r="W180" i="32" s="1"/>
  <c r="Q184" i="32" s="1"/>
  <c r="Z176" i="32"/>
  <c r="Z180" i="32" s="1"/>
  <c r="R184" i="32" s="1"/>
  <c r="R176" i="32"/>
  <c r="R180" i="32" s="1"/>
  <c r="T176" i="32"/>
  <c r="T180" i="32" s="1"/>
  <c r="P184" i="32" s="1"/>
  <c r="Q176" i="32"/>
  <c r="Q180" i="32" s="1"/>
  <c r="O184" i="32" s="1"/>
  <c r="X176" i="32"/>
  <c r="X180" i="32" s="1"/>
  <c r="V176" i="32"/>
  <c r="V180" i="32" s="1"/>
  <c r="N224" i="32" l="1"/>
  <c r="D229" i="32" s="1"/>
  <c r="D61" i="16" s="1"/>
  <c r="P224" i="32"/>
  <c r="F229" i="32" s="1"/>
  <c r="F61" i="16" s="1"/>
  <c r="Q224" i="32"/>
  <c r="G229" i="32" s="1"/>
  <c r="G61" i="16" s="1"/>
  <c r="O224" i="32"/>
  <c r="E229" i="32" s="1"/>
  <c r="E61" i="16" s="1"/>
  <c r="R183" i="32"/>
  <c r="G228" i="32" s="1"/>
  <c r="G60" i="16" s="1"/>
  <c r="Q183" i="32"/>
  <c r="F228" i="32" s="1"/>
  <c r="F60" i="16" s="1"/>
  <c r="O183" i="32"/>
  <c r="D228" i="32" s="1"/>
  <c r="D60" i="16" s="1"/>
  <c r="P183" i="32"/>
  <c r="E228" i="32" s="1"/>
  <c r="E60" i="16" s="1"/>
  <c r="F62" i="16" l="1"/>
  <c r="E62" i="16"/>
  <c r="G62" i="16"/>
  <c r="D62" i="16"/>
  <c r="E23"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Stefek, Jeremy</author>
  </authors>
  <commentList>
    <comment ref="F24" authorId="0" shapeId="0" xr:uid="{A587073E-7B9F-494E-992D-AF518D5E329F}">
      <text>
        <r>
          <rPr>
            <sz val="9"/>
            <color indexed="81"/>
            <rFont val="Tahoma"/>
            <family val="2"/>
          </rPr>
          <t>Do not change Plant Capacity. Change the Number of Turbines to calculate the plant capacity.</t>
        </r>
      </text>
    </comment>
    <comment ref="F89" authorId="0" shapeId="0" xr:uid="{59D94CAD-C56E-4781-8CB5-7B151AD5CE19}">
      <text>
        <r>
          <rPr>
            <sz val="9"/>
            <color rgb="FF000000"/>
            <rFont val="Tahoma"/>
            <family val="2"/>
          </rPr>
          <t>In testing some large farms, it is possible to get an (illegible to most) error due to the substation could become so large that a vessel cannot carry its components. Please increase the number of substations and rerun the scenario.</t>
        </r>
      </text>
    </comment>
    <comment ref="F95" authorId="0" shapeId="0" xr:uid="{E5B3FF62-9DD4-41DB-9789-872DA81C1F51}">
      <text>
        <r>
          <rPr>
            <sz val="9"/>
            <color indexed="81"/>
            <rFont val="Tahoma"/>
            <family val="2"/>
          </rPr>
          <t>When a fixed-bottom substructure is selected, the user has an option to model a WTIV or heavy lift vessel. ORBIT models the cost of the installation strategy.</t>
        </r>
      </text>
    </comment>
    <comment ref="F105" authorId="0" shapeId="0" xr:uid="{56715852-E423-4B00-A9FC-E0637B5CF643}">
      <text>
        <r>
          <rPr>
            <sz val="9"/>
            <color indexed="81"/>
            <rFont val="Tahoma"/>
            <family val="2"/>
          </rPr>
          <t>When a floating substation is selected, a support vessel and towing vessel is deployed.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Stefek, Jeremy</author>
  </authors>
  <commentList>
    <comment ref="O27" authorId="0" shapeId="0" xr:uid="{035F3B78-B6B6-4804-B309-67235306A891}">
      <text>
        <r>
          <rPr>
            <sz val="9"/>
            <color indexed="81"/>
            <rFont val="Tahoma"/>
            <family val="2"/>
          </rPr>
          <t>O&amp;M cost data source: https://www.nrel.gov/docs/fy16osti/66262.pdf</t>
        </r>
      </text>
    </comment>
    <comment ref="O28" authorId="0" shapeId="0" xr:uid="{EA959444-8475-4131-B781-C46F79D12B46}">
      <text>
        <r>
          <rPr>
            <sz val="9"/>
            <color indexed="81"/>
            <rFont val="Tahoma"/>
            <family val="2"/>
          </rPr>
          <t>O&amp;M cost data source: https://www.nrel.gov/docs/fy16osti/66262.pdf</t>
        </r>
      </text>
    </comment>
    <comment ref="O35" authorId="0" shapeId="0" xr:uid="{B06364D3-BF3C-4868-95F2-6A10FE0F9EC1}">
      <text>
        <r>
          <rPr>
            <sz val="9"/>
            <color indexed="81"/>
            <rFont val="Tahoma"/>
            <family val="2"/>
          </rPr>
          <t>Including project management and administration, marine management, weather forecasting, condition monitoring</t>
        </r>
      </text>
    </comment>
    <comment ref="O39" authorId="0" shapeId="0" xr:uid="{359C117F-A956-4926-947D-6737C479E397}">
      <text>
        <r>
          <rPr>
            <b/>
            <sz val="9"/>
            <color rgb="FF000000"/>
            <rFont val="Tahoma"/>
            <family val="2"/>
          </rPr>
          <t>Including submerge land-lease costs, transmission charges/rights, community benefit fund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Stefek, Jeremy</author>
  </authors>
  <commentList>
    <comment ref="D16" authorId="0" shapeId="0" xr:uid="{CCED12E1-3EAB-407F-A98A-921F3341E127}">
      <text>
        <r>
          <rPr>
            <sz val="9"/>
            <color indexed="81"/>
            <rFont val="Tahoma"/>
            <family val="2"/>
          </rPr>
          <t>Do not change Plant Capacity. Change the Number of Turbines to calculate the plant capacity.</t>
        </r>
      </text>
    </comment>
    <comment ref="D114" authorId="0" shapeId="0" xr:uid="{DFFFE71E-05FD-C14A-A11A-AFA6959FA93D}">
      <text>
        <r>
          <rPr>
            <sz val="9"/>
            <color indexed="81"/>
            <rFont val="Tahoma"/>
            <family val="2"/>
          </rPr>
          <t>Including project management and administration, marine management, weather forecasting, condition monitoring</t>
        </r>
      </text>
    </comment>
    <comment ref="D118" authorId="0" shapeId="0" xr:uid="{75C0D73B-5CEA-8041-9B58-1C75B202685B}">
      <text>
        <r>
          <rPr>
            <sz val="9"/>
            <color indexed="81"/>
            <rFont val="Tahoma"/>
            <family val="2"/>
          </rPr>
          <t>Including submerge land-lease costs, transmission charges/rights, community benefit fund.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Marshall Goldberg</author>
  </authors>
  <commentList>
    <comment ref="G39" authorId="0" shapeId="0" xr:uid="{CDB70D26-C574-4ABA-8456-B652BD0DD440}">
      <text>
        <r>
          <rPr>
            <sz val="8"/>
            <color rgb="FF000000"/>
            <rFont val="Tahoma"/>
            <family val="2"/>
          </rPr>
          <t xml:space="preserve">
Local Share is the percentage of expenditure spent in the state or local region where the plant is constructed.</t>
        </r>
      </text>
    </comment>
    <comment ref="B176" authorId="0" shapeId="0" xr:uid="{5DE3F1AE-13B0-C947-B5E7-2409445B132C}">
      <text>
        <r>
          <rPr>
            <b/>
            <sz val="8"/>
            <color rgb="FF000000"/>
            <rFont val="Tahoma"/>
            <family val="2"/>
          </rPr>
          <t xml:space="preserve">
</t>
        </r>
        <r>
          <rPr>
            <b/>
            <sz val="8"/>
            <color rgb="FF000000"/>
            <rFont val="Tahoma"/>
            <family val="2"/>
          </rPr>
          <t>If applicable, sales tax is automatically calculated based on equipment and material purchases and sales tax rate (entered below).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tc={296E9CDD-4667-FF4F-825B-90F7BE58B87A}</author>
    <author>Marshall Goldberg</author>
  </authors>
  <commentList>
    <comment ref="I14" authorId="0" shapeId="0" xr:uid="{296E9CDD-4667-FF4F-825B-90F7BE58B87A}">
      <text>
        <t>[Threaded comment]
Your version of Excel allows you to read this threaded comment; however, any edits to it will get removed if the file is opened in a newer version of Excel. Learn more: https://go.microsoft.com/fwlink/?linkid=870924
Comment:
    Connected to AT.</t>
      </text>
    </comment>
    <comment ref="B144" authorId="1" shapeId="0" xr:uid="{463DD0EA-0BA4-6B44-A157-036062DEA2EC}">
      <text>
        <r>
          <rPr>
            <b/>
            <sz val="8"/>
            <color rgb="FF000000"/>
            <rFont val="Tahoma"/>
            <family val="2"/>
          </rPr>
          <t xml:space="preserve">
</t>
        </r>
        <r>
          <rPr>
            <b/>
            <sz val="8"/>
            <color rgb="FF000000"/>
            <rFont val="Tahoma"/>
            <family val="2"/>
          </rPr>
          <t>If applicable, sales tax is automatically calculated based on equipment and material purchases and sales tax rate (entered below).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tc={EC07FDAA-B63E-2C46-B3AD-F11C066582DA}</author>
    <author>Stefek, Jeremy</author>
  </authors>
  <commentList>
    <comment ref="C65" authorId="0" shapeId="0" xr:uid="{EC07FDAA-B63E-2C46-B3AD-F11C066582DA}">
      <text>
        <t>[Threaded comment]
Your version of Excel allows you to read this threaded comment; however, any edits to it will get removed if the file is opened in a newer version of Excel. Learn more: https://go.microsoft.com/fwlink/?linkid=870924
Comment:
    There is a currently a bug in ORBIT where Spar and Semi NOTE: installations do not produce port costs. Jake is planning on working on it later today (most likely), so this should hopefully be fixed soon.
Reply:
    Thanks for the note.</t>
      </text>
    </comment>
    <comment ref="C94" authorId="1" shapeId="0" xr:uid="{DD5C018D-5E3E-3143-BF0A-1BEE183C8506}">
      <text>
        <r>
          <rPr>
            <b/>
            <sz val="9"/>
            <color rgb="FF000000"/>
            <rFont val="Tahoma"/>
            <family val="2"/>
          </rPr>
          <t>Stefek, Jeremy:</t>
        </r>
        <r>
          <rPr>
            <sz val="9"/>
            <color rgb="FF000000"/>
            <rFont val="Tahoma"/>
            <family val="2"/>
          </rPr>
          <t xml:space="preserve">
</t>
        </r>
        <r>
          <rPr>
            <sz val="9"/>
            <color rgb="FF000000"/>
            <rFont val="Tahoma"/>
            <family val="2"/>
          </rPr>
          <t>Source: https://www.nrel.gov/docs/fy16osti/66262.pdf</t>
        </r>
      </text>
    </comment>
  </commentList>
</comments>
</file>

<file path=xl/sharedStrings.xml><?xml version="1.0" encoding="utf-8"?>
<sst xmlns="http://schemas.openxmlformats.org/spreadsheetml/2006/main" count="6058" uniqueCount="1070">
  <si>
    <t>Jobs and Economic Development Impact Model - JEDI</t>
  </si>
  <si>
    <t xml:space="preserve">  Offshore Wind Tool</t>
  </si>
  <si>
    <t xml:space="preserve">        Single Wind Plant Scenario</t>
  </si>
  <si>
    <t>The Jobs and Economic Development Impact Model (JEDI) was developed to demonstrate the economic impacts associated with offshore wind power plants in the United States.  The primary goal in developing the state level model was to provide a tool for developers, renewable energy advocates,  government officials, decision makers and other potential users, to easily identify the local economic impacts associated with constructing and operating offshore wind power plants.</t>
  </si>
  <si>
    <r>
      <t xml:space="preserve">This models provides analysis for </t>
    </r>
    <r>
      <rPr>
        <b/>
        <sz val="11"/>
        <color theme="1"/>
        <rFont val="Calibri"/>
        <family val="2"/>
        <scheme val="minor"/>
      </rPr>
      <t>constructing a single offshore wind plant at a national, regional, or state level.</t>
    </r>
    <r>
      <rPr>
        <sz val="11"/>
        <color theme="1"/>
        <rFont val="Calibri"/>
        <family val="2"/>
        <scheme val="minor"/>
      </rPr>
      <t xml:space="preserve"> The JEDI model utilizes multipliers derived from IMPLAN data using the IMPLAN v3 software Social Accounting &amp; Impact Analysis Software. For more information on IMPLAN economic data, please visit: https://www.implan.com/.</t>
    </r>
  </si>
  <si>
    <t>Project Data Inputs - Step 1</t>
  </si>
  <si>
    <t>Step 1 Description</t>
  </si>
  <si>
    <r>
      <t xml:space="preserve">The inputs on this page model the balance of system costs an offshore wind plant using the Offshore Renewables Balance of-System and Installation Tool (ORBIT). Please visit https://www.nrel.gov/docs/fy20osti/77081.pdf for more information on the ORBIT model. Defaults inputs are provided based on average technology characteristics. To modify a default, please change the value in the white box. To calculate costs, </t>
    </r>
    <r>
      <rPr>
        <b/>
        <sz val="10"/>
        <color theme="1"/>
        <rFont val="Arial"/>
        <family val="2"/>
      </rPr>
      <t>click Calculate Costs</t>
    </r>
    <r>
      <rPr>
        <sz val="10"/>
        <color theme="1"/>
        <rFont val="Arial"/>
        <family val="2"/>
      </rPr>
      <t xml:space="preserve"> to Proceed to Step 2 - Cost Information.</t>
    </r>
  </si>
  <si>
    <t>ADVANCED INPUTS</t>
  </si>
  <si>
    <t>Category</t>
  </si>
  <si>
    <t>Units</t>
  </si>
  <si>
    <t>Input Value</t>
  </si>
  <si>
    <t>Note</t>
  </si>
  <si>
    <t>Project Parameters</t>
  </si>
  <si>
    <t>Project Name</t>
  </si>
  <si>
    <t>Project</t>
  </si>
  <si>
    <t>Economic Analysis Area</t>
  </si>
  <si>
    <t>State, Region</t>
  </si>
  <si>
    <t>Define Region</t>
  </si>
  <si>
    <t>Added in regions; let's align the wind speed numbers by states under each category</t>
  </si>
  <si>
    <t>Wind Plant Project Area</t>
  </si>
  <si>
    <t>New York - Atlantic Coast</t>
  </si>
  <si>
    <t>Year Construction Starts</t>
  </si>
  <si>
    <t>year</t>
  </si>
  <si>
    <t>Except for New York - Atlantic Coast = Atlantic Coast; New York Great Lakes = Great Lakes; Atlantic Coast = Atlantic Coast wind speeds</t>
  </si>
  <si>
    <t>Money Value (Dollar Year)</t>
  </si>
  <si>
    <t>Plant Characteristics</t>
  </si>
  <si>
    <t xml:space="preserve">Plant Capacity </t>
  </si>
  <si>
    <t>MW</t>
  </si>
  <si>
    <t>i</t>
  </si>
  <si>
    <t>Number of Turbines</t>
  </si>
  <si>
    <t>Array Layout</t>
  </si>
  <si>
    <t>Grid</t>
  </si>
  <si>
    <t>Row Spacing</t>
  </si>
  <si>
    <t># Rotor Diameters</t>
  </si>
  <si>
    <t>Turbine Spacing</t>
  </si>
  <si>
    <t>Turbine Design</t>
  </si>
  <si>
    <t>Turbine Selector</t>
  </si>
  <si>
    <t>SWT 6MW 154</t>
  </si>
  <si>
    <t xml:space="preserve">    Turbine Rating</t>
  </si>
  <si>
    <t xml:space="preserve">    Rotor Diameter</t>
  </si>
  <si>
    <t>m</t>
  </si>
  <si>
    <t xml:space="preserve">    Hub Height</t>
  </si>
  <si>
    <t xml:space="preserve">    Rated Wind Speed</t>
  </si>
  <si>
    <t>m/s</t>
  </si>
  <si>
    <t xml:space="preserve">    Blade Mass</t>
  </si>
  <si>
    <t>tonnes</t>
  </si>
  <si>
    <t xml:space="preserve">    Blade Deck Space</t>
  </si>
  <si>
    <t>m^2</t>
  </si>
  <si>
    <t xml:space="preserve">    Blade Length</t>
  </si>
  <si>
    <t xml:space="preserve">    Nacelle Mass</t>
  </si>
  <si>
    <t xml:space="preserve">    Nacelle Deck Space</t>
  </si>
  <si>
    <t xml:space="preserve">    Tower Mass</t>
  </si>
  <si>
    <t xml:space="preserve">    Tower Deck Space</t>
  </si>
  <si>
    <t xml:space="preserve">    Tower Length</t>
  </si>
  <si>
    <t xml:space="preserve">    # of Tower Sections</t>
  </si>
  <si>
    <t>Site Characteristics</t>
  </si>
  <si>
    <t>Site Depth</t>
  </si>
  <si>
    <t>Mean Windspeed</t>
  </si>
  <si>
    <t>Distance: Port to Site</t>
  </si>
  <si>
    <t>km</t>
  </si>
  <si>
    <t>Distance: Site to Offshore Substation</t>
  </si>
  <si>
    <t>Distance: Offshore Substation to Landfall</t>
  </si>
  <si>
    <t>Distance: Landfall to Interconnection</t>
  </si>
  <si>
    <t>Landfall Trench Length</t>
  </si>
  <si>
    <t>Substructure Design</t>
  </si>
  <si>
    <t>Substructure Type</t>
  </si>
  <si>
    <t>Monopile</t>
  </si>
  <si>
    <t>Looks like we didn’t set up a takt_time input here , is this of value? I have hard-coded the ORBIT floating example value for this so the numbers line up. "Suction Pile" should be default for floating.</t>
  </si>
  <si>
    <t>Foundation Type</t>
  </si>
  <si>
    <t>Mooring Anchor Type</t>
  </si>
  <si>
    <t>Drag Embedment</t>
  </si>
  <si>
    <t># Mooring Lines</t>
  </si>
  <si>
    <t>Scour Protection</t>
  </si>
  <si>
    <t>$/tonne</t>
  </si>
  <si>
    <t>Electrical Infrastructure</t>
  </si>
  <si>
    <t>Export Cable Selector</t>
  </si>
  <si>
    <t>XLPE 1000m 220kV</t>
  </si>
  <si>
    <t xml:space="preserve">    AC Resistance</t>
  </si>
  <si>
    <t>ohms/km</t>
  </si>
  <si>
    <t xml:space="preserve">    Capacitance</t>
  </si>
  <si>
    <t>F/km</t>
  </si>
  <si>
    <t xml:space="preserve">    Conductor Size</t>
  </si>
  <si>
    <t>mm^2</t>
  </si>
  <si>
    <t xml:space="preserve">    Current Capacity</t>
  </si>
  <si>
    <t>A</t>
  </si>
  <si>
    <t xml:space="preserve">    Inductance</t>
  </si>
  <si>
    <t>MHz/km</t>
  </si>
  <si>
    <t xml:space="preserve">    Linear Density</t>
  </si>
  <si>
    <t>tonnes/km</t>
  </si>
  <si>
    <t xml:space="preserve">    Rated Voltage</t>
  </si>
  <si>
    <t>kV</t>
  </si>
  <si>
    <t xml:space="preserve">    Cost</t>
  </si>
  <si>
    <t>$/km</t>
  </si>
  <si>
    <t>Redundant Export Cable</t>
  </si>
  <si>
    <t>cables</t>
  </si>
  <si>
    <t>Additional Export Cable Length</t>
  </si>
  <si>
    <t>%</t>
  </si>
  <si>
    <t>Array Cable Selector</t>
  </si>
  <si>
    <t>XLPE 185mm 66kV</t>
  </si>
  <si>
    <t>Should we have a free_cable_length input? I have hard-coded it for now to get the fixed/floating examples to match up.</t>
  </si>
  <si>
    <t>Second Array Cable Selector</t>
  </si>
  <si>
    <t>None</t>
  </si>
  <si>
    <t>Additional Array Cable Length</t>
  </si>
  <si>
    <t># Offshore Substations</t>
  </si>
  <si>
    <t>Port Characteristics</t>
  </si>
  <si>
    <t>Port Name</t>
  </si>
  <si>
    <t>Looks like we didn’t set up a sub_assembly_lines input here, is this of value?</t>
  </si>
  <si>
    <t>Port Rate</t>
  </si>
  <si>
    <t>$/month</t>
  </si>
  <si>
    <t># Cranes</t>
  </si>
  <si>
    <t>Vessel Deployment</t>
  </si>
  <si>
    <t>Fixed-Bottom Installation</t>
  </si>
  <si>
    <t>Heavy Lift Vessel</t>
  </si>
  <si>
    <t xml:space="preserve">    # Vessels</t>
  </si>
  <si>
    <t xml:space="preserve">    Day Rate</t>
  </si>
  <si>
    <t>Scour Protection Installation Vessel</t>
  </si>
  <si>
    <t>Floating Installation</t>
  </si>
  <si>
    <t>Support Vessel</t>
  </si>
  <si>
    <t>Towing Vessel</t>
  </si>
  <si>
    <t># Towing Groups</t>
  </si>
  <si>
    <t>Offshore Substation Installation</t>
  </si>
  <si>
    <t xml:space="preserve">Cabling Installation </t>
  </si>
  <si>
    <t>Array Cable Installation Vessel</t>
  </si>
  <si>
    <t>I think we need to have an option for a combined lay/bury or lay, the bury, but open here.</t>
  </si>
  <si>
    <t>Export Cable Installation Vessel</t>
  </si>
  <si>
    <t>If we don't have this option, the fixed example will not match up, but for now I have put it as a separate process for export cables so it aligns with the ORBIT fixed example.</t>
  </si>
  <si>
    <t>Project Cost - Step 2</t>
  </si>
  <si>
    <t>Step 2 Description</t>
  </si>
  <si>
    <t>This page provides the cost data inputs for the input-output economic impact model framework. Turbine component costs are based on the 2019 Cost of Wind Energy Review (NREL): https://www.nrel.gov/docs/fy21osti/78471.pdf. Balance of system and soft costs are modeled using the ORBIT model using inputs from Step 1. Annual operating expenditures are based on IEA Wind Task 26 Offshore Wind Farm Baseline Documentation: https://www.nrel.gov/docs/fy16osti/66262.pdf. The 'Enter Turbine Component Details' allows a user to specify the cost and local share in more detail for parts and materials. White boxes are inputs; grey boxes indicate a calculated cell.</t>
  </si>
  <si>
    <t>COST SUMMARY</t>
  </si>
  <si>
    <t>Input</t>
  </si>
  <si>
    <t>Cost Per kW</t>
  </si>
  <si>
    <t>Plant Capacity (MW)</t>
  </si>
  <si>
    <t>Total CapEx</t>
  </si>
  <si>
    <t xml:space="preserve">    Turbine Component Costs</t>
  </si>
  <si>
    <t xml:space="preserve">    Balance of System Costs</t>
  </si>
  <si>
    <t xml:space="preserve">    Soft Costs</t>
  </si>
  <si>
    <t>Total OpEx (annual)</t>
  </si>
  <si>
    <t>CAPITAL EXPENDITURES (CapEx)</t>
  </si>
  <si>
    <t>ANNUAL OPERATIONAL EXPENDITURES (OpEx)</t>
  </si>
  <si>
    <t>Cost</t>
  </si>
  <si>
    <t>Breakdown</t>
  </si>
  <si>
    <t>% of Total Cost</t>
  </si>
  <si>
    <t>Turbine Component Costs</t>
  </si>
  <si>
    <t>Total OpEx</t>
  </si>
  <si>
    <t>Nacelle/Drivetrain</t>
  </si>
  <si>
    <t>Maintenance</t>
  </si>
  <si>
    <t xml:space="preserve">    Materials</t>
  </si>
  <si>
    <t>Offshore Maintenance</t>
  </si>
  <si>
    <t xml:space="preserve">    Labor</t>
  </si>
  <si>
    <t xml:space="preserve">    Technicians (Labor)</t>
  </si>
  <si>
    <t>Blades</t>
  </si>
  <si>
    <t xml:space="preserve">    Spare Parts</t>
  </si>
  <si>
    <t xml:space="preserve">    Vessels</t>
  </si>
  <si>
    <t>Onshore Electric Maintenance</t>
  </si>
  <si>
    <t>Towers</t>
  </si>
  <si>
    <t>Operations</t>
  </si>
  <si>
    <t>Operation, Management and General Administration</t>
  </si>
  <si>
    <t>Operating Facilities</t>
  </si>
  <si>
    <t>Environmental, Health, and Safety Monitoring</t>
  </si>
  <si>
    <t>Balance of System Costs</t>
  </si>
  <si>
    <t>Insurance</t>
  </si>
  <si>
    <t xml:space="preserve">Substructure and Foundation </t>
  </si>
  <si>
    <t>Annual leases and fees not included in "Financial Parameters" section</t>
  </si>
  <si>
    <t>Monopile Materials</t>
  </si>
  <si>
    <t>Monopile Labor</t>
  </si>
  <si>
    <t>FINANCIAL PARAMETERS</t>
  </si>
  <si>
    <t>Unit</t>
  </si>
  <si>
    <t>Scouring Protection Materials</t>
  </si>
  <si>
    <t>Debt Financing</t>
  </si>
  <si>
    <t>Scouring Protection Labor</t>
  </si>
  <si>
    <t>Debt financing (percent)</t>
  </si>
  <si>
    <t>Spar</t>
  </si>
  <si>
    <t>Interest rate</t>
  </si>
  <si>
    <t>Spar Materials</t>
  </si>
  <si>
    <t>Years financed (term)</t>
  </si>
  <si>
    <t>years</t>
  </si>
  <si>
    <t>Spar Labor</t>
  </si>
  <si>
    <t>Bank fees (percent of debt)</t>
  </si>
  <si>
    <t>Semisubmersible</t>
  </si>
  <si>
    <t>Equity Financing/Repayment</t>
  </si>
  <si>
    <t>Semisubmersible Materials</t>
  </si>
  <si>
    <t>Equity financing (percentage)</t>
  </si>
  <si>
    <t>Semisubmersible Labor</t>
  </si>
  <si>
    <t>Return on equity (annual percent rate)</t>
  </si>
  <si>
    <t>Mooring System</t>
  </si>
  <si>
    <t>Repayment term (years)</t>
  </si>
  <si>
    <t>Mooring System Materials</t>
  </si>
  <si>
    <t>Individual Investors (percent of total equity)</t>
  </si>
  <si>
    <t>Mooring Systems Labor</t>
  </si>
  <si>
    <t>Corporate Investors (percent of total equity)</t>
  </si>
  <si>
    <t>Electrical Infrastructure Components</t>
  </si>
  <si>
    <t>Sales Taxes</t>
  </si>
  <si>
    <t>Array Cable System</t>
  </si>
  <si>
    <t>Capital/construction sales and use tax rate on materials</t>
  </si>
  <si>
    <t xml:space="preserve">    Materials </t>
  </si>
  <si>
    <t>Operations and maintenance sales and use tax rate on materials</t>
  </si>
  <si>
    <t>Other</t>
  </si>
  <si>
    <t>Export Cable System</t>
  </si>
  <si>
    <t>Assumed project life</t>
  </si>
  <si>
    <t>LABOR PARAMETERS</t>
  </si>
  <si>
    <t>Offshore Substation</t>
  </si>
  <si>
    <t>Annual</t>
  </si>
  <si>
    <t>CapEx Salaries by Occupation</t>
  </si>
  <si>
    <t>Foundation</t>
  </si>
  <si>
    <t>Assembly and Installation</t>
  </si>
  <si>
    <t>Scour</t>
  </si>
  <si>
    <t>Mooring</t>
  </si>
  <si>
    <t xml:space="preserve">    Vessel </t>
  </si>
  <si>
    <t xml:space="preserve">Turbine </t>
  </si>
  <si>
    <t>Cabling</t>
  </si>
  <si>
    <t>OpEx Salaries by Occupation</t>
  </si>
  <si>
    <t>Management</t>
  </si>
  <si>
    <t>Technician</t>
  </si>
  <si>
    <t>Array Cable</t>
  </si>
  <si>
    <t>Export Cable</t>
  </si>
  <si>
    <t>Ports and Staging</t>
  </si>
  <si>
    <t>Development and Other Project Costs</t>
  </si>
  <si>
    <t>Site Auction Price</t>
  </si>
  <si>
    <t>BOEM Review</t>
  </si>
  <si>
    <t>Construction Operations Plan</t>
  </si>
  <si>
    <t>Design Install Plan</t>
  </si>
  <si>
    <t>Site Assessment Plan</t>
  </si>
  <si>
    <t>Site Assessment Activities</t>
  </si>
  <si>
    <t>Onshore Transmission</t>
  </si>
  <si>
    <t>Engineering and Management</t>
  </si>
  <si>
    <t xml:space="preserve">    Construction Operations</t>
  </si>
  <si>
    <t>Other/Miscellaneous</t>
  </si>
  <si>
    <t>Soft Costs</t>
  </si>
  <si>
    <t>Commissioning</t>
  </si>
  <si>
    <t>Construction Finance</t>
  </si>
  <si>
    <t>Construction Insurance</t>
  </si>
  <si>
    <t>Contingency</t>
  </si>
  <si>
    <t>Decommissioning</t>
  </si>
  <si>
    <t>Local Share - Step 3</t>
  </si>
  <si>
    <t>Step 3 Description</t>
  </si>
  <si>
    <t>Enter the percentage of each good or service that is manufactured or purchased within your selected state or region of analysis. Defaults are currently set to zero. Please revise each local content percentage based on the amount of cost spent within the region of analysis. In future OSW JEDI updates, NREL plans to release local content percentages on a state or regional basis, dependent on how the supply chain and OSW market develops.</t>
  </si>
  <si>
    <t>Local Content for CapEx</t>
  </si>
  <si>
    <t>Local Content</t>
  </si>
  <si>
    <t>Local Content for Annual OpEx</t>
  </si>
  <si>
    <t>Annual Leases and Fees</t>
  </si>
  <si>
    <t>Local financial institutions that receive interest</t>
  </si>
  <si>
    <t>Local banks that receive fees</t>
  </si>
  <si>
    <t>Percentage of local individual investors</t>
  </si>
  <si>
    <t>Percentage of local corporate investors</t>
  </si>
  <si>
    <t>Governments that receive sales/use taxes on construction/CapEx</t>
  </si>
  <si>
    <t>Governments that receive sales/use taxes on O&amp;M/OpEx</t>
  </si>
  <si>
    <t>Model Scenario - Step 4</t>
  </si>
  <si>
    <t>Step 4 Description</t>
  </si>
  <si>
    <t>This sheet provides a summary of the cost and local share percentages (inputs on prior worksheets) that are inputs into the input-output model economic framework. Please verify the inputs below. To make changes, please go back to the relevant step.</t>
  </si>
  <si>
    <t>Summary</t>
  </si>
  <si>
    <t>Project Description</t>
  </si>
  <si>
    <t>Year of Construction</t>
  </si>
  <si>
    <t>Nameplate Capacity (MW)</t>
  </si>
  <si>
    <t>Construction Summary</t>
  </si>
  <si>
    <t>Project Cost ($/kW)</t>
  </si>
  <si>
    <t>Total Local Expenditures</t>
  </si>
  <si>
    <t>Overall Construction Local Content</t>
  </si>
  <si>
    <t>O&amp;M Summary</t>
  </si>
  <si>
    <t>Operating Cost ($/kW)</t>
  </si>
  <si>
    <t>Annual Cost</t>
  </si>
  <si>
    <t>Overall O&amp;M Local Content</t>
  </si>
  <si>
    <t>Project Data - CAPEX</t>
  </si>
  <si>
    <t>Construction Costs</t>
  </si>
  <si>
    <t>Local Share</t>
  </si>
  <si>
    <t>Turbine Components</t>
  </si>
  <si>
    <t>Nacelle and Drivetrain</t>
  </si>
  <si>
    <t>Materials</t>
  </si>
  <si>
    <t>Optional turbine subcomponents entered?</t>
  </si>
  <si>
    <t>Bedplate</t>
  </si>
  <si>
    <t>Main bearing</t>
  </si>
  <si>
    <t>Main shaft</t>
  </si>
  <si>
    <t>Gearbox</t>
  </si>
  <si>
    <t>Generator</t>
  </si>
  <si>
    <t>Power take-off</t>
  </si>
  <si>
    <t>Control system</t>
  </si>
  <si>
    <t>Yaw system</t>
  </si>
  <si>
    <t>Yaw bearing</t>
  </si>
  <si>
    <t>Nacelle auxiliary systems</t>
  </si>
  <si>
    <t>Nacelle cover</t>
  </si>
  <si>
    <t>Small engineering components</t>
  </si>
  <si>
    <t>Structural fasteners</t>
  </si>
  <si>
    <t>BOS reallocation (not used yet)</t>
  </si>
  <si>
    <t>Labor</t>
  </si>
  <si>
    <t>Nacelle/Drivetrain Total</t>
  </si>
  <si>
    <t>Optional blade subcomponents entered?</t>
  </si>
  <si>
    <t>Aux. materials</t>
  </si>
  <si>
    <t>LPS</t>
  </si>
  <si>
    <t>T-bolt</t>
  </si>
  <si>
    <t>Adhesive Part B</t>
  </si>
  <si>
    <t>Adhesive part A</t>
  </si>
  <si>
    <t>Resin XP</t>
  </si>
  <si>
    <t>Resin LY</t>
  </si>
  <si>
    <t>Foam 50mm</t>
  </si>
  <si>
    <t>Foam 40mm</t>
  </si>
  <si>
    <t>Foam 20mm</t>
  </si>
  <si>
    <t>Gelcoat</t>
  </si>
  <si>
    <t>Fiberglass mat +/- 45</t>
  </si>
  <si>
    <t>Carbon mat</t>
  </si>
  <si>
    <t>Fiberglass mat</t>
  </si>
  <si>
    <t>Burden</t>
  </si>
  <si>
    <t>Sales, general, and administrative</t>
  </si>
  <si>
    <t>Engineering</t>
  </si>
  <si>
    <t>Logistics</t>
  </si>
  <si>
    <t>Profit</t>
  </si>
  <si>
    <t>Blades Total</t>
  </si>
  <si>
    <t>Optional tower subcomponents entered?</t>
  </si>
  <si>
    <t>Weld wire</t>
  </si>
  <si>
    <t>Bolts, washers, nuts</t>
  </si>
  <si>
    <t>Paint</t>
  </si>
  <si>
    <t>Flanges</t>
  </si>
  <si>
    <t>Door frame</t>
  </si>
  <si>
    <t>Steel plates</t>
  </si>
  <si>
    <t>Towers Total</t>
  </si>
  <si>
    <t>Turbine Equipment Subtotal</t>
  </si>
  <si>
    <t>Substructure and Foundation</t>
  </si>
  <si>
    <t>Substructure and Foundation Subtotal</t>
  </si>
  <si>
    <t>Offshore substation materials</t>
  </si>
  <si>
    <t>Offshore substation labor</t>
  </si>
  <si>
    <t>Electrical Infrastructure Components Subtotal</t>
  </si>
  <si>
    <t>Vessel</t>
  </si>
  <si>
    <t>Turbine</t>
  </si>
  <si>
    <t>Assembly and Installation Subtotal</t>
  </si>
  <si>
    <t>Ports and Staging Subtotal</t>
  </si>
  <si>
    <t>Development and Other Project Costs Subtotal</t>
  </si>
  <si>
    <t>Engineering and Management Subtotal</t>
  </si>
  <si>
    <t>Balance of System Subtotal</t>
  </si>
  <si>
    <t>Soft Costs Subtotal</t>
  </si>
  <si>
    <t>All Other/Miscellaneous</t>
  </si>
  <si>
    <t>Subtotal (all costs without taxes)</t>
  </si>
  <si>
    <t>Sales Tax (Material and Equipment Purchases)</t>
  </si>
  <si>
    <t>Total Construction Cost</t>
  </si>
  <si>
    <t>Construction cost/kW</t>
  </si>
  <si>
    <t>Project Data - OpEx</t>
  </si>
  <si>
    <t>Cost/Expenditure</t>
  </si>
  <si>
    <t>Maintenance subtotal</t>
  </si>
  <si>
    <t>Operations subtotal</t>
  </si>
  <si>
    <t>Sales taxes</t>
  </si>
  <si>
    <t>Operations and Maintenance Total</t>
  </si>
  <si>
    <t>Operations and Maintenance / kW</t>
  </si>
  <si>
    <t>Parameters Local Share</t>
  </si>
  <si>
    <t>Taxes and Fees</t>
  </si>
  <si>
    <t>Other Taxes and Payments</t>
  </si>
  <si>
    <t>Labor Parameters</t>
  </si>
  <si>
    <t/>
  </si>
  <si>
    <t>Construction Labor</t>
  </si>
  <si>
    <t>Offshore Annual Salaries</t>
  </si>
  <si>
    <t>General Construction</t>
  </si>
  <si>
    <t>O&amp;M Labor</t>
  </si>
  <si>
    <t>Economic Impact Results</t>
  </si>
  <si>
    <t>Description</t>
  </si>
  <si>
    <t>This sheet provides an estimate the number of jobs and economic impacts associated with an offshore wind power plant based on inputs in Steps 1-4. JEDI model results are displayed in two different time periods: construction and operations. Construction jobs are defined as full-time equivalents (FTE), or 2,080-hour units of labor. Operations-period results are long term, for the life of the project, and are reported as annual full-time-equivalent jobs and annual economic activity, which continue to occur throughout the operating life of the facility. For more information about JEDI results, visit: https://www.nrel.gov/analysis/jedi/results.html.</t>
  </si>
  <si>
    <t>Total Cost ($)</t>
  </si>
  <si>
    <t>Annual Cost ($)</t>
  </si>
  <si>
    <t>RESULTS - ECONOMIC IMPACTS</t>
  </si>
  <si>
    <t>Construction</t>
  </si>
  <si>
    <t>Jobs</t>
  </si>
  <si>
    <t xml:space="preserve">Earnings         </t>
  </si>
  <si>
    <t>Output</t>
  </si>
  <si>
    <t xml:space="preserve">Value Added </t>
  </si>
  <si>
    <t>FTE</t>
  </si>
  <si>
    <t>Installation Activities</t>
  </si>
  <si>
    <t>(Onsite)</t>
  </si>
  <si>
    <t>Array and Export Cabling</t>
  </si>
  <si>
    <t>Subtotal</t>
  </si>
  <si>
    <t>Component Manufacturing</t>
  </si>
  <si>
    <t>Nacelle</t>
  </si>
  <si>
    <t>and Supply Chain/</t>
  </si>
  <si>
    <t>Support Services</t>
  </si>
  <si>
    <t>Tower</t>
  </si>
  <si>
    <t>Array &amp; Export Cables</t>
  </si>
  <si>
    <t>Substation</t>
  </si>
  <si>
    <t>Installation, Development, and Other</t>
  </si>
  <si>
    <t>Induced</t>
  </si>
  <si>
    <t>Total</t>
  </si>
  <si>
    <t>Operations and Maintenance (Annual, Ongoing)</t>
  </si>
  <si>
    <t>Technicians and Management</t>
  </si>
  <si>
    <t>Supply Chain/Support Services</t>
  </si>
  <si>
    <t>Optional Turbine Subcomponents</t>
  </si>
  <si>
    <t>Optional Subset of Step 2 Description</t>
  </si>
  <si>
    <t>Nacelle/Drivetrain Materials and Local Content</t>
  </si>
  <si>
    <t>Customize subcomponents of nacelles/drivetrains? (Y/N)</t>
  </si>
  <si>
    <t>No</t>
  </si>
  <si>
    <t>Nacelle/Drivetrain cost entered in Project Costs - Step 2</t>
  </si>
  <si>
    <t>Cost ($ mil)</t>
  </si>
  <si>
    <t>Sum of nacelle/drivetrain subcomponents:</t>
  </si>
  <si>
    <t>Blades Materials and Local Content</t>
  </si>
  <si>
    <t>Customize subcomponents of blades? (Y/N)</t>
  </si>
  <si>
    <t>Blades materials cost entered in Project Costs - Step 2</t>
  </si>
  <si>
    <t>Lightning protection</t>
  </si>
  <si>
    <t>Sum of entered blades subcomponents:</t>
  </si>
  <si>
    <t>Towers Materials and Local Content</t>
  </si>
  <si>
    <t>Customize subcomponents of towers? (Y/N)</t>
  </si>
  <si>
    <t>Towers materials cost entered in Project Costs - Step 2</t>
  </si>
  <si>
    <t>Sum of entered subcomponents of towers</t>
  </si>
  <si>
    <t>User Add-In Location</t>
  </si>
  <si>
    <t>Data Year</t>
  </si>
  <si>
    <t>Sales/Use Tax Rate</t>
  </si>
  <si>
    <t>Direct Jobs per $ Million in Output</t>
  </si>
  <si>
    <t>Agriculture and Forestry</t>
  </si>
  <si>
    <t>Oil and Gas Extraction and Distribution</t>
  </si>
  <si>
    <t>NonFuel Mining and Quarrying</t>
  </si>
  <si>
    <t>Coal Mining</t>
  </si>
  <si>
    <t>Nuclear Mining</t>
  </si>
  <si>
    <t>Electricity Generation</t>
  </si>
  <si>
    <t>Electric TSD</t>
  </si>
  <si>
    <t>Non Elec Utilities</t>
  </si>
  <si>
    <t>Power Communication Construction</t>
  </si>
  <si>
    <t>Road Construction</t>
  </si>
  <si>
    <t>Building construction</t>
  </si>
  <si>
    <t>Other manufacturing</t>
  </si>
  <si>
    <t>Fiberglass and lightweight material manufacturing</t>
  </si>
  <si>
    <t>Cement and Concrete Product Manufacturing</t>
  </si>
  <si>
    <t>Metal and wire manufacturing</t>
  </si>
  <si>
    <t>Mechanical Components</t>
  </si>
  <si>
    <t>Semiconductors and Batteries</t>
  </si>
  <si>
    <t>Electrical Components</t>
  </si>
  <si>
    <t>Trade</t>
  </si>
  <si>
    <t>Land transportation</t>
  </si>
  <si>
    <t>Water transportation</t>
  </si>
  <si>
    <t>Information and general services</t>
  </si>
  <si>
    <t>Warehousing and storage</t>
  </si>
  <si>
    <t>Finance</t>
  </si>
  <si>
    <t>Engineering Legal Professional</t>
  </si>
  <si>
    <t>Leisure Hospitality and Recreation</t>
  </si>
  <si>
    <t>Government non-utility and other</t>
  </si>
  <si>
    <t>Indirect Jobs per $ Million in Output</t>
  </si>
  <si>
    <t>Induced Jobs per $ Million in Output</t>
  </si>
  <si>
    <t>Direct Earnings per $ Million in Output</t>
  </si>
  <si>
    <t>Indirect Earnings per $ Million in Output</t>
  </si>
  <si>
    <t>Induced Earnings per $ Million in Output</t>
  </si>
  <si>
    <t>Direct Output per $ Million in Output</t>
  </si>
  <si>
    <t>Indirect Output per $ Million in Output</t>
  </si>
  <si>
    <t>Induced Output per $ Million in Output</t>
  </si>
  <si>
    <t>Direct Value Added per $ Million in Output</t>
  </si>
  <si>
    <t>Indirect Value Added per $ Million in Output</t>
  </si>
  <si>
    <t>Induced Value Added per $ Million in Output</t>
  </si>
  <si>
    <t>Household Expenditure Distribution</t>
  </si>
  <si>
    <t>Adjustment Factors (only needed if you want to use your custom region with model defaults)</t>
  </si>
  <si>
    <t>Labor expenditures as a percentage of output in engineering and professional services (default = 0.47)</t>
  </si>
  <si>
    <t>Power comm construction factor</t>
  </si>
  <si>
    <t>Infra construction factor</t>
  </si>
  <si>
    <t>Blade Factor</t>
  </si>
  <si>
    <t>Metal and wire factor</t>
  </si>
  <si>
    <t>Mechanical factor</t>
  </si>
  <si>
    <t>Water transportation factor</t>
  </si>
  <si>
    <t>Calculations - Framework</t>
  </si>
  <si>
    <t>WARNING</t>
  </si>
  <si>
    <t>This worksheet contains data and formulas that are an integral part of the offshore wind JEDI model. Any changes to the data or formulas will impact the economic impact analysis and may invalidate the model results. This data and formulas must not be changed without economic impact input-output (I-O) model expertise. To unlock this worksheet, please contact JEDI.Support@nrel.gov.</t>
  </si>
  <si>
    <t>Sheet Description</t>
  </si>
  <si>
    <t>This sheet contains summary data and calculations used to produce impact result estimates. It will likely be hidden in the final model release to protect proprietary IMPLAN data.</t>
  </si>
  <si>
    <t>For default turbine values see columns AM+</t>
  </si>
  <si>
    <t>Loan</t>
  </si>
  <si>
    <t>Corporate Equity</t>
  </si>
  <si>
    <t>Personal Equity</t>
  </si>
  <si>
    <t>Project Defaults</t>
  </si>
  <si>
    <t>Purchased Local</t>
  </si>
  <si>
    <t>Local $ Spending</t>
  </si>
  <si>
    <t>Indicates Porting to Multipliers</t>
  </si>
  <si>
    <t>Data Organization - Linked to Construction</t>
  </si>
  <si>
    <t>Local $</t>
  </si>
  <si>
    <t>Debt - Loan Repayment Schedule</t>
  </si>
  <si>
    <t>Equity - Individual Investment Repayment Schedule</t>
  </si>
  <si>
    <t>Equity - Corporate Investment Repayment Schedule</t>
  </si>
  <si>
    <t>Default Major Component Manufacturing Breakdowns</t>
  </si>
  <si>
    <t>Year</t>
  </si>
  <si>
    <t>Interest Pmt</t>
  </si>
  <si>
    <t>Principal Pmt</t>
  </si>
  <si>
    <t>Total Pmt</t>
  </si>
  <si>
    <t xml:space="preserve">    Nacelle/Drivetrain</t>
  </si>
  <si>
    <t>Onsite Construction Labor</t>
  </si>
  <si>
    <t>Adjusted Percentages</t>
  </si>
  <si>
    <t>Default Costs</t>
  </si>
  <si>
    <t>User Defined Costs</t>
  </si>
  <si>
    <t>User Defined Content</t>
  </si>
  <si>
    <t xml:space="preserve">        Materials</t>
  </si>
  <si>
    <t>Nacelle Materials Cost</t>
  </si>
  <si>
    <t>&lt;- Given Cost</t>
  </si>
  <si>
    <t>Total User Given Turbine Expenditures</t>
  </si>
  <si>
    <t>Distribution</t>
  </si>
  <si>
    <t>Nacelle Electrical</t>
  </si>
  <si>
    <t>Nacelle Mechanical</t>
  </si>
  <si>
    <t>Nacelle Covers</t>
  </si>
  <si>
    <t>Nacelle Other</t>
  </si>
  <si>
    <t>Vessel Labor</t>
  </si>
  <si>
    <t>&lt;- Adjusted subcomponent default (estimated)</t>
  </si>
  <si>
    <t>Blade</t>
  </si>
  <si>
    <t>$/kW</t>
  </si>
  <si>
    <t>Default Cost</t>
  </si>
  <si>
    <t>Turbine cost</t>
  </si>
  <si>
    <t>User entered labor rates</t>
  </si>
  <si>
    <t xml:space="preserve">        Labor</t>
  </si>
  <si>
    <t>Given Total</t>
  </si>
  <si>
    <t xml:space="preserve">    Blades</t>
  </si>
  <si>
    <t>Blade Material Cost</t>
  </si>
  <si>
    <t>Default Vessel Labor Rates</t>
  </si>
  <si>
    <t>Defaut $2019</t>
  </si>
  <si>
    <t>Onsite CapEx</t>
  </si>
  <si>
    <t>Earnings</t>
  </si>
  <si>
    <t>Scour or Mooring</t>
  </si>
  <si>
    <t>AvgAnn</t>
  </si>
  <si>
    <t>Local Annual Interest</t>
  </si>
  <si>
    <t>Local</t>
  </si>
  <si>
    <t>Local Single Time Fees</t>
  </si>
  <si>
    <t>Parameters</t>
  </si>
  <si>
    <t>x</t>
  </si>
  <si>
    <t>Adjusted Total</t>
  </si>
  <si>
    <t xml:space="preserve">    Towers</t>
  </si>
  <si>
    <t>Tower Material Cost</t>
  </si>
  <si>
    <t>used elsewhere</t>
  </si>
  <si>
    <t>n/a</t>
  </si>
  <si>
    <t>Assumed Life</t>
  </si>
  <si>
    <t>Other Misc</t>
  </si>
  <si>
    <t>Government Payments (Regional)</t>
  </si>
  <si>
    <t>Turbine Subtotal</t>
  </si>
  <si>
    <t>Monopile or Floating</t>
  </si>
  <si>
    <t>O&amp;M Spending</t>
  </si>
  <si>
    <t>Given O&amp;M Rate(s)</t>
  </si>
  <si>
    <t>Default O&amp;M Labor Rate(s)</t>
  </si>
  <si>
    <t>Onsite O&amp;M Estimates</t>
  </si>
  <si>
    <t>Technicians</t>
  </si>
  <si>
    <t>All other misc</t>
  </si>
  <si>
    <t>Total Local</t>
  </si>
  <si>
    <t>Values for Yes/No boxes with controlled entries</t>
  </si>
  <si>
    <t>Yes</t>
  </si>
  <si>
    <t>Your Region</t>
  </si>
  <si>
    <t>Your Default Taxes</t>
  </si>
  <si>
    <t>Default finance data, not including tax rates</t>
  </si>
  <si>
    <t>Average Sales and Use Tax Rates by State</t>
  </si>
  <si>
    <t>United States</t>
  </si>
  <si>
    <t>Average</t>
  </si>
  <si>
    <t>Alabama</t>
  </si>
  <si>
    <t>California</t>
  </si>
  <si>
    <t>Connecticut</t>
  </si>
  <si>
    <t>Delaware</t>
  </si>
  <si>
    <t>Florida</t>
  </si>
  <si>
    <t>Georgia</t>
  </si>
  <si>
    <t>Hawaii</t>
  </si>
  <si>
    <t>Illinois</t>
  </si>
  <si>
    <t>Indiana</t>
  </si>
  <si>
    <t>Louisiana</t>
  </si>
  <si>
    <t>Maine</t>
  </si>
  <si>
    <t>Maryland</t>
  </si>
  <si>
    <t>Massachusetts</t>
  </si>
  <si>
    <t>Michigan</t>
  </si>
  <si>
    <t>Minnesota</t>
  </si>
  <si>
    <t>Property, royalty, lease (government) or other annual operations taxes</t>
  </si>
  <si>
    <t>Per MW capacity</t>
  </si>
  <si>
    <t>Mississippi</t>
  </si>
  <si>
    <t>New Hampshire</t>
  </si>
  <si>
    <t>New Jersey</t>
  </si>
  <si>
    <t>New York - Great Lakes</t>
  </si>
  <si>
    <t>North Carolina</t>
  </si>
  <si>
    <t>Ohio</t>
  </si>
  <si>
    <t>Oregon</t>
  </si>
  <si>
    <t>Pennsylvania</t>
  </si>
  <si>
    <t>Rhode Island</t>
  </si>
  <si>
    <t>South Carolina</t>
  </si>
  <si>
    <t>Texas</t>
  </si>
  <si>
    <t>Virginia</t>
  </si>
  <si>
    <t>Washington</t>
  </si>
  <si>
    <t>Wisconsin</t>
  </si>
  <si>
    <t>Atlantic Coast [Region]</t>
  </si>
  <si>
    <t>Gulf of Maine [Region]</t>
  </si>
  <si>
    <t>North Atlantic [Region]</t>
  </si>
  <si>
    <t>Mid-Atlantic [Region]</t>
  </si>
  <si>
    <t>South Atlantic [Region]</t>
  </si>
  <si>
    <t>Gulf of Mexico [Region]</t>
  </si>
  <si>
    <t>Great Lakes [Region]</t>
  </si>
  <si>
    <t>West Coast [Region]</t>
  </si>
  <si>
    <t>MyRegion</t>
  </si>
  <si>
    <t>IMPLAN Dollar Year</t>
  </si>
  <si>
    <t>Deflator</t>
  </si>
  <si>
    <t>Project Dollar Year</t>
  </si>
  <si>
    <t>?</t>
  </si>
  <si>
    <t>Turbines</t>
  </si>
  <si>
    <t>Nacelle Total</t>
  </si>
  <si>
    <t>Nacelles</t>
  </si>
  <si>
    <t>Thunderbolts and lightning (protection) very very frightening to meeeee</t>
  </si>
  <si>
    <t>VA</t>
  </si>
  <si>
    <t>Direct</t>
  </si>
  <si>
    <t>Indirect</t>
  </si>
  <si>
    <t>Oil and Gas Extraction</t>
  </si>
  <si>
    <t>Non Fuel Mining</t>
  </si>
  <si>
    <t>Nuclear Fuel</t>
  </si>
  <si>
    <t>Electric Power Generation</t>
  </si>
  <si>
    <t>Electricity TSD</t>
  </si>
  <si>
    <t>Other Utilities and Pipeline</t>
  </si>
  <si>
    <t>Power Construction</t>
  </si>
  <si>
    <t>Road Construction Maint</t>
  </si>
  <si>
    <t>Other Manufacturing</t>
  </si>
  <si>
    <t>Lightweight Manufacturing</t>
  </si>
  <si>
    <t>Concrete</t>
  </si>
  <si>
    <t>Wire and Metal</t>
  </si>
  <si>
    <t>Semiconductor and Battery</t>
  </si>
  <si>
    <t>Other Transportation</t>
  </si>
  <si>
    <t>Water Transportation</t>
  </si>
  <si>
    <t>Info and General Services</t>
  </si>
  <si>
    <t>Warehousing and Storage</t>
  </si>
  <si>
    <t>Engineering Legal Pro</t>
  </si>
  <si>
    <t>Leisure Hospitality Rec</t>
  </si>
  <si>
    <t>Gov Nonutility Other</t>
  </si>
  <si>
    <t>Goes to Induced</t>
  </si>
  <si>
    <t>Supply Chain</t>
  </si>
  <si>
    <t>Cables</t>
  </si>
  <si>
    <t>Ports &amp; Staging</t>
  </si>
  <si>
    <t>Construction &amp; Installation BOP &amp; Other</t>
  </si>
  <si>
    <t>Installation, Development, Other</t>
  </si>
  <si>
    <t>Construction and Installation Induced</t>
  </si>
  <si>
    <t>Onsite Labor</t>
  </si>
  <si>
    <t>Profits</t>
  </si>
  <si>
    <t>Total Induced Demand</t>
  </si>
  <si>
    <t>Supply Chain Subtotal</t>
  </si>
  <si>
    <t>O&amp;M</t>
  </si>
  <si>
    <t>Annual Leases and Fees and other</t>
  </si>
  <si>
    <t>O&amp;M Total</t>
  </si>
  <si>
    <t>Labor and Investor PCE ($mil)</t>
  </si>
  <si>
    <t>Onsite</t>
  </si>
  <si>
    <t>Phase</t>
  </si>
  <si>
    <t>Process</t>
  </si>
  <si>
    <t>Total Time (hours)</t>
  </si>
  <si>
    <t>ArrayCableInstallation</t>
  </si>
  <si>
    <t>Delay</t>
  </si>
  <si>
    <t>Lay/Bury Cable</t>
  </si>
  <si>
    <t>Load Cable</t>
  </si>
  <si>
    <t>Lower Cable</t>
  </si>
  <si>
    <t>Prepare Cable</t>
  </si>
  <si>
    <t>Pull In Cable</t>
  </si>
  <si>
    <t>Terminate Cable</t>
  </si>
  <si>
    <t>Transit</t>
  </si>
  <si>
    <t>Export Cable Burial Vessel</t>
  </si>
  <si>
    <t>ExportCableInstallation</t>
  </si>
  <si>
    <t>Bury Cable</t>
  </si>
  <si>
    <t>Lay Cable</t>
  </si>
  <si>
    <t>Pull Winch</t>
  </si>
  <si>
    <t>Tow Plow</t>
  </si>
  <si>
    <t>Feeder 0</t>
  </si>
  <si>
    <t>OffshoreSubstationInstallation</t>
  </si>
  <si>
    <t>Fasten Monopile</t>
  </si>
  <si>
    <t>Fasten Topside</t>
  </si>
  <si>
    <t>Jackdown</t>
  </si>
  <si>
    <t>Jackup</t>
  </si>
  <si>
    <t>Bolt TP</t>
  </si>
  <si>
    <t>Crane Reequip</t>
  </si>
  <si>
    <t>Drive Monopile</t>
  </si>
  <si>
    <t>Lower Monopile</t>
  </si>
  <si>
    <t>RovSurvey</t>
  </si>
  <si>
    <t>Upend Monopile</t>
  </si>
  <si>
    <t>SPI Vessel</t>
  </si>
  <si>
    <t>ScourProtectionInstallation</t>
  </si>
  <si>
    <t>Drop SP Material</t>
  </si>
  <si>
    <t>Load SP Material</t>
  </si>
  <si>
    <t>WTIV</t>
  </si>
  <si>
    <t>MonopileInstallation</t>
  </si>
  <si>
    <t>Fasten Transition Piece</t>
  </si>
  <si>
    <t>Lower TP</t>
  </si>
  <si>
    <t>TurbineInstallation</t>
  </si>
  <si>
    <t>Attach Blade</t>
  </si>
  <si>
    <t>Attach Nacelle</t>
  </si>
  <si>
    <t>Attach Tower Section</t>
  </si>
  <si>
    <t>Fasten Blade</t>
  </si>
  <si>
    <t>Fasten Nacelle</t>
  </si>
  <si>
    <t>Fasten Tower Section</t>
  </si>
  <si>
    <t>Lift Blade</t>
  </si>
  <si>
    <t>Lift Nacelle</t>
  </si>
  <si>
    <t>Lift Tower Section</t>
  </si>
  <si>
    <t>Ports and Staging Materials</t>
  </si>
  <si>
    <t>Ports and Staging Labor</t>
  </si>
  <si>
    <t xml:space="preserve">    Technicans</t>
  </si>
  <si>
    <t>Financial institutions that receive interest</t>
  </si>
  <si>
    <t>Banks that receive fees</t>
  </si>
  <si>
    <t>Individual Investors</t>
  </si>
  <si>
    <t>Corporate Investors</t>
  </si>
  <si>
    <t>Governemnts that receive sales/use taxes on O&amp;M/OpEx</t>
  </si>
  <si>
    <t>Governments that receive property, royalty, or other taxes on operation</t>
  </si>
  <si>
    <t>Multipliers</t>
  </si>
  <si>
    <t>This worksheet is proprietary and hidden</t>
  </si>
  <si>
    <t>Selected</t>
  </si>
  <si>
    <t>Multiplier Region</t>
  </si>
  <si>
    <t>Alaska</t>
  </si>
  <si>
    <t>Arizona</t>
  </si>
  <si>
    <t>Arkansas</t>
  </si>
  <si>
    <t>Colorado</t>
  </si>
  <si>
    <t>District of Columbia</t>
  </si>
  <si>
    <t>Idaho</t>
  </si>
  <si>
    <t>Iowa</t>
  </si>
  <si>
    <t>Kansas</t>
  </si>
  <si>
    <t>Kentucky</t>
  </si>
  <si>
    <t>Missouri</t>
  </si>
  <si>
    <t>Montana</t>
  </si>
  <si>
    <t>MyCounty</t>
  </si>
  <si>
    <t>Nebraska</t>
  </si>
  <si>
    <t>Nevada</t>
  </si>
  <si>
    <t>New Mexico</t>
  </si>
  <si>
    <t>New York</t>
  </si>
  <si>
    <t>North Dakota</t>
  </si>
  <si>
    <t>Oklahoma</t>
  </si>
  <si>
    <t>South Dakota</t>
  </si>
  <si>
    <t>Tennessee</t>
  </si>
  <si>
    <t>Utah</t>
  </si>
  <si>
    <t>Vermont</t>
  </si>
  <si>
    <t>West Virginia</t>
  </si>
  <si>
    <t>Wyoming</t>
  </si>
  <si>
    <t>Gulf of Mexico</t>
  </si>
  <si>
    <t>West Coast</t>
  </si>
  <si>
    <t>Atlantic Coast</t>
  </si>
  <si>
    <t>Great Lakes</t>
  </si>
  <si>
    <t>Mid-Atlantic</t>
  </si>
  <si>
    <t>Southern Atlantic</t>
  </si>
  <si>
    <t>Gulf of Maine</t>
  </si>
  <si>
    <t>North Atlantic</t>
  </si>
  <si>
    <t>User Selected</t>
  </si>
  <si>
    <t>Multiplier</t>
  </si>
  <si>
    <t>Jobs Direct</t>
  </si>
  <si>
    <t>error</t>
  </si>
  <si>
    <t>Jobs Indirect</t>
  </si>
  <si>
    <t>Jobs Induced</t>
  </si>
  <si>
    <t>Earnings Direct</t>
  </si>
  <si>
    <t>Earnings Indirect</t>
  </si>
  <si>
    <t>Earnings Induced</t>
  </si>
  <si>
    <t>Output Direct</t>
  </si>
  <si>
    <t>Output Indirect</t>
  </si>
  <si>
    <t>Output Induced</t>
  </si>
  <si>
    <t>Value Added Direct</t>
  </si>
  <si>
    <t>Value Added Indirect</t>
  </si>
  <si>
    <t>Value Added Induced</t>
  </si>
  <si>
    <t>Household Expenditures</t>
  </si>
  <si>
    <t xml:space="preserve">Labor factor adjustments </t>
  </si>
  <si>
    <t>Engineering labor factor</t>
  </si>
  <si>
    <t>Spar and other mfg</t>
  </si>
  <si>
    <t>State or Region Selected</t>
  </si>
  <si>
    <t>State Translator List</t>
  </si>
  <si>
    <t>State Specific Multipliers</t>
  </si>
  <si>
    <t>IMPLAN dollar year</t>
  </si>
  <si>
    <t>Value Added</t>
  </si>
  <si>
    <t>Not used</t>
  </si>
  <si>
    <t>PCE</t>
  </si>
  <si>
    <t>Labor factor adjustments</t>
  </si>
  <si>
    <t>Scour and other</t>
  </si>
  <si>
    <t>Deflators &amp; Inflators - Economic Data</t>
  </si>
  <si>
    <t>This sheet contains deflation and inflation data to account for changing prices of goods and services. This worksheet converts Year of Construction Dollar and back for consistency with multiplier data. Deflators and inflators derived from data contained in the Budget of the United States Government: Table 10.1 - Gross Domestic Product and Deflators Used in the Historical Tables 1940-2021. Deflators for 2016-2040 assume average annual inflation rate derived from 2013-2020 GDP values. Changes to this page will reflect in the Calculation page to adjust the costs inputs from the Model Scenario page.</t>
  </si>
  <si>
    <t>SHEET INFORMATION</t>
  </si>
  <si>
    <t>Selection</t>
  </si>
  <si>
    <t>Year of Construction Dollars</t>
  </si>
  <si>
    <t>From Project Data Page</t>
  </si>
  <si>
    <t>Year of Multiplier Data</t>
  </si>
  <si>
    <t>Area of Analysis</t>
  </si>
  <si>
    <t>SHEET CALCULATIONS</t>
  </si>
  <si>
    <t>Economic Data</t>
  </si>
  <si>
    <t>Inflator</t>
  </si>
  <si>
    <t>Economic Data Last Updated</t>
  </si>
  <si>
    <t>Deflator &amp; Inflator Table</t>
  </si>
  <si>
    <t>IMPLAN</t>
  </si>
  <si>
    <t>Custom</t>
  </si>
  <si>
    <t>Multiplier Dollar Year</t>
  </si>
  <si>
    <t>Cost Dollar Year</t>
  </si>
  <si>
    <t>Cost -&gt; Multiplier</t>
  </si>
  <si>
    <t>adjusts raw input costs to dollar year of multipliers</t>
  </si>
  <si>
    <t>Multiplier -&gt; Cost</t>
  </si>
  <si>
    <t>mult to cost adjust</t>
  </si>
  <si>
    <t>data labels</t>
  </si>
  <si>
    <t>million</t>
  </si>
  <si>
    <t>US GDP Deflator</t>
  </si>
  <si>
    <t>billion</t>
  </si>
  <si>
    <t>2020-2045 estimated based on 2000-2019</t>
  </si>
  <si>
    <t>Source: Bureau of Economic Analysis (BEA) National Income Product Accounts (NIPA)</t>
  </si>
  <si>
    <t xml:space="preserve"> Project Data - JEDI Inputs</t>
  </si>
  <si>
    <t>Project Characteristics</t>
  </si>
  <si>
    <t xml:space="preserve"> </t>
  </si>
  <si>
    <t>LEGEND</t>
  </si>
  <si>
    <t>Analysis Area</t>
  </si>
  <si>
    <t>Default</t>
  </si>
  <si>
    <t>Ring</t>
  </si>
  <si>
    <t>Sample Port</t>
  </si>
  <si>
    <t>Turbine Characteristics</t>
  </si>
  <si>
    <t>12MW Generic</t>
  </si>
  <si>
    <t>15MW Reference</t>
  </si>
  <si>
    <t>Rotor Diameter</t>
  </si>
  <si>
    <t>Hub Height</t>
  </si>
  <si>
    <t>Rated Wind Speed</t>
  </si>
  <si>
    <t>Turbine Rating</t>
  </si>
  <si>
    <t>Blade Mass</t>
  </si>
  <si>
    <t>Blade Deck Space</t>
  </si>
  <si>
    <t>Blade Length</t>
  </si>
  <si>
    <t>Nacelle Mass</t>
  </si>
  <si>
    <t>Nacelle Deck Space</t>
  </si>
  <si>
    <t>Tower Mass</t>
  </si>
  <si>
    <t>Tower Deck Space</t>
  </si>
  <si>
    <t>Tower Length</t>
  </si>
  <si>
    <t>Tower Sections</t>
  </si>
  <si>
    <t xml:space="preserve">Site Characteristics </t>
  </si>
  <si>
    <t xml:space="preserve">Fixed-Bottom </t>
  </si>
  <si>
    <t>Added fixed-bottom and floating depths and tied to selection on input page</t>
  </si>
  <si>
    <t>Floating</t>
  </si>
  <si>
    <t>Windspeed</t>
  </si>
  <si>
    <t>Wave Height</t>
  </si>
  <si>
    <t>probably need to do some site depth research for more informed defaults</t>
  </si>
  <si>
    <t xml:space="preserve">Substructure Characteristics </t>
  </si>
  <si>
    <t>Suction Pile</t>
  </si>
  <si>
    <t>Electrical Infrastructure Characteristics</t>
  </si>
  <si>
    <t>XLPE 500mm 132kV</t>
  </si>
  <si>
    <t>Input Specifications</t>
  </si>
  <si>
    <t>AC Resistance</t>
  </si>
  <si>
    <t>Capacitance</t>
  </si>
  <si>
    <t>Conductor Size</t>
  </si>
  <si>
    <t>cost_per_km</t>
  </si>
  <si>
    <t>Current Capacity</t>
  </si>
  <si>
    <t>Inductance</t>
  </si>
  <si>
    <t>Linear Density</t>
  </si>
  <si>
    <t>Rated Voltage</t>
  </si>
  <si>
    <t>Type</t>
  </si>
  <si>
    <t>export</t>
  </si>
  <si>
    <t>Redundant Export</t>
  </si>
  <si>
    <t>XLPE 630mm 66kV</t>
  </si>
  <si>
    <t>XLPE 630mm 33kV</t>
  </si>
  <si>
    <t>XLPE 400mm 33kV</t>
  </si>
  <si>
    <t>array</t>
  </si>
  <si>
    <t>-</t>
  </si>
  <si>
    <t>Wind Turbine Installation Vessel (WTIV)</t>
  </si>
  <si>
    <t>Feeder Vessel</t>
  </si>
  <si>
    <t>Heavy Feeder Vessel</t>
  </si>
  <si>
    <t># Vessels</t>
  </si>
  <si>
    <t>Day Rate</t>
  </si>
  <si>
    <t>Floating Heavy Lift</t>
  </si>
  <si>
    <t>Floating Barge</t>
  </si>
  <si>
    <t>Heavy Barge</t>
  </si>
  <si>
    <t xml:space="preserve"> Project Data - ORBIT Inputs</t>
  </si>
  <si>
    <t>Project Data - Step 1 (Basic Input)</t>
  </si>
  <si>
    <t>Project Data - Step 1 (Advanced Input)</t>
  </si>
  <si>
    <t>Project Costs - Step 2 (Cost Output)</t>
  </si>
  <si>
    <t>Overall Category</t>
  </si>
  <si>
    <t>Subcategory</t>
  </si>
  <si>
    <t>Default Value</t>
  </si>
  <si>
    <t>JEDI Category</t>
  </si>
  <si>
    <t>JEDI Name</t>
  </si>
  <si>
    <t>Required</t>
  </si>
  <si>
    <t>plant</t>
  </si>
  <si>
    <t>capacity</t>
  </si>
  <si>
    <t>layout</t>
  </si>
  <si>
    <t>num_turbines</t>
  </si>
  <si>
    <t>row_spacing</t>
  </si>
  <si>
    <t>Number of rotor diameters</t>
  </si>
  <si>
    <t>substation_distance</t>
  </si>
  <si>
    <t>turbine_spacing</t>
  </si>
  <si>
    <t>site</t>
  </si>
  <si>
    <t>mean_windspeed</t>
  </si>
  <si>
    <t>depth</t>
  </si>
  <si>
    <t>distance</t>
  </si>
  <si>
    <t>distance_to_landfall</t>
  </si>
  <si>
    <t>landfall</t>
  </si>
  <si>
    <t>interconnection_distance</t>
  </si>
  <si>
    <t>trench_length</t>
  </si>
  <si>
    <t>project_parameters</t>
  </si>
  <si>
    <t>commissioning</t>
  </si>
  <si>
    <t>Output - Financial Costs</t>
  </si>
  <si>
    <t>construction_financing</t>
  </si>
  <si>
    <t>construction_insurance</t>
  </si>
  <si>
    <t>contingency</t>
  </si>
  <si>
    <t>decommissioning</t>
  </si>
  <si>
    <t>discount_rate</t>
  </si>
  <si>
    <t>ncf</t>
  </si>
  <si>
    <t>offtake_price</t>
  </si>
  <si>
    <t>$/MW</t>
  </si>
  <si>
    <t>opex_rate</t>
  </si>
  <si>
    <t>$/kW/year</t>
  </si>
  <si>
    <t>project_lifetime</t>
  </si>
  <si>
    <t>turbine_capex</t>
  </si>
  <si>
    <t>turbine</t>
  </si>
  <si>
    <t>rotor_diameter</t>
  </si>
  <si>
    <t>hub_height</t>
  </si>
  <si>
    <t>rated_windspeed</t>
  </si>
  <si>
    <t>turbine_rating</t>
  </si>
  <si>
    <t>blade</t>
  </si>
  <si>
    <t>mass</t>
  </si>
  <si>
    <t>deck_space</t>
  </si>
  <si>
    <t>nacelle</t>
  </si>
  <si>
    <t>tower</t>
  </si>
  <si>
    <t>length</t>
  </si>
  <si>
    <t>sections</t>
  </si>
  <si>
    <t># of Tower Sections</t>
  </si>
  <si>
    <t>array_system_design</t>
  </si>
  <si>
    <t>average_exclusion_percent</t>
  </si>
  <si>
    <t>free_cable_length</t>
  </si>
  <si>
    <t>cable1</t>
  </si>
  <si>
    <t>name</t>
  </si>
  <si>
    <t>ac_resistance</t>
  </si>
  <si>
    <t>capacitance</t>
  </si>
  <si>
    <t>conductor_size</t>
  </si>
  <si>
    <t>current_capacity</t>
  </si>
  <si>
    <t>inductance</t>
  </si>
  <si>
    <t>linear_density</t>
  </si>
  <si>
    <t>rated_voltage</t>
  </si>
  <si>
    <t>cable2</t>
  </si>
  <si>
    <t>touchdown_distance</t>
  </si>
  <si>
    <t>monopile_design</t>
  </si>
  <si>
    <t>air_gap</t>
  </si>
  <si>
    <t>air_density</t>
  </si>
  <si>
    <t>kg/m^3</t>
  </si>
  <si>
    <t>load_factor</t>
  </si>
  <si>
    <t>material_factor</t>
  </si>
  <si>
    <t>monopile_density</t>
  </si>
  <si>
    <t>monopile_modulus</t>
  </si>
  <si>
    <t>Pa</t>
  </si>
  <si>
    <t>monopile_steel_cost</t>
  </si>
  <si>
    <t>USD/tonne</t>
  </si>
  <si>
    <t>monopile_tp_connection_thickness</t>
  </si>
  <si>
    <t>soil_coefficient</t>
  </si>
  <si>
    <t>N/m^3</t>
  </si>
  <si>
    <t>tp_steel_cost</t>
  </si>
  <si>
    <t>transition_piece_density</t>
  </si>
  <si>
    <t>transition_piece_length</t>
  </si>
  <si>
    <t>turb_length_scale</t>
  </si>
  <si>
    <t>weibull_shape_factor</t>
  </si>
  <si>
    <t>yield_stress</t>
  </si>
  <si>
    <t>scour_protection_design</t>
  </si>
  <si>
    <t>cost_per_tonne</t>
  </si>
  <si>
    <t xml:space="preserve">Substructure Design </t>
  </si>
  <si>
    <t>rock_density</t>
  </si>
  <si>
    <t>scour_depth_equilibrium</t>
  </si>
  <si>
    <t>scour_protection_depth</t>
  </si>
  <si>
    <t>soil_friction_angle</t>
  </si>
  <si>
    <t>semisubmersible_design</t>
  </si>
  <si>
    <t>heave_plate_CR</t>
  </si>
  <si>
    <t>secondary_steel_CR</t>
  </si>
  <si>
    <t>stiffened_column_CR</t>
  </si>
  <si>
    <t>towing_speed</t>
  </si>
  <si>
    <t>km/hr</t>
  </si>
  <si>
    <t>truss_CR</t>
  </si>
  <si>
    <t>spar_design</t>
  </si>
  <si>
    <t>ballast_material_CR</t>
  </si>
  <si>
    <t>tapered_column_CR</t>
  </si>
  <si>
    <t>mooring_system_design</t>
  </si>
  <si>
    <t>anchor_type</t>
  </si>
  <si>
    <t>drag_embedment_fixed_length</t>
  </si>
  <si>
    <t>num_lines</t>
  </si>
  <si>
    <t>export_system_design</t>
  </si>
  <si>
    <t>num_redundant</t>
  </si>
  <si>
    <t>percent_added_length</t>
  </si>
  <si>
    <t>substation_design</t>
  </si>
  <si>
    <t>backup_gen_cost</t>
  </si>
  <si>
    <t>USD</t>
  </si>
  <si>
    <t>mpt_cost_rate</t>
  </si>
  <si>
    <t>num_substations</t>
  </si>
  <si>
    <t>oss_pile_cost_rate</t>
  </si>
  <si>
    <t>oss_substructure_cost_rate</t>
  </si>
  <si>
    <t>other_ancillary_cost</t>
  </si>
  <si>
    <t>shunt_cost_rate</t>
  </si>
  <si>
    <t>switchgear_cost</t>
  </si>
  <si>
    <t>topside_assembly_factor</t>
  </si>
  <si>
    <t>topside_fab_cost_rate</t>
  </si>
  <si>
    <t>workspace_cost</t>
  </si>
  <si>
    <t>port</t>
  </si>
  <si>
    <t>monthly_rate</t>
  </si>
  <si>
    <t>num_cranes</t>
  </si>
  <si>
    <t>assembly_storage</t>
  </si>
  <si>
    <t>infinite</t>
  </si>
  <si>
    <t>sub_assembly_lines</t>
  </si>
  <si>
    <t>sub_storage</t>
  </si>
  <si>
    <t>turbine_assembly_cranes</t>
  </si>
  <si>
    <t>MonopileInstallation, TurbineInstallation</t>
  </si>
  <si>
    <t>num_feeders</t>
  </si>
  <si>
    <t>towing_vessel_groups</t>
  </si>
  <si>
    <t>num_groups</t>
  </si>
  <si>
    <t>station_keeping_vessels</t>
  </si>
  <si>
    <t>towing_vessels</t>
  </si>
  <si>
    <t>GravityBasedInstallation, MooredSubInstallation</t>
  </si>
  <si>
    <t>substructure</t>
  </si>
  <si>
    <t>takt_time</t>
  </si>
  <si>
    <t>hrs</t>
  </si>
  <si>
    <t>wtiv</t>
  </si>
  <si>
    <t>crane_specs</t>
  </si>
  <si>
    <t>boom_length</t>
  </si>
  <si>
    <t>max_hook_height</t>
  </si>
  <si>
    <t>max_lift</t>
  </si>
  <si>
    <t>max_windspeed</t>
  </si>
  <si>
    <t>radius</t>
  </si>
  <si>
    <t>jacksys_specs</t>
  </si>
  <si>
    <t xml:space="preserve">m </t>
  </si>
  <si>
    <t>leg_length</t>
  </si>
  <si>
    <t>leg_pen</t>
  </si>
  <si>
    <t>max_depth</t>
  </si>
  <si>
    <t>max_extension</t>
  </si>
  <si>
    <t>num_legs</t>
  </si>
  <si>
    <t>speed_above_depth</t>
  </si>
  <si>
    <t>m/min</t>
  </si>
  <si>
    <t>speed_below_depth</t>
  </si>
  <si>
    <t>storage_specs</t>
  </si>
  <si>
    <t>max_cargo</t>
  </si>
  <si>
    <t>max_deck_load</t>
  </si>
  <si>
    <t>tonnes/m^2</t>
  </si>
  <si>
    <t>max_deck_space</t>
  </si>
  <si>
    <t>transport_specs</t>
  </si>
  <si>
    <t>max_waveheight</t>
  </si>
  <si>
    <t>transit_speed</t>
  </si>
  <si>
    <t>km/h</t>
  </si>
  <si>
    <t>vessel_specs</t>
  </si>
  <si>
    <t>beam_length</t>
  </si>
  <si>
    <t>day_rate</t>
  </si>
  <si>
    <t>USD/day</t>
  </si>
  <si>
    <t>max_draft</t>
  </si>
  <si>
    <t>min_draft</t>
  </si>
  <si>
    <t>overall_length</t>
  </si>
  <si>
    <t>mobilization_days</t>
  </si>
  <si>
    <t>days</t>
  </si>
  <si>
    <t>mobilization_mult</t>
  </si>
  <si>
    <t>feeder</t>
  </si>
  <si>
    <t>support_vessel</t>
  </si>
  <si>
    <t>towing_vessel</t>
  </si>
  <si>
    <t>array_cable_install_vessel</t>
  </si>
  <si>
    <t>cable_storage</t>
  </si>
  <si>
    <t>max_mass</t>
  </si>
  <si>
    <t>cable_lay_bury_speed</t>
  </si>
  <si>
    <t>cable_lay_speed</t>
  </si>
  <si>
    <t>cable_bury_speed</t>
  </si>
  <si>
    <t>plgr_speed</t>
  </si>
  <si>
    <t>cable_load_time</t>
  </si>
  <si>
    <t>hr</t>
  </si>
  <si>
    <t>cable_prep_time</t>
  </si>
  <si>
    <t>cable_lower_time</t>
  </si>
  <si>
    <t>cable_pull_in_time</t>
  </si>
  <si>
    <t>cable_termination_time</t>
  </si>
  <si>
    <t>cable_splice_time</t>
  </si>
  <si>
    <t>cable_raise_time</t>
  </si>
  <si>
    <t>export_cable_install_vessel</t>
  </si>
  <si>
    <t>onshore_construction_time</t>
  </si>
  <si>
    <t>trench_dig_speed</t>
  </si>
  <si>
    <t>pull_winch_speed</t>
  </si>
  <si>
    <t>tow_plow_speed</t>
  </si>
  <si>
    <t>heavy_lift_vessel</t>
  </si>
  <si>
    <t>heavy_feeder</t>
  </si>
  <si>
    <t>spi_vessel</t>
  </si>
  <si>
    <t>UDS/day</t>
  </si>
  <si>
    <t>floating_barge</t>
  </si>
  <si>
    <t>dynamic_positioning_specs</t>
  </si>
  <si>
    <t>class</t>
  </si>
  <si>
    <t>floating_heavy_lift_vessel</t>
  </si>
  <si>
    <t>export_cable_bury_vessel</t>
  </si>
  <si>
    <t xml:space="preserve">O&amp;M Cost </t>
  </si>
  <si>
    <t>$</t>
  </si>
  <si>
    <t>€mil/kW/yr (2016)</t>
  </si>
  <si>
    <t>Exchange Rate</t>
  </si>
  <si>
    <t>$mil/kW/yr (2020)</t>
  </si>
  <si>
    <t>2016 to 2020 Inflation</t>
  </si>
  <si>
    <t>$/kW/yr (2020)</t>
  </si>
  <si>
    <t xml:space="preserve">    Spare parts</t>
  </si>
  <si>
    <t>Onshore electric maintenance</t>
  </si>
  <si>
    <t>Operating facilities</t>
  </si>
  <si>
    <t>Interpreter_Win</t>
  </si>
  <si>
    <t>%LOCALAPPDATA%\orbit-runtime\pythonw.exe</t>
  </si>
  <si>
    <t>Interpreter_Mac</t>
  </si>
  <si>
    <t>$HOME/orbit-runtime/bin/python</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</si>
  <si>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</si>
  <si>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</si>
  <si>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</si>
  <si>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</si>
  <si>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</si>
  <si>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</si>
  <si>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</si>
  <si>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</si>
  <si>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</si>
  <si>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</si>
  <si>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</si>
  <si>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</si>
  <si>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MyArea</t>
  </si>
  <si>
    <r>
      <rPr>
        <sz val="11"/>
        <color theme="1"/>
        <rFont val="Calibri"/>
        <family val="2"/>
        <scheme val="minor"/>
      </rPr>
      <t xml:space="preserve">This model was last updated September 20, 2022. </t>
    </r>
    <r>
      <rPr>
        <b/>
        <sz val="11"/>
        <color theme="1"/>
        <rFont val="Calibri"/>
        <family val="2"/>
        <scheme val="minor"/>
      </rPr>
      <t>For OSW JEDI model support or to report a model error, please email JEDI.Support@nrel.gov.</t>
    </r>
  </si>
  <si>
    <r>
      <rPr>
        <b/>
        <sz val="10"/>
        <color theme="1"/>
        <rFont val="Arial"/>
        <family val="2"/>
      </rPr>
      <t xml:space="preserve">This worksheet is optional. </t>
    </r>
    <r>
      <rPr>
        <sz val="10"/>
        <color theme="1"/>
        <rFont val="Arial"/>
        <family val="2"/>
      </rPr>
      <t>Use this sheet to enter your own customized multipliers, purchased from IMPLAN. Fill in the direct, indirect, and induced multipliers into the white boxes.</t>
    </r>
  </si>
  <si>
    <r>
      <rPr>
        <b/>
        <sz val="10"/>
        <color theme="1"/>
        <rFont val="Arial"/>
        <family val="2"/>
      </rPr>
      <t>This step is optional.</t>
    </r>
    <r>
      <rPr>
        <sz val="10"/>
        <color theme="1"/>
        <rFont val="Arial"/>
        <family val="2"/>
      </rPr>
      <t xml:space="preserve"> In this sheet you can enter detailed information about material usage for nacelles, blades, and towers. It is not necessary to enter this information and you have the choice of entering it for any of the turbine components. </t>
    </r>
  </si>
  <si>
    <t>Defaults for Project Data - Step 1 worksheet.</t>
  </si>
  <si>
    <t>Default inputs for the ORBIT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</si>
</sst>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quot;$&quot;#,##0.0"/>
    <numFmt numFmtId="166" formatCode="0.0000"/>
    <numFmt numFmtId="167" formatCode="0.000"/>
    <numFmt numFmtId="168" formatCode="#,##0.000"/>
    <numFmt numFmtId="169" formatCode="_(* #,##0_);_(* \(#,##0\);_(* &quot;-&quot;??_);_(@_)"/>
    <numFmt numFmtId="170" formatCode="_(&quot;$&quot;* #,##0.0_);_(&quot;$&quot;* \(#,##0.0\);_(&quot;$&quot;* &quot;-&quot;??_);_(@_)"/>
    <numFmt numFmtId="171" formatCode="0.0%"/>
    <numFmt numFmtId="172" formatCode="_(&quot;$&quot;* #,##0_);_(&quot;$&quot;* \(#,##0\);_(&quot;$&quot;* &quot;-&quot;??_);_(@_)"/>
    <numFmt numFmtId="173" formatCode="&quot;$&quot;#,##0.00"/>
    <numFmt numFmtId="174" formatCode="&quot;$&quot;#,##0.000000"/>
    <numFmt numFmtId="175" formatCode="0.0000000000000000%"/>
    <numFmt numFmtId="176" formatCode="0.0000000"/>
    <numFmt numFmtId="177" formatCode="0.0"/>
    <numFmt numFmtId="178" formatCode="#,##0.0"/>
  </numFmts>
  <fonts count="61" x14ac:knownFonts="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20"/>
      <color theme="0"/>
      <name val="Century Gothic"/>
      <family val="2"/>
    </font>
    <font>
      <sz val="16"/>
      <color theme="0"/>
      <name val="Calibri"/>
      <family val="2"/>
      <scheme val="minor"/>
    </font>
    <font>
      <sz val="18"/>
      <color theme="0"/>
      <name val="Century Gothic"/>
      <family val="2"/>
    </font>
    <font>
      <sz val="12"/>
      <color theme="0"/>
      <name val="Arial"/>
      <family val="2"/>
    </font>
    <font>
      <sz val="18"/>
      <color theme="1"/>
      <name val="Arial"/>
      <family val="2"/>
    </font>
    <font>
      <sz val="11"/>
      <color theme="1"/>
      <name val="Arial"/>
      <family val="2"/>
    </font>
    <font>
      <sz val="16"/>
      <color theme="1"/>
      <name val="Arial"/>
      <family val="2"/>
    </font>
    <font>
      <sz val="11"/>
      <color theme="1"/>
      <name val="Webdings"/>
      <family val="1"/>
      <charset val="2"/>
    </font>
    <font>
      <sz val="10"/>
      <color theme="1"/>
      <name val="Arial"/>
      <family val="2"/>
    </font>
    <font>
      <b/>
      <sz val="10"/>
      <color theme="1"/>
      <name val="Arial"/>
      <family val="2"/>
    </font>
    <font>
      <sz val="11"/>
      <color rgb="FFFFC72C"/>
      <name val="Calibri"/>
      <family val="2"/>
      <scheme val="minor"/>
    </font>
    <font>
      <sz val="9"/>
      <color indexed="81"/>
      <name val="Tahoma"/>
      <family val="2"/>
    </font>
    <font>
      <b/>
      <sz val="14"/>
      <color theme="1"/>
      <name val="Arial"/>
      <family val="2"/>
    </font>
    <font>
      <b/>
      <sz val="11"/>
      <color theme="1"/>
      <name val="Arial"/>
      <family val="2"/>
    </font>
    <font>
      <b/>
      <sz val="12"/>
      <color theme="1"/>
      <name val="Arial"/>
      <family val="2"/>
    </font>
    <font>
      <i/>
      <sz val="11"/>
      <color theme="1"/>
      <name val="Arial"/>
      <family val="2"/>
    </font>
    <font>
      <sz val="12"/>
      <color theme="1"/>
      <name val="Webdings"/>
      <family val="1"/>
      <charset val="2"/>
    </font>
    <font>
      <sz val="10"/>
      <color rgb="FFFF0000"/>
      <name val="Arial"/>
      <family val="2"/>
    </font>
    <font>
      <b/>
      <sz val="11"/>
      <color rgb="FFFF0000"/>
      <name val="Calibri"/>
      <family val="2"/>
      <scheme val="minor"/>
    </font>
    <font>
      <sz val="8"/>
      <color rgb="FFFF0000"/>
      <name val="Arial"/>
      <family val="2"/>
    </font>
    <font>
      <sz val="10"/>
      <name val="Arial"/>
      <family val="2"/>
    </font>
    <font>
      <sz val="11"/>
      <name val="Arial"/>
      <family val="2"/>
    </font>
    <font>
      <b/>
      <sz val="10"/>
      <name val="Arial"/>
      <family val="2"/>
    </font>
    <font>
      <b/>
      <sz val="11"/>
      <name val="Arial"/>
      <family val="2"/>
    </font>
    <font>
      <b/>
      <sz val="12"/>
      <name val="Arial"/>
      <family val="2"/>
    </font>
    <font>
      <sz val="11"/>
      <name val="Webdings"/>
      <family val="1"/>
      <charset val="2"/>
    </font>
    <font>
      <sz val="11"/>
      <color rgb="FFFF0000"/>
      <name val="Calibri"/>
      <family val="2"/>
      <scheme val="minor"/>
    </font>
    <font>
      <sz val="10"/>
      <name val="Times New Roman"/>
      <family val="1"/>
    </font>
    <font>
      <i/>
      <sz val="11"/>
      <color theme="1"/>
      <name val="Calibri"/>
      <family val="2"/>
      <scheme val="minor"/>
    </font>
    <font>
      <b/>
      <sz val="12"/>
      <color rgb="FF000000"/>
      <name val="Arial"/>
      <family val="2"/>
    </font>
    <font>
      <b/>
      <sz val="11"/>
      <color rgb="FF000000"/>
      <name val="Arial"/>
      <family val="2"/>
    </font>
    <font>
      <sz val="11"/>
      <color rgb="FF000000"/>
      <name val="Arial"/>
      <family val="2"/>
    </font>
    <font>
      <sz val="11"/>
      <name val="Calibri"/>
      <family val="2"/>
      <scheme val="minor"/>
    </font>
    <font>
      <i/>
      <sz val="11"/>
      <color rgb="FF000000"/>
      <name val="Arial"/>
      <family val="2"/>
    </font>
    <font>
      <b/>
      <sz val="18"/>
      <color theme="1"/>
      <name val="Calibri"/>
      <family val="2"/>
      <scheme val="minor"/>
    </font>
    <font>
      <b/>
      <sz val="12"/>
      <color theme="1"/>
      <name val="Calibri"/>
      <family val="2"/>
      <scheme val="minor"/>
    </font>
    <font>
      <sz val="11"/>
      <color theme="4"/>
      <name val="Calibri"/>
      <family val="2"/>
      <scheme val="minor"/>
    </font>
    <font>
      <sz val="11"/>
      <color theme="4"/>
      <name val="Arial"/>
      <family val="2"/>
    </font>
    <font>
      <b/>
      <sz val="9"/>
      <color rgb="FF000000"/>
      <name val="Tahoma"/>
      <family val="2"/>
    </font>
    <font>
      <sz val="9"/>
      <color rgb="FF000000"/>
      <name val="Tahoma"/>
      <family val="2"/>
    </font>
    <font>
      <b/>
      <sz val="14"/>
      <name val="Arial"/>
      <family val="2"/>
    </font>
    <font>
      <sz val="12"/>
      <name val="Arial"/>
      <family val="2"/>
    </font>
    <font>
      <b/>
      <sz val="8"/>
      <color rgb="FF000000"/>
      <name val="Tahoma"/>
      <family val="2"/>
    </font>
    <font>
      <b/>
      <i/>
      <sz val="11"/>
      <color theme="1"/>
      <name val="Calibri"/>
      <family val="2"/>
      <scheme val="minor"/>
    </font>
    <font>
      <sz val="11"/>
      <color theme="0" tint="-0.249977111117893"/>
      <name val="Calibri"/>
      <family val="2"/>
      <scheme val="minor"/>
    </font>
    <font>
      <b/>
      <sz val="14"/>
      <color theme="1"/>
      <name val="Calibri"/>
      <family val="2"/>
      <scheme val="minor"/>
    </font>
    <font>
      <sz val="11"/>
      <color rgb="FF000000"/>
      <name val="Calibri"/>
      <family val="2"/>
      <scheme val="minor"/>
    </font>
    <font>
      <sz val="14"/>
      <color theme="1"/>
      <name val="Arial"/>
      <family val="2"/>
    </font>
    <font>
      <sz val="11"/>
      <color theme="9" tint="0.39997558519241921"/>
      <name val="Arial"/>
      <family val="2"/>
    </font>
    <font>
      <sz val="11"/>
      <color theme="8" tint="0.79998168889431442"/>
      <name val="Arial"/>
      <family val="2"/>
    </font>
    <font>
      <sz val="11"/>
      <color theme="0" tint="-0.14999847407452621"/>
      <name val="Arial"/>
      <family val="2"/>
    </font>
    <font>
      <b/>
      <sz val="11"/>
      <color theme="9" tint="0.39997558519241921"/>
      <name val="Arial"/>
      <family val="2"/>
    </font>
    <font>
      <b/>
      <sz val="11"/>
      <color rgb="FFFF0000"/>
      <name val="Arial"/>
      <family val="2"/>
    </font>
    <font>
      <i/>
      <sz val="11"/>
      <name val="Arial"/>
      <family val="2"/>
    </font>
    <font>
      <sz val="8"/>
      <color rgb="FF000000"/>
      <name val="Tahoma"/>
      <family val="2"/>
    </font>
    <font>
      <sz val="11"/>
      <color theme="9" tint="0.79998168889431442"/>
      <name val="Arial"/>
      <family val="2"/>
    </font>
    <font>
      <sz val="12"/>
      <color rgb="FF000000"/>
      <name val="Century Gothic"/>
      <family val="2"/>
    </font>
  </fonts>
  <fills count="52">
    <fill>
      <patternFill patternType="none"/>
    </fill>
    <fill>
      <patternFill patternType="gray125"/>
    </fill>
    <fill>
      <patternFill patternType="solid">
        <fgColor theme="0"/>
        <bgColor indexed="64"/>
      </patternFill>
    </fill>
    <fill>
      <patternFill patternType="solid">
        <fgColor rgb="FFDE7C00"/>
        <bgColor indexed="64"/>
      </patternFill>
    </fill>
    <fill>
      <patternFill patternType="solid">
        <fgColor rgb="FF0077C8"/>
        <bgColor indexed="64"/>
      </patternFill>
    </fill>
    <fill>
      <patternFill patternType="solid">
        <fgColor rgb="FF75C7FF"/>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9"/>
        <bgColor indexed="64"/>
      </patternFill>
    </fill>
    <fill>
      <patternFill patternType="solid">
        <fgColor theme="7"/>
        <bgColor indexed="64"/>
      </patternFill>
    </fill>
    <fill>
      <patternFill patternType="solid">
        <fgColor rgb="FF7030A0"/>
        <bgColor indexed="64"/>
      </patternFill>
    </fill>
    <fill>
      <patternFill patternType="solid">
        <fgColor theme="8"/>
        <bgColor indexed="64"/>
      </patternFill>
    </fill>
    <fill>
      <patternFill patternType="solid">
        <fgColor rgb="FFE2CFF1"/>
        <bgColor indexed="64"/>
      </patternFill>
    </fill>
    <fill>
      <patternFill patternType="solid">
        <fgColor theme="5"/>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84BD00"/>
        <bgColor indexed="64"/>
      </patternFill>
    </fill>
    <fill>
      <patternFill patternType="solid">
        <fgColor rgb="FFFFFF00"/>
        <bgColor indexed="64"/>
      </patternFill>
    </fill>
    <fill>
      <patternFill patternType="solid">
        <fgColor rgb="FF70AD47"/>
        <bgColor rgb="FF000000"/>
      </patternFill>
    </fill>
    <fill>
      <patternFill patternType="solid">
        <fgColor rgb="FFA9D08E"/>
        <bgColor rgb="FF000000"/>
      </patternFill>
    </fill>
    <fill>
      <patternFill patternType="solid">
        <fgColor rgb="FFE2EFDA"/>
        <bgColor rgb="FF000000"/>
      </patternFill>
    </fill>
    <fill>
      <patternFill patternType="solid">
        <fgColor rgb="FF9ECB7F"/>
        <bgColor rgb="FF000000"/>
      </patternFill>
    </fill>
    <fill>
      <patternFill patternType="solid">
        <fgColor theme="9" tint="0.79998168889431442"/>
        <bgColor indexed="64"/>
      </patternFill>
    </fill>
    <fill>
      <patternFill patternType="solid">
        <fgColor rgb="FFF2F2F2"/>
        <bgColor rgb="FF000000"/>
      </patternFill>
    </fill>
    <fill>
      <patternFill patternType="solid">
        <fgColor rgb="FFD9D9D9"/>
        <bgColor rgb="FF000000"/>
      </patternFill>
    </fill>
    <fill>
      <patternFill patternType="solid">
        <fgColor theme="0" tint="-0.14999847407452621"/>
        <bgColor rgb="FF000000"/>
      </patternFill>
    </fill>
    <fill>
      <patternFill patternType="solid">
        <fgColor theme="0"/>
        <bgColor rgb="FF000000"/>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39997558519241921"/>
        <bgColor rgb="FF000000"/>
      </patternFill>
    </fill>
    <fill>
      <patternFill patternType="solid">
        <fgColor theme="8" tint="0.39997558519241921"/>
        <bgColor rgb="FF000000"/>
      </patternFill>
    </fill>
    <fill>
      <patternFill patternType="solid">
        <fgColor theme="8" tint="0.79998168889431442"/>
        <bgColor rgb="FF000000"/>
      </patternFill>
    </fill>
    <fill>
      <patternFill patternType="solid">
        <fgColor theme="5" tint="0.39997558519241921"/>
        <bgColor rgb="FF000000"/>
      </patternFill>
    </fill>
    <fill>
      <patternFill patternType="solid">
        <fgColor theme="3" tint="0.59999389629810485"/>
        <bgColor rgb="FF000000"/>
      </patternFill>
    </fill>
    <fill>
      <patternFill patternType="solid">
        <fgColor theme="5" tint="0.39997558519241921"/>
        <bgColor indexed="64"/>
      </patternFill>
    </fill>
    <fill>
      <patternFill patternType="solid">
        <fgColor theme="5" tint="0.59999389629810485"/>
        <bgColor rgb="FF000000"/>
      </patternFill>
    </fill>
    <fill>
      <patternFill patternType="solid">
        <fgColor theme="0" tint="-0.249977111117893"/>
        <bgColor rgb="FF000000"/>
      </patternFill>
    </fill>
    <fill>
      <patternFill patternType="solid">
        <fgColor theme="5" tint="0.79998168889431442"/>
        <bgColor rgb="FF000000"/>
      </patternFill>
    </fill>
    <fill>
      <patternFill patternType="solid">
        <fgColor theme="5" tint="-0.249977111117893"/>
        <bgColor rgb="FF000000"/>
      </patternFill>
    </fill>
    <fill>
      <patternFill patternType="solid">
        <fgColor theme="2" tint="-9.9978637043366805E-2"/>
        <bgColor indexed="64"/>
      </patternFill>
    </fill>
    <fill>
      <patternFill patternType="solid">
        <fgColor rgb="FFD73131"/>
        <bgColor indexed="64"/>
      </patternFill>
    </fill>
    <fill>
      <patternFill patternType="solid">
        <fgColor rgb="FFF6CECE"/>
        <bgColor indexed="64"/>
      </patternFill>
    </fill>
    <fill>
      <patternFill patternType="solid">
        <fgColor theme="7"/>
        <bgColor rgb="FF000000"/>
      </patternFill>
    </fill>
    <fill>
      <patternFill patternType="solid">
        <fgColor theme="7" tint="0.79998168889431442"/>
        <bgColor rgb="FF000000"/>
      </patternFill>
    </fill>
    <fill>
      <patternFill patternType="solid">
        <fgColor rgb="FFE2CFF1"/>
        <bgColor rgb="FF000000"/>
      </patternFill>
    </fill>
    <fill>
      <patternFill patternType="solid">
        <fgColor rgb="FFF6CECE"/>
        <bgColor rgb="FF000000"/>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s>
  <cellStyleXfs count="7">
    <xf numFmtId="0" fontId="0" fillId="0" borderId="0"/>
    <xf numFmtId="0" fontId="2" fillId="0" borderId="0"/>
    <xf numFmtId="165" fontId="24" fillId="0" borderId="0">
      <alignment horizontal="left" wrapText="1"/>
    </xf>
    <xf numFmtId="43" fontId="2" fillId="0" borderId="0" applyFont="0" applyFill="0" applyBorder="0" applyAlignment="0" applyProtection="0"/>
    <xf numFmtId="44" fontId="2" fillId="0" borderId="0" applyFont="0" applyFill="0" applyBorder="0" applyAlignment="0" applyProtection="0"/>
    <xf numFmtId="0" fontId="1" fillId="0" borderId="0"/>
    <xf numFmtId="9" fontId="2" fillId="0" borderId="0" applyFont="0" applyFill="0" applyBorder="0" applyAlignment="0" applyProtection="0"/>
  </cellStyleXfs>
  <cellXfs count="920">
    <xf numFmtId="0" fontId="0" fillId="0" borderId="0" xfId="0"/>
    <xf numFmtId="0" fontId="0" fillId="0" borderId="0" xfId="0" applyFill="1"/>
    <xf numFmtId="0" fontId="0" fillId="0" borderId="0" xfId="0" applyFill="1" applyBorder="1"/>
    <xf numFmtId="0" fontId="2" fillId="2" borderId="0" xfId="1" applyFill="1"/>
    <xf numFmtId="0" fontId="0" fillId="3" borderId="0" xfId="0" applyFill="1"/>
    <xf numFmtId="0" fontId="0" fillId="4" borderId="0" xfId="0" applyFill="1"/>
    <xf numFmtId="0" fontId="5" fillId="0" borderId="0" xfId="0" applyFont="1" applyFill="1" applyAlignment="1">
      <alignment horizontal="left" vertical="center"/>
    </xf>
    <xf numFmtId="0" fontId="0" fillId="5" borderId="0" xfId="0" applyFill="1"/>
    <xf numFmtId="0" fontId="8" fillId="0" borderId="0" xfId="0" applyFont="1" applyFill="1"/>
    <xf numFmtId="0" fontId="3" fillId="0" borderId="0" xfId="0" applyFont="1" applyFill="1"/>
    <xf numFmtId="0" fontId="11" fillId="6" borderId="6" xfId="0" applyFont="1" applyFill="1" applyBorder="1" applyAlignment="1">
      <alignment horizontal="center" vertical="center"/>
    </xf>
    <xf numFmtId="0" fontId="10" fillId="7" borderId="11" xfId="0" applyFont="1" applyFill="1" applyBorder="1" applyAlignment="1">
      <alignment vertical="center"/>
    </xf>
    <xf numFmtId="0" fontId="0" fillId="7" borderId="10" xfId="0" applyFill="1" applyBorder="1"/>
    <xf numFmtId="0" fontId="0" fillId="7" borderId="12" xfId="0" applyFill="1" applyBorder="1"/>
    <xf numFmtId="0" fontId="11" fillId="7" borderId="6" xfId="0" applyFont="1" applyFill="1" applyBorder="1" applyAlignment="1">
      <alignment horizontal="center"/>
    </xf>
    <xf numFmtId="0" fontId="11" fillId="7" borderId="9" xfId="0" applyFont="1" applyFill="1" applyBorder="1" applyAlignment="1">
      <alignment horizontal="center"/>
    </xf>
    <xf numFmtId="0" fontId="14" fillId="0" borderId="0" xfId="0" applyFont="1" applyFill="1"/>
    <xf numFmtId="0" fontId="0" fillId="0" borderId="0" xfId="0" applyFont="1" applyFill="1"/>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7" fillId="6" borderId="5" xfId="0" applyFont="1" applyFill="1" applyBorder="1"/>
    <xf numFmtId="0" fontId="17" fillId="6" borderId="0" xfId="0" applyFont="1" applyFill="1" applyBorder="1"/>
    <xf numFmtId="0" fontId="9" fillId="7" borderId="5" xfId="0" applyFont="1" applyFill="1" applyBorder="1"/>
    <xf numFmtId="0" fontId="9" fillId="7" borderId="0" xfId="0" applyFont="1" applyFill="1" applyBorder="1"/>
    <xf numFmtId="0" fontId="9" fillId="7" borderId="5" xfId="1" applyFont="1" applyFill="1" applyBorder="1"/>
    <xf numFmtId="0" fontId="17" fillId="6" borderId="0" xfId="0" applyFont="1" applyFill="1" applyBorder="1" applyAlignment="1">
      <alignment horizontal="center"/>
    </xf>
    <xf numFmtId="0" fontId="18" fillId="8" borderId="5" xfId="0" applyFont="1" applyFill="1" applyBorder="1"/>
    <xf numFmtId="164" fontId="17" fillId="8" borderId="0" xfId="0" applyNumberFormat="1" applyFont="1" applyFill="1" applyBorder="1" applyAlignment="1">
      <alignment horizontal="center"/>
    </xf>
    <xf numFmtId="0" fontId="17" fillId="8" borderId="0" xfId="0" applyFont="1" applyFill="1" applyBorder="1"/>
    <xf numFmtId="0" fontId="18" fillId="9" borderId="2" xfId="0" applyFont="1" applyFill="1" applyBorder="1"/>
    <xf numFmtId="0" fontId="18" fillId="9" borderId="3" xfId="0" applyFont="1" applyFill="1" applyBorder="1"/>
    <xf numFmtId="0" fontId="20" fillId="9" borderId="4" xfId="0" applyFont="1" applyFill="1" applyBorder="1" applyAlignment="1">
      <alignment horizontal="center"/>
    </xf>
    <xf numFmtId="0" fontId="18" fillId="10" borderId="5" xfId="0" applyFont="1" applyFill="1" applyBorder="1"/>
    <xf numFmtId="164" fontId="17" fillId="10" borderId="0" xfId="0" applyNumberFormat="1" applyFont="1" applyFill="1" applyBorder="1" applyAlignment="1">
      <alignment horizontal="center"/>
    </xf>
    <xf numFmtId="0" fontId="9" fillId="12" borderId="5" xfId="0" applyFont="1" applyFill="1" applyBorder="1"/>
    <xf numFmtId="0" fontId="9" fillId="12" borderId="0" xfId="0" applyFont="1" applyFill="1" applyBorder="1"/>
    <xf numFmtId="0" fontId="11" fillId="12" borderId="6" xfId="0" applyFont="1" applyFill="1" applyBorder="1" applyAlignment="1">
      <alignment horizontal="center"/>
    </xf>
    <xf numFmtId="0" fontId="9" fillId="12" borderId="8" xfId="0" applyFont="1" applyFill="1" applyBorder="1"/>
    <xf numFmtId="0" fontId="11" fillId="12" borderId="9" xfId="0" applyFont="1" applyFill="1" applyBorder="1" applyAlignment="1">
      <alignment horizontal="center"/>
    </xf>
    <xf numFmtId="0" fontId="18" fillId="13" borderId="5" xfId="0" applyFont="1" applyFill="1" applyBorder="1"/>
    <xf numFmtId="164" fontId="17" fillId="13" borderId="0" xfId="0" applyNumberFormat="1" applyFont="1" applyFill="1" applyBorder="1" applyAlignment="1">
      <alignment horizontal="center"/>
    </xf>
    <xf numFmtId="0" fontId="17" fillId="13" borderId="0" xfId="0" applyFont="1" applyFill="1" applyBorder="1"/>
    <xf numFmtId="0" fontId="11" fillId="13" borderId="6" xfId="0" applyFont="1" applyFill="1" applyBorder="1" applyAlignment="1">
      <alignment horizontal="center" vertical="center"/>
    </xf>
    <xf numFmtId="0" fontId="0" fillId="13" borderId="0" xfId="0" applyFill="1" applyBorder="1"/>
    <xf numFmtId="0" fontId="9" fillId="7" borderId="7" xfId="0" applyFont="1" applyFill="1" applyBorder="1"/>
    <xf numFmtId="164" fontId="17" fillId="8" borderId="14" xfId="0" applyNumberFormat="1" applyFont="1" applyFill="1" applyBorder="1" applyAlignment="1">
      <alignment horizontal="center"/>
    </xf>
    <xf numFmtId="0" fontId="17" fillId="6" borderId="7" xfId="0" applyFont="1" applyFill="1" applyBorder="1" applyAlignment="1">
      <alignment horizontal="center"/>
    </xf>
    <xf numFmtId="0" fontId="17" fillId="6" borderId="8" xfId="0" applyFont="1" applyFill="1" applyBorder="1" applyAlignment="1">
      <alignment horizontal="center"/>
    </xf>
    <xf numFmtId="0" fontId="17" fillId="6" borderId="9" xfId="0" applyFont="1" applyFill="1" applyBorder="1" applyAlignment="1">
      <alignment horizontal="center"/>
    </xf>
    <xf numFmtId="0" fontId="22" fillId="0" borderId="0" xfId="0" applyFont="1" applyFill="1"/>
    <xf numFmtId="0" fontId="2" fillId="0" borderId="0" xfId="1" applyFill="1"/>
    <xf numFmtId="0" fontId="17" fillId="6" borderId="5" xfId="0" applyFont="1" applyFill="1" applyBorder="1" applyAlignment="1">
      <alignment horizontal="center"/>
    </xf>
    <xf numFmtId="0" fontId="17" fillId="6" borderId="6" xfId="0" applyFont="1" applyFill="1" applyBorder="1" applyAlignment="1">
      <alignment horizontal="center"/>
    </xf>
    <xf numFmtId="14" fontId="9" fillId="7" borderId="8" xfId="0" applyNumberFormat="1" applyFont="1" applyFill="1" applyBorder="1"/>
    <xf numFmtId="0" fontId="3" fillId="0" borderId="0" xfId="0" applyFont="1"/>
    <xf numFmtId="0" fontId="9" fillId="0" borderId="0" xfId="0" applyFont="1" applyFill="1" applyBorder="1"/>
    <xf numFmtId="0" fontId="0" fillId="7" borderId="0" xfId="0" applyFill="1" applyBorder="1"/>
    <xf numFmtId="0" fontId="0" fillId="7" borderId="3" xfId="0" applyFill="1" applyBorder="1"/>
    <xf numFmtId="0" fontId="0" fillId="7" borderId="4" xfId="0" applyFill="1" applyBorder="1"/>
    <xf numFmtId="0" fontId="28" fillId="11" borderId="2" xfId="0" applyFont="1" applyFill="1" applyBorder="1"/>
    <xf numFmtId="0" fontId="29" fillId="11" borderId="4" xfId="0" applyFont="1" applyFill="1" applyBorder="1" applyAlignment="1">
      <alignment horizontal="center" vertical="center"/>
    </xf>
    <xf numFmtId="0" fontId="17" fillId="15" borderId="5" xfId="0" applyFont="1" applyFill="1" applyBorder="1"/>
    <xf numFmtId="0" fontId="9" fillId="15" borderId="0" xfId="0" applyFont="1" applyFill="1" applyBorder="1"/>
    <xf numFmtId="0" fontId="11" fillId="15" borderId="6" xfId="0" applyFont="1" applyFill="1" applyBorder="1" applyAlignment="1">
      <alignment horizontal="center"/>
    </xf>
    <xf numFmtId="0" fontId="9" fillId="16" borderId="0" xfId="0" applyFont="1" applyFill="1" applyBorder="1"/>
    <xf numFmtId="0" fontId="11" fillId="16" borderId="6" xfId="0" applyFont="1" applyFill="1" applyBorder="1" applyAlignment="1">
      <alignment horizontal="center"/>
    </xf>
    <xf numFmtId="0" fontId="17" fillId="15" borderId="0" xfId="0" applyFont="1" applyFill="1" applyBorder="1"/>
    <xf numFmtId="0" fontId="19" fillId="16" borderId="0" xfId="0" applyFont="1" applyFill="1" applyBorder="1"/>
    <xf numFmtId="0" fontId="9" fillId="16" borderId="5" xfId="0" applyFont="1" applyFill="1" applyBorder="1"/>
    <xf numFmtId="0" fontId="17" fillId="16" borderId="0" xfId="0" applyFont="1" applyFill="1" applyBorder="1"/>
    <xf numFmtId="0" fontId="9" fillId="2" borderId="14" xfId="0" applyFont="1" applyFill="1" applyBorder="1"/>
    <xf numFmtId="0" fontId="11" fillId="17" borderId="6" xfId="0" applyFont="1" applyFill="1" applyBorder="1" applyAlignment="1">
      <alignment horizontal="center"/>
    </xf>
    <xf numFmtId="0" fontId="9" fillId="18" borderId="5" xfId="0" applyFont="1" applyFill="1" applyBorder="1"/>
    <xf numFmtId="0" fontId="9" fillId="18" borderId="7" xfId="0" applyFont="1" applyFill="1" applyBorder="1"/>
    <xf numFmtId="0" fontId="0" fillId="18" borderId="0" xfId="0" applyFill="1" applyBorder="1"/>
    <xf numFmtId="0" fontId="11" fillId="18" borderId="6" xfId="0" applyFont="1" applyFill="1" applyBorder="1" applyAlignment="1">
      <alignment horizontal="center"/>
    </xf>
    <xf numFmtId="0" fontId="0" fillId="18" borderId="8" xfId="0" applyFill="1" applyBorder="1"/>
    <xf numFmtId="0" fontId="11" fillId="18" borderId="9" xfId="0" applyFont="1" applyFill="1" applyBorder="1" applyAlignment="1">
      <alignment horizontal="center"/>
    </xf>
    <xf numFmtId="0" fontId="9" fillId="19" borderId="5" xfId="0" applyFont="1" applyFill="1" applyBorder="1"/>
    <xf numFmtId="0" fontId="9" fillId="19" borderId="0" xfId="0" applyFont="1" applyFill="1" applyBorder="1"/>
    <xf numFmtId="0" fontId="11" fillId="19" borderId="6" xfId="0" applyFont="1" applyFill="1" applyBorder="1" applyAlignment="1">
      <alignment horizontal="center"/>
    </xf>
    <xf numFmtId="0" fontId="0" fillId="19" borderId="0" xfId="0" applyFill="1" applyBorder="1"/>
    <xf numFmtId="0" fontId="0" fillId="19" borderId="8" xfId="0" applyFill="1" applyBorder="1"/>
    <xf numFmtId="0" fontId="11" fillId="19" borderId="9" xfId="0" applyFont="1" applyFill="1" applyBorder="1" applyAlignment="1">
      <alignment horizontal="center"/>
    </xf>
    <xf numFmtId="0" fontId="9" fillId="19" borderId="7" xfId="0" applyFont="1" applyFill="1" applyBorder="1"/>
    <xf numFmtId="0" fontId="0" fillId="7" borderId="2"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0" fillId="7" borderId="0" xfId="0" applyFill="1"/>
    <xf numFmtId="0" fontId="17" fillId="20" borderId="5" xfId="0" applyFont="1" applyFill="1" applyBorder="1"/>
    <xf numFmtId="0" fontId="17" fillId="20" borderId="0" xfId="0" applyFont="1" applyFill="1" applyBorder="1" applyAlignment="1">
      <alignment horizontal="center"/>
    </xf>
    <xf numFmtId="0" fontId="17" fillId="20" borderId="6" xfId="0" applyFont="1" applyFill="1" applyBorder="1" applyAlignment="1">
      <alignment horizontal="center"/>
    </xf>
    <xf numFmtId="0" fontId="9" fillId="0" borderId="1" xfId="0" applyFont="1" applyFill="1" applyBorder="1" applyAlignment="1">
      <alignment horizontal="center" vertical="center"/>
    </xf>
    <xf numFmtId="0" fontId="17" fillId="6" borderId="0" xfId="0" applyFont="1" applyFill="1" applyBorder="1" applyAlignment="1">
      <alignment horizontal="center" vertical="center"/>
    </xf>
    <xf numFmtId="0" fontId="9" fillId="7" borderId="0" xfId="0" applyFont="1" applyFill="1" applyBorder="1" applyAlignment="1">
      <alignment horizontal="left"/>
    </xf>
    <xf numFmtId="0" fontId="9" fillId="7" borderId="0" xfId="1" applyFont="1" applyFill="1" applyBorder="1" applyAlignment="1">
      <alignment horizontal="left"/>
    </xf>
    <xf numFmtId="0" fontId="17" fillId="6" borderId="0" xfId="0" applyFont="1" applyFill="1" applyBorder="1" applyAlignment="1">
      <alignment horizontal="left"/>
    </xf>
    <xf numFmtId="0" fontId="17" fillId="20" borderId="0" xfId="0" applyFont="1" applyFill="1" applyBorder="1" applyAlignment="1">
      <alignment horizontal="left"/>
    </xf>
    <xf numFmtId="0" fontId="9" fillId="6" borderId="5" xfId="0" applyFont="1" applyFill="1" applyBorder="1"/>
    <xf numFmtId="0" fontId="17" fillId="20" borderId="2" xfId="0" applyFont="1" applyFill="1" applyBorder="1"/>
    <xf numFmtId="0" fontId="17" fillId="20" borderId="3" xfId="0" applyFont="1" applyFill="1" applyBorder="1"/>
    <xf numFmtId="0" fontId="9" fillId="7" borderId="1" xfId="0" applyFont="1" applyFill="1" applyBorder="1"/>
    <xf numFmtId="0" fontId="9" fillId="7" borderId="1" xfId="0" applyFont="1" applyFill="1" applyBorder="1" applyAlignment="1">
      <alignment horizontal="left"/>
    </xf>
    <xf numFmtId="1" fontId="9" fillId="0" borderId="1" xfId="0" applyNumberFormat="1" applyFont="1" applyFill="1" applyBorder="1" applyAlignment="1">
      <alignment horizontal="center" vertical="center"/>
    </xf>
    <xf numFmtId="0" fontId="9" fillId="14" borderId="1" xfId="0" applyFont="1" applyFill="1" applyBorder="1"/>
    <xf numFmtId="0" fontId="9" fillId="22" borderId="1" xfId="0" applyFont="1" applyFill="1" applyBorder="1"/>
    <xf numFmtId="0" fontId="9" fillId="14" borderId="1" xfId="0" applyFont="1" applyFill="1" applyBorder="1" applyAlignment="1">
      <alignment horizontal="center"/>
    </xf>
    <xf numFmtId="0" fontId="9" fillId="22" borderId="1" xfId="0" applyFont="1" applyFill="1" applyBorder="1" applyAlignment="1">
      <alignment horizontal="right"/>
    </xf>
    <xf numFmtId="4" fontId="9" fillId="22" borderId="1" xfId="0" applyNumberFormat="1" applyFont="1" applyFill="1" applyBorder="1" applyAlignment="1">
      <alignment horizontal="right"/>
    </xf>
    <xf numFmtId="4" fontId="9" fillId="9" borderId="1" xfId="0" applyNumberFormat="1" applyFont="1" applyFill="1" applyBorder="1" applyAlignment="1">
      <alignment horizontal="right"/>
    </xf>
    <xf numFmtId="0" fontId="9" fillId="9" borderId="1" xfId="0" applyFont="1" applyFill="1" applyBorder="1"/>
    <xf numFmtId="0" fontId="9" fillId="9" borderId="0" xfId="0" applyFont="1" applyFill="1"/>
    <xf numFmtId="4" fontId="9" fillId="7" borderId="1" xfId="0" applyNumberFormat="1" applyFont="1" applyFill="1" applyBorder="1" applyAlignment="1">
      <alignment horizontal="right"/>
    </xf>
    <xf numFmtId="0" fontId="9" fillId="7" borderId="1" xfId="0" applyFont="1" applyFill="1" applyBorder="1" applyAlignment="1">
      <alignment horizontal="center"/>
    </xf>
    <xf numFmtId="4" fontId="9" fillId="14" borderId="1" xfId="0" applyNumberFormat="1" applyFont="1" applyFill="1" applyBorder="1" applyAlignment="1">
      <alignment horizontal="right"/>
    </xf>
    <xf numFmtId="0" fontId="9" fillId="9" borderId="5" xfId="1" applyFont="1" applyFill="1" applyBorder="1"/>
    <xf numFmtId="4" fontId="9" fillId="11" borderId="1" xfId="0" applyNumberFormat="1" applyFont="1" applyFill="1" applyBorder="1" applyAlignment="1">
      <alignment horizontal="right"/>
    </xf>
    <xf numFmtId="0" fontId="9" fillId="11" borderId="1" xfId="0" applyFont="1" applyFill="1" applyBorder="1"/>
    <xf numFmtId="0" fontId="12" fillId="7" borderId="10" xfId="0" applyFont="1" applyFill="1" applyBorder="1" applyAlignment="1">
      <alignment vertical="top" wrapText="1"/>
    </xf>
    <xf numFmtId="0" fontId="12" fillId="7" borderId="12" xfId="0" applyFont="1" applyFill="1" applyBorder="1" applyAlignment="1">
      <alignment vertical="top" wrapText="1"/>
    </xf>
    <xf numFmtId="0" fontId="9" fillId="7" borderId="13" xfId="0" applyFont="1" applyFill="1" applyBorder="1" applyAlignment="1">
      <alignment horizontal="left"/>
    </xf>
    <xf numFmtId="0" fontId="9" fillId="7" borderId="14" xfId="0" applyFont="1" applyFill="1" applyBorder="1" applyAlignment="1">
      <alignment horizontal="left"/>
    </xf>
    <xf numFmtId="10" fontId="9" fillId="0" borderId="1" xfId="0" applyNumberFormat="1" applyFont="1" applyFill="1" applyBorder="1" applyAlignment="1">
      <alignment horizontal="center" vertical="center"/>
    </xf>
    <xf numFmtId="10" fontId="9" fillId="2" borderId="1" xfId="0" applyNumberFormat="1" applyFont="1" applyFill="1" applyBorder="1" applyAlignment="1">
      <alignment horizontal="center" vertical="center"/>
    </xf>
    <xf numFmtId="0" fontId="19" fillId="7" borderId="5" xfId="1" applyFont="1" applyFill="1" applyBorder="1"/>
    <xf numFmtId="0" fontId="9" fillId="2" borderId="1" xfId="0" applyFont="1" applyFill="1" applyBorder="1" applyAlignment="1">
      <alignment horizontal="center" vertical="center"/>
    </xf>
    <xf numFmtId="0" fontId="25" fillId="14" borderId="1" xfId="0" applyFont="1" applyFill="1" applyBorder="1" applyAlignment="1">
      <alignment horizontal="center" vertical="center"/>
    </xf>
    <xf numFmtId="0" fontId="9" fillId="14" borderId="1" xfId="0" applyFont="1" applyFill="1" applyBorder="1" applyAlignment="1">
      <alignment horizontal="center" vertical="center"/>
    </xf>
    <xf numFmtId="4" fontId="9" fillId="21" borderId="1" xfId="0" applyNumberFormat="1" applyFont="1" applyFill="1" applyBorder="1" applyAlignment="1">
      <alignment horizontal="right"/>
    </xf>
    <xf numFmtId="164" fontId="9" fillId="0" borderId="1" xfId="0" applyNumberFormat="1" applyFont="1" applyFill="1" applyBorder="1" applyAlignment="1">
      <alignment horizontal="center" vertical="center"/>
    </xf>
    <xf numFmtId="4" fontId="25" fillId="9" borderId="1" xfId="0" applyNumberFormat="1" applyFont="1" applyFill="1" applyBorder="1" applyAlignment="1">
      <alignment horizontal="right"/>
    </xf>
    <xf numFmtId="0" fontId="9" fillId="7" borderId="0" xfId="1" applyFont="1" applyFill="1" applyBorder="1"/>
    <xf numFmtId="0" fontId="30" fillId="2" borderId="0" xfId="1" applyFont="1" applyFill="1"/>
    <xf numFmtId="49" fontId="9" fillId="0" borderId="1" xfId="0" applyNumberFormat="1" applyFont="1" applyFill="1" applyBorder="1" applyAlignment="1">
      <alignment horizontal="center" vertical="center"/>
    </xf>
    <xf numFmtId="0" fontId="17" fillId="20" borderId="4" xfId="0" applyFont="1" applyFill="1" applyBorder="1"/>
    <xf numFmtId="0" fontId="9" fillId="6" borderId="7" xfId="0" applyFont="1" applyFill="1" applyBorder="1"/>
    <xf numFmtId="0" fontId="9" fillId="7" borderId="11" xfId="0" applyFont="1" applyFill="1" applyBorder="1" applyAlignment="1">
      <alignment horizontal="left"/>
    </xf>
    <xf numFmtId="0" fontId="9" fillId="7" borderId="12" xfId="0" applyFont="1" applyFill="1" applyBorder="1"/>
    <xf numFmtId="0" fontId="9" fillId="6" borderId="1" xfId="0" applyFont="1" applyFill="1" applyBorder="1"/>
    <xf numFmtId="0" fontId="9" fillId="6" borderId="1" xfId="0" applyFont="1" applyFill="1" applyBorder="1" applyAlignment="1">
      <alignment horizontal="left"/>
    </xf>
    <xf numFmtId="49" fontId="9" fillId="6" borderId="1" xfId="0" applyNumberFormat="1" applyFont="1" applyFill="1" applyBorder="1"/>
    <xf numFmtId="0" fontId="17" fillId="7" borderId="5" xfId="0" applyFont="1" applyFill="1" applyBorder="1"/>
    <xf numFmtId="0" fontId="9" fillId="2" borderId="0" xfId="0" applyFont="1" applyFill="1" applyBorder="1"/>
    <xf numFmtId="0" fontId="9" fillId="2" borderId="6" xfId="0" applyFont="1" applyFill="1" applyBorder="1"/>
    <xf numFmtId="0" fontId="17" fillId="0" borderId="3" xfId="0" applyFont="1" applyFill="1" applyBorder="1"/>
    <xf numFmtId="0" fontId="17" fillId="0" borderId="0" xfId="0" applyFont="1" applyFill="1" applyBorder="1"/>
    <xf numFmtId="1" fontId="9" fillId="7" borderId="7" xfId="0" applyNumberFormat="1" applyFont="1" applyFill="1" applyBorder="1" applyAlignment="1">
      <alignment horizontal="left"/>
    </xf>
    <xf numFmtId="0" fontId="17" fillId="0" borderId="5" xfId="0" applyFont="1" applyFill="1" applyBorder="1"/>
    <xf numFmtId="0" fontId="9" fillId="0" borderId="5" xfId="0" applyFont="1" applyFill="1" applyBorder="1"/>
    <xf numFmtId="0" fontId="9" fillId="0" borderId="7" xfId="0" applyFont="1" applyFill="1" applyBorder="1"/>
    <xf numFmtId="0" fontId="9" fillId="0" borderId="8" xfId="0" applyFont="1" applyFill="1" applyBorder="1"/>
    <xf numFmtId="0" fontId="9" fillId="6" borderId="14" xfId="0" applyFont="1" applyFill="1" applyBorder="1"/>
    <xf numFmtId="0" fontId="9" fillId="6" borderId="14" xfId="0" applyFont="1" applyFill="1" applyBorder="1" applyAlignment="1">
      <alignment horizontal="left"/>
    </xf>
    <xf numFmtId="0" fontId="9" fillId="6" borderId="13" xfId="0" applyFont="1" applyFill="1" applyBorder="1"/>
    <xf numFmtId="0" fontId="9" fillId="6" borderId="13" xfId="0" applyFont="1" applyFill="1" applyBorder="1" applyAlignment="1">
      <alignment horizontal="left"/>
    </xf>
    <xf numFmtId="0" fontId="9" fillId="6" borderId="11" xfId="0" applyFont="1" applyFill="1" applyBorder="1" applyAlignment="1">
      <alignment horizontal="left"/>
    </xf>
    <xf numFmtId="0" fontId="17" fillId="0" borderId="2" xfId="0" applyFont="1" applyFill="1" applyBorder="1"/>
    <xf numFmtId="0" fontId="9" fillId="6" borderId="11" xfId="0" applyFont="1" applyFill="1" applyBorder="1"/>
    <xf numFmtId="0" fontId="9" fillId="7" borderId="11" xfId="0" applyFont="1" applyFill="1" applyBorder="1"/>
    <xf numFmtId="0" fontId="9" fillId="2" borderId="15" xfId="0" applyFont="1" applyFill="1" applyBorder="1"/>
    <xf numFmtId="0" fontId="9" fillId="6" borderId="12" xfId="0" applyFont="1" applyFill="1" applyBorder="1"/>
    <xf numFmtId="0" fontId="9" fillId="7" borderId="2" xfId="0" applyFont="1" applyFill="1" applyBorder="1"/>
    <xf numFmtId="0" fontId="9" fillId="17" borderId="5" xfId="0" applyFont="1" applyFill="1" applyBorder="1"/>
    <xf numFmtId="0" fontId="19" fillId="15" borderId="0" xfId="0" applyFont="1" applyFill="1" applyBorder="1"/>
    <xf numFmtId="0" fontId="9" fillId="7" borderId="7" xfId="0" applyFont="1" applyFill="1" applyBorder="1" applyAlignment="1">
      <alignment horizontal="left"/>
    </xf>
    <xf numFmtId="0" fontId="9" fillId="6" borderId="7" xfId="0" applyFont="1" applyFill="1" applyBorder="1" applyAlignment="1">
      <alignment horizontal="left"/>
    </xf>
    <xf numFmtId="0" fontId="9" fillId="16" borderId="5" xfId="0" applyFont="1" applyFill="1" applyBorder="1" applyAlignment="1">
      <alignment horizontal="left" indent="2"/>
    </xf>
    <xf numFmtId="9" fontId="9" fillId="17" borderId="0" xfId="0" applyNumberFormat="1" applyFont="1" applyFill="1" applyBorder="1"/>
    <xf numFmtId="0" fontId="5" fillId="0" borderId="0" xfId="0" applyFont="1" applyAlignment="1">
      <alignment horizontal="left" vertical="center"/>
    </xf>
    <xf numFmtId="0" fontId="8" fillId="0" borderId="0" xfId="0" applyFont="1"/>
    <xf numFmtId="0" fontId="22" fillId="0" borderId="0" xfId="0" applyFont="1"/>
    <xf numFmtId="167" fontId="31" fillId="0" borderId="0" xfId="0" applyNumberFormat="1" applyFont="1"/>
    <xf numFmtId="167" fontId="0" fillId="0" borderId="0" xfId="0" applyNumberFormat="1"/>
    <xf numFmtId="0" fontId="0" fillId="0" borderId="0" xfId="0" applyAlignment="1">
      <alignment vertical="center" wrapText="1"/>
    </xf>
    <xf numFmtId="1" fontId="0" fillId="0" borderId="0" xfId="0" applyNumberFormat="1"/>
    <xf numFmtId="1" fontId="26" fillId="0" borderId="0" xfId="0" applyNumberFormat="1" applyFont="1"/>
    <xf numFmtId="167" fontId="26" fillId="0" borderId="0" xfId="0" quotePrefix="1" applyNumberFormat="1" applyFont="1" applyAlignment="1">
      <alignment horizontal="left"/>
    </xf>
    <xf numFmtId="1" fontId="26" fillId="0" borderId="0" xfId="0" applyNumberFormat="1" applyFont="1" applyAlignment="1">
      <alignment horizontal="center"/>
    </xf>
    <xf numFmtId="1" fontId="26" fillId="0" borderId="0" xfId="0" quotePrefix="1" applyNumberFormat="1" applyFont="1" applyAlignment="1">
      <alignment horizontal="left"/>
    </xf>
    <xf numFmtId="1" fontId="26" fillId="0" borderId="0" xfId="0" quotePrefix="1" applyNumberFormat="1" applyFont="1"/>
    <xf numFmtId="167" fontId="26" fillId="0" borderId="0" xfId="0" applyNumberFormat="1" applyFont="1" applyAlignment="1">
      <alignment horizontal="center"/>
    </xf>
    <xf numFmtId="6" fontId="0" fillId="0" borderId="0" xfId="0" applyNumberFormat="1" applyAlignment="1">
      <alignment vertical="center" wrapText="1"/>
    </xf>
    <xf numFmtId="0" fontId="16" fillId="0" borderId="0" xfId="0" applyFont="1"/>
    <xf numFmtId="0" fontId="17" fillId="6" borderId="0" xfId="0" applyFont="1" applyFill="1" applyAlignment="1">
      <alignment horizontal="center"/>
    </xf>
    <xf numFmtId="0" fontId="23" fillId="7" borderId="0" xfId="0" applyFont="1" applyFill="1"/>
    <xf numFmtId="0" fontId="23" fillId="7" borderId="8" xfId="0" applyFont="1" applyFill="1" applyBorder="1"/>
    <xf numFmtId="0" fontId="9" fillId="7" borderId="0" xfId="0" applyFont="1" applyFill="1"/>
    <xf numFmtId="167" fontId="24" fillId="0" borderId="0" xfId="0" applyNumberFormat="1" applyFont="1"/>
    <xf numFmtId="1" fontId="24" fillId="0" borderId="0" xfId="0" applyNumberFormat="1" applyFont="1" applyAlignment="1">
      <alignment horizontal="right" wrapText="1"/>
    </xf>
    <xf numFmtId="167" fontId="24" fillId="0" borderId="0" xfId="0" applyNumberFormat="1" applyFont="1" applyAlignment="1">
      <alignment horizontal="right" wrapText="1"/>
    </xf>
    <xf numFmtId="49" fontId="0" fillId="0" borderId="0" xfId="0" applyNumberFormat="1" applyAlignment="1">
      <alignment horizontal="left"/>
    </xf>
    <xf numFmtId="166" fontId="0" fillId="0" borderId="0" xfId="0" applyNumberFormat="1"/>
    <xf numFmtId="49" fontId="24" fillId="0" borderId="0" xfId="0" applyNumberFormat="1" applyFont="1" applyAlignment="1">
      <alignment horizontal="left"/>
    </xf>
    <xf numFmtId="166" fontId="24" fillId="0" borderId="0" xfId="0" applyNumberFormat="1" applyFont="1" applyAlignment="1">
      <alignment horizontal="right"/>
    </xf>
    <xf numFmtId="1" fontId="24" fillId="0" borderId="0" xfId="0" applyNumberFormat="1" applyFont="1" applyAlignment="1">
      <alignment horizontal="right"/>
    </xf>
    <xf numFmtId="168" fontId="24" fillId="0" borderId="0" xfId="2" applyNumberFormat="1" applyAlignment="1">
      <alignment horizontal="right" wrapText="1"/>
    </xf>
    <xf numFmtId="169" fontId="0" fillId="0" borderId="0" xfId="3" applyNumberFormat="1" applyFont="1"/>
    <xf numFmtId="0" fontId="24" fillId="0" borderId="0" xfId="2" applyNumberFormat="1" applyAlignment="1">
      <alignment horizontal="right" wrapText="1"/>
    </xf>
    <xf numFmtId="0" fontId="32" fillId="0" borderId="0" xfId="0" applyFont="1"/>
    <xf numFmtId="164" fontId="0" fillId="0" borderId="0" xfId="0" applyNumberFormat="1"/>
    <xf numFmtId="1" fontId="0" fillId="0" borderId="0" xfId="0" quotePrefix="1" applyNumberFormat="1" applyAlignment="1">
      <alignment horizontal="left"/>
    </xf>
    <xf numFmtId="0" fontId="33" fillId="24" borderId="5" xfId="0" applyFont="1" applyFill="1" applyBorder="1"/>
    <xf numFmtId="164" fontId="34" fillId="24" borderId="14" xfId="0" applyNumberFormat="1" applyFont="1" applyFill="1" applyBorder="1" applyAlignment="1">
      <alignment horizontal="center"/>
    </xf>
    <xf numFmtId="0" fontId="30" fillId="0" borderId="0" xfId="0" applyFont="1"/>
    <xf numFmtId="9" fontId="30" fillId="0" borderId="0" xfId="0" applyNumberFormat="1" applyFont="1"/>
    <xf numFmtId="0" fontId="34" fillId="25" borderId="5" xfId="0" applyFont="1" applyFill="1" applyBorder="1"/>
    <xf numFmtId="170" fontId="0" fillId="0" borderId="0" xfId="4" applyNumberFormat="1" applyFont="1"/>
    <xf numFmtId="9" fontId="36" fillId="0" borderId="0" xfId="0" applyNumberFormat="1" applyFont="1"/>
    <xf numFmtId="6" fontId="0" fillId="0" borderId="0" xfId="0" applyNumberFormat="1"/>
    <xf numFmtId="8" fontId="0" fillId="0" borderId="0" xfId="0" applyNumberFormat="1"/>
    <xf numFmtId="0" fontId="37" fillId="26" borderId="5" xfId="0" applyFont="1" applyFill="1" applyBorder="1"/>
    <xf numFmtId="9" fontId="0" fillId="0" borderId="0" xfId="0" applyNumberFormat="1"/>
    <xf numFmtId="0" fontId="36" fillId="0" borderId="0" xfId="0" applyFont="1"/>
    <xf numFmtId="171" fontId="36" fillId="0" borderId="0" xfId="0" applyNumberFormat="1" applyFont="1"/>
    <xf numFmtId="0" fontId="34" fillId="27" borderId="5" xfId="0" applyFont="1" applyFill="1" applyBorder="1"/>
    <xf numFmtId="170" fontId="0" fillId="0" borderId="0" xfId="0" applyNumberFormat="1"/>
    <xf numFmtId="0" fontId="27" fillId="25" borderId="5" xfId="0" applyFont="1" applyFill="1" applyBorder="1"/>
    <xf numFmtId="10" fontId="36" fillId="0" borderId="0" xfId="0" applyNumberFormat="1" applyFont="1"/>
    <xf numFmtId="0" fontId="0" fillId="0" borderId="0" xfId="0" quotePrefix="1"/>
    <xf numFmtId="0" fontId="22" fillId="0" borderId="0" xfId="0" quotePrefix="1" applyFont="1"/>
    <xf numFmtId="0" fontId="0" fillId="19" borderId="0" xfId="0" applyFill="1"/>
    <xf numFmtId="0" fontId="0" fillId="18" borderId="0" xfId="0" applyFill="1"/>
    <xf numFmtId="44" fontId="0" fillId="0" borderId="0" xfId="0" applyNumberFormat="1"/>
    <xf numFmtId="172" fontId="0" fillId="0" borderId="0" xfId="4" applyNumberFormat="1" applyFont="1"/>
    <xf numFmtId="172" fontId="0" fillId="0" borderId="0" xfId="0" applyNumberFormat="1"/>
    <xf numFmtId="169" fontId="0" fillId="0" borderId="0" xfId="0" applyNumberFormat="1"/>
    <xf numFmtId="0" fontId="0" fillId="14" borderId="0" xfId="0" applyFill="1"/>
    <xf numFmtId="0" fontId="0" fillId="0" borderId="1" xfId="0" applyBorder="1"/>
    <xf numFmtId="0" fontId="0" fillId="0" borderId="15" xfId="0" applyBorder="1"/>
    <xf numFmtId="0" fontId="0" fillId="0" borderId="14" xfId="0" applyBorder="1"/>
    <xf numFmtId="164" fontId="9" fillId="15" borderId="1" xfId="0" applyNumberFormat="1" applyFont="1" applyFill="1" applyBorder="1"/>
    <xf numFmtId="164" fontId="17" fillId="15" borderId="1" xfId="0" applyNumberFormat="1" applyFont="1" applyFill="1" applyBorder="1"/>
    <xf numFmtId="164" fontId="17" fillId="15" borderId="14" xfId="0" applyNumberFormat="1" applyFont="1" applyFill="1" applyBorder="1"/>
    <xf numFmtId="164" fontId="18" fillId="9" borderId="1" xfId="0" applyNumberFormat="1" applyFont="1" applyFill="1" applyBorder="1"/>
    <xf numFmtId="9" fontId="27" fillId="11" borderId="3" xfId="0" applyNumberFormat="1" applyFont="1" applyFill="1" applyBorder="1" applyAlignment="1">
      <alignment horizontal="center"/>
    </xf>
    <xf numFmtId="9" fontId="9" fillId="15" borderId="0" xfId="0" applyNumberFormat="1" applyFont="1" applyFill="1" applyBorder="1"/>
    <xf numFmtId="9" fontId="17" fillId="15" borderId="0" xfId="0" applyNumberFormat="1" applyFont="1" applyFill="1" applyBorder="1"/>
    <xf numFmtId="9" fontId="18" fillId="9" borderId="3" xfId="0" applyNumberFormat="1" applyFont="1" applyFill="1" applyBorder="1"/>
    <xf numFmtId="9" fontId="9" fillId="17" borderId="0" xfId="0" applyNumberFormat="1" applyFont="1" applyFill="1"/>
    <xf numFmtId="0" fontId="9" fillId="16" borderId="0" xfId="0" applyFont="1" applyFill="1"/>
    <xf numFmtId="0" fontId="19" fillId="16" borderId="0" xfId="0" applyFont="1" applyFill="1"/>
    <xf numFmtId="0" fontId="17" fillId="16" borderId="0" xfId="0" applyFont="1" applyFill="1"/>
    <xf numFmtId="0" fontId="19" fillId="17" borderId="5" xfId="0" applyFont="1" applyFill="1" applyBorder="1"/>
    <xf numFmtId="0" fontId="9" fillId="12" borderId="7" xfId="0" applyFont="1" applyFill="1" applyBorder="1"/>
    <xf numFmtId="9" fontId="9" fillId="0" borderId="1" xfId="0" applyNumberFormat="1" applyFont="1" applyFill="1" applyBorder="1"/>
    <xf numFmtId="0" fontId="19" fillId="16" borderId="5" xfId="0" applyFont="1" applyFill="1" applyBorder="1"/>
    <xf numFmtId="0" fontId="19" fillId="16" borderId="5" xfId="0" applyFont="1" applyFill="1" applyBorder="1" applyAlignment="1">
      <alignment horizontal="left" indent="2"/>
    </xf>
    <xf numFmtId="164" fontId="9" fillId="16" borderId="0" xfId="0" applyNumberFormat="1" applyFont="1" applyFill="1" applyBorder="1" applyAlignment="1">
      <alignment horizontal="center"/>
    </xf>
    <xf numFmtId="164" fontId="9" fillId="16" borderId="0" xfId="0" applyNumberFormat="1" applyFont="1" applyFill="1" applyAlignment="1">
      <alignment horizontal="center"/>
    </xf>
    <xf numFmtId="164" fontId="17" fillId="15" borderId="0" xfId="0" applyNumberFormat="1" applyFont="1" applyFill="1" applyBorder="1" applyAlignment="1">
      <alignment horizontal="center"/>
    </xf>
    <xf numFmtId="164" fontId="9" fillId="17" borderId="0" xfId="0" applyNumberFormat="1" applyFont="1" applyFill="1" applyBorder="1" applyAlignment="1">
      <alignment horizontal="center"/>
    </xf>
    <xf numFmtId="164" fontId="9" fillId="18" borderId="0" xfId="0" applyNumberFormat="1" applyFont="1" applyFill="1" applyBorder="1" applyAlignment="1">
      <alignment horizontal="center"/>
    </xf>
    <xf numFmtId="164" fontId="9" fillId="18" borderId="8" xfId="0" applyNumberFormat="1" applyFont="1" applyFill="1" applyBorder="1" applyAlignment="1">
      <alignment horizontal="center"/>
    </xf>
    <xf numFmtId="164" fontId="17" fillId="9" borderId="3" xfId="0" applyNumberFormat="1" applyFont="1" applyFill="1" applyBorder="1" applyAlignment="1">
      <alignment horizontal="center"/>
    </xf>
    <xf numFmtId="10" fontId="9" fillId="17" borderId="0" xfId="0" applyNumberFormat="1" applyFont="1" applyFill="1" applyBorder="1" applyAlignment="1">
      <alignment horizontal="center" vertical="center"/>
    </xf>
    <xf numFmtId="10" fontId="9" fillId="16" borderId="0" xfId="0" applyNumberFormat="1" applyFont="1" applyFill="1" applyBorder="1" applyAlignment="1">
      <alignment horizontal="center" vertical="center"/>
    </xf>
    <xf numFmtId="10" fontId="17" fillId="15" borderId="0" xfId="0" applyNumberFormat="1" applyFont="1" applyFill="1" applyBorder="1" applyAlignment="1">
      <alignment horizontal="center" vertical="center"/>
    </xf>
    <xf numFmtId="10" fontId="18" fillId="9" borderId="3" xfId="0" applyNumberFormat="1" applyFont="1" applyFill="1" applyBorder="1" applyAlignment="1">
      <alignment horizontal="center" vertical="center"/>
    </xf>
    <xf numFmtId="10" fontId="17" fillId="8" borderId="0" xfId="0" applyNumberFormat="1" applyFont="1" applyFill="1" applyBorder="1" applyAlignment="1">
      <alignment horizontal="center"/>
    </xf>
    <xf numFmtId="0" fontId="10" fillId="7" borderId="10" xfId="0" applyFont="1" applyFill="1" applyBorder="1" applyAlignment="1">
      <alignment vertical="center"/>
    </xf>
    <xf numFmtId="0" fontId="0" fillId="0" borderId="8" xfId="0" applyBorder="1"/>
    <xf numFmtId="0" fontId="0" fillId="0" borderId="0" xfId="0" applyBorder="1"/>
    <xf numFmtId="0" fontId="3" fillId="0" borderId="8" xfId="0" applyFont="1" applyFill="1" applyBorder="1"/>
    <xf numFmtId="170" fontId="3" fillId="0" borderId="8" xfId="4" applyNumberFormat="1" applyFont="1" applyBorder="1"/>
    <xf numFmtId="172" fontId="36" fillId="0" borderId="0" xfId="4" applyNumberFormat="1" applyFont="1"/>
    <xf numFmtId="0" fontId="0" fillId="0" borderId="7" xfId="0" applyBorder="1"/>
    <xf numFmtId="169" fontId="0" fillId="0" borderId="11" xfId="3" applyNumberFormat="1" applyFont="1" applyBorder="1"/>
    <xf numFmtId="169" fontId="0" fillId="0" borderId="5" xfId="3" applyNumberFormat="1" applyFont="1" applyBorder="1"/>
    <xf numFmtId="172" fontId="35" fillId="25" borderId="1" xfId="4" applyNumberFormat="1" applyFont="1" applyFill="1" applyBorder="1"/>
    <xf numFmtId="164" fontId="9" fillId="2" borderId="1" xfId="0" applyNumberFormat="1" applyFont="1" applyFill="1" applyBorder="1" applyAlignment="1">
      <alignment horizontal="center" vertical="center"/>
    </xf>
    <xf numFmtId="0" fontId="19" fillId="7" borderId="0" xfId="1" applyFont="1" applyFill="1" applyBorder="1" applyAlignment="1">
      <alignment horizontal="left"/>
    </xf>
    <xf numFmtId="0" fontId="9" fillId="2" borderId="1" xfId="0" applyFont="1" applyFill="1" applyBorder="1" applyAlignment="1">
      <alignment horizontal="left" vertical="center"/>
    </xf>
    <xf numFmtId="0" fontId="19" fillId="7" borderId="0" xfId="1" applyFont="1" applyFill="1" applyBorder="1"/>
    <xf numFmtId="0" fontId="0" fillId="0" borderId="6" xfId="0" applyBorder="1"/>
    <xf numFmtId="0" fontId="0" fillId="0" borderId="9" xfId="0" applyBorder="1"/>
    <xf numFmtId="0" fontId="9" fillId="6" borderId="15" xfId="0" applyFont="1" applyFill="1" applyBorder="1"/>
    <xf numFmtId="0" fontId="9" fillId="7" borderId="10" xfId="0" applyFont="1" applyFill="1" applyBorder="1" applyAlignment="1">
      <alignment horizontal="left"/>
    </xf>
    <xf numFmtId="0" fontId="12" fillId="22" borderId="0" xfId="0" applyFont="1" applyFill="1" applyAlignment="1">
      <alignment horizontal="center" vertical="top" wrapText="1"/>
    </xf>
    <xf numFmtId="0" fontId="12" fillId="9" borderId="0" xfId="0" applyFont="1" applyFill="1" applyAlignment="1">
      <alignment horizontal="center" vertical="top" wrapText="1"/>
    </xf>
    <xf numFmtId="0" fontId="12" fillId="11" borderId="0" xfId="0" applyFont="1" applyFill="1" applyAlignment="1">
      <alignment horizontal="center" vertical="top" wrapText="1"/>
    </xf>
    <xf numFmtId="0" fontId="40" fillId="0" borderId="0" xfId="0" applyFont="1" applyFill="1"/>
    <xf numFmtId="0" fontId="9" fillId="7" borderId="7" xfId="1" applyFont="1" applyFill="1" applyBorder="1"/>
    <xf numFmtId="0" fontId="19" fillId="7" borderId="8" xfId="1" applyFont="1" applyFill="1" applyBorder="1"/>
    <xf numFmtId="0" fontId="9" fillId="14" borderId="1" xfId="0" applyFont="1" applyFill="1" applyBorder="1" applyAlignment="1" applyProtection="1">
      <alignment horizontal="center" vertical="center"/>
    </xf>
    <xf numFmtId="0" fontId="41" fillId="0" borderId="5" xfId="0" applyFont="1" applyFill="1" applyBorder="1"/>
    <xf numFmtId="0" fontId="40" fillId="2" borderId="0" xfId="1" applyFont="1" applyFill="1"/>
    <xf numFmtId="0" fontId="35" fillId="29" borderId="5" xfId="0" applyFont="1" applyFill="1" applyBorder="1"/>
    <xf numFmtId="0" fontId="17" fillId="20" borderId="0" xfId="0" applyFont="1" applyFill="1" applyBorder="1"/>
    <xf numFmtId="0" fontId="17" fillId="20" borderId="6" xfId="0" applyFont="1" applyFill="1" applyBorder="1"/>
    <xf numFmtId="0" fontId="35" fillId="29" borderId="1" xfId="0" applyFont="1" applyFill="1" applyBorder="1" applyAlignment="1">
      <alignment horizontal="left"/>
    </xf>
    <xf numFmtId="0" fontId="17" fillId="20" borderId="13" xfId="0" applyFont="1" applyFill="1" applyBorder="1"/>
    <xf numFmtId="1" fontId="9" fillId="7" borderId="14" xfId="0" applyNumberFormat="1" applyFont="1" applyFill="1" applyBorder="1" applyAlignment="1">
      <alignment horizontal="left"/>
    </xf>
    <xf numFmtId="0" fontId="9" fillId="2" borderId="15" xfId="0" applyFont="1" applyFill="1" applyBorder="1" applyAlignment="1">
      <alignment horizontal="left"/>
    </xf>
    <xf numFmtId="0" fontId="9" fillId="23" borderId="13" xfId="0" applyFont="1" applyFill="1" applyBorder="1" applyAlignment="1">
      <alignment horizontal="left"/>
    </xf>
    <xf numFmtId="0" fontId="9" fillId="23" borderId="11" xfId="0" applyFont="1" applyFill="1" applyBorder="1" applyAlignment="1">
      <alignment horizontal="left"/>
    </xf>
    <xf numFmtId="0" fontId="9" fillId="23" borderId="0" xfId="0" applyFont="1" applyFill="1" applyBorder="1"/>
    <xf numFmtId="0" fontId="9" fillId="23" borderId="14" xfId="0" applyFont="1" applyFill="1" applyBorder="1"/>
    <xf numFmtId="164" fontId="9" fillId="14" borderId="1" xfId="0" applyNumberFormat="1" applyFont="1" applyFill="1" applyBorder="1" applyAlignment="1">
      <alignment horizontal="center" vertical="center"/>
    </xf>
    <xf numFmtId="0" fontId="41" fillId="0" borderId="0" xfId="0" applyFont="1" applyFill="1" applyBorder="1"/>
    <xf numFmtId="164" fontId="9" fillId="2" borderId="13" xfId="0" applyNumberFormat="1" applyFont="1" applyFill="1" applyBorder="1" applyAlignment="1">
      <alignment horizontal="center" vertical="center"/>
    </xf>
    <xf numFmtId="0" fontId="9" fillId="7" borderId="8" xfId="0" applyFont="1" applyFill="1" applyBorder="1" applyAlignment="1">
      <alignment horizontal="left"/>
    </xf>
    <xf numFmtId="0" fontId="40" fillId="0" borderId="0" xfId="0" applyFont="1"/>
    <xf numFmtId="164" fontId="9" fillId="12" borderId="8" xfId="0" applyNumberFormat="1" applyFont="1" applyFill="1" applyBorder="1"/>
    <xf numFmtId="164" fontId="18" fillId="10" borderId="8" xfId="0" applyNumberFormat="1" applyFont="1" applyFill="1" applyBorder="1"/>
    <xf numFmtId="0" fontId="19" fillId="12" borderId="5" xfId="0" applyFont="1" applyFill="1" applyBorder="1"/>
    <xf numFmtId="173" fontId="17" fillId="10" borderId="0" xfId="0" applyNumberFormat="1" applyFont="1" applyFill="1" applyBorder="1" applyAlignment="1">
      <alignment horizontal="center"/>
    </xf>
    <xf numFmtId="173" fontId="9" fillId="12" borderId="0" xfId="0" applyNumberFormat="1" applyFont="1" applyFill="1" applyBorder="1" applyAlignment="1">
      <alignment horizontal="center"/>
    </xf>
    <xf numFmtId="173" fontId="9" fillId="12" borderId="8" xfId="0" applyNumberFormat="1" applyFont="1" applyFill="1" applyBorder="1" applyAlignment="1">
      <alignment horizontal="center"/>
    </xf>
    <xf numFmtId="9" fontId="17" fillId="10" borderId="0" xfId="0" applyNumberFormat="1" applyFont="1" applyFill="1" applyBorder="1" applyAlignment="1">
      <alignment horizontal="center"/>
    </xf>
    <xf numFmtId="9" fontId="9" fillId="12" borderId="0" xfId="0" applyNumberFormat="1" applyFont="1" applyFill="1" applyBorder="1" applyAlignment="1">
      <alignment horizontal="center" vertical="center"/>
    </xf>
    <xf numFmtId="9" fontId="17" fillId="10" borderId="0" xfId="0" applyNumberFormat="1" applyFont="1" applyFill="1" applyBorder="1" applyAlignment="1">
      <alignment horizontal="center" vertical="center"/>
    </xf>
    <xf numFmtId="9" fontId="9" fillId="12" borderId="8" xfId="0" applyNumberFormat="1" applyFont="1" applyFill="1" applyBorder="1" applyAlignment="1">
      <alignment horizontal="center" vertical="center"/>
    </xf>
    <xf numFmtId="0" fontId="9" fillId="19" borderId="0" xfId="0" applyFont="1" applyFill="1" applyBorder="1" applyAlignment="1">
      <alignment horizontal="center"/>
    </xf>
    <xf numFmtId="1" fontId="9" fillId="0" borderId="1" xfId="0" applyNumberFormat="1" applyFont="1" applyFill="1" applyBorder="1"/>
    <xf numFmtId="0" fontId="18" fillId="13" borderId="0" xfId="0" applyFont="1" applyFill="1" applyBorder="1"/>
    <xf numFmtId="164" fontId="17" fillId="13" borderId="10" xfId="0" applyNumberFormat="1" applyFont="1" applyFill="1" applyBorder="1" applyAlignment="1">
      <alignment horizontal="center"/>
    </xf>
    <xf numFmtId="0" fontId="9" fillId="0" borderId="1" xfId="0" applyNumberFormat="1" applyFont="1" applyFill="1" applyBorder="1"/>
    <xf numFmtId="9" fontId="17" fillId="15" borderId="7" xfId="0" applyNumberFormat="1" applyFont="1" applyFill="1" applyBorder="1"/>
    <xf numFmtId="0" fontId="9" fillId="15" borderId="8" xfId="0" applyFont="1" applyFill="1" applyBorder="1"/>
    <xf numFmtId="0" fontId="17" fillId="15" borderId="14" xfId="0" applyFont="1" applyFill="1" applyBorder="1"/>
    <xf numFmtId="0" fontId="9" fillId="19" borderId="8" xfId="0" applyFont="1" applyFill="1" applyBorder="1" applyAlignment="1">
      <alignment horizontal="center"/>
    </xf>
    <xf numFmtId="0" fontId="19" fillId="0" borderId="5" xfId="1" applyFont="1" applyFill="1" applyBorder="1"/>
    <xf numFmtId="0" fontId="1" fillId="0" borderId="0" xfId="5" applyAlignment="1">
      <alignment vertical="center"/>
    </xf>
    <xf numFmtId="0" fontId="39" fillId="0" borderId="0" xfId="5" applyFont="1" applyAlignment="1">
      <alignment vertical="center"/>
    </xf>
    <xf numFmtId="0" fontId="0" fillId="13" borderId="0" xfId="0" applyFill="1"/>
    <xf numFmtId="1" fontId="24" fillId="30" borderId="0" xfId="0" applyNumberFormat="1" applyFont="1" applyFill="1"/>
    <xf numFmtId="1" fontId="27" fillId="30" borderId="0" xfId="0" applyNumberFormat="1" applyFont="1" applyFill="1"/>
    <xf numFmtId="1" fontId="26" fillId="30" borderId="0" xfId="0" applyNumberFormat="1" applyFont="1" applyFill="1" applyAlignment="1">
      <alignment horizontal="left"/>
    </xf>
    <xf numFmtId="164" fontId="24" fillId="30" borderId="0" xfId="0" applyNumberFormat="1" applyFont="1" applyFill="1" applyAlignment="1">
      <alignment horizontal="center"/>
    </xf>
    <xf numFmtId="171" fontId="24" fillId="30" borderId="0" xfId="6" applyNumberFormat="1" applyFont="1" applyFill="1" applyBorder="1" applyAlignment="1">
      <alignment horizontal="center"/>
    </xf>
    <xf numFmtId="1" fontId="44" fillId="30" borderId="0" xfId="0" applyNumberFormat="1" applyFont="1" applyFill="1" applyAlignment="1">
      <alignment horizontal="left"/>
    </xf>
    <xf numFmtId="164" fontId="24" fillId="31" borderId="0" xfId="0" applyNumberFormat="1" applyFont="1" applyFill="1" applyAlignment="1">
      <alignment horizontal="center"/>
    </xf>
    <xf numFmtId="9" fontId="24" fillId="30" borderId="0" xfId="0" applyNumberFormat="1" applyFont="1" applyFill="1"/>
    <xf numFmtId="171" fontId="24" fillId="30" borderId="0" xfId="6" applyNumberFormat="1" applyFont="1" applyFill="1" applyBorder="1" applyAlignment="1"/>
    <xf numFmtId="164" fontId="24" fillId="30" borderId="0" xfId="0" applyNumberFormat="1" applyFont="1" applyFill="1" applyAlignment="1">
      <alignment horizontal="right"/>
    </xf>
    <xf numFmtId="1" fontId="45" fillId="30" borderId="0" xfId="0" applyNumberFormat="1" applyFont="1" applyFill="1" applyAlignment="1">
      <alignment horizontal="left"/>
    </xf>
    <xf numFmtId="164" fontId="24" fillId="0" borderId="0" xfId="0" applyNumberFormat="1" applyFont="1" applyAlignment="1">
      <alignment horizontal="right"/>
    </xf>
    <xf numFmtId="1" fontId="45" fillId="30" borderId="0" xfId="0" applyNumberFormat="1" applyFont="1" applyFill="1" applyAlignment="1">
      <alignment horizontal="left" indent="2"/>
    </xf>
    <xf numFmtId="1" fontId="24" fillId="30" borderId="0" xfId="0" applyNumberFormat="1" applyFont="1" applyFill="1" applyAlignment="1">
      <alignment horizontal="left" indent="2"/>
    </xf>
    <xf numFmtId="0" fontId="12" fillId="14" borderId="5" xfId="0" applyFont="1" applyFill="1" applyBorder="1" applyAlignment="1">
      <alignment horizontal="left" indent="3"/>
    </xf>
    <xf numFmtId="1" fontId="24" fillId="30" borderId="0" xfId="0" applyNumberFormat="1" applyFont="1" applyFill="1" applyAlignment="1">
      <alignment horizontal="left"/>
    </xf>
    <xf numFmtId="1" fontId="28" fillId="30" borderId="0" xfId="0" applyNumberFormat="1" applyFont="1" applyFill="1" applyAlignment="1">
      <alignment horizontal="left"/>
    </xf>
    <xf numFmtId="1" fontId="24" fillId="30" borderId="0" xfId="0" applyNumberFormat="1" applyFont="1" applyFill="1" applyAlignment="1">
      <alignment horizontal="left" indent="1"/>
    </xf>
    <xf numFmtId="0" fontId="12" fillId="14" borderId="5" xfId="0" applyFont="1" applyFill="1" applyBorder="1"/>
    <xf numFmtId="164" fontId="24" fillId="14" borderId="0" xfId="0" applyNumberFormat="1" applyFont="1" applyFill="1" applyAlignment="1">
      <alignment horizontal="right"/>
    </xf>
    <xf numFmtId="164" fontId="24" fillId="0" borderId="0" xfId="0" applyNumberFormat="1" applyFont="1" applyAlignment="1" applyProtection="1">
      <alignment horizontal="right"/>
      <protection locked="0"/>
    </xf>
    <xf numFmtId="1" fontId="24" fillId="31" borderId="0" xfId="0" applyNumberFormat="1" applyFont="1" applyFill="1"/>
    <xf numFmtId="0" fontId="0" fillId="6" borderId="0" xfId="0" applyFill="1"/>
    <xf numFmtId="171" fontId="0" fillId="0" borderId="0" xfId="0" applyNumberFormat="1"/>
    <xf numFmtId="9" fontId="0" fillId="0" borderId="0" xfId="6" applyFont="1"/>
    <xf numFmtId="175" fontId="0" fillId="0" borderId="0" xfId="0" applyNumberFormat="1"/>
    <xf numFmtId="172" fontId="35" fillId="25" borderId="13" xfId="4" applyNumberFormat="1" applyFont="1" applyFill="1" applyBorder="1"/>
    <xf numFmtId="10" fontId="0" fillId="0" borderId="2" xfId="0" applyNumberFormat="1" applyBorder="1"/>
    <xf numFmtId="0" fontId="34" fillId="27" borderId="2" xfId="0" applyFont="1" applyFill="1" applyBorder="1"/>
    <xf numFmtId="9" fontId="0" fillId="6" borderId="3" xfId="0" applyNumberFormat="1" applyFill="1" applyBorder="1"/>
    <xf numFmtId="0" fontId="0" fillId="6" borderId="4" xfId="0" applyFill="1" applyBorder="1"/>
    <xf numFmtId="10" fontId="47" fillId="0" borderId="5" xfId="0" applyNumberFormat="1" applyFont="1" applyBorder="1"/>
    <xf numFmtId="10" fontId="0" fillId="0" borderId="5" xfId="0" applyNumberFormat="1" applyBorder="1"/>
    <xf numFmtId="9" fontId="0" fillId="0" borderId="5" xfId="0" applyNumberFormat="1" applyBorder="1"/>
    <xf numFmtId="9" fontId="47" fillId="0" borderId="5" xfId="0" applyNumberFormat="1" applyFont="1" applyBorder="1"/>
    <xf numFmtId="9" fontId="47" fillId="0" borderId="7" xfId="6" applyFont="1" applyBorder="1"/>
    <xf numFmtId="0" fontId="37" fillId="26" borderId="7" xfId="0" applyFont="1" applyFill="1" applyBorder="1"/>
    <xf numFmtId="10" fontId="0" fillId="0" borderId="0" xfId="0" applyNumberFormat="1"/>
    <xf numFmtId="172" fontId="35" fillId="25" borderId="14" xfId="4" applyNumberFormat="1" applyFont="1" applyFill="1" applyBorder="1"/>
    <xf numFmtId="9" fontId="0" fillId="6" borderId="0" xfId="0" applyNumberFormat="1" applyFill="1"/>
    <xf numFmtId="9" fontId="47" fillId="0" borderId="0" xfId="0" applyNumberFormat="1" applyFont="1"/>
    <xf numFmtId="9" fontId="47" fillId="0" borderId="0" xfId="6" applyFont="1"/>
    <xf numFmtId="9" fontId="48" fillId="0" borderId="0" xfId="0" applyNumberFormat="1" applyFont="1"/>
    <xf numFmtId="0" fontId="48" fillId="0" borderId="0" xfId="0" applyFont="1"/>
    <xf numFmtId="9" fontId="48" fillId="6" borderId="0" xfId="0" applyNumberFormat="1" applyFont="1" applyFill="1"/>
    <xf numFmtId="0" fontId="48" fillId="6" borderId="0" xfId="0" applyFont="1" applyFill="1"/>
    <xf numFmtId="164" fontId="24" fillId="31" borderId="0" xfId="0" applyNumberFormat="1" applyFont="1" applyFill="1" applyAlignment="1">
      <alignment horizontal="left" indent="3"/>
    </xf>
    <xf numFmtId="1" fontId="45" fillId="30" borderId="0" xfId="0" applyNumberFormat="1" applyFont="1" applyFill="1" applyAlignment="1">
      <alignment horizontal="left" indent="3"/>
    </xf>
    <xf numFmtId="9" fontId="9" fillId="0" borderId="0" xfId="0" applyNumberFormat="1" applyFont="1" applyFill="1" applyBorder="1"/>
    <xf numFmtId="9" fontId="9" fillId="0" borderId="0" xfId="0" applyNumberFormat="1" applyFont="1" applyFill="1"/>
    <xf numFmtId="9" fontId="19" fillId="0" borderId="0" xfId="0" applyNumberFormat="1" applyFont="1" applyFill="1"/>
    <xf numFmtId="1" fontId="24" fillId="31" borderId="0" xfId="0" applyNumberFormat="1" applyFont="1" applyFill="1" applyAlignment="1">
      <alignment horizontal="left" indent="2"/>
    </xf>
    <xf numFmtId="9" fontId="24" fillId="31" borderId="0" xfId="6" applyFont="1" applyFill="1" applyBorder="1" applyAlignment="1"/>
    <xf numFmtId="9" fontId="24" fillId="0" borderId="0" xfId="0" applyNumberFormat="1" applyFont="1" applyFill="1" applyAlignment="1">
      <alignment horizontal="center"/>
    </xf>
    <xf numFmtId="9" fontId="24" fillId="32" borderId="0" xfId="6" applyNumberFormat="1" applyFont="1" applyFill="1" applyBorder="1" applyAlignment="1">
      <alignment horizontal="center"/>
    </xf>
    <xf numFmtId="9" fontId="0" fillId="31" borderId="0" xfId="0" applyNumberFormat="1" applyFill="1" applyAlignment="1">
      <alignment horizontal="center"/>
    </xf>
    <xf numFmtId="171" fontId="24" fillId="0" borderId="0" xfId="6" applyNumberFormat="1" applyFont="1" applyFill="1" applyBorder="1" applyAlignment="1">
      <alignment horizontal="center"/>
    </xf>
    <xf numFmtId="9" fontId="24" fillId="31" borderId="0" xfId="6" applyNumberFormat="1" applyFont="1" applyFill="1" applyBorder="1" applyAlignment="1">
      <alignment horizontal="center"/>
    </xf>
    <xf numFmtId="9" fontId="24" fillId="30" borderId="0" xfId="6" applyNumberFormat="1" applyFont="1" applyFill="1" applyBorder="1" applyAlignment="1">
      <alignment horizontal="center"/>
    </xf>
    <xf numFmtId="9" fontId="24" fillId="0" borderId="0" xfId="6" applyNumberFormat="1" applyFont="1" applyFill="1" applyBorder="1" applyAlignment="1">
      <alignment horizontal="center"/>
    </xf>
    <xf numFmtId="9" fontId="24" fillId="0" borderId="0" xfId="6" applyNumberFormat="1" applyFont="1" applyFill="1" applyAlignment="1">
      <alignment horizontal="center"/>
    </xf>
    <xf numFmtId="1" fontId="24" fillId="14" borderId="0" xfId="0" applyNumberFormat="1" applyFont="1" applyFill="1" applyAlignment="1">
      <alignment horizontal="left" indent="2"/>
    </xf>
    <xf numFmtId="164" fontId="24" fillId="0" borderId="0" xfId="0" applyNumberFormat="1" applyFont="1" applyFill="1" applyAlignment="1">
      <alignment horizontal="right"/>
    </xf>
    <xf numFmtId="9" fontId="9" fillId="16" borderId="0" xfId="0" applyNumberFormat="1" applyFont="1" applyFill="1"/>
    <xf numFmtId="164" fontId="26" fillId="31" borderId="0" xfId="0" applyNumberFormat="1" applyFont="1" applyFill="1" applyAlignment="1">
      <alignment horizontal="left"/>
    </xf>
    <xf numFmtId="0" fontId="13" fillId="14" borderId="0" xfId="0" applyFont="1" applyFill="1" applyBorder="1" applyAlignment="1">
      <alignment horizontal="left"/>
    </xf>
    <xf numFmtId="164" fontId="26" fillId="14" borderId="0" xfId="0" applyNumberFormat="1" applyFont="1" applyFill="1" applyAlignment="1">
      <alignment horizontal="right"/>
    </xf>
    <xf numFmtId="172" fontId="26" fillId="30" borderId="0" xfId="4" applyNumberFormat="1" applyFont="1" applyFill="1" applyAlignment="1">
      <alignment horizontal="left" indent="2"/>
    </xf>
    <xf numFmtId="164" fontId="26" fillId="14" borderId="0" xfId="6" applyNumberFormat="1" applyFont="1" applyFill="1" applyAlignment="1">
      <alignment horizontal="right"/>
    </xf>
    <xf numFmtId="164" fontId="26" fillId="30" borderId="0" xfId="0" applyNumberFormat="1" applyFont="1" applyFill="1" applyAlignment="1">
      <alignment horizontal="right"/>
    </xf>
    <xf numFmtId="9" fontId="0" fillId="0" borderId="0" xfId="0" applyNumberFormat="1" applyFill="1"/>
    <xf numFmtId="9" fontId="0" fillId="0" borderId="0" xfId="0" applyNumberFormat="1" applyFill="1" applyBorder="1"/>
    <xf numFmtId="9" fontId="0" fillId="0" borderId="8" xfId="0" applyNumberFormat="1" applyFill="1" applyBorder="1"/>
    <xf numFmtId="9" fontId="24" fillId="0" borderId="0" xfId="6" applyFont="1" applyFill="1" applyBorder="1" applyAlignment="1">
      <alignment horizontal="center"/>
    </xf>
    <xf numFmtId="1" fontId="24" fillId="31" borderId="0" xfId="0" quotePrefix="1" applyNumberFormat="1" applyFont="1" applyFill="1" applyAlignment="1">
      <alignment horizontal="left"/>
    </xf>
    <xf numFmtId="1" fontId="24" fillId="31" borderId="0" xfId="0" quotePrefix="1" applyNumberFormat="1" applyFont="1" applyFill="1" applyAlignment="1">
      <alignment horizontal="left" indent="2"/>
    </xf>
    <xf numFmtId="1" fontId="28" fillId="31" borderId="0" xfId="0" quotePrefix="1" applyNumberFormat="1" applyFont="1" applyFill="1" applyAlignment="1">
      <alignment horizontal="left"/>
    </xf>
    <xf numFmtId="9" fontId="9" fillId="0" borderId="0" xfId="6" applyFont="1" applyFill="1" applyBorder="1" applyAlignment="1">
      <alignment horizontal="center"/>
    </xf>
    <xf numFmtId="9" fontId="9" fillId="0" borderId="8" xfId="6" applyFont="1" applyFill="1" applyBorder="1" applyAlignment="1">
      <alignment horizontal="center"/>
    </xf>
    <xf numFmtId="9" fontId="17" fillId="10" borderId="0" xfId="6" applyFont="1" applyFill="1" applyBorder="1" applyAlignment="1">
      <alignment horizontal="center"/>
    </xf>
    <xf numFmtId="9" fontId="9" fillId="12" borderId="0" xfId="6" applyFont="1" applyFill="1" applyBorder="1" applyAlignment="1">
      <alignment horizontal="center"/>
    </xf>
    <xf numFmtId="9" fontId="24" fillId="14" borderId="0" xfId="0" applyNumberFormat="1" applyFont="1" applyFill="1"/>
    <xf numFmtId="9" fontId="24" fillId="31" borderId="0" xfId="0" applyNumberFormat="1" applyFont="1" applyFill="1"/>
    <xf numFmtId="172" fontId="24" fillId="0" borderId="0" xfId="4" applyNumberFormat="1" applyFont="1" applyFill="1" applyBorder="1" applyAlignment="1">
      <alignment horizontal="center"/>
    </xf>
    <xf numFmtId="0" fontId="3" fillId="0" borderId="2" xfId="0" applyFont="1" applyBorder="1"/>
    <xf numFmtId="0" fontId="0" fillId="0" borderId="3" xfId="0" applyBorder="1"/>
    <xf numFmtId="0" fontId="0" fillId="0" borderId="4" xfId="0" applyBorder="1"/>
    <xf numFmtId="0" fontId="0" fillId="0" borderId="5" xfId="0" applyBorder="1"/>
    <xf numFmtId="0" fontId="3" fillId="0" borderId="13" xfId="0" applyFont="1" applyBorder="1"/>
    <xf numFmtId="0" fontId="3" fillId="0" borderId="15" xfId="0" applyFont="1" applyBorder="1"/>
    <xf numFmtId="0" fontId="38" fillId="0" borderId="0" xfId="0" applyFont="1" applyFill="1"/>
    <xf numFmtId="0" fontId="0" fillId="33" borderId="0" xfId="0" applyFill="1"/>
    <xf numFmtId="0" fontId="3" fillId="34" borderId="0" xfId="0" applyFont="1" applyFill="1"/>
    <xf numFmtId="0" fontId="0" fillId="34" borderId="0" xfId="0" applyFill="1"/>
    <xf numFmtId="172" fontId="0" fillId="0" borderId="15" xfId="0" applyNumberFormat="1" applyBorder="1"/>
    <xf numFmtId="172" fontId="0" fillId="0" borderId="14" xfId="0" applyNumberFormat="1" applyBorder="1"/>
    <xf numFmtId="173" fontId="0" fillId="0" borderId="0" xfId="0" applyNumberFormat="1"/>
    <xf numFmtId="1" fontId="24" fillId="0" borderId="0" xfId="0" applyNumberFormat="1" applyFont="1" applyFill="1" applyAlignment="1">
      <alignment horizontal="left" indent="2"/>
    </xf>
    <xf numFmtId="0" fontId="50" fillId="0" borderId="0" xfId="0" applyFont="1"/>
    <xf numFmtId="0" fontId="3" fillId="17" borderId="0" xfId="0" applyFont="1" applyFill="1"/>
    <xf numFmtId="1" fontId="24" fillId="0" borderId="0" xfId="0" applyNumberFormat="1" applyFont="1" applyFill="1"/>
    <xf numFmtId="9" fontId="24" fillId="0" borderId="0" xfId="0" applyNumberFormat="1" applyFont="1" applyFill="1"/>
    <xf numFmtId="1" fontId="26" fillId="39" borderId="0" xfId="0" quotePrefix="1" applyNumberFormat="1" applyFont="1" applyFill="1" applyAlignment="1">
      <alignment horizontal="left"/>
    </xf>
    <xf numFmtId="0" fontId="3" fillId="40" borderId="0" xfId="0" applyFont="1" applyFill="1"/>
    <xf numFmtId="9" fontId="24" fillId="38" borderId="0" xfId="0" applyNumberFormat="1" applyFont="1" applyFill="1"/>
    <xf numFmtId="9" fontId="0" fillId="34" borderId="0" xfId="0" applyNumberFormat="1" applyFill="1"/>
    <xf numFmtId="9" fontId="24" fillId="41" borderId="0" xfId="0" applyNumberFormat="1" applyFont="1" applyFill="1"/>
    <xf numFmtId="0" fontId="0" fillId="34" borderId="0" xfId="0" applyFill="1" applyAlignment="1">
      <alignment horizontal="left" indent="1"/>
    </xf>
    <xf numFmtId="1" fontId="27" fillId="41" borderId="0" xfId="0" applyNumberFormat="1" applyFont="1" applyFill="1" applyAlignment="1">
      <alignment horizontal="left"/>
    </xf>
    <xf numFmtId="1" fontId="26" fillId="41" borderId="0" xfId="0" applyNumberFormat="1" applyFont="1" applyFill="1" applyAlignment="1">
      <alignment horizontal="center"/>
    </xf>
    <xf numFmtId="1" fontId="26" fillId="41" borderId="0" xfId="0" quotePrefix="1" applyNumberFormat="1" applyFont="1" applyFill="1" applyAlignment="1">
      <alignment horizontal="left"/>
    </xf>
    <xf numFmtId="169" fontId="0" fillId="19" borderId="0" xfId="3" applyNumberFormat="1" applyFont="1" applyFill="1"/>
    <xf numFmtId="0" fontId="0" fillId="0" borderId="0" xfId="0" applyAlignment="1">
      <alignment vertical="center"/>
    </xf>
    <xf numFmtId="165" fontId="0" fillId="0" borderId="0" xfId="0" applyNumberFormat="1"/>
    <xf numFmtId="0" fontId="0" fillId="0" borderId="0" xfId="0" quotePrefix="1" applyFill="1"/>
    <xf numFmtId="0" fontId="9" fillId="19" borderId="11" xfId="0" applyFont="1" applyFill="1" applyBorder="1"/>
    <xf numFmtId="0" fontId="9" fillId="19" borderId="10" xfId="0" applyFont="1" applyFill="1" applyBorder="1"/>
    <xf numFmtId="0" fontId="9" fillId="0" borderId="1" xfId="0" applyFont="1" applyFill="1" applyBorder="1"/>
    <xf numFmtId="10" fontId="0" fillId="0" borderId="0" xfId="6" applyNumberFormat="1" applyFont="1"/>
    <xf numFmtId="9" fontId="9" fillId="0" borderId="1" xfId="6" applyFont="1" applyFill="1" applyBorder="1"/>
    <xf numFmtId="10" fontId="9" fillId="0" borderId="1" xfId="6" applyNumberFormat="1" applyFont="1" applyFill="1" applyBorder="1"/>
    <xf numFmtId="9" fontId="0" fillId="19" borderId="1" xfId="0" applyNumberFormat="1" applyFill="1" applyBorder="1"/>
    <xf numFmtId="9" fontId="9" fillId="0" borderId="1" xfId="6" applyNumberFormat="1" applyFont="1" applyFill="1" applyBorder="1"/>
    <xf numFmtId="164" fontId="17" fillId="13" borderId="3" xfId="0" applyNumberFormat="1" applyFont="1" applyFill="1" applyBorder="1" applyAlignment="1">
      <alignment horizontal="center"/>
    </xf>
    <xf numFmtId="0" fontId="9" fillId="19" borderId="2" xfId="0" applyFont="1" applyFill="1" applyBorder="1"/>
    <xf numFmtId="0" fontId="9" fillId="19" borderId="9" xfId="0" applyFont="1" applyFill="1" applyBorder="1"/>
    <xf numFmtId="9" fontId="0" fillId="0" borderId="1" xfId="0" applyNumberFormat="1" applyFill="1" applyBorder="1"/>
    <xf numFmtId="0" fontId="19" fillId="19" borderId="7" xfId="0" applyFont="1" applyFill="1" applyBorder="1" applyAlignment="1">
      <alignment wrapText="1"/>
    </xf>
    <xf numFmtId="9" fontId="0" fillId="19" borderId="0" xfId="0" applyNumberFormat="1" applyFill="1"/>
    <xf numFmtId="0" fontId="0" fillId="34" borderId="0" xfId="0" applyFont="1" applyFill="1"/>
    <xf numFmtId="1" fontId="25" fillId="41" borderId="0" xfId="0" applyNumberFormat="1" applyFont="1" applyFill="1" applyAlignment="1">
      <alignment horizontal="left"/>
    </xf>
    <xf numFmtId="0" fontId="0" fillId="40" borderId="0" xfId="0" applyFill="1"/>
    <xf numFmtId="9" fontId="0" fillId="40" borderId="0" xfId="0" applyNumberFormat="1" applyFill="1"/>
    <xf numFmtId="9" fontId="24" fillId="43" borderId="0" xfId="0" applyNumberFormat="1" applyFont="1" applyFill="1"/>
    <xf numFmtId="10" fontId="0" fillId="19" borderId="0" xfId="0" applyNumberFormat="1" applyFill="1"/>
    <xf numFmtId="0" fontId="49" fillId="33" borderId="0" xfId="0" applyFont="1" applyFill="1"/>
    <xf numFmtId="0" fontId="3" fillId="33" borderId="0" xfId="0" applyFont="1" applyFill="1"/>
    <xf numFmtId="9" fontId="26" fillId="44" borderId="0" xfId="0" applyNumberFormat="1" applyFont="1" applyFill="1"/>
    <xf numFmtId="44" fontId="0" fillId="34" borderId="0" xfId="4" applyFont="1" applyFill="1"/>
    <xf numFmtId="0" fontId="9" fillId="19" borderId="8" xfId="0" applyFont="1" applyFill="1" applyBorder="1"/>
    <xf numFmtId="8" fontId="0" fillId="14" borderId="0" xfId="0" applyNumberFormat="1" applyFill="1"/>
    <xf numFmtId="43" fontId="0" fillId="19" borderId="0" xfId="3" applyNumberFormat="1" applyFont="1" applyFill="1"/>
    <xf numFmtId="44" fontId="0" fillId="19" borderId="0" xfId="4" applyFont="1" applyFill="1"/>
    <xf numFmtId="9" fontId="9" fillId="16" borderId="0" xfId="6" applyFont="1" applyFill="1"/>
    <xf numFmtId="164" fontId="25" fillId="14" borderId="1" xfId="0" applyNumberFormat="1" applyFont="1" applyFill="1" applyBorder="1" applyAlignment="1" applyProtection="1">
      <alignment horizontal="right"/>
      <protection locked="0"/>
    </xf>
    <xf numFmtId="9" fontId="9" fillId="0" borderId="1" xfId="0" applyNumberFormat="1" applyFont="1" applyFill="1" applyBorder="1" applyProtection="1">
      <protection locked="0"/>
    </xf>
    <xf numFmtId="164" fontId="9" fillId="0" borderId="14" xfId="0" applyNumberFormat="1" applyFont="1" applyFill="1" applyBorder="1" applyProtection="1">
      <protection locked="0"/>
    </xf>
    <xf numFmtId="164" fontId="9" fillId="0" borderId="1" xfId="0" applyNumberFormat="1" applyFont="1" applyFill="1" applyBorder="1" applyProtection="1">
      <protection locked="0"/>
    </xf>
    <xf numFmtId="10" fontId="9" fillId="0" borderId="1" xfId="0" applyNumberFormat="1" applyFont="1" applyFill="1" applyBorder="1" applyProtection="1">
      <protection locked="0"/>
    </xf>
    <xf numFmtId="1" fontId="9" fillId="0" borderId="1" xfId="0" applyNumberFormat="1" applyFont="1" applyFill="1" applyBorder="1" applyProtection="1">
      <protection locked="0"/>
    </xf>
    <xf numFmtId="0" fontId="9" fillId="0" borderId="1" xfId="0" applyNumberFormat="1" applyFont="1" applyFill="1" applyBorder="1" applyProtection="1">
      <protection locked="0"/>
    </xf>
    <xf numFmtId="9" fontId="9" fillId="0" borderId="1" xfId="6" applyFont="1" applyFill="1" applyBorder="1" applyProtection="1">
      <protection locked="0"/>
    </xf>
    <xf numFmtId="10" fontId="9" fillId="0" borderId="1" xfId="6" applyNumberFormat="1" applyFont="1" applyFill="1" applyBorder="1" applyProtection="1">
      <protection locked="0"/>
    </xf>
    <xf numFmtId="0" fontId="9" fillId="0" borderId="1" xfId="0" applyFont="1" applyFill="1" applyBorder="1" applyProtection="1">
      <protection locked="0"/>
    </xf>
    <xf numFmtId="9" fontId="27" fillId="11" borderId="3" xfId="0" applyNumberFormat="1" applyFont="1" applyFill="1" applyBorder="1" applyAlignment="1" applyProtection="1">
      <alignment horizontal="center"/>
      <protection locked="0"/>
    </xf>
    <xf numFmtId="9" fontId="9" fillId="15" borderId="0" xfId="0" applyNumberFormat="1" applyFont="1" applyFill="1" applyBorder="1" applyProtection="1">
      <protection locked="0"/>
    </xf>
    <xf numFmtId="0" fontId="9" fillId="16" borderId="0" xfId="0" applyFont="1" applyFill="1" applyProtection="1">
      <protection locked="0"/>
    </xf>
    <xf numFmtId="9" fontId="17" fillId="15" borderId="0" xfId="0" applyNumberFormat="1" applyFont="1" applyFill="1" applyBorder="1" applyProtection="1">
      <protection locked="0"/>
    </xf>
    <xf numFmtId="0" fontId="19" fillId="16" borderId="0" xfId="0" applyFont="1" applyFill="1" applyProtection="1">
      <protection locked="0"/>
    </xf>
    <xf numFmtId="9" fontId="18" fillId="9" borderId="3" xfId="0" applyNumberFormat="1" applyFont="1" applyFill="1" applyBorder="1" applyProtection="1">
      <protection locked="0"/>
    </xf>
    <xf numFmtId="0" fontId="0" fillId="0" borderId="0" xfId="0" applyProtection="1">
      <protection locked="0"/>
    </xf>
    <xf numFmtId="0" fontId="16" fillId="6" borderId="3" xfId="0" applyFont="1" applyFill="1" applyBorder="1" applyAlignment="1" applyProtection="1">
      <alignment horizontal="center"/>
      <protection locked="0"/>
    </xf>
    <xf numFmtId="0" fontId="17" fillId="6" borderId="8" xfId="0" applyFont="1" applyFill="1" applyBorder="1" applyAlignment="1" applyProtection="1">
      <alignment horizontal="center"/>
      <protection locked="0"/>
    </xf>
    <xf numFmtId="173" fontId="17" fillId="10" borderId="0" xfId="0" applyNumberFormat="1" applyFont="1" applyFill="1" applyBorder="1" applyAlignment="1" applyProtection="1">
      <alignment horizontal="center"/>
      <protection locked="0"/>
    </xf>
    <xf numFmtId="173" fontId="9" fillId="12" borderId="0" xfId="0" applyNumberFormat="1" applyFont="1" applyFill="1" applyBorder="1" applyAlignment="1" applyProtection="1">
      <alignment horizontal="center"/>
      <protection locked="0"/>
    </xf>
    <xf numFmtId="9" fontId="17" fillId="10" borderId="0" xfId="6" applyFont="1" applyFill="1" applyBorder="1" applyAlignment="1" applyProtection="1">
      <alignment horizontal="center"/>
      <protection locked="0"/>
    </xf>
    <xf numFmtId="9" fontId="9" fillId="0" borderId="1" xfId="6" applyNumberFormat="1" applyFont="1" applyFill="1" applyBorder="1" applyProtection="1">
      <protection locked="0"/>
    </xf>
    <xf numFmtId="0" fontId="16" fillId="0" borderId="0" xfId="0" applyFont="1" applyFill="1" applyBorder="1" applyAlignment="1">
      <alignment horizontal="center"/>
    </xf>
    <xf numFmtId="0" fontId="17" fillId="0" borderId="0" xfId="0" applyFont="1" applyFill="1" applyBorder="1" applyAlignment="1">
      <alignment horizontal="center"/>
    </xf>
    <xf numFmtId="0" fontId="17" fillId="45" borderId="7" xfId="0" applyFont="1" applyFill="1" applyBorder="1" applyAlignment="1">
      <alignment horizontal="center"/>
    </xf>
    <xf numFmtId="0" fontId="17" fillId="45" borderId="8" xfId="0" applyFont="1" applyFill="1" applyBorder="1" applyAlignment="1">
      <alignment horizontal="center"/>
    </xf>
    <xf numFmtId="164" fontId="17" fillId="8" borderId="0" xfId="0" applyNumberFormat="1" applyFont="1" applyFill="1" applyBorder="1" applyAlignment="1" applyProtection="1">
      <alignment horizontal="center"/>
      <protection locked="0"/>
    </xf>
    <xf numFmtId="164" fontId="9" fillId="0" borderId="14" xfId="0" applyNumberFormat="1" applyFont="1" applyBorder="1" applyProtection="1">
      <protection locked="0"/>
    </xf>
    <xf numFmtId="164" fontId="9" fillId="0" borderId="1" xfId="0" applyNumberFormat="1" applyFont="1" applyBorder="1" applyProtection="1">
      <protection locked="0"/>
    </xf>
    <xf numFmtId="0" fontId="53" fillId="16" borderId="0" xfId="0" applyFont="1" applyFill="1"/>
    <xf numFmtId="0" fontId="53" fillId="16" borderId="0" xfId="0" applyFont="1" applyFill="1" applyBorder="1"/>
    <xf numFmtId="164" fontId="9" fillId="14" borderId="14" xfId="0" applyNumberFormat="1" applyFont="1" applyFill="1" applyBorder="1" applyProtection="1">
      <protection locked="0"/>
    </xf>
    <xf numFmtId="164" fontId="9" fillId="14" borderId="1" xfId="0" applyNumberFormat="1" applyFont="1" applyFill="1" applyBorder="1" applyProtection="1">
      <protection locked="0"/>
    </xf>
    <xf numFmtId="10" fontId="9" fillId="16" borderId="0" xfId="0" applyNumberFormat="1" applyFont="1" applyFill="1" applyBorder="1"/>
    <xf numFmtId="10" fontId="9" fillId="18" borderId="0" xfId="0" applyNumberFormat="1" applyFont="1" applyFill="1" applyBorder="1" applyAlignment="1">
      <alignment horizontal="center" vertical="center"/>
    </xf>
    <xf numFmtId="10" fontId="9" fillId="18" borderId="8" xfId="0" applyNumberFormat="1" applyFont="1" applyFill="1" applyBorder="1" applyAlignment="1">
      <alignment horizontal="center" vertical="center"/>
    </xf>
    <xf numFmtId="0" fontId="2" fillId="0" borderId="0" xfId="1" applyFont="1" applyFill="1"/>
    <xf numFmtId="9" fontId="9" fillId="17" borderId="0" xfId="0" applyNumberFormat="1" applyFont="1" applyFill="1" applyBorder="1" applyProtection="1">
      <protection locked="0"/>
    </xf>
    <xf numFmtId="0" fontId="17" fillId="15" borderId="7" xfId="0" applyFont="1" applyFill="1" applyBorder="1"/>
    <xf numFmtId="9" fontId="17" fillId="15" borderId="10" xfId="0" applyNumberFormat="1" applyFont="1" applyFill="1" applyBorder="1" applyProtection="1">
      <protection locked="0"/>
    </xf>
    <xf numFmtId="0" fontId="18" fillId="46" borderId="5" xfId="0" applyFont="1" applyFill="1" applyBorder="1"/>
    <xf numFmtId="0" fontId="9" fillId="46" borderId="3" xfId="0" applyFont="1" applyFill="1" applyBorder="1"/>
    <xf numFmtId="0" fontId="9" fillId="47" borderId="5" xfId="0" applyFont="1" applyFill="1" applyBorder="1"/>
    <xf numFmtId="0" fontId="9" fillId="47" borderId="0" xfId="0" applyFont="1" applyFill="1" applyBorder="1"/>
    <xf numFmtId="0" fontId="9" fillId="47" borderId="7" xfId="0" applyFont="1" applyFill="1" applyBorder="1"/>
    <xf numFmtId="0" fontId="18" fillId="46" borderId="0" xfId="0" applyFont="1" applyFill="1" applyBorder="1"/>
    <xf numFmtId="0" fontId="9" fillId="47" borderId="8" xfId="0" applyFont="1" applyFill="1" applyBorder="1"/>
    <xf numFmtId="164" fontId="9" fillId="2" borderId="14" xfId="0" applyNumberFormat="1" applyFont="1" applyFill="1" applyBorder="1" applyProtection="1">
      <protection locked="0"/>
    </xf>
    <xf numFmtId="0" fontId="9" fillId="8" borderId="5" xfId="0" applyFont="1" applyFill="1" applyBorder="1"/>
    <xf numFmtId="0" fontId="9" fillId="11" borderId="5" xfId="0" applyFont="1" applyFill="1" applyBorder="1"/>
    <xf numFmtId="0" fontId="9" fillId="9" borderId="5" xfId="0" applyFont="1" applyFill="1" applyBorder="1"/>
    <xf numFmtId="0" fontId="9" fillId="10" borderId="7" xfId="0" applyFont="1" applyFill="1" applyBorder="1"/>
    <xf numFmtId="0" fontId="9" fillId="7" borderId="0" xfId="0" applyFont="1" applyFill="1" applyBorder="1" applyAlignment="1">
      <alignment horizontal="center"/>
    </xf>
    <xf numFmtId="0" fontId="9" fillId="7" borderId="6" xfId="0" applyFont="1" applyFill="1" applyBorder="1" applyAlignment="1">
      <alignment horizontal="center"/>
    </xf>
    <xf numFmtId="164" fontId="9" fillId="7" borderId="0" xfId="0" applyNumberFormat="1" applyFont="1" applyFill="1" applyBorder="1" applyAlignment="1">
      <alignment horizontal="center"/>
    </xf>
    <xf numFmtId="164" fontId="9" fillId="7" borderId="6" xfId="0" applyNumberFormat="1" applyFont="1" applyFill="1" applyBorder="1" applyAlignment="1">
      <alignment horizontal="center"/>
    </xf>
    <xf numFmtId="164" fontId="9" fillId="7" borderId="8" xfId="0" applyNumberFormat="1" applyFont="1" applyFill="1" applyBorder="1" applyAlignment="1">
      <alignment horizontal="center"/>
    </xf>
    <xf numFmtId="164" fontId="9" fillId="7" borderId="9" xfId="0" applyNumberFormat="1" applyFont="1" applyFill="1" applyBorder="1" applyAlignment="1">
      <alignment horizontal="center"/>
    </xf>
    <xf numFmtId="1" fontId="9" fillId="7" borderId="0" xfId="0" applyNumberFormat="1" applyFont="1" applyFill="1" applyBorder="1" applyAlignment="1">
      <alignment horizontal="center"/>
    </xf>
    <xf numFmtId="0" fontId="11" fillId="46" borderId="6" xfId="0" applyFont="1" applyFill="1" applyBorder="1" applyAlignment="1">
      <alignment horizontal="center"/>
    </xf>
    <xf numFmtId="0" fontId="11" fillId="47" borderId="6" xfId="0" applyFont="1" applyFill="1" applyBorder="1" applyAlignment="1">
      <alignment horizontal="center"/>
    </xf>
    <xf numFmtId="0" fontId="11" fillId="47" borderId="9" xfId="0" applyFont="1" applyFill="1" applyBorder="1" applyAlignment="1">
      <alignment horizontal="center"/>
    </xf>
    <xf numFmtId="0" fontId="3" fillId="6" borderId="8" xfId="0" applyFont="1" applyFill="1" applyBorder="1"/>
    <xf numFmtId="10" fontId="0" fillId="13" borderId="0" xfId="0" applyNumberFormat="1" applyFill="1" applyBorder="1"/>
    <xf numFmtId="9" fontId="9" fillId="14" borderId="1" xfId="6" applyFont="1" applyFill="1" applyBorder="1" applyProtection="1">
      <protection locked="0"/>
    </xf>
    <xf numFmtId="0" fontId="17" fillId="0" borderId="0" xfId="0" applyFont="1"/>
    <xf numFmtId="0" fontId="14" fillId="0" borderId="0" xfId="0" applyFont="1"/>
    <xf numFmtId="0" fontId="12" fillId="0" borderId="0" xfId="0" applyFont="1" applyAlignment="1">
      <alignment horizontal="left" vertical="top" wrapText="1"/>
    </xf>
    <xf numFmtId="0" fontId="17" fillId="0" borderId="5" xfId="0" applyFont="1" applyBorder="1"/>
    <xf numFmtId="0" fontId="18" fillId="20" borderId="2" xfId="0" applyFont="1" applyFill="1" applyBorder="1"/>
    <xf numFmtId="0" fontId="17" fillId="6" borderId="0" xfId="0" applyFont="1" applyFill="1"/>
    <xf numFmtId="0" fontId="9" fillId="0" borderId="0" xfId="0" applyFont="1" applyAlignment="1">
      <alignment horizontal="left"/>
    </xf>
    <xf numFmtId="0" fontId="9" fillId="7" borderId="5" xfId="0" applyFont="1" applyFill="1" applyBorder="1" applyAlignment="1">
      <alignment horizontal="left"/>
    </xf>
    <xf numFmtId="0" fontId="9" fillId="7" borderId="0" xfId="0" applyFont="1" applyFill="1" applyAlignment="1">
      <alignment horizontal="left"/>
    </xf>
    <xf numFmtId="0" fontId="9" fillId="0" borderId="5" xfId="0" applyFont="1" applyBorder="1" applyAlignment="1">
      <alignment horizontal="left"/>
    </xf>
    <xf numFmtId="0" fontId="39" fillId="0" borderId="0" xfId="0" applyFont="1"/>
    <xf numFmtId="164" fontId="9" fillId="7" borderId="0" xfId="0" applyNumberFormat="1" applyFont="1" applyFill="1" applyAlignment="1">
      <alignment horizontal="left"/>
    </xf>
    <xf numFmtId="9" fontId="9" fillId="7" borderId="0" xfId="0" applyNumberFormat="1" applyFont="1" applyFill="1" applyAlignment="1">
      <alignment horizontal="left"/>
    </xf>
    <xf numFmtId="9" fontId="9" fillId="7" borderId="9" xfId="0" applyNumberFormat="1" applyFont="1" applyFill="1" applyBorder="1" applyAlignment="1">
      <alignment horizontal="left"/>
    </xf>
    <xf numFmtId="0" fontId="38" fillId="0" borderId="0" xfId="0" applyFont="1"/>
    <xf numFmtId="0" fontId="9" fillId="6" borderId="5" xfId="0" applyFont="1" applyFill="1" applyBorder="1" applyAlignment="1">
      <alignment wrapText="1"/>
    </xf>
    <xf numFmtId="0" fontId="9" fillId="6" borderId="0" xfId="0" applyFont="1" applyFill="1" applyAlignment="1">
      <alignment wrapText="1"/>
    </xf>
    <xf numFmtId="0" fontId="17" fillId="6" borderId="0" xfId="0" applyFont="1" applyFill="1" applyAlignment="1">
      <alignment horizontal="center" wrapText="1"/>
    </xf>
    <xf numFmtId="0" fontId="17" fillId="6" borderId="6" xfId="0" applyFont="1" applyFill="1" applyBorder="1" applyAlignment="1">
      <alignment horizontal="center" wrapText="1"/>
    </xf>
    <xf numFmtId="0" fontId="9" fillId="6" borderId="7" xfId="0" applyFont="1" applyFill="1" applyBorder="1" applyAlignment="1">
      <alignment wrapText="1"/>
    </xf>
    <xf numFmtId="0" fontId="9" fillId="6" borderId="8" xfId="0" applyFont="1" applyFill="1" applyBorder="1" applyAlignment="1">
      <alignment wrapText="1"/>
    </xf>
    <xf numFmtId="0" fontId="12" fillId="6" borderId="8" xfId="0" applyFont="1" applyFill="1" applyBorder="1" applyAlignment="1">
      <alignment horizontal="center" wrapText="1"/>
    </xf>
    <xf numFmtId="0" fontId="17" fillId="7" borderId="5" xfId="0" applyFont="1" applyFill="1" applyBorder="1" applyAlignment="1">
      <alignment horizontal="center"/>
    </xf>
    <xf numFmtId="169" fontId="9" fillId="7" borderId="0" xfId="3" applyNumberFormat="1" applyFont="1" applyFill="1" applyBorder="1"/>
    <xf numFmtId="165" fontId="9" fillId="7" borderId="0" xfId="4" applyNumberFormat="1" applyFont="1" applyFill="1" applyBorder="1"/>
    <xf numFmtId="0" fontId="9" fillId="7" borderId="5" xfId="0" applyFont="1" applyFill="1" applyBorder="1" applyAlignment="1">
      <alignment horizontal="center"/>
    </xf>
    <xf numFmtId="0" fontId="17" fillId="19" borderId="11" xfId="0" applyFont="1" applyFill="1" applyBorder="1"/>
    <xf numFmtId="0" fontId="17" fillId="19" borderId="10" xfId="0" applyFont="1" applyFill="1" applyBorder="1" applyAlignment="1">
      <alignment horizontal="right"/>
    </xf>
    <xf numFmtId="1" fontId="17" fillId="19" borderId="10" xfId="0" applyNumberFormat="1" applyFont="1" applyFill="1" applyBorder="1"/>
    <xf numFmtId="165" fontId="17" fillId="19" borderId="10" xfId="0" applyNumberFormat="1" applyFont="1" applyFill="1" applyBorder="1"/>
    <xf numFmtId="0" fontId="17" fillId="19" borderId="10" xfId="0" applyFont="1" applyFill="1" applyBorder="1"/>
    <xf numFmtId="165" fontId="9" fillId="7" borderId="6" xfId="4" applyNumberFormat="1" applyFont="1" applyFill="1" applyBorder="1"/>
    <xf numFmtId="165" fontId="17" fillId="19" borderId="12" xfId="0" applyNumberFormat="1" applyFont="1" applyFill="1" applyBorder="1"/>
    <xf numFmtId="0" fontId="17" fillId="19" borderId="11" xfId="0" applyFont="1" applyFill="1" applyBorder="1" applyAlignment="1">
      <alignment horizontal="center"/>
    </xf>
    <xf numFmtId="0" fontId="9" fillId="13" borderId="7" xfId="0" applyFont="1" applyFill="1" applyBorder="1"/>
    <xf numFmtId="0" fontId="17" fillId="13" borderId="8" xfId="0" applyFont="1" applyFill="1" applyBorder="1" applyAlignment="1">
      <alignment horizontal="right"/>
    </xf>
    <xf numFmtId="169" fontId="17" fillId="13" borderId="8" xfId="3" applyNumberFormat="1" applyFont="1" applyFill="1" applyBorder="1"/>
    <xf numFmtId="5" fontId="17" fillId="13" borderId="8" xfId="4" applyNumberFormat="1" applyFont="1" applyFill="1" applyBorder="1"/>
    <xf numFmtId="5" fontId="17" fillId="13" borderId="9" xfId="4" applyNumberFormat="1" applyFont="1" applyFill="1" applyBorder="1"/>
    <xf numFmtId="0" fontId="17" fillId="19" borderId="5" xfId="0" applyFont="1" applyFill="1" applyBorder="1" applyAlignment="1">
      <alignment horizontal="center"/>
    </xf>
    <xf numFmtId="0" fontId="17" fillId="19" borderId="0" xfId="0" applyFont="1" applyFill="1" applyAlignment="1">
      <alignment horizontal="center"/>
    </xf>
    <xf numFmtId="169" fontId="9" fillId="19" borderId="0" xfId="3" applyNumberFormat="1" applyFont="1" applyFill="1" applyBorder="1"/>
    <xf numFmtId="165" fontId="9" fillId="19" borderId="0" xfId="4" applyNumberFormat="1" applyFont="1" applyFill="1" applyBorder="1"/>
    <xf numFmtId="165" fontId="9" fillId="19" borderId="6" xfId="4" applyNumberFormat="1" applyFont="1" applyFill="1" applyBorder="1"/>
    <xf numFmtId="0" fontId="9" fillId="13" borderId="11" xfId="0" applyFont="1" applyFill="1" applyBorder="1"/>
    <xf numFmtId="0" fontId="17" fillId="13" borderId="10" xfId="0" applyFont="1" applyFill="1" applyBorder="1" applyAlignment="1">
      <alignment horizontal="right"/>
    </xf>
    <xf numFmtId="169" fontId="17" fillId="13" borderId="10" xfId="3" applyNumberFormat="1" applyFont="1" applyFill="1" applyBorder="1"/>
    <xf numFmtId="5" fontId="17" fillId="13" borderId="10" xfId="4" applyNumberFormat="1" applyFont="1" applyFill="1" applyBorder="1"/>
    <xf numFmtId="5" fontId="17" fillId="13" borderId="12" xfId="4" applyNumberFormat="1" applyFont="1" applyFill="1" applyBorder="1"/>
    <xf numFmtId="49" fontId="9" fillId="7" borderId="0" xfId="0" applyNumberFormat="1" applyFont="1" applyFill="1" applyAlignment="1">
      <alignment horizontal="left"/>
    </xf>
    <xf numFmtId="1" fontId="9" fillId="7" borderId="0" xfId="0" applyNumberFormat="1" applyFont="1" applyFill="1" applyAlignment="1">
      <alignment horizontal="left"/>
    </xf>
    <xf numFmtId="0" fontId="17" fillId="0" borderId="0" xfId="0" applyFont="1" applyFill="1"/>
    <xf numFmtId="169" fontId="9" fillId="7" borderId="0" xfId="3" applyNumberFormat="1" applyFont="1" applyFill="1"/>
    <xf numFmtId="0" fontId="28" fillId="11" borderId="5" xfId="0" applyFont="1" applyFill="1" applyBorder="1"/>
    <xf numFmtId="9" fontId="27" fillId="11" borderId="0" xfId="0" applyNumberFormat="1" applyFont="1" applyFill="1" applyBorder="1" applyAlignment="1">
      <alignment horizontal="center"/>
    </xf>
    <xf numFmtId="164" fontId="27" fillId="11" borderId="0" xfId="0" applyNumberFormat="1" applyFont="1" applyFill="1" applyBorder="1" applyAlignment="1">
      <alignment horizontal="center"/>
    </xf>
    <xf numFmtId="10" fontId="27" fillId="11" borderId="0" xfId="0" applyNumberFormat="1" applyFont="1" applyFill="1" applyBorder="1" applyAlignment="1">
      <alignment horizontal="center" vertical="center"/>
    </xf>
    <xf numFmtId="0" fontId="27" fillId="11" borderId="0" xfId="0" applyFont="1" applyFill="1" applyBorder="1"/>
    <xf numFmtId="0" fontId="29" fillId="11" borderId="6" xfId="0" applyFont="1" applyFill="1" applyBorder="1" applyAlignment="1">
      <alignment horizontal="center" vertical="center"/>
    </xf>
    <xf numFmtId="0" fontId="9" fillId="17" borderId="8" xfId="0" applyFont="1" applyFill="1" applyBorder="1"/>
    <xf numFmtId="0" fontId="9" fillId="17" borderId="7" xfId="0" applyFont="1" applyFill="1" applyBorder="1"/>
    <xf numFmtId="0" fontId="9" fillId="17" borderId="9" xfId="0" applyFont="1" applyFill="1" applyBorder="1"/>
    <xf numFmtId="172" fontId="0" fillId="0" borderId="5" xfId="4" applyNumberFormat="1" applyFont="1" applyBorder="1"/>
    <xf numFmtId="0" fontId="0" fillId="15" borderId="0" xfId="0" applyFill="1" applyBorder="1"/>
    <xf numFmtId="0" fontId="0" fillId="15" borderId="0" xfId="0" applyFill="1" applyBorder="1" applyAlignment="1">
      <alignment horizontal="left"/>
    </xf>
    <xf numFmtId="172" fontId="0" fillId="0" borderId="1" xfId="4" applyNumberFormat="1" applyFont="1" applyBorder="1"/>
    <xf numFmtId="0" fontId="12" fillId="6" borderId="0" xfId="0" applyFont="1" applyFill="1" applyBorder="1" applyAlignment="1">
      <alignment horizontal="center" wrapText="1"/>
    </xf>
    <xf numFmtId="0" fontId="12" fillId="6" borderId="6" xfId="0" applyFont="1" applyFill="1" applyBorder="1" applyAlignment="1">
      <alignment horizontal="center" wrapText="1"/>
    </xf>
    <xf numFmtId="165" fontId="9" fillId="7" borderId="8" xfId="4" applyNumberFormat="1" applyFont="1" applyFill="1" applyBorder="1"/>
    <xf numFmtId="165" fontId="9" fillId="7" borderId="9" xfId="4" applyNumberFormat="1" applyFont="1" applyFill="1" applyBorder="1"/>
    <xf numFmtId="165" fontId="9" fillId="7" borderId="3" xfId="4" applyNumberFormat="1" applyFont="1" applyFill="1" applyBorder="1"/>
    <xf numFmtId="165" fontId="9" fillId="7" borderId="4" xfId="4" applyNumberFormat="1" applyFont="1" applyFill="1" applyBorder="1"/>
    <xf numFmtId="165" fontId="9" fillId="19" borderId="4" xfId="4" applyNumberFormat="1" applyFont="1" applyFill="1" applyBorder="1"/>
    <xf numFmtId="0" fontId="9" fillId="7" borderId="0" xfId="0" applyNumberFormat="1" applyFont="1" applyFill="1" applyAlignment="1">
      <alignment horizontal="left"/>
    </xf>
    <xf numFmtId="0" fontId="17" fillId="6" borderId="6" xfId="0" applyFont="1" applyFill="1" applyBorder="1"/>
    <xf numFmtId="0" fontId="18" fillId="8" borderId="2" xfId="0" applyFont="1" applyFill="1" applyBorder="1"/>
    <xf numFmtId="0" fontId="18" fillId="8" borderId="3" xfId="0" applyFont="1" applyFill="1" applyBorder="1"/>
    <xf numFmtId="0" fontId="18" fillId="8" borderId="4" xfId="0" applyFont="1" applyFill="1" applyBorder="1"/>
    <xf numFmtId="0" fontId="17" fillId="6" borderId="5" xfId="0" applyFont="1" applyFill="1" applyBorder="1" applyAlignment="1">
      <alignment horizontal="center" vertical="center"/>
    </xf>
    <xf numFmtId="1" fontId="27" fillId="35" borderId="5" xfId="0" applyNumberFormat="1" applyFont="1" applyFill="1" applyBorder="1" applyAlignment="1">
      <alignment horizontal="left"/>
    </xf>
    <xf numFmtId="164" fontId="25" fillId="14" borderId="0" xfId="0" applyNumberFormat="1" applyFont="1" applyFill="1" applyBorder="1" applyAlignment="1" applyProtection="1">
      <alignment horizontal="right"/>
      <protection locked="0"/>
    </xf>
    <xf numFmtId="1" fontId="25" fillId="35" borderId="5" xfId="0" applyNumberFormat="1" applyFont="1" applyFill="1" applyBorder="1" applyAlignment="1">
      <alignment horizontal="left" indent="1"/>
    </xf>
    <xf numFmtId="1" fontId="52" fillId="35" borderId="5" xfId="0" applyNumberFormat="1" applyFont="1" applyFill="1" applyBorder="1" applyAlignment="1">
      <alignment horizontal="left" indent="5"/>
    </xf>
    <xf numFmtId="1" fontId="9" fillId="35" borderId="5" xfId="0" applyNumberFormat="1" applyFont="1" applyFill="1" applyBorder="1" applyAlignment="1">
      <alignment horizontal="left"/>
    </xf>
    <xf numFmtId="1" fontId="27" fillId="35" borderId="5" xfId="0" applyNumberFormat="1" applyFont="1" applyFill="1" applyBorder="1"/>
    <xf numFmtId="164" fontId="25" fillId="35" borderId="0" xfId="0" applyNumberFormat="1" applyFont="1" applyFill="1" applyBorder="1"/>
    <xf numFmtId="164" fontId="25" fillId="35" borderId="0" xfId="0" applyNumberFormat="1" applyFont="1" applyFill="1" applyBorder="1" applyAlignment="1">
      <alignment horizontal="center"/>
    </xf>
    <xf numFmtId="171" fontId="25" fillId="35" borderId="0" xfId="6" applyNumberFormat="1" applyFont="1" applyFill="1" applyBorder="1" applyAlignment="1">
      <alignment horizontal="center"/>
    </xf>
    <xf numFmtId="9" fontId="25" fillId="35" borderId="0" xfId="0" applyNumberFormat="1" applyFont="1" applyFill="1" applyBorder="1" applyAlignment="1">
      <alignment horizontal="center"/>
    </xf>
    <xf numFmtId="164" fontId="25" fillId="35" borderId="5" xfId="0" applyNumberFormat="1" applyFont="1" applyFill="1" applyBorder="1" applyAlignment="1">
      <alignment horizontal="left"/>
    </xf>
    <xf numFmtId="164" fontId="27" fillId="35" borderId="0" xfId="0" applyNumberFormat="1" applyFont="1" applyFill="1" applyBorder="1" applyAlignment="1">
      <alignment horizontal="center" wrapText="1"/>
    </xf>
    <xf numFmtId="9" fontId="27" fillId="17" borderId="0" xfId="6" applyFont="1" applyFill="1" applyBorder="1" applyAlignment="1">
      <alignment horizontal="center"/>
    </xf>
    <xf numFmtId="164" fontId="27" fillId="35" borderId="0" xfId="0" applyNumberFormat="1" applyFont="1" applyFill="1" applyBorder="1" applyAlignment="1">
      <alignment horizontal="center"/>
    </xf>
    <xf numFmtId="9" fontId="54" fillId="35" borderId="0" xfId="0" applyNumberFormat="1" applyFont="1" applyFill="1" applyBorder="1" applyAlignment="1" applyProtection="1">
      <alignment horizontal="center"/>
      <protection locked="0"/>
    </xf>
    <xf numFmtId="9" fontId="52" fillId="35" borderId="0" xfId="0" applyNumberFormat="1" applyFont="1" applyFill="1" applyBorder="1" applyAlignment="1" applyProtection="1">
      <alignment horizontal="center"/>
      <protection locked="0"/>
    </xf>
    <xf numFmtId="9" fontId="25" fillId="17" borderId="0" xfId="6" applyFont="1" applyFill="1" applyBorder="1" applyAlignment="1">
      <alignment horizontal="center"/>
    </xf>
    <xf numFmtId="1" fontId="25" fillId="35" borderId="5" xfId="0" applyNumberFormat="1" applyFont="1" applyFill="1" applyBorder="1" applyAlignment="1">
      <alignment horizontal="left"/>
    </xf>
    <xf numFmtId="9" fontId="25" fillId="17" borderId="5" xfId="6" applyFont="1" applyFill="1" applyBorder="1" applyAlignment="1">
      <alignment horizontal="center"/>
    </xf>
    <xf numFmtId="9" fontId="25" fillId="17" borderId="0" xfId="0" applyNumberFormat="1" applyFont="1" applyFill="1" applyBorder="1" applyAlignment="1" applyProtection="1">
      <alignment horizontal="center"/>
      <protection locked="0"/>
    </xf>
    <xf numFmtId="1" fontId="25" fillId="35" borderId="0" xfId="0" applyNumberFormat="1" applyFont="1" applyFill="1" applyBorder="1" applyAlignment="1">
      <alignment horizontal="left" indent="4"/>
    </xf>
    <xf numFmtId="9" fontId="25" fillId="35" borderId="0" xfId="0" applyNumberFormat="1" applyFont="1" applyFill="1" applyBorder="1" applyAlignment="1" applyProtection="1">
      <alignment horizontal="center"/>
      <protection locked="0"/>
    </xf>
    <xf numFmtId="164" fontId="25" fillId="17" borderId="0" xfId="0" applyNumberFormat="1" applyFont="1" applyFill="1" applyBorder="1" applyAlignment="1">
      <alignment horizontal="center"/>
    </xf>
    <xf numFmtId="172" fontId="52" fillId="17" borderId="0" xfId="4" applyNumberFormat="1" applyFont="1" applyFill="1" applyBorder="1" applyAlignment="1">
      <alignment horizontal="center"/>
    </xf>
    <xf numFmtId="9" fontId="55" fillId="17" borderId="0" xfId="6" applyFont="1" applyFill="1" applyBorder="1" applyAlignment="1">
      <alignment horizontal="center"/>
    </xf>
    <xf numFmtId="164" fontId="52" fillId="35" borderId="0" xfId="0" applyNumberFormat="1" applyFont="1" applyFill="1" applyBorder="1" applyAlignment="1">
      <alignment horizontal="center"/>
    </xf>
    <xf numFmtId="171" fontId="52" fillId="35" borderId="0" xfId="6" applyNumberFormat="1" applyFont="1" applyFill="1" applyBorder="1" applyAlignment="1">
      <alignment horizontal="center"/>
    </xf>
    <xf numFmtId="9" fontId="52" fillId="17" borderId="0" xfId="6" applyFont="1" applyFill="1" applyBorder="1" applyAlignment="1">
      <alignment horizontal="center"/>
    </xf>
    <xf numFmtId="9" fontId="52" fillId="17" borderId="0" xfId="6" quotePrefix="1" applyFont="1" applyFill="1" applyBorder="1" applyAlignment="1">
      <alignment horizontal="center"/>
    </xf>
    <xf numFmtId="1" fontId="27" fillId="35" borderId="5" xfId="0" applyNumberFormat="1" applyFont="1" applyFill="1" applyBorder="1" applyAlignment="1">
      <alignment horizontal="left" indent="4"/>
    </xf>
    <xf numFmtId="1" fontId="27" fillId="35" borderId="0" xfId="0" applyNumberFormat="1" applyFont="1" applyFill="1" applyBorder="1" applyAlignment="1">
      <alignment horizontal="left" indent="4"/>
    </xf>
    <xf numFmtId="164" fontId="25" fillId="17" borderId="0" xfId="0" applyNumberFormat="1" applyFont="1" applyFill="1" applyBorder="1" applyAlignment="1">
      <alignment horizontal="center" wrapText="1"/>
    </xf>
    <xf numFmtId="164" fontId="56" fillId="35" borderId="0" xfId="0" applyNumberFormat="1" applyFont="1" applyFill="1" applyBorder="1" applyAlignment="1">
      <alignment horizontal="left"/>
    </xf>
    <xf numFmtId="164" fontId="17" fillId="35" borderId="0" xfId="0" applyNumberFormat="1" applyFont="1" applyFill="1" applyBorder="1" applyAlignment="1">
      <alignment horizontal="center"/>
    </xf>
    <xf numFmtId="1" fontId="52" fillId="35" borderId="5" xfId="0" applyNumberFormat="1" applyFont="1" applyFill="1" applyBorder="1" applyAlignment="1">
      <alignment horizontal="left" indent="6"/>
    </xf>
    <xf numFmtId="172" fontId="52" fillId="35" borderId="0" xfId="4" applyNumberFormat="1" applyFont="1" applyFill="1" applyBorder="1" applyAlignment="1">
      <alignment horizontal="center"/>
    </xf>
    <xf numFmtId="176" fontId="27" fillId="35" borderId="5" xfId="0" applyNumberFormat="1" applyFont="1" applyFill="1" applyBorder="1" applyAlignment="1"/>
    <xf numFmtId="1" fontId="27" fillId="35" borderId="7" xfId="0" quotePrefix="1" applyNumberFormat="1" applyFont="1" applyFill="1" applyBorder="1"/>
    <xf numFmtId="164" fontId="25" fillId="35" borderId="8" xfId="0" applyNumberFormat="1" applyFont="1" applyFill="1" applyBorder="1" applyAlignment="1">
      <alignment horizontal="center"/>
    </xf>
    <xf numFmtId="171" fontId="25" fillId="35" borderId="8" xfId="6" applyNumberFormat="1" applyFont="1" applyFill="1" applyBorder="1" applyAlignment="1">
      <alignment horizontal="center"/>
    </xf>
    <xf numFmtId="9" fontId="25" fillId="35" borderId="8" xfId="0" applyNumberFormat="1" applyFont="1" applyFill="1" applyBorder="1"/>
    <xf numFmtId="1" fontId="17" fillId="0" borderId="0" xfId="0" quotePrefix="1" applyNumberFormat="1" applyFont="1" applyFill="1"/>
    <xf numFmtId="164" fontId="9" fillId="0" borderId="0" xfId="0" applyNumberFormat="1" applyFont="1" applyFill="1" applyAlignment="1">
      <alignment horizontal="center"/>
    </xf>
    <xf numFmtId="171" fontId="25" fillId="36" borderId="0" xfId="6" applyNumberFormat="1" applyFont="1" applyFill="1" applyBorder="1" applyAlignment="1">
      <alignment horizontal="center"/>
    </xf>
    <xf numFmtId="171" fontId="25" fillId="36" borderId="0" xfId="6" applyNumberFormat="1" applyFont="1" applyFill="1" applyBorder="1" applyAlignment="1"/>
    <xf numFmtId="171" fontId="25" fillId="31" borderId="0" xfId="6" applyNumberFormat="1" applyFont="1" applyFill="1" applyBorder="1" applyAlignment="1">
      <alignment horizontal="center"/>
    </xf>
    <xf numFmtId="171" fontId="25" fillId="30" borderId="0" xfId="6" applyNumberFormat="1" applyFont="1" applyFill="1" applyBorder="1" applyAlignment="1">
      <alignment horizontal="center"/>
    </xf>
    <xf numFmtId="171" fontId="25" fillId="42" borderId="0" xfId="6" applyNumberFormat="1" applyFont="1" applyFill="1" applyBorder="1" applyAlignment="1">
      <alignment horizontal="center"/>
    </xf>
    <xf numFmtId="1" fontId="27" fillId="0" borderId="0" xfId="0" quotePrefix="1" applyNumberFormat="1" applyFont="1" applyFill="1" applyAlignment="1">
      <alignment horizontal="left"/>
    </xf>
    <xf numFmtId="164" fontId="25" fillId="0" borderId="0" xfId="0" applyNumberFormat="1" applyFont="1" applyFill="1" applyAlignment="1">
      <alignment horizontal="right"/>
    </xf>
    <xf numFmtId="1" fontId="25" fillId="0" borderId="0" xfId="0" applyNumberFormat="1" applyFont="1" applyFill="1"/>
    <xf numFmtId="9" fontId="25" fillId="0" borderId="0" xfId="0" applyNumberFormat="1" applyFont="1" applyFill="1"/>
    <xf numFmtId="0" fontId="9" fillId="0" borderId="0" xfId="0" applyFont="1"/>
    <xf numFmtId="0" fontId="9" fillId="17" borderId="6" xfId="0" applyFont="1" applyFill="1" applyBorder="1"/>
    <xf numFmtId="0" fontId="9" fillId="17" borderId="5" xfId="0" applyFont="1" applyFill="1" applyBorder="1" applyAlignment="1">
      <alignment horizontal="left" indent="1"/>
    </xf>
    <xf numFmtId="0" fontId="17" fillId="17" borderId="0" xfId="0" applyFont="1" applyFill="1" applyBorder="1" applyAlignment="1">
      <alignment horizontal="center"/>
    </xf>
    <xf numFmtId="0" fontId="52" fillId="17" borderId="5" xfId="0" applyFont="1" applyFill="1" applyBorder="1" applyAlignment="1">
      <alignment horizontal="left" indent="6"/>
    </xf>
    <xf numFmtId="0" fontId="56" fillId="17" borderId="0" xfId="0" applyFont="1" applyFill="1" applyBorder="1"/>
    <xf numFmtId="0" fontId="9" fillId="0" borderId="0" xfId="0" applyFont="1" applyFill="1"/>
    <xf numFmtId="173" fontId="9" fillId="0" borderId="0" xfId="0" applyNumberFormat="1" applyFont="1" applyFill="1"/>
    <xf numFmtId="171" fontId="25" fillId="37" borderId="0" xfId="6" applyNumberFormat="1" applyFont="1" applyFill="1" applyBorder="1" applyAlignment="1">
      <alignment horizontal="center"/>
    </xf>
    <xf numFmtId="9" fontId="25" fillId="37" borderId="0" xfId="6" applyNumberFormat="1" applyFont="1" applyFill="1" applyBorder="1" applyAlignment="1">
      <alignment horizontal="center"/>
    </xf>
    <xf numFmtId="0" fontId="9" fillId="37" borderId="5" xfId="0" applyFont="1" applyFill="1" applyBorder="1" applyAlignment="1">
      <alignment horizontal="left" indent="3"/>
    </xf>
    <xf numFmtId="9" fontId="25" fillId="37" borderId="0" xfId="6" applyFont="1" applyFill="1" applyBorder="1" applyAlignment="1"/>
    <xf numFmtId="0" fontId="9" fillId="37" borderId="5" xfId="0" applyFont="1" applyFill="1" applyBorder="1"/>
    <xf numFmtId="9" fontId="25" fillId="14" borderId="1" xfId="0" applyNumberFormat="1" applyFont="1" applyFill="1" applyBorder="1" applyAlignment="1" applyProtection="1">
      <alignment horizontal="right"/>
      <protection locked="0"/>
    </xf>
    <xf numFmtId="164" fontId="27" fillId="14" borderId="1" xfId="0" applyNumberFormat="1" applyFont="1" applyFill="1" applyBorder="1" applyAlignment="1" applyProtection="1">
      <alignment horizontal="right"/>
      <protection locked="0"/>
    </xf>
    <xf numFmtId="164" fontId="57" fillId="14" borderId="1" xfId="0" applyNumberFormat="1" applyFont="1" applyFill="1" applyBorder="1" applyAlignment="1" applyProtection="1">
      <alignment horizontal="right"/>
      <protection locked="0"/>
    </xf>
    <xf numFmtId="171" fontId="25" fillId="48" borderId="0" xfId="6" applyNumberFormat="1" applyFont="1" applyFill="1" applyBorder="1" applyAlignment="1">
      <alignment horizontal="center"/>
    </xf>
    <xf numFmtId="171" fontId="25" fillId="49" borderId="0" xfId="6" applyNumberFormat="1" applyFont="1" applyFill="1" applyBorder="1" applyAlignment="1">
      <alignment horizontal="center"/>
    </xf>
    <xf numFmtId="1" fontId="25" fillId="37" borderId="5" xfId="0" applyNumberFormat="1" applyFont="1" applyFill="1" applyBorder="1" applyAlignment="1">
      <alignment horizontal="left"/>
    </xf>
    <xf numFmtId="164" fontId="25" fillId="37" borderId="0" xfId="0" applyNumberFormat="1" applyFont="1" applyFill="1" applyBorder="1" applyAlignment="1">
      <alignment horizontal="center"/>
    </xf>
    <xf numFmtId="0" fontId="9" fillId="16" borderId="6" xfId="0" applyFont="1" applyFill="1" applyBorder="1"/>
    <xf numFmtId="1" fontId="25" fillId="37" borderId="5" xfId="0" applyNumberFormat="1" applyFont="1" applyFill="1" applyBorder="1" applyAlignment="1">
      <alignment horizontal="left" indent="3"/>
    </xf>
    <xf numFmtId="164" fontId="25" fillId="37" borderId="0" xfId="0" applyNumberFormat="1" applyFont="1" applyFill="1" applyBorder="1" applyAlignment="1">
      <alignment horizontal="right"/>
    </xf>
    <xf numFmtId="164" fontId="25" fillId="37" borderId="5" xfId="0" applyNumberFormat="1" applyFont="1" applyFill="1" applyBorder="1" applyAlignment="1">
      <alignment horizontal="left" indent="3"/>
    </xf>
    <xf numFmtId="9" fontId="9" fillId="37" borderId="0" xfId="0" applyNumberFormat="1" applyFont="1" applyFill="1" applyBorder="1" applyAlignment="1">
      <alignment horizontal="center"/>
    </xf>
    <xf numFmtId="164" fontId="27" fillId="37" borderId="5" xfId="0" applyNumberFormat="1" applyFont="1" applyFill="1" applyBorder="1" applyAlignment="1">
      <alignment horizontal="left"/>
    </xf>
    <xf numFmtId="1" fontId="25" fillId="37" borderId="5" xfId="0" applyNumberFormat="1" applyFont="1" applyFill="1" applyBorder="1" applyAlignment="1">
      <alignment horizontal="left" indent="2"/>
    </xf>
    <xf numFmtId="0" fontId="9" fillId="37" borderId="6" xfId="0" applyFont="1" applyFill="1" applyBorder="1"/>
    <xf numFmtId="0" fontId="9" fillId="37" borderId="0" xfId="0" applyFont="1" applyFill="1" applyBorder="1"/>
    <xf numFmtId="9" fontId="25" fillId="37" borderId="0" xfId="6" applyFont="1" applyFill="1" applyBorder="1" applyAlignment="1">
      <alignment horizontal="center"/>
    </xf>
    <xf numFmtId="0" fontId="17" fillId="37" borderId="5" xfId="0" applyFont="1" applyFill="1" applyBorder="1" applyAlignment="1">
      <alignment horizontal="left"/>
    </xf>
    <xf numFmtId="1" fontId="27" fillId="36" borderId="5" xfId="0" applyNumberFormat="1" applyFont="1" applyFill="1" applyBorder="1" applyAlignment="1">
      <alignment horizontal="left"/>
    </xf>
    <xf numFmtId="172" fontId="25" fillId="36" borderId="0" xfId="4" applyNumberFormat="1" applyFont="1" applyFill="1" applyBorder="1" applyAlignment="1">
      <alignment horizontal="right"/>
    </xf>
    <xf numFmtId="164" fontId="25" fillId="36" borderId="0" xfId="0" applyNumberFormat="1" applyFont="1" applyFill="1" applyBorder="1" applyAlignment="1">
      <alignment horizontal="right"/>
    </xf>
    <xf numFmtId="164" fontId="25" fillId="36" borderId="0" xfId="0" applyNumberFormat="1" applyFont="1" applyFill="1" applyBorder="1" applyAlignment="1">
      <alignment horizontal="center"/>
    </xf>
    <xf numFmtId="0" fontId="9" fillId="36" borderId="6" xfId="0" applyFont="1" applyFill="1" applyBorder="1"/>
    <xf numFmtId="1" fontId="27" fillId="37" borderId="5" xfId="0" applyNumberFormat="1" applyFont="1" applyFill="1" applyBorder="1" applyAlignment="1">
      <alignment horizontal="left"/>
    </xf>
    <xf numFmtId="1" fontId="25" fillId="37" borderId="0" xfId="0" applyNumberFormat="1" applyFont="1" applyFill="1" applyBorder="1" applyAlignment="1">
      <alignment horizontal="left" indent="2"/>
    </xf>
    <xf numFmtId="1" fontId="25" fillId="37" borderId="6" xfId="0" applyNumberFormat="1" applyFont="1" applyFill="1" applyBorder="1" applyAlignment="1">
      <alignment horizontal="left" indent="2"/>
    </xf>
    <xf numFmtId="1" fontId="25" fillId="37" borderId="5" xfId="0" applyNumberFormat="1" applyFont="1" applyFill="1" applyBorder="1" applyAlignment="1">
      <alignment horizontal="left" indent="1"/>
    </xf>
    <xf numFmtId="172" fontId="25" fillId="36" borderId="0" xfId="4" applyNumberFormat="1" applyFont="1" applyFill="1" applyBorder="1" applyAlignment="1">
      <alignment horizontal="center"/>
    </xf>
    <xf numFmtId="1" fontId="27" fillId="48" borderId="5" xfId="0" applyNumberFormat="1" applyFont="1" applyFill="1" applyBorder="1" applyAlignment="1">
      <alignment horizontal="left"/>
    </xf>
    <xf numFmtId="172" fontId="25" fillId="48" borderId="0" xfId="4" applyNumberFormat="1" applyFont="1" applyFill="1" applyBorder="1" applyAlignment="1">
      <alignment horizontal="right"/>
    </xf>
    <xf numFmtId="164" fontId="25" fillId="48" borderId="0" xfId="0" applyNumberFormat="1" applyFont="1" applyFill="1" applyBorder="1" applyAlignment="1">
      <alignment horizontal="center"/>
    </xf>
    <xf numFmtId="0" fontId="9" fillId="48" borderId="6" xfId="0" applyFont="1" applyFill="1" applyBorder="1"/>
    <xf numFmtId="1" fontId="25" fillId="49" borderId="5" xfId="0" applyNumberFormat="1" applyFont="1" applyFill="1" applyBorder="1" applyAlignment="1">
      <alignment horizontal="left" indent="1"/>
    </xf>
    <xf numFmtId="164" fontId="25" fillId="49" borderId="0" xfId="0" applyNumberFormat="1" applyFont="1" applyFill="1" applyBorder="1" applyAlignment="1">
      <alignment horizontal="center"/>
    </xf>
    <xf numFmtId="0" fontId="9" fillId="49" borderId="6" xfId="0" applyFont="1" applyFill="1" applyBorder="1"/>
    <xf numFmtId="1" fontId="27" fillId="49" borderId="5" xfId="0" applyNumberFormat="1" applyFont="1" applyFill="1" applyBorder="1" applyAlignment="1">
      <alignment horizontal="left"/>
    </xf>
    <xf numFmtId="1" fontId="27" fillId="31" borderId="5" xfId="0" applyNumberFormat="1" applyFont="1" applyFill="1" applyBorder="1" applyAlignment="1">
      <alignment horizontal="left"/>
    </xf>
    <xf numFmtId="164" fontId="25" fillId="31" borderId="0" xfId="0" applyNumberFormat="1" applyFont="1" applyFill="1" applyBorder="1" applyAlignment="1">
      <alignment horizontal="center"/>
    </xf>
    <xf numFmtId="0" fontId="9" fillId="31" borderId="6" xfId="0" applyFont="1" applyFill="1" applyBorder="1"/>
    <xf numFmtId="1" fontId="27" fillId="30" borderId="5" xfId="0" applyNumberFormat="1" applyFont="1" applyFill="1" applyBorder="1" applyAlignment="1">
      <alignment horizontal="left"/>
    </xf>
    <xf numFmtId="164" fontId="25" fillId="31" borderId="0" xfId="0" applyNumberFormat="1" applyFont="1" applyFill="1" applyBorder="1" applyAlignment="1">
      <alignment horizontal="right"/>
    </xf>
    <xf numFmtId="164" fontId="25" fillId="30" borderId="0" xfId="0" applyNumberFormat="1" applyFont="1" applyFill="1" applyBorder="1" applyAlignment="1">
      <alignment horizontal="center"/>
    </xf>
    <xf numFmtId="9" fontId="25" fillId="30" borderId="0" xfId="0" applyNumberFormat="1" applyFont="1" applyFill="1" applyBorder="1"/>
    <xf numFmtId="0" fontId="9" fillId="14" borderId="6" xfId="0" applyFont="1" applyFill="1" applyBorder="1"/>
    <xf numFmtId="1" fontId="27" fillId="42" borderId="5" xfId="0" applyNumberFormat="1" applyFont="1" applyFill="1" applyBorder="1"/>
    <xf numFmtId="164" fontId="25" fillId="42" borderId="0" xfId="0" applyNumberFormat="1" applyFont="1" applyFill="1" applyBorder="1" applyAlignment="1">
      <alignment horizontal="right"/>
    </xf>
    <xf numFmtId="164" fontId="25" fillId="42" borderId="0" xfId="0" applyNumberFormat="1" applyFont="1" applyFill="1" applyBorder="1" applyAlignment="1">
      <alignment horizontal="center"/>
    </xf>
    <xf numFmtId="9" fontId="25" fillId="42" borderId="0" xfId="0" applyNumberFormat="1" applyFont="1" applyFill="1" applyBorder="1"/>
    <xf numFmtId="0" fontId="9" fillId="6" borderId="6" xfId="0" applyFont="1" applyFill="1" applyBorder="1"/>
    <xf numFmtId="1" fontId="27" fillId="42" borderId="7" xfId="0" applyNumberFormat="1" applyFont="1" applyFill="1" applyBorder="1"/>
    <xf numFmtId="174" fontId="25" fillId="42" borderId="8" xfId="0" applyNumberFormat="1" applyFont="1" applyFill="1" applyBorder="1" applyAlignment="1">
      <alignment horizontal="right"/>
    </xf>
    <xf numFmtId="1" fontId="25" fillId="42" borderId="8" xfId="0" applyNumberFormat="1" applyFont="1" applyFill="1" applyBorder="1"/>
    <xf numFmtId="9" fontId="25" fillId="42" borderId="8" xfId="0" applyNumberFormat="1" applyFont="1" applyFill="1" applyBorder="1"/>
    <xf numFmtId="0" fontId="9" fillId="6" borderId="9" xfId="0" applyFont="1" applyFill="1" applyBorder="1"/>
    <xf numFmtId="164" fontId="27" fillId="14" borderId="13" xfId="0" applyNumberFormat="1" applyFont="1" applyFill="1" applyBorder="1" applyAlignment="1" applyProtection="1">
      <alignment horizontal="right"/>
      <protection locked="0"/>
    </xf>
    <xf numFmtId="164" fontId="25" fillId="14" borderId="14" xfId="0" applyNumberFormat="1" applyFont="1" applyFill="1" applyBorder="1" applyAlignment="1" applyProtection="1">
      <alignment horizontal="right"/>
      <protection locked="0"/>
    </xf>
    <xf numFmtId="0" fontId="27" fillId="11" borderId="3" xfId="0" applyFont="1" applyFill="1" applyBorder="1"/>
    <xf numFmtId="0" fontId="27" fillId="11" borderId="4" xfId="0" applyFont="1" applyFill="1" applyBorder="1"/>
    <xf numFmtId="0" fontId="17" fillId="15" borderId="6" xfId="0" applyFont="1" applyFill="1" applyBorder="1"/>
    <xf numFmtId="1" fontId="25" fillId="50" borderId="5" xfId="0" quotePrefix="1" applyNumberFormat="1" applyFont="1" applyFill="1" applyBorder="1" applyAlignment="1">
      <alignment horizontal="left"/>
    </xf>
    <xf numFmtId="164" fontId="25" fillId="50" borderId="0" xfId="0" applyNumberFormat="1" applyFont="1" applyFill="1" applyBorder="1" applyAlignment="1">
      <alignment horizontal="right"/>
    </xf>
    <xf numFmtId="1" fontId="25" fillId="50" borderId="0" xfId="0" applyNumberFormat="1" applyFont="1" applyFill="1" applyBorder="1"/>
    <xf numFmtId="9" fontId="25" fillId="50" borderId="0" xfId="0" applyNumberFormat="1" applyFont="1" applyFill="1" applyBorder="1"/>
    <xf numFmtId="0" fontId="9" fillId="50" borderId="6" xfId="0" applyFont="1" applyFill="1" applyBorder="1"/>
    <xf numFmtId="1" fontId="27" fillId="50" borderId="5" xfId="0" quotePrefix="1" applyNumberFormat="1" applyFont="1" applyFill="1" applyBorder="1" applyAlignment="1">
      <alignment horizontal="left"/>
    </xf>
    <xf numFmtId="1" fontId="25" fillId="50" borderId="5" xfId="0" quotePrefix="1" applyNumberFormat="1" applyFont="1" applyFill="1" applyBorder="1" applyAlignment="1">
      <alignment horizontal="left" indent="2"/>
    </xf>
    <xf numFmtId="1" fontId="25" fillId="50" borderId="5" xfId="0" applyNumberFormat="1" applyFont="1" applyFill="1" applyBorder="1" applyAlignment="1">
      <alignment horizontal="left" indent="2"/>
    </xf>
    <xf numFmtId="172" fontId="25" fillId="50" borderId="0" xfId="4" applyNumberFormat="1" applyFont="1" applyFill="1" applyBorder="1"/>
    <xf numFmtId="0" fontId="9" fillId="12" borderId="6" xfId="0" applyFont="1" applyFill="1" applyBorder="1"/>
    <xf numFmtId="0" fontId="18" fillId="10" borderId="0" xfId="0" applyFont="1" applyFill="1" applyBorder="1"/>
    <xf numFmtId="0" fontId="18" fillId="10" borderId="6" xfId="0" applyFont="1" applyFill="1" applyBorder="1"/>
    <xf numFmtId="164" fontId="27" fillId="14" borderId="11" xfId="0" applyNumberFormat="1" applyFont="1" applyFill="1" applyBorder="1" applyAlignment="1" applyProtection="1">
      <alignment horizontal="right"/>
      <protection locked="0"/>
    </xf>
    <xf numFmtId="0" fontId="17" fillId="6" borderId="15" xfId="0" applyFont="1" applyFill="1" applyBorder="1" applyAlignment="1">
      <alignment horizontal="center"/>
    </xf>
    <xf numFmtId="0" fontId="18" fillId="10" borderId="3" xfId="0" applyFont="1" applyFill="1" applyBorder="1"/>
    <xf numFmtId="0" fontId="18" fillId="6" borderId="0" xfId="0" applyFont="1" applyFill="1" applyBorder="1"/>
    <xf numFmtId="0" fontId="18" fillId="6" borderId="6" xfId="0" applyFont="1" applyFill="1" applyBorder="1"/>
    <xf numFmtId="0" fontId="18" fillId="6" borderId="8" xfId="0" applyFont="1" applyFill="1" applyBorder="1"/>
    <xf numFmtId="0" fontId="18" fillId="6" borderId="9" xfId="0" applyFont="1" applyFill="1" applyBorder="1"/>
    <xf numFmtId="0" fontId="18" fillId="6" borderId="5" xfId="0" applyFont="1" applyFill="1" applyBorder="1"/>
    <xf numFmtId="0" fontId="18" fillId="6" borderId="7" xfId="0" applyFont="1" applyFill="1" applyBorder="1"/>
    <xf numFmtId="1" fontId="27" fillId="42" borderId="15" xfId="0" applyNumberFormat="1" applyFont="1" applyFill="1" applyBorder="1" applyAlignment="1">
      <alignment horizontal="left"/>
    </xf>
    <xf numFmtId="1" fontId="27" fillId="42" borderId="14" xfId="0" applyNumberFormat="1" applyFont="1" applyFill="1" applyBorder="1" applyAlignment="1">
      <alignment horizontal="left"/>
    </xf>
    <xf numFmtId="9" fontId="25" fillId="31" borderId="1" xfId="0" applyNumberFormat="1" applyFont="1" applyFill="1" applyBorder="1"/>
    <xf numFmtId="1" fontId="25" fillId="31" borderId="1" xfId="0" applyNumberFormat="1" applyFont="1" applyFill="1" applyBorder="1" applyAlignment="1">
      <alignment horizontal="right"/>
    </xf>
    <xf numFmtId="9" fontId="9" fillId="14" borderId="1" xfId="0" applyNumberFormat="1" applyFont="1" applyFill="1" applyBorder="1"/>
    <xf numFmtId="10" fontId="9" fillId="14" borderId="1" xfId="0" applyNumberFormat="1" applyFont="1" applyFill="1" applyBorder="1"/>
    <xf numFmtId="169" fontId="9" fillId="14" borderId="1" xfId="3" applyNumberFormat="1" applyFont="1" applyFill="1" applyBorder="1"/>
    <xf numFmtId="0" fontId="18" fillId="13" borderId="6" xfId="0" applyFont="1" applyFill="1" applyBorder="1"/>
    <xf numFmtId="9" fontId="9" fillId="19" borderId="0" xfId="0" applyNumberFormat="1" applyFont="1" applyFill="1" applyBorder="1"/>
    <xf numFmtId="9" fontId="25" fillId="43" borderId="0" xfId="0" applyNumberFormat="1" applyFont="1" applyFill="1" applyBorder="1"/>
    <xf numFmtId="0" fontId="9" fillId="19" borderId="6" xfId="0" applyFont="1" applyFill="1" applyBorder="1"/>
    <xf numFmtId="10" fontId="9" fillId="19" borderId="0" xfId="0" applyNumberFormat="1" applyFont="1" applyFill="1" applyBorder="1"/>
    <xf numFmtId="0" fontId="17" fillId="19" borderId="0" xfId="0" applyFont="1" applyFill="1" applyBorder="1"/>
    <xf numFmtId="0" fontId="17" fillId="19" borderId="6" xfId="0" applyFont="1" applyFill="1" applyBorder="1"/>
    <xf numFmtId="1" fontId="27" fillId="43" borderId="0" xfId="0" applyNumberFormat="1" applyFont="1" applyFill="1" applyBorder="1" applyAlignment="1">
      <alignment horizontal="center"/>
    </xf>
    <xf numFmtId="1" fontId="27" fillId="43" borderId="0" xfId="0" quotePrefix="1" applyNumberFormat="1" applyFont="1" applyFill="1" applyBorder="1" applyAlignment="1">
      <alignment horizontal="left"/>
    </xf>
    <xf numFmtId="1" fontId="27" fillId="43" borderId="8" xfId="0" applyNumberFormat="1" applyFont="1" applyFill="1" applyBorder="1" applyAlignment="1">
      <alignment horizontal="center"/>
    </xf>
    <xf numFmtId="1" fontId="27" fillId="43" borderId="8" xfId="0" quotePrefix="1" applyNumberFormat="1" applyFont="1" applyFill="1" applyBorder="1" applyAlignment="1">
      <alignment horizontal="left"/>
    </xf>
    <xf numFmtId="9" fontId="25" fillId="43" borderId="8" xfId="0" applyNumberFormat="1" applyFont="1" applyFill="1" applyBorder="1"/>
    <xf numFmtId="1" fontId="27" fillId="51" borderId="5" xfId="0" applyNumberFormat="1" applyFont="1" applyFill="1" applyBorder="1" applyAlignment="1">
      <alignment horizontal="left"/>
    </xf>
    <xf numFmtId="3" fontId="27" fillId="51" borderId="0" xfId="0" applyNumberFormat="1" applyFont="1" applyFill="1" applyBorder="1" applyAlignment="1">
      <alignment horizontal="center"/>
    </xf>
    <xf numFmtId="1" fontId="25" fillId="51" borderId="0" xfId="0" applyNumberFormat="1" applyFont="1" applyFill="1" applyBorder="1"/>
    <xf numFmtId="1" fontId="27" fillId="51" borderId="0" xfId="0" applyNumberFormat="1" applyFont="1" applyFill="1" applyBorder="1" applyAlignment="1">
      <alignment horizontal="center"/>
    </xf>
    <xf numFmtId="9" fontId="25" fillId="51" borderId="0" xfId="0" applyNumberFormat="1" applyFont="1" applyFill="1" applyBorder="1" applyAlignment="1" applyProtection="1">
      <alignment horizontal="center"/>
      <protection locked="0"/>
    </xf>
    <xf numFmtId="0" fontId="9" fillId="51" borderId="6" xfId="0" applyFont="1" applyFill="1" applyBorder="1"/>
    <xf numFmtId="0" fontId="9" fillId="51" borderId="0" xfId="0" applyFont="1" applyFill="1" applyBorder="1"/>
    <xf numFmtId="0" fontId="17" fillId="47" borderId="5" xfId="0" applyFont="1" applyFill="1" applyBorder="1"/>
    <xf numFmtId="0" fontId="9" fillId="51" borderId="8" xfId="0" applyFont="1" applyFill="1" applyBorder="1"/>
    <xf numFmtId="0" fontId="9" fillId="51" borderId="9" xfId="0" applyFont="1" applyFill="1" applyBorder="1"/>
    <xf numFmtId="0" fontId="18" fillId="46" borderId="11" xfId="0" applyFont="1" applyFill="1" applyBorder="1"/>
    <xf numFmtId="0" fontId="18" fillId="46" borderId="10" xfId="0" applyFont="1" applyFill="1" applyBorder="1"/>
    <xf numFmtId="0" fontId="18" fillId="46" borderId="12" xfId="0" applyFont="1" applyFill="1" applyBorder="1"/>
    <xf numFmtId="177" fontId="9" fillId="7" borderId="1" xfId="0" applyNumberFormat="1" applyFont="1" applyFill="1" applyBorder="1" applyAlignment="1">
      <alignment horizontal="left"/>
    </xf>
    <xf numFmtId="0" fontId="16" fillId="6" borderId="4" xfId="0" applyFont="1" applyFill="1" applyBorder="1" applyAlignment="1" applyProtection="1">
      <alignment horizontal="center"/>
      <protection locked="0"/>
    </xf>
    <xf numFmtId="0" fontId="17" fillId="6" borderId="9" xfId="0" applyFont="1" applyFill="1" applyBorder="1" applyAlignment="1" applyProtection="1">
      <alignment horizontal="center"/>
      <protection locked="0"/>
    </xf>
    <xf numFmtId="164" fontId="17" fillId="13" borderId="6" xfId="0" applyNumberFormat="1" applyFont="1" applyFill="1" applyBorder="1" applyAlignment="1" applyProtection="1">
      <alignment horizontal="center"/>
      <protection locked="0"/>
    </xf>
    <xf numFmtId="164" fontId="17" fillId="13" borderId="4" xfId="0" applyNumberFormat="1" applyFont="1" applyFill="1" applyBorder="1" applyAlignment="1" applyProtection="1">
      <alignment horizontal="center"/>
      <protection locked="0"/>
    </xf>
    <xf numFmtId="0" fontId="0" fillId="13" borderId="6" xfId="0" applyFill="1" applyBorder="1" applyProtection="1">
      <protection locked="0"/>
    </xf>
    <xf numFmtId="178" fontId="0" fillId="0" borderId="0" xfId="0" applyNumberFormat="1"/>
    <xf numFmtId="0" fontId="12" fillId="14" borderId="0" xfId="0" applyFont="1" applyFill="1" applyBorder="1"/>
    <xf numFmtId="1" fontId="25" fillId="14" borderId="1" xfId="0" applyNumberFormat="1" applyFont="1" applyFill="1" applyBorder="1" applyAlignment="1">
      <alignment horizontal="center" vertical="center"/>
    </xf>
    <xf numFmtId="0" fontId="11" fillId="45" borderId="9" xfId="0" applyFont="1" applyFill="1" applyBorder="1" applyAlignment="1">
      <alignment horizontal="center"/>
    </xf>
    <xf numFmtId="49" fontId="9" fillId="7" borderId="6" xfId="0" applyNumberFormat="1" applyFont="1" applyFill="1" applyBorder="1" applyAlignment="1">
      <alignment horizontal="left"/>
    </xf>
    <xf numFmtId="0" fontId="9" fillId="7" borderId="6" xfId="0" applyNumberFormat="1" applyFont="1" applyFill="1" applyBorder="1" applyAlignment="1">
      <alignment horizontal="left"/>
    </xf>
    <xf numFmtId="0" fontId="9" fillId="7" borderId="6" xfId="0" applyFont="1" applyFill="1" applyBorder="1" applyAlignment="1">
      <alignment horizontal="left"/>
    </xf>
    <xf numFmtId="1" fontId="9" fillId="7" borderId="6" xfId="0" applyNumberFormat="1" applyFont="1" applyFill="1" applyBorder="1" applyAlignment="1">
      <alignment horizontal="left"/>
    </xf>
    <xf numFmtId="0" fontId="17" fillId="6" borderId="6" xfId="0" applyFont="1" applyFill="1" applyBorder="1" applyAlignment="1">
      <alignment horizontal="left"/>
    </xf>
    <xf numFmtId="164" fontId="9" fillId="7" borderId="6" xfId="0" applyNumberFormat="1" applyFont="1" applyFill="1" applyBorder="1" applyAlignment="1">
      <alignment horizontal="left"/>
    </xf>
    <xf numFmtId="9" fontId="9" fillId="7" borderId="6" xfId="0" applyNumberFormat="1" applyFont="1" applyFill="1" applyBorder="1" applyAlignment="1">
      <alignment horizontal="left"/>
    </xf>
    <xf numFmtId="10" fontId="17" fillId="15" borderId="0" xfId="0" applyNumberFormat="1" applyFont="1" applyFill="1" applyBorder="1"/>
    <xf numFmtId="2" fontId="0" fillId="0" borderId="0" xfId="0" applyNumberFormat="1" applyFill="1"/>
    <xf numFmtId="1" fontId="57" fillId="50" borderId="5" xfId="0" quotePrefix="1" applyNumberFormat="1" applyFont="1" applyFill="1" applyBorder="1" applyAlignment="1">
      <alignment horizontal="left"/>
    </xf>
    <xf numFmtId="0" fontId="17" fillId="17" borderId="2" xfId="0" applyFont="1" applyFill="1" applyBorder="1"/>
    <xf numFmtId="0" fontId="9" fillId="17" borderId="3" xfId="0" applyFont="1" applyFill="1" applyBorder="1"/>
    <xf numFmtId="0" fontId="9" fillId="17" borderId="4" xfId="0" applyFont="1" applyFill="1" applyBorder="1"/>
    <xf numFmtId="0" fontId="9" fillId="28" borderId="5" xfId="0" applyFont="1" applyFill="1" applyBorder="1"/>
    <xf numFmtId="0" fontId="9" fillId="0" borderId="1" xfId="0" applyFont="1" applyBorder="1" applyProtection="1">
      <protection locked="0"/>
    </xf>
    <xf numFmtId="0" fontId="9" fillId="28" borderId="0" xfId="0" applyFont="1" applyFill="1" applyBorder="1"/>
    <xf numFmtId="0" fontId="9" fillId="28" borderId="6" xfId="0" applyFont="1" applyFill="1" applyBorder="1"/>
    <xf numFmtId="172" fontId="9" fillId="28" borderId="0" xfId="4" applyNumberFormat="1" applyFont="1" applyFill="1" applyBorder="1"/>
    <xf numFmtId="0" fontId="59" fillId="28" borderId="6" xfId="0" applyFont="1" applyFill="1" applyBorder="1"/>
    <xf numFmtId="172" fontId="59" fillId="28" borderId="0" xfId="4" applyNumberFormat="1" applyFont="1" applyFill="1" applyBorder="1" applyProtection="1">
      <protection locked="0"/>
    </xf>
    <xf numFmtId="9" fontId="59" fillId="28" borderId="0" xfId="0" applyNumberFormat="1" applyFont="1" applyFill="1" applyBorder="1" applyProtection="1">
      <protection locked="0"/>
    </xf>
    <xf numFmtId="172" fontId="9" fillId="28" borderId="0" xfId="4" applyNumberFormat="1" applyFont="1" applyFill="1" applyBorder="1" applyAlignment="1">
      <alignment horizontal="left"/>
    </xf>
    <xf numFmtId="0" fontId="17" fillId="17" borderId="5" xfId="0" applyFont="1" applyFill="1" applyBorder="1"/>
    <xf numFmtId="0" fontId="9" fillId="17" borderId="0" xfId="0" applyFont="1" applyFill="1" applyBorder="1"/>
    <xf numFmtId="1" fontId="9" fillId="28" borderId="5" xfId="0" applyNumberFormat="1" applyFont="1" applyFill="1" applyBorder="1"/>
    <xf numFmtId="0" fontId="9" fillId="28" borderId="7" xfId="0" applyFont="1" applyFill="1" applyBorder="1"/>
    <xf numFmtId="0" fontId="9" fillId="28" borderId="8" xfId="0" applyFont="1" applyFill="1" applyBorder="1"/>
    <xf numFmtId="0" fontId="9" fillId="28" borderId="9" xfId="0" applyFont="1" applyFill="1" applyBorder="1"/>
    <xf numFmtId="0" fontId="0" fillId="15" borderId="2" xfId="0" applyFill="1" applyBorder="1"/>
    <xf numFmtId="0" fontId="0" fillId="15" borderId="3" xfId="0" applyFill="1" applyBorder="1"/>
    <xf numFmtId="0" fontId="0" fillId="15" borderId="4" xfId="0" applyFill="1" applyBorder="1"/>
    <xf numFmtId="0" fontId="0" fillId="15" borderId="5" xfId="0" applyFill="1" applyBorder="1"/>
    <xf numFmtId="0" fontId="0" fillId="15" borderId="6" xfId="0" applyFill="1" applyBorder="1"/>
    <xf numFmtId="0" fontId="3" fillId="15" borderId="5" xfId="0" applyFont="1" applyFill="1" applyBorder="1" applyAlignment="1">
      <alignment horizontal="left"/>
    </xf>
    <xf numFmtId="0" fontId="0" fillId="15" borderId="6" xfId="0" applyFill="1" applyBorder="1" applyAlignment="1">
      <alignment horizontal="left"/>
    </xf>
    <xf numFmtId="0" fontId="3" fillId="15" borderId="5" xfId="0" applyFont="1" applyFill="1" applyBorder="1"/>
    <xf numFmtId="1" fontId="0" fillId="15" borderId="0" xfId="0" applyNumberFormat="1" applyFill="1" applyBorder="1"/>
    <xf numFmtId="0" fontId="3" fillId="15" borderId="7" xfId="0" applyFont="1" applyFill="1" applyBorder="1"/>
    <xf numFmtId="0" fontId="0" fillId="15" borderId="8" xfId="0" applyFill="1" applyBorder="1"/>
    <xf numFmtId="0" fontId="0" fillId="15" borderId="9" xfId="0" applyFill="1" applyBorder="1"/>
    <xf numFmtId="0" fontId="10" fillId="0" borderId="5" xfId="0" applyFont="1" applyFill="1" applyBorder="1" applyAlignment="1">
      <alignment horizontal="left" vertical="center"/>
    </xf>
    <xf numFmtId="0" fontId="10" fillId="0" borderId="0" xfId="0" applyFont="1" applyFill="1" applyBorder="1" applyAlignment="1">
      <alignment horizontal="left" vertical="center"/>
    </xf>
    <xf numFmtId="0" fontId="12" fillId="0" borderId="0" xfId="0" applyFont="1" applyFill="1" applyBorder="1" applyAlignment="1">
      <alignment vertical="top" wrapText="1"/>
    </xf>
    <xf numFmtId="0" fontId="16" fillId="6" borderId="2" xfId="0" applyFont="1" applyFill="1" applyBorder="1" applyAlignment="1">
      <alignment horizontal="center"/>
    </xf>
    <xf numFmtId="0" fontId="16" fillId="6" borderId="3" xfId="0" applyFont="1" applyFill="1" applyBorder="1" applyAlignment="1">
      <alignment horizontal="center"/>
    </xf>
    <xf numFmtId="0" fontId="16" fillId="6" borderId="4" xfId="0" applyFont="1" applyFill="1" applyBorder="1" applyAlignment="1">
      <alignment horizontal="center"/>
    </xf>
    <xf numFmtId="0" fontId="4" fillId="3" borderId="0" xfId="0" applyFont="1" applyFill="1" applyAlignment="1">
      <alignment horizontal="left" vertical="center"/>
    </xf>
    <xf numFmtId="0" fontId="6" fillId="4" borderId="0" xfId="0" applyFont="1" applyFill="1" applyAlignment="1">
      <alignment horizontal="left" vertical="center"/>
    </xf>
    <xf numFmtId="0" fontId="7" fillId="5" borderId="0" xfId="0" applyFont="1" applyFill="1" applyAlignment="1">
      <alignment horizontal="left" vertical="center"/>
    </xf>
    <xf numFmtId="0" fontId="10" fillId="7" borderId="11" xfId="0" applyFont="1" applyFill="1" applyBorder="1" applyAlignment="1">
      <alignment horizontal="left" vertical="center"/>
    </xf>
    <xf numFmtId="0" fontId="10" fillId="7" borderId="10" xfId="0" applyFont="1" applyFill="1" applyBorder="1" applyAlignment="1">
      <alignment horizontal="left" vertical="center"/>
    </xf>
    <xf numFmtId="0" fontId="12" fillId="7" borderId="11" xfId="0" applyFont="1" applyFill="1" applyBorder="1" applyAlignment="1">
      <alignment horizontal="left" vertical="top" wrapText="1"/>
    </xf>
    <xf numFmtId="0" fontId="0" fillId="2" borderId="13" xfId="0" applyFill="1" applyBorder="1" applyProtection="1">
      <protection locked="0"/>
    </xf>
    <xf numFmtId="0" fontId="0" fillId="2" borderId="1" xfId="0" applyFill="1" applyBorder="1" applyProtection="1">
      <protection locked="0"/>
    </xf>
    <xf numFmtId="177" fontId="9" fillId="0" borderId="1" xfId="0" applyNumberFormat="1" applyFont="1" applyFill="1" applyBorder="1" applyAlignment="1">
      <alignment horizontal="center" vertical="center"/>
    </xf>
    <xf numFmtId="0" fontId="12" fillId="0" borderId="0" xfId="0" applyFont="1" applyFill="1" applyAlignment="1">
      <alignmen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3" fillId="2" borderId="9" xfId="0" applyFont="1" applyFill="1" applyBorder="1" applyAlignment="1">
      <alignment horizontal="left" vertical="top" wrapText="1"/>
    </xf>
    <xf numFmtId="0" fontId="12" fillId="7" borderId="2" xfId="0" applyFont="1" applyFill="1" applyBorder="1" applyAlignment="1">
      <alignment horizontal="left" vertical="top" wrapText="1"/>
    </xf>
    <xf numFmtId="0" fontId="12" fillId="7" borderId="3" xfId="0" applyFont="1" applyFill="1" applyBorder="1" applyAlignment="1">
      <alignment horizontal="left" vertical="top" wrapText="1"/>
    </xf>
    <xf numFmtId="0" fontId="12" fillId="7" borderId="4" xfId="0" applyFont="1" applyFill="1" applyBorder="1" applyAlignment="1">
      <alignment horizontal="left" vertical="top" wrapText="1"/>
    </xf>
    <xf numFmtId="0" fontId="12" fillId="7" borderId="7" xfId="0" applyFont="1" applyFill="1" applyBorder="1" applyAlignment="1">
      <alignment horizontal="left" vertical="top" wrapText="1"/>
    </xf>
    <xf numFmtId="0" fontId="12" fillId="7" borderId="8" xfId="0" applyFont="1" applyFill="1" applyBorder="1" applyAlignment="1">
      <alignment horizontal="left" vertical="top" wrapText="1"/>
    </xf>
    <xf numFmtId="0" fontId="12" fillId="7" borderId="9" xfId="0" applyFont="1" applyFill="1" applyBorder="1" applyAlignment="1">
      <alignment horizontal="left" vertical="top" wrapText="1"/>
    </xf>
    <xf numFmtId="0" fontId="16" fillId="0" borderId="2" xfId="0" applyFont="1" applyFill="1" applyBorder="1" applyAlignment="1">
      <alignment horizontal="center"/>
    </xf>
    <xf numFmtId="0" fontId="16" fillId="0" borderId="3" xfId="0" applyFont="1" applyFill="1" applyBorder="1" applyAlignment="1">
      <alignment horizontal="center"/>
    </xf>
    <xf numFmtId="0" fontId="16" fillId="0" borderId="4" xfId="0" applyFont="1" applyFill="1" applyBorder="1" applyAlignment="1">
      <alignment horizontal="center"/>
    </xf>
    <xf numFmtId="0" fontId="16" fillId="6" borderId="2" xfId="0" applyFont="1" applyFill="1" applyBorder="1" applyAlignment="1">
      <alignment horizontal="center"/>
    </xf>
    <xf numFmtId="0" fontId="51" fillId="6" borderId="3" xfId="0" applyFont="1" applyFill="1" applyBorder="1" applyAlignment="1">
      <alignment horizontal="center"/>
    </xf>
    <xf numFmtId="0" fontId="51" fillId="6" borderId="4" xfId="0" applyFont="1" applyFill="1" applyBorder="1" applyAlignment="1">
      <alignment horizontal="center"/>
    </xf>
    <xf numFmtId="0" fontId="16" fillId="6" borderId="3" xfId="0" applyFont="1" applyFill="1" applyBorder="1" applyAlignment="1">
      <alignment horizontal="center"/>
    </xf>
    <xf numFmtId="0" fontId="16" fillId="6" borderId="4" xfId="0" applyFont="1" applyFill="1" applyBorder="1" applyAlignment="1">
      <alignment horizontal="center"/>
    </xf>
    <xf numFmtId="0" fontId="16" fillId="45"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16" fillId="6" borderId="2" xfId="0" applyFont="1" applyFill="1" applyBorder="1" applyAlignment="1">
      <alignment horizontal="center" vertical="center"/>
    </xf>
    <xf numFmtId="0" fontId="16" fillId="6" borderId="3" xfId="0" applyFont="1" applyFill="1" applyBorder="1" applyAlignment="1">
      <alignment horizontal="center" vertical="center"/>
    </xf>
    <xf numFmtId="0" fontId="16" fillId="6" borderId="4" xfId="0" applyFont="1" applyFill="1" applyBorder="1" applyAlignment="1">
      <alignment horizontal="center" vertical="center"/>
    </xf>
    <xf numFmtId="0" fontId="16" fillId="13" borderId="2" xfId="0" applyFont="1" applyFill="1" applyBorder="1" applyAlignment="1">
      <alignment horizontal="center" vertical="center"/>
    </xf>
    <xf numFmtId="0" fontId="16" fillId="13" borderId="3" xfId="0" applyFont="1" applyFill="1" applyBorder="1" applyAlignment="1">
      <alignment horizontal="center" vertical="center"/>
    </xf>
    <xf numFmtId="0" fontId="16" fillId="13" borderId="4" xfId="0" applyFont="1" applyFill="1" applyBorder="1" applyAlignment="1">
      <alignment horizontal="center" vertical="center"/>
    </xf>
    <xf numFmtId="0" fontId="16" fillId="40" borderId="5" xfId="0" applyFont="1" applyFill="1" applyBorder="1" applyAlignment="1">
      <alignment horizontal="center"/>
    </xf>
    <xf numFmtId="0" fontId="16" fillId="40" borderId="0" xfId="0" applyFont="1" applyFill="1" applyAlignment="1">
      <alignment horizontal="center"/>
    </xf>
    <xf numFmtId="0" fontId="16" fillId="40" borderId="6" xfId="0" applyFont="1" applyFill="1" applyBorder="1" applyAlignment="1">
      <alignment horizontal="center"/>
    </xf>
    <xf numFmtId="0" fontId="16" fillId="40" borderId="2" xfId="0" applyFont="1" applyFill="1" applyBorder="1" applyAlignment="1">
      <alignment horizontal="center"/>
    </xf>
    <xf numFmtId="0" fontId="16" fillId="40" borderId="3" xfId="0" applyFont="1" applyFill="1" applyBorder="1" applyAlignment="1">
      <alignment horizontal="center"/>
    </xf>
    <xf numFmtId="0" fontId="16" fillId="40" borderId="4" xfId="0" applyFont="1" applyFill="1" applyBorder="1" applyAlignment="1">
      <alignment horizontal="center"/>
    </xf>
    <xf numFmtId="0" fontId="12" fillId="7" borderId="11" xfId="0" applyFont="1" applyFill="1" applyBorder="1" applyAlignment="1">
      <alignment horizontal="left" vertical="top" wrapText="1"/>
    </xf>
    <xf numFmtId="0" fontId="12" fillId="7" borderId="10" xfId="0" applyFont="1" applyFill="1" applyBorder="1" applyAlignment="1">
      <alignment horizontal="left" vertical="top" wrapText="1"/>
    </xf>
    <xf numFmtId="0" fontId="12" fillId="7" borderId="12" xfId="0" applyFont="1" applyFill="1" applyBorder="1" applyAlignment="1">
      <alignment horizontal="left" vertical="top" wrapText="1"/>
    </xf>
    <xf numFmtId="0" fontId="4" fillId="3" borderId="0" xfId="0" applyFont="1" applyFill="1" applyAlignment="1">
      <alignment horizontal="left" vertical="center"/>
    </xf>
    <xf numFmtId="0" fontId="6" fillId="4" borderId="0" xfId="0" applyFont="1" applyFill="1" applyAlignment="1">
      <alignment horizontal="left" vertical="center"/>
    </xf>
    <xf numFmtId="0" fontId="7" fillId="5" borderId="0" xfId="0" applyFont="1" applyFill="1" applyAlignment="1">
      <alignment horizontal="left" vertical="center"/>
    </xf>
    <xf numFmtId="0" fontId="10" fillId="7" borderId="11" xfId="0" applyFont="1" applyFill="1" applyBorder="1" applyAlignment="1">
      <alignment horizontal="left" vertical="center"/>
    </xf>
    <xf numFmtId="0" fontId="10" fillId="7" borderId="10" xfId="0" applyFont="1" applyFill="1" applyBorder="1" applyAlignment="1">
      <alignment horizontal="left" vertical="center"/>
    </xf>
    <xf numFmtId="0" fontId="10" fillId="7" borderId="12" xfId="0" applyFont="1" applyFill="1" applyBorder="1" applyAlignment="1">
      <alignment horizontal="left" vertical="center"/>
    </xf>
    <xf numFmtId="0" fontId="21" fillId="7" borderId="11" xfId="0" applyFont="1" applyFill="1" applyBorder="1" applyAlignment="1">
      <alignment horizontal="left" vertical="top" wrapText="1"/>
    </xf>
    <xf numFmtId="0" fontId="21" fillId="7" borderId="10" xfId="0" applyFont="1" applyFill="1" applyBorder="1" applyAlignment="1">
      <alignment horizontal="left" vertical="top" wrapText="1"/>
    </xf>
    <xf numFmtId="0" fontId="21" fillId="7" borderId="12" xfId="0" applyFont="1" applyFill="1" applyBorder="1" applyAlignment="1">
      <alignment horizontal="left" vertical="top" wrapText="1"/>
    </xf>
    <xf numFmtId="0" fontId="0" fillId="0" borderId="10" xfId="0" applyBorder="1" applyAlignment="1">
      <alignment horizontal="center"/>
    </xf>
    <xf numFmtId="0" fontId="16" fillId="6" borderId="11" xfId="0" applyFont="1" applyFill="1" applyBorder="1" applyAlignment="1">
      <alignment horizontal="left"/>
    </xf>
    <xf numFmtId="0" fontId="16" fillId="6" borderId="10" xfId="0" applyFont="1" applyFill="1" applyBorder="1" applyAlignment="1">
      <alignment horizontal="left"/>
    </xf>
    <xf numFmtId="0" fontId="16" fillId="6" borderId="12" xfId="0" applyFont="1" applyFill="1" applyBorder="1" applyAlignment="1">
      <alignment horizontal="left"/>
    </xf>
  </cellXfs>
  <cellStyles count="7">
    <cellStyle name="Comma" xfId="3" builtinId="3"/>
    <cellStyle name="Currency" xfId="4" builtinId="4"/>
    <cellStyle name="Normal" xfId="0" builtinId="0"/>
    <cellStyle name="Normal 2" xfId="1" xr:uid="{FBC59F5F-C08E-4E37-8FF2-37CD6E333E66}"/>
    <cellStyle name="Normal 3" xfId="5" xr:uid="{088F5FF4-2E46-4449-BF37-E717D0241DCB}"/>
    <cellStyle name="Normal_Deflators" xfId="2" xr:uid="{A7B11497-4D46-432B-A61C-79D6220709F6}"/>
    <cellStyle name="Percent" xfId="6" builtinId="5"/>
  </cellStyles>
  <dxfs count="157">
    <dxf>
      <numFmt numFmtId="164" formatCode="&quot;$&quot;#,##0"/>
      <fill>
        <patternFill>
          <bgColor rgb="FFD9D9D9"/>
        </patternFill>
      </fill>
    </dxf>
    <dxf>
      <numFmt numFmtId="164" formatCode="&quot;$&quot;#,##0"/>
      <fill>
        <patternFill>
          <bgColor rgb="FFD9D9D9"/>
        </patternFill>
      </fill>
    </dxf>
    <dxf>
      <numFmt numFmtId="164" formatCode="&quot;$&quot;#,##0"/>
      <fill>
        <patternFill>
          <bgColor rgb="FFD9D9D9"/>
        </patternFill>
      </fill>
    </dxf>
    <dxf>
      <font>
        <b val="0"/>
        <i val="0"/>
        <color theme="1"/>
      </font>
      <fill>
        <patternFill patternType="none">
          <bgColor auto="1"/>
        </patternFill>
      </fill>
      <border>
        <left style="thin">
          <color auto="1"/>
        </left>
        <right style="thin">
          <color auto="1"/>
        </right>
        <top style="thin">
          <color auto="1"/>
        </top>
        <bottom style="thin">
          <color auto="1"/>
        </bottom>
        <vertical/>
        <horizontal/>
      </border>
    </dxf>
    <dxf>
      <font>
        <b val="0"/>
        <i val="0"/>
        <color theme="1"/>
      </font>
      <fill>
        <patternFill patternType="none">
          <bgColor auto="1"/>
        </patternFill>
      </fill>
      <border>
        <left style="thin">
          <color auto="1"/>
        </left>
        <right style="thin">
          <color auto="1"/>
        </right>
        <top style="thin">
          <color auto="1"/>
        </top>
        <bottom style="thin">
          <color auto="1"/>
        </bottom>
        <vertical/>
        <horizontal/>
      </border>
    </dxf>
    <dxf>
      <font>
        <b val="0"/>
        <i val="0"/>
        <color theme="1"/>
      </font>
      <fill>
        <patternFill patternType="none">
          <bgColor auto="1"/>
        </patternFill>
      </fill>
      <border>
        <left style="thin">
          <color auto="1"/>
        </left>
        <right style="thin">
          <color auto="1"/>
        </right>
        <top style="thin">
          <color auto="1"/>
        </top>
        <bottom style="thin">
          <color auto="1"/>
        </bottom>
        <vertical/>
        <horizontal/>
      </border>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9" tint="0.3999450666829432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9" tint="0.39994506668294322"/>
        </patternFill>
      </fill>
    </dxf>
    <dxf>
      <font>
        <color theme="1"/>
      </font>
      <fill>
        <patternFill>
          <bgColor theme="9" tint="0.79998168889431442"/>
        </patternFill>
      </fill>
    </dxf>
    <dxf>
      <font>
        <b val="0"/>
        <i val="0"/>
        <color theme="1"/>
      </font>
      <fill>
        <patternFill>
          <bgColor theme="9" tint="0.39994506668294322"/>
        </patternFill>
      </fill>
    </dxf>
    <dxf>
      <font>
        <color theme="1"/>
      </font>
      <fill>
        <patternFill>
          <bgColor theme="9" tint="0.7999816888943144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color theme="1"/>
      </font>
      <fill>
        <patternFill patternType="none">
          <bgColor auto="1"/>
        </patternFill>
      </fill>
    </dxf>
    <dxf>
      <font>
        <b val="0"/>
        <i val="0"/>
        <color theme="1"/>
      </font>
      <fill>
        <patternFill patternType="none">
          <bgColor auto="1"/>
        </patternFill>
      </fill>
    </dxf>
    <dxf>
      <numFmt numFmtId="164" formatCode="&quot;$&quot;#,##0"/>
      <fill>
        <patternFill>
          <bgColor rgb="FFD9D9D9"/>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b val="0"/>
        <i val="0"/>
        <color theme="1"/>
      </font>
      <fill>
        <patternFill patternType="none">
          <bgColor auto="1"/>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9"/>
        </patternFill>
      </fill>
    </dxf>
    <dxf>
      <fill>
        <patternFill>
          <bgColor theme="0"/>
        </patternFill>
      </fill>
    </dxf>
    <dxf>
      <fill>
        <patternFill>
          <bgColor theme="0"/>
        </patternFill>
      </fill>
    </dxf>
    <dxf>
      <fill>
        <patternFill>
          <bgColor rgb="FF84BD00"/>
        </patternFill>
      </fill>
    </dxf>
    <dxf>
      <fill>
        <patternFill>
          <bgColor theme="7"/>
        </patternFill>
      </fill>
    </dxf>
  </dxfs>
  <tableStyles count="0" defaultTableStyle="TableStyleMedium2" defaultPivotStyle="PivotStyleLight16"/>
  <colors>
    <mruColors>
      <color rgb="FF0077C8"/>
      <color rgb="FFF6CECE"/>
      <color rgb="FFE2CFF1"/>
      <color rgb="FFD73131"/>
      <color rgb="FF097EFF"/>
      <color rgb="FFDF2929"/>
      <color rgb="FFF3BFBF"/>
      <color rgb="FFE12727"/>
      <color rgb="FFC84040"/>
      <color rgb="FF84B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Sample</a:t>
            </a:r>
            <a:r>
              <a:rPr lang="en-US" baseline="0">
                <a:solidFill>
                  <a:sysClr val="windowText" lastClr="000000"/>
                </a:solidFill>
                <a:latin typeface="Century Gothic" panose="020B0502020202020204" pitchFamily="34" charset="0"/>
              </a:rPr>
              <a:t> Chart for Costs Page</a:t>
            </a:r>
            <a:endParaRPr lang="en-US">
              <a:solidFill>
                <a:sysClr val="windowText" lastClr="000000"/>
              </a:solidFill>
              <a:latin typeface="Century Gothic" panose="020B0502020202020204" pitchFamily="34" charset="0"/>
            </a:endParaRPr>
          </a:p>
        </c:rich>
      </c:tx>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n-US"/>
        </a:p>
      </c:txPr>
    </c:title>
    <c:autoTitleDeleted val="0"/>
    <c:plotArea>
      <c:layout/>
      <c:barChart>
        <c:barDir val="bar"/>
        <c:grouping val="clustered"/>
        <c:varyColors val="0"/>
        <c:ser>
          <c:idx val="0"/>
          <c:order val="0"/>
          <c:tx>
            <c:strRef>
              <c:f>'Project Costs - Step 2'!$B$20</c:f>
              <c:strCache>
                <c:ptCount val="1"/>
                <c:pt idx="0">
                  <c:v>    Turbine Component Costs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Costs - Step 2'!$C$20</c:f>
              <c:numCache>
                <c:formatCode>"$"#,##0</c:formatCode>
                <c:ptCount val="1"/>
                <c:pt idx="0">
                  <c:v>1170900000</c:v>
                </c:pt>
              </c:numCache>
            </c:numRef>
          </c:val>
          <c:extLst>
            <c:ext xmlns:c16="http://schemas.microsoft.com/office/drawing/2014/chart" uri="{C3380CC4-5D6E-409C-BE32-E72D297353CC}">
              <c16:uniqueId val="{00000000-5A6F-4417-9F39-F7994F39804B}"/>
            </c:ext>
          </c:extLst>
        </c:ser>
        <c:ser>
          <c:idx val="1"/>
          <c:order val="1"/>
          <c:tx>
            <c:strRef>
              <c:f>'Project Costs - Step 2'!$B$39</c:f>
              <c:strCache>
                <c:ptCount val="1"/>
                <c:pt idx="0">
                  <c:v>Substructure and Foundation </c:v>
                </c:pt>
              </c:strCache>
            </c:strRef>
          </c:tx>
          <c:spPr>
            <a:solidFill>
              <a:schemeClr val="accent5">
                <a:lumMod val="50000"/>
              </a:schemeClr>
            </a:solidFill>
            <a:ln>
              <a:noFill/>
            </a:ln>
            <a:effectLst/>
          </c:spPr>
          <c:invertIfNegative val="0"/>
          <c:val>
            <c:numRef>
              <c:f>'Project Costs - Step 2'!$C$39</c:f>
              <c:numCache>
                <c:formatCode>"$"#,##0</c:formatCode>
                <c:ptCount val="1"/>
                <c:pt idx="0">
                  <c:v>376660239.15785801</c:v>
                </c:pt>
              </c:numCache>
            </c:numRef>
          </c:val>
          <c:extLst>
            <c:ext xmlns:c16="http://schemas.microsoft.com/office/drawing/2014/chart" uri="{C3380CC4-5D6E-409C-BE32-E72D297353CC}">
              <c16:uniqueId val="{00000002-5A6F-4417-9F39-F7994F39804B}"/>
            </c:ext>
          </c:extLst>
        </c:ser>
        <c:ser>
          <c:idx val="2"/>
          <c:order val="2"/>
          <c:tx>
            <c:strRef>
              <c:f>'Project Costs - Step 2'!$B$55</c:f>
              <c:strCache>
                <c:ptCount val="1"/>
                <c:pt idx="0">
                  <c:v>Electrical Infrastructure Components</c:v>
                </c:pt>
              </c:strCache>
            </c:strRef>
          </c:tx>
          <c:spPr>
            <a:solidFill>
              <a:schemeClr val="accent5">
                <a:lumMod val="75000"/>
              </a:schemeClr>
            </a:solidFill>
            <a:ln>
              <a:noFill/>
            </a:ln>
            <a:effectLst/>
          </c:spPr>
          <c:invertIfNegative val="0"/>
          <c:val>
            <c:numRef>
              <c:f>'Project Costs - Step 2'!$C$55</c:f>
              <c:numCache>
                <c:formatCode>"$"#,##0</c:formatCode>
                <c:ptCount val="1"/>
                <c:pt idx="0">
                  <c:v>239352981.85592002</c:v>
                </c:pt>
              </c:numCache>
            </c:numRef>
          </c:val>
          <c:extLst>
            <c:ext xmlns:c16="http://schemas.microsoft.com/office/drawing/2014/chart" uri="{C3380CC4-5D6E-409C-BE32-E72D297353CC}">
              <c16:uniqueId val="{00000003-5A6F-4417-9F39-F7994F39804B}"/>
            </c:ext>
          </c:extLst>
        </c:ser>
        <c:ser>
          <c:idx val="4"/>
          <c:order val="3"/>
          <c:tx>
            <c:strRef>
              <c:f>'Project Costs - Step 2'!$B$65</c:f>
              <c:strCache>
                <c:ptCount val="1"/>
                <c:pt idx="0">
                  <c:v>Assembly and Installation</c:v>
                </c:pt>
              </c:strCache>
            </c:strRef>
          </c:tx>
          <c:spPr>
            <a:solidFill>
              <a:schemeClr val="accent5">
                <a:lumMod val="60000"/>
                <a:lumOff val="40000"/>
              </a:schemeClr>
            </a:solidFill>
            <a:ln>
              <a:noFill/>
            </a:ln>
            <a:effectLst/>
          </c:spPr>
          <c:invertIfNegative val="0"/>
          <c:val>
            <c:numRef>
              <c:f>'Project Costs - Step 2'!$C$65</c:f>
              <c:numCache>
                <c:formatCode>"$"#,##0</c:formatCode>
                <c:ptCount val="1"/>
                <c:pt idx="0">
                  <c:v>96673034.628951102</c:v>
                </c:pt>
              </c:numCache>
            </c:numRef>
          </c:val>
          <c:extLst>
            <c:ext xmlns:c16="http://schemas.microsoft.com/office/drawing/2014/chart" uri="{C3380CC4-5D6E-409C-BE32-E72D297353CC}">
              <c16:uniqueId val="{00000005-5A6F-4417-9F39-F7994F39804B}"/>
            </c:ext>
          </c:extLst>
        </c:ser>
        <c:ser>
          <c:idx val="3"/>
          <c:order val="4"/>
          <c:tx>
            <c:strRef>
              <c:f>'Project Costs - Step 2'!$B$95</c:f>
              <c:strCache>
                <c:ptCount val="1"/>
                <c:pt idx="0">
                  <c:v>Development and Other Project Costs</c:v>
                </c:pt>
              </c:strCache>
            </c:strRef>
          </c:tx>
          <c:spPr>
            <a:solidFill>
              <a:schemeClr val="accent5">
                <a:lumMod val="40000"/>
                <a:lumOff val="60000"/>
              </a:schemeClr>
            </a:solidFill>
            <a:ln>
              <a:noFill/>
            </a:ln>
            <a:effectLst/>
          </c:spPr>
          <c:invertIfNegative val="0"/>
          <c:val>
            <c:numRef>
              <c:f>'Project Costs - Step 2'!$C$95</c:f>
              <c:numCache>
                <c:formatCode>"$"#,##0</c:formatCode>
                <c:ptCount val="1"/>
                <c:pt idx="0">
                  <c:v>257032537.9742884</c:v>
                </c:pt>
              </c:numCache>
            </c:numRef>
          </c:val>
          <c:extLst>
            <c:ext xmlns:c16="http://schemas.microsoft.com/office/drawing/2014/chart" uri="{C3380CC4-5D6E-409C-BE32-E72D297353CC}">
              <c16:uniqueId val="{00000001-E5E8-4A1D-80E9-48C57A17A6B1}"/>
            </c:ext>
          </c:extLst>
        </c:ser>
        <c:ser>
          <c:idx val="5"/>
          <c:order val="5"/>
          <c:tx>
            <c:strRef>
              <c:f>'Project Costs - Step 2'!$B$22</c:f>
              <c:strCache>
                <c:ptCount val="1"/>
                <c:pt idx="0">
                  <c:v>    Soft Costs</c:v>
                </c:pt>
              </c:strCache>
            </c:strRef>
          </c:tx>
          <c:spPr>
            <a:solidFill>
              <a:schemeClr val="accent4"/>
            </a:solidFill>
            <a:ln>
              <a:noFill/>
            </a:ln>
            <a:effectLst/>
          </c:spPr>
          <c:invertIfNegative val="0"/>
          <c:val>
            <c:numRef>
              <c:f>'Project Costs - Step 2'!$C$22</c:f>
              <c:numCache>
                <c:formatCode>"$"#,##0</c:formatCode>
                <c:ptCount val="1"/>
                <c:pt idx="0">
                  <c:v>193500000</c:v>
                </c:pt>
              </c:numCache>
            </c:numRef>
          </c:val>
          <c:extLst>
            <c:ext xmlns:c16="http://schemas.microsoft.com/office/drawing/2014/chart" uri="{C3380CC4-5D6E-409C-BE32-E72D297353CC}">
              <c16:uniqueId val="{00000002-E5E8-4A1D-80E9-48C57A17A6B1}"/>
            </c:ext>
          </c:extLst>
        </c:ser>
        <c:dLbls>
          <c:showLegendKey val="0"/>
          <c:showVal val="0"/>
          <c:showCatName val="0"/>
          <c:showSerName val="0"/>
          <c:showPercent val="0"/>
          <c:showBubbleSize val="0"/>
        </c:dLbls>
        <c:gapWidth val="75"/>
        <c:overlap val="-25"/>
        <c:axId val="1144156528"/>
        <c:axId val="1144156856"/>
      </c:barChart>
      <c:catAx>
        <c:axId val="1144156528"/>
        <c:scaling>
          <c:orientation val="minMax"/>
        </c:scaling>
        <c:delete val="1"/>
        <c:axPos val="l"/>
        <c:numFmt formatCode="General" sourceLinked="1"/>
        <c:majorTickMark val="none"/>
        <c:minorTickMark val="none"/>
        <c:tickLblPos val="nextTo"/>
        <c:crossAx val="1144156856"/>
        <c:crosses val="autoZero"/>
        <c:auto val="1"/>
        <c:lblAlgn val="ctr"/>
        <c:lblOffset val="100"/>
        <c:noMultiLvlLbl val="0"/>
      </c:catAx>
      <c:valAx>
        <c:axId val="1144156856"/>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1144156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latin typeface="Arial" panose="020B0604020202020204" pitchFamily="34" charset="0"/>
                <a:cs typeface="Arial" panose="020B0604020202020204" pitchFamily="34" charset="0"/>
              </a:rPr>
              <a:t>Capital Expenditure</a:t>
            </a:r>
            <a:r>
              <a:rPr lang="en-US" b="1" baseline="0">
                <a:solidFill>
                  <a:sysClr val="windowText" lastClr="000000"/>
                </a:solidFill>
                <a:latin typeface="Arial" panose="020B0604020202020204" pitchFamily="34" charset="0"/>
                <a:cs typeface="Arial" panose="020B0604020202020204" pitchFamily="34" charset="0"/>
              </a:rPr>
              <a:t> Breakdown</a:t>
            </a:r>
            <a:r>
              <a:rPr lang="en-US" b="1">
                <a:solidFill>
                  <a:sysClr val="windowText" lastClr="000000"/>
                </a:solidFill>
                <a:latin typeface="Arial" panose="020B0604020202020204" pitchFamily="34" charset="0"/>
                <a:cs typeface="Arial" panose="020B0604020202020204" pitchFamily="34" charset="0"/>
              </a:rPr>
              <a:t> for OSW Wind Plant Scenario</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percentStacked"/>
        <c:varyColors val="0"/>
        <c:ser>
          <c:idx val="0"/>
          <c:order val="0"/>
          <c:tx>
            <c:strRef>
              <c:f>'Project Costs - Step 2'!$B$27</c:f>
              <c:strCache>
                <c:ptCount val="1"/>
                <c:pt idx="0">
                  <c:v>Turbine Component Costs</c:v>
                </c:pt>
              </c:strCache>
            </c:strRef>
          </c:tx>
          <c:spPr>
            <a:solidFill>
              <a:schemeClr val="accent6"/>
            </a:solidFill>
            <a:ln>
              <a:noFill/>
            </a:ln>
            <a:effectLst/>
          </c:spPr>
          <c:invertIfNegative val="0"/>
          <c:val>
            <c:numRef>
              <c:f>'Project Costs - Step 2'!$C$20</c:f>
              <c:numCache>
                <c:formatCode>"$"#,##0</c:formatCode>
                <c:ptCount val="1"/>
                <c:pt idx="0">
                  <c:v>1170900000</c:v>
                </c:pt>
              </c:numCache>
            </c:numRef>
          </c:val>
          <c:extLst>
            <c:ext xmlns:c16="http://schemas.microsoft.com/office/drawing/2014/chart" uri="{C3380CC4-5D6E-409C-BE32-E72D297353CC}">
              <c16:uniqueId val="{00000000-D9B1-4EE8-852C-82643852C875}"/>
            </c:ext>
          </c:extLst>
        </c:ser>
        <c:ser>
          <c:idx val="1"/>
          <c:order val="1"/>
          <c:tx>
            <c:strRef>
              <c:f>'Project Costs - Step 2'!$B$39</c:f>
              <c:strCache>
                <c:ptCount val="1"/>
                <c:pt idx="0">
                  <c:v>Substructure and Foundation </c:v>
                </c:pt>
              </c:strCache>
            </c:strRef>
          </c:tx>
          <c:spPr>
            <a:solidFill>
              <a:schemeClr val="accent5">
                <a:lumMod val="50000"/>
              </a:schemeClr>
            </a:solidFill>
            <a:ln>
              <a:noFill/>
            </a:ln>
            <a:effectLst/>
          </c:spPr>
          <c:invertIfNegative val="0"/>
          <c:val>
            <c:numRef>
              <c:f>'Project Costs - Step 2'!$C$39</c:f>
              <c:numCache>
                <c:formatCode>"$"#,##0</c:formatCode>
                <c:ptCount val="1"/>
                <c:pt idx="0">
                  <c:v>376660239.15785801</c:v>
                </c:pt>
              </c:numCache>
            </c:numRef>
          </c:val>
          <c:extLst>
            <c:ext xmlns:c16="http://schemas.microsoft.com/office/drawing/2014/chart" uri="{C3380CC4-5D6E-409C-BE32-E72D297353CC}">
              <c16:uniqueId val="{00000001-D9B1-4EE8-852C-82643852C875}"/>
            </c:ext>
          </c:extLst>
        </c:ser>
        <c:ser>
          <c:idx val="2"/>
          <c:order val="2"/>
          <c:tx>
            <c:strRef>
              <c:f>'Project Costs - Step 2'!$B$55</c:f>
              <c:strCache>
                <c:ptCount val="1"/>
                <c:pt idx="0">
                  <c:v>Electrical Infrastructure Components</c:v>
                </c:pt>
              </c:strCache>
            </c:strRef>
          </c:tx>
          <c:spPr>
            <a:solidFill>
              <a:schemeClr val="accent5"/>
            </a:solidFill>
            <a:ln>
              <a:noFill/>
            </a:ln>
            <a:effectLst/>
          </c:spPr>
          <c:invertIfNegative val="0"/>
          <c:dPt>
            <c:idx val="0"/>
            <c:invertIfNegative val="0"/>
            <c:bubble3D val="0"/>
            <c:spPr>
              <a:solidFill>
                <a:schemeClr val="accent5">
                  <a:lumMod val="75000"/>
                </a:schemeClr>
              </a:solidFill>
              <a:ln>
                <a:noFill/>
              </a:ln>
              <a:effectLst/>
            </c:spPr>
            <c:extLst>
              <c:ext xmlns:c16="http://schemas.microsoft.com/office/drawing/2014/chart" uri="{C3380CC4-5D6E-409C-BE32-E72D297353CC}">
                <c16:uniqueId val="{0000000A-D9B1-4EE8-852C-82643852C875}"/>
              </c:ext>
            </c:extLst>
          </c:dPt>
          <c:val>
            <c:numRef>
              <c:f>'Project Costs - Step 2'!$C$55</c:f>
              <c:numCache>
                <c:formatCode>"$"#,##0</c:formatCode>
                <c:ptCount val="1"/>
                <c:pt idx="0">
                  <c:v>239352981.85592002</c:v>
                </c:pt>
              </c:numCache>
            </c:numRef>
          </c:val>
          <c:extLst>
            <c:ext xmlns:c16="http://schemas.microsoft.com/office/drawing/2014/chart" uri="{C3380CC4-5D6E-409C-BE32-E72D297353CC}">
              <c16:uniqueId val="{00000002-D9B1-4EE8-852C-82643852C875}"/>
            </c:ext>
          </c:extLst>
        </c:ser>
        <c:ser>
          <c:idx val="3"/>
          <c:order val="3"/>
          <c:tx>
            <c:strRef>
              <c:f>'Project Costs - Step 2'!$B$65</c:f>
              <c:strCache>
                <c:ptCount val="1"/>
                <c:pt idx="0">
                  <c:v>Assembly and Installation</c:v>
                </c:pt>
              </c:strCache>
            </c:strRef>
          </c:tx>
          <c:spPr>
            <a:solidFill>
              <a:schemeClr val="accent5"/>
            </a:solidFill>
            <a:ln>
              <a:noFill/>
            </a:ln>
            <a:effectLst/>
          </c:spPr>
          <c:invertIfNegative val="0"/>
          <c:val>
            <c:numRef>
              <c:f>'Project Costs - Step 2'!$C$65</c:f>
              <c:numCache>
                <c:formatCode>"$"#,##0</c:formatCode>
                <c:ptCount val="1"/>
                <c:pt idx="0">
                  <c:v>96673034.628951102</c:v>
                </c:pt>
              </c:numCache>
            </c:numRef>
          </c:val>
          <c:extLst>
            <c:ext xmlns:c16="http://schemas.microsoft.com/office/drawing/2014/chart" uri="{C3380CC4-5D6E-409C-BE32-E72D297353CC}">
              <c16:uniqueId val="{00000003-D9B1-4EE8-852C-82643852C875}"/>
            </c:ext>
          </c:extLst>
        </c:ser>
        <c:ser>
          <c:idx val="4"/>
          <c:order val="4"/>
          <c:tx>
            <c:strRef>
              <c:f>'Project Costs - Step 2'!$B$87</c:f>
              <c:strCache>
                <c:ptCount val="1"/>
                <c:pt idx="0">
                  <c:v>Ports and Staging</c:v>
                </c:pt>
              </c:strCache>
            </c:strRef>
          </c:tx>
          <c:spPr>
            <a:solidFill>
              <a:schemeClr val="accent5">
                <a:lumMod val="60000"/>
                <a:lumOff val="40000"/>
              </a:schemeClr>
            </a:solidFill>
            <a:ln>
              <a:noFill/>
            </a:ln>
            <a:effectLst/>
          </c:spPr>
          <c:invertIfNegative val="0"/>
          <c:val>
            <c:numRef>
              <c:f>'Project Costs - Step 2'!$C$87</c:f>
              <c:numCache>
                <c:formatCode>"$"#,##0</c:formatCode>
                <c:ptCount val="1"/>
                <c:pt idx="0">
                  <c:v>38328032.750982717</c:v>
                </c:pt>
              </c:numCache>
            </c:numRef>
          </c:val>
          <c:extLst>
            <c:ext xmlns:c16="http://schemas.microsoft.com/office/drawing/2014/chart" uri="{C3380CC4-5D6E-409C-BE32-E72D297353CC}">
              <c16:uniqueId val="{00000004-D9B1-4EE8-852C-82643852C875}"/>
            </c:ext>
          </c:extLst>
        </c:ser>
        <c:ser>
          <c:idx val="5"/>
          <c:order val="5"/>
          <c:tx>
            <c:strRef>
              <c:f>'Project Costs - Step 2'!$B$95</c:f>
              <c:strCache>
                <c:ptCount val="1"/>
                <c:pt idx="0">
                  <c:v>Development and Other Project Costs</c:v>
                </c:pt>
              </c:strCache>
            </c:strRef>
          </c:tx>
          <c:spPr>
            <a:solidFill>
              <a:schemeClr val="accent5">
                <a:lumMod val="40000"/>
                <a:lumOff val="60000"/>
              </a:schemeClr>
            </a:solidFill>
            <a:ln>
              <a:noFill/>
            </a:ln>
            <a:effectLst/>
          </c:spPr>
          <c:invertIfNegative val="0"/>
          <c:val>
            <c:numRef>
              <c:f>'Project Costs - Step 2'!$C$95</c:f>
              <c:numCache>
                <c:formatCode>"$"#,##0</c:formatCode>
                <c:ptCount val="1"/>
                <c:pt idx="0">
                  <c:v>257032537.9742884</c:v>
                </c:pt>
              </c:numCache>
            </c:numRef>
          </c:val>
          <c:extLst>
            <c:ext xmlns:c16="http://schemas.microsoft.com/office/drawing/2014/chart" uri="{C3380CC4-5D6E-409C-BE32-E72D297353CC}">
              <c16:uniqueId val="{00000005-D9B1-4EE8-852C-82643852C875}"/>
            </c:ext>
          </c:extLst>
        </c:ser>
        <c:ser>
          <c:idx val="6"/>
          <c:order val="6"/>
          <c:tx>
            <c:strRef>
              <c:f>'Project Costs - Step 2'!$B$103</c:f>
              <c:strCache>
                <c:ptCount val="1"/>
                <c:pt idx="0">
                  <c:v>Engineering and Management</c:v>
                </c:pt>
              </c:strCache>
            </c:strRef>
          </c:tx>
          <c:spPr>
            <a:solidFill>
              <a:schemeClr val="accent5">
                <a:lumMod val="20000"/>
                <a:lumOff val="80000"/>
              </a:schemeClr>
            </a:solidFill>
            <a:ln>
              <a:noFill/>
            </a:ln>
            <a:effectLst/>
          </c:spPr>
          <c:invertIfNegative val="0"/>
          <c:val>
            <c:numRef>
              <c:f>'Project Costs - Step 2'!$C$103</c:f>
              <c:numCache>
                <c:formatCode>"$"#,##0</c:formatCode>
                <c:ptCount val="1"/>
                <c:pt idx="0">
                  <c:v>63000000</c:v>
                </c:pt>
              </c:numCache>
            </c:numRef>
          </c:val>
          <c:extLst>
            <c:ext xmlns:c16="http://schemas.microsoft.com/office/drawing/2014/chart" uri="{C3380CC4-5D6E-409C-BE32-E72D297353CC}">
              <c16:uniqueId val="{00000006-D9B1-4EE8-852C-82643852C875}"/>
            </c:ext>
          </c:extLst>
        </c:ser>
        <c:ser>
          <c:idx val="7"/>
          <c:order val="7"/>
          <c:tx>
            <c:strRef>
              <c:f>'Project Costs - Step 2'!$B$105</c:f>
              <c:strCache>
                <c:ptCount val="1"/>
                <c:pt idx="0">
                  <c:v>Other/Miscellaneous</c:v>
                </c:pt>
              </c:strCache>
            </c:strRef>
          </c:tx>
          <c:spPr>
            <a:solidFill>
              <a:schemeClr val="accent5">
                <a:lumMod val="50000"/>
              </a:schemeClr>
            </a:solidFill>
            <a:ln>
              <a:noFill/>
            </a:ln>
            <a:effectLst/>
          </c:spPr>
          <c:invertIfNegative val="0"/>
          <c:val>
            <c:numRef>
              <c:f>'Project Costs - Step 2'!$C$105</c:f>
              <c:numCache>
                <c:formatCode>"$"#,##0</c:formatCode>
                <c:ptCount val="1"/>
                <c:pt idx="0">
                  <c:v>0</c:v>
                </c:pt>
              </c:numCache>
            </c:numRef>
          </c:val>
          <c:extLst>
            <c:ext xmlns:c16="http://schemas.microsoft.com/office/drawing/2014/chart" uri="{C3380CC4-5D6E-409C-BE32-E72D297353CC}">
              <c16:uniqueId val="{00000007-D9B1-4EE8-852C-82643852C875}"/>
            </c:ext>
          </c:extLst>
        </c:ser>
        <c:ser>
          <c:idx val="8"/>
          <c:order val="8"/>
          <c:tx>
            <c:strRef>
              <c:f>'Project Costs - Step 2'!$B$106</c:f>
              <c:strCache>
                <c:ptCount val="1"/>
                <c:pt idx="0">
                  <c:v>Soft Costs</c:v>
                </c:pt>
              </c:strCache>
            </c:strRef>
          </c:tx>
          <c:spPr>
            <a:solidFill>
              <a:schemeClr val="accent4"/>
            </a:solidFill>
            <a:ln>
              <a:noFill/>
            </a:ln>
            <a:effectLst/>
          </c:spPr>
          <c:invertIfNegative val="0"/>
          <c:dPt>
            <c:idx val="0"/>
            <c:invertIfNegative val="0"/>
            <c:bubble3D val="0"/>
            <c:extLst>
              <c:ext xmlns:c16="http://schemas.microsoft.com/office/drawing/2014/chart" uri="{C3380CC4-5D6E-409C-BE32-E72D297353CC}">
                <c16:uniqueId val="{0000000B-D9B1-4EE8-852C-82643852C875}"/>
              </c:ext>
            </c:extLst>
          </c:dPt>
          <c:val>
            <c:numRef>
              <c:f>'Project Costs - Step 2'!$C$22</c:f>
              <c:numCache>
                <c:formatCode>"$"#,##0</c:formatCode>
                <c:ptCount val="1"/>
                <c:pt idx="0">
                  <c:v>193500000</c:v>
                </c:pt>
              </c:numCache>
            </c:numRef>
          </c:val>
          <c:extLst>
            <c:ext xmlns:c16="http://schemas.microsoft.com/office/drawing/2014/chart" uri="{C3380CC4-5D6E-409C-BE32-E72D297353CC}">
              <c16:uniqueId val="{00000008-D9B1-4EE8-852C-82643852C875}"/>
            </c:ext>
          </c:extLst>
        </c:ser>
        <c:dLbls>
          <c:showLegendKey val="0"/>
          <c:showVal val="0"/>
          <c:showCatName val="0"/>
          <c:showSerName val="0"/>
          <c:showPercent val="0"/>
          <c:showBubbleSize val="0"/>
        </c:dLbls>
        <c:gapWidth val="150"/>
        <c:overlap val="100"/>
        <c:axId val="656462400"/>
        <c:axId val="656462072"/>
      </c:barChart>
      <c:catAx>
        <c:axId val="656462400"/>
        <c:scaling>
          <c:orientation val="minMax"/>
        </c:scaling>
        <c:delete val="1"/>
        <c:axPos val="l"/>
        <c:majorTickMark val="none"/>
        <c:minorTickMark val="none"/>
        <c:tickLblPos val="nextTo"/>
        <c:crossAx val="656462072"/>
        <c:crosses val="autoZero"/>
        <c:auto val="1"/>
        <c:lblAlgn val="ctr"/>
        <c:lblOffset val="100"/>
        <c:noMultiLvlLbl val="0"/>
      </c:catAx>
      <c:valAx>
        <c:axId val="65646207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5646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ysClr val="windowText" lastClr="000000"/>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Economic Impact - </a:t>
            </a:r>
          </a:p>
          <a:p>
            <a:pPr>
              <a:defRPr>
                <a:solidFill>
                  <a:sysClr val="windowText" lastClr="000000"/>
                </a:solidFill>
              </a:defRPr>
            </a:pPr>
            <a:r>
              <a:rPr lang="en-US" sz="1400">
                <a:solidFill>
                  <a:sysClr val="windowText" lastClr="000000"/>
                </a:solidFill>
                <a:latin typeface="Arial" panose="020B0604020202020204" pitchFamily="34" charset="0"/>
                <a:cs typeface="Arial" panose="020B0604020202020204" pitchFamily="34" charset="0"/>
              </a:rPr>
              <a:t># of Jobs Created </a:t>
            </a:r>
          </a:p>
          <a:p>
            <a:pPr>
              <a:defRPr>
                <a:solidFill>
                  <a:sysClr val="windowText" lastClr="000000"/>
                </a:solidFill>
              </a:defRPr>
            </a:pPr>
            <a:r>
              <a:rPr lang="en-US" sz="1400">
                <a:solidFill>
                  <a:sysClr val="windowText" lastClr="000000"/>
                </a:solidFill>
                <a:latin typeface="Arial" panose="020B0604020202020204" pitchFamily="34" charset="0"/>
                <a:cs typeface="Arial" panose="020B0604020202020204" pitchFamily="34" charset="0"/>
              </a:rPr>
              <a:t>During Construction Period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'Economic Impact Results'!$B$37</c:f>
              <c:strCache>
                <c:ptCount val="1"/>
                <c:pt idx="0">
                  <c:v>Installation Activities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Results'!$D$42</c:f>
              <c:numCache>
                <c:formatCode>0</c:formatCode>
                <c:ptCount val="1"/>
                <c:pt idx="0">
                  <c:v>0</c:v>
                </c:pt>
              </c:numCache>
            </c:numRef>
          </c:val>
          <c:extLst>
            <c:ext xmlns:c16="http://schemas.microsoft.com/office/drawing/2014/chart" uri="{C3380CC4-5D6E-409C-BE32-E72D297353CC}">
              <c16:uniqueId val="{00000000-2644-4D15-804B-3C3C3CDCF33C}"/>
            </c:ext>
          </c:extLst>
        </c:ser>
        <c:ser>
          <c:idx val="1"/>
          <c:order val="1"/>
          <c:tx>
            <c:strRef>
              <c:f>'Economic Impact Results'!$B$43:$B$45</c:f>
              <c:strCache>
                <c:ptCount val="1"/>
                <c:pt idx="0">
                  <c:v>Component Manufacturing and Supply Chain/ Support Services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Results'!$D$52</c:f>
              <c:numCache>
                <c:formatCode>0</c:formatCode>
                <c:ptCount val="1"/>
                <c:pt idx="0">
                  <c:v>0</c:v>
                </c:pt>
              </c:numCache>
            </c:numRef>
          </c:val>
          <c:extLst>
            <c:ext xmlns:c16="http://schemas.microsoft.com/office/drawing/2014/chart" uri="{C3380CC4-5D6E-409C-BE32-E72D297353CC}">
              <c16:uniqueId val="{00000001-2644-4D15-804B-3C3C3CDCF33C}"/>
            </c:ext>
          </c:extLst>
        </c:ser>
        <c:ser>
          <c:idx val="2"/>
          <c:order val="2"/>
          <c:tx>
            <c:strRef>
              <c:f>'Economic Impact Results'!$B$53</c:f>
              <c:strCache>
                <c:ptCount val="1"/>
                <c:pt idx="0">
                  <c:v>Induced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Results'!$D$53</c:f>
              <c:numCache>
                <c:formatCode>0</c:formatCode>
                <c:ptCount val="1"/>
                <c:pt idx="0">
                  <c:v>0</c:v>
                </c:pt>
              </c:numCache>
            </c:numRef>
          </c:val>
          <c:extLst>
            <c:ext xmlns:c16="http://schemas.microsoft.com/office/drawing/2014/chart" uri="{C3380CC4-5D6E-409C-BE32-E72D297353CC}">
              <c16:uniqueId val="{00000002-2644-4D15-804B-3C3C3CDCF33C}"/>
            </c:ext>
          </c:extLst>
        </c:ser>
        <c:dLbls>
          <c:dLblPos val="ctr"/>
          <c:showLegendKey val="0"/>
          <c:showVal val="1"/>
          <c:showCatName val="0"/>
          <c:showSerName val="0"/>
          <c:showPercent val="0"/>
          <c:showBubbleSize val="0"/>
        </c:dLbls>
        <c:gapWidth val="79"/>
        <c:overlap val="100"/>
        <c:axId val="1736684400"/>
        <c:axId val="1410798399"/>
      </c:barChart>
      <c:catAx>
        <c:axId val="1736684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10798399"/>
        <c:crosses val="autoZero"/>
        <c:auto val="1"/>
        <c:lblAlgn val="ctr"/>
        <c:lblOffset val="100"/>
        <c:noMultiLvlLbl val="0"/>
      </c:catAx>
      <c:valAx>
        <c:axId val="141079839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r>
                  <a:rPr lang="en-US">
                    <a:solidFill>
                      <a:sysClr val="windowText" lastClr="000000"/>
                    </a:solidFill>
                    <a:latin typeface="Arial" panose="020B0604020202020204" pitchFamily="34" charset="0"/>
                    <a:cs typeface="Arial" panose="020B0604020202020204" pitchFamily="34" charset="0"/>
                  </a:rPr>
                  <a:t># of Jobs (FTE  Equivalents)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crossAx val="1736684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ysClr val="windowText" lastClr="000000"/>
                </a:solidFill>
                <a:latin typeface="Arial" panose="020B0604020202020204" pitchFamily="34" charset="0"/>
                <a:ea typeface="+mn-ea"/>
                <a:cs typeface="Arial" panose="020B0604020202020204" pitchFamily="34" charset="0"/>
              </a:defRPr>
            </a:pPr>
            <a:r>
              <a:rPr lang="en-US" sz="1400">
                <a:solidFill>
                  <a:sysClr val="windowText" lastClr="000000"/>
                </a:solidFill>
                <a:latin typeface="Arial" panose="020B0604020202020204" pitchFamily="34" charset="0"/>
                <a:cs typeface="Arial" panose="020B0604020202020204" pitchFamily="34" charset="0"/>
              </a:rPr>
              <a:t>Economic Impact ($ Millions)</a:t>
            </a:r>
          </a:p>
          <a:p>
            <a:pPr>
              <a:defRPr>
                <a:solidFill>
                  <a:sysClr val="windowText" lastClr="000000"/>
                </a:solidFill>
                <a:latin typeface="Arial" panose="020B0604020202020204" pitchFamily="34" charset="0"/>
                <a:cs typeface="Arial" panose="020B0604020202020204" pitchFamily="34" charset="0"/>
              </a:defRPr>
            </a:pPr>
            <a:r>
              <a:rPr lang="en-US" sz="1400">
                <a:solidFill>
                  <a:sysClr val="windowText" lastClr="000000"/>
                </a:solidFill>
                <a:latin typeface="Arial" panose="020B0604020202020204" pitchFamily="34" charset="0"/>
                <a:cs typeface="Arial" panose="020B0604020202020204" pitchFamily="34" charset="0"/>
              </a:rPr>
              <a:t>During Construction Period</a:t>
            </a:r>
          </a:p>
        </c:rich>
      </c:tx>
      <c:layout>
        <c:manualLayout>
          <c:xMode val="edge"/>
          <c:yMode val="edge"/>
          <c:x val="0.13790266841644794"/>
          <c:y val="3.2077384073091693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stacked"/>
        <c:varyColors val="0"/>
        <c:ser>
          <c:idx val="0"/>
          <c:order val="0"/>
          <c:tx>
            <c:strRef>
              <c:f>'Economic Impact Results'!$B$37</c:f>
              <c:strCache>
                <c:ptCount val="1"/>
                <c:pt idx="0">
                  <c:v>Installation Activities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Results'!$E$42:$G$42</c:f>
              <c:numCache>
                <c:formatCode>"$"#,##0.0</c:formatCode>
                <c:ptCount val="3"/>
                <c:pt idx="0">
                  <c:v>0</c:v>
                </c:pt>
                <c:pt idx="1">
                  <c:v>0</c:v>
                </c:pt>
                <c:pt idx="2">
                  <c:v>0</c:v>
                </c:pt>
              </c:numCache>
            </c:numRef>
          </c:val>
          <c:extLst>
            <c:ext xmlns:c16="http://schemas.microsoft.com/office/drawing/2014/chart" uri="{C3380CC4-5D6E-409C-BE32-E72D297353CC}">
              <c16:uniqueId val="{00000000-BDE9-4CA1-BE01-6F5E31194DF8}"/>
            </c:ext>
          </c:extLst>
        </c:ser>
        <c:ser>
          <c:idx val="1"/>
          <c:order val="1"/>
          <c:tx>
            <c:strRef>
              <c:f>'Economic Impact Results'!$B$43:$B$45</c:f>
              <c:strCache>
                <c:ptCount val="1"/>
                <c:pt idx="0">
                  <c:v>Component Manufacturing and Supply Chain/ Support Services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Results'!$E$52:$G$52</c:f>
              <c:numCache>
                <c:formatCode>"$"#,##0.0</c:formatCode>
                <c:ptCount val="3"/>
                <c:pt idx="0">
                  <c:v>0</c:v>
                </c:pt>
                <c:pt idx="1">
                  <c:v>0</c:v>
                </c:pt>
                <c:pt idx="2">
                  <c:v>0</c:v>
                </c:pt>
              </c:numCache>
            </c:numRef>
          </c:val>
          <c:extLst>
            <c:ext xmlns:c16="http://schemas.microsoft.com/office/drawing/2014/chart" uri="{C3380CC4-5D6E-409C-BE32-E72D297353CC}">
              <c16:uniqueId val="{00000001-BDE9-4CA1-BE01-6F5E31194DF8}"/>
            </c:ext>
          </c:extLst>
        </c:ser>
        <c:ser>
          <c:idx val="2"/>
          <c:order val="2"/>
          <c:tx>
            <c:strRef>
              <c:f>'Economic Impact Results'!$B$53</c:f>
              <c:strCache>
                <c:ptCount val="1"/>
                <c:pt idx="0">
                  <c:v>Induced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Results'!$E$53:$G$53</c:f>
              <c:numCache>
                <c:formatCode>"$"#,##0.0</c:formatCode>
                <c:ptCount val="3"/>
                <c:pt idx="0">
                  <c:v>0</c:v>
                </c:pt>
                <c:pt idx="1">
                  <c:v>0</c:v>
                </c:pt>
                <c:pt idx="2">
                  <c:v>0</c:v>
                </c:pt>
              </c:numCache>
            </c:numRef>
          </c:val>
          <c:extLst>
            <c:ext xmlns:c16="http://schemas.microsoft.com/office/drawing/2014/chart" uri="{C3380CC4-5D6E-409C-BE32-E72D297353CC}">
              <c16:uniqueId val="{00000002-BDE9-4CA1-BE01-6F5E31194DF8}"/>
            </c:ext>
          </c:extLst>
        </c:ser>
        <c:dLbls>
          <c:dLblPos val="ctr"/>
          <c:showLegendKey val="0"/>
          <c:showVal val="1"/>
          <c:showCatName val="0"/>
          <c:showSerName val="0"/>
          <c:showPercent val="0"/>
          <c:showBubbleSize val="0"/>
        </c:dLbls>
        <c:gapWidth val="79"/>
        <c:overlap val="100"/>
        <c:axId val="481372240"/>
        <c:axId val="482083632"/>
      </c:barChart>
      <c:catAx>
        <c:axId val="481372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ysClr val="windowText" lastClr="000000"/>
                </a:solidFill>
                <a:latin typeface="+mn-lt"/>
                <a:ea typeface="+mn-ea"/>
                <a:cs typeface="+mn-cs"/>
              </a:defRPr>
            </a:pPr>
            <a:endParaRPr lang="en-US"/>
          </a:p>
        </c:txPr>
        <c:crossAx val="482083632"/>
        <c:crosses val="autoZero"/>
        <c:auto val="1"/>
        <c:lblAlgn val="ctr"/>
        <c:lblOffset val="100"/>
        <c:noMultiLvlLbl val="0"/>
      </c:catAx>
      <c:valAx>
        <c:axId val="482083632"/>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solidFill>
                      <a:sysClr val="windowText" lastClr="000000"/>
                    </a:solidFill>
                  </a:rPr>
                  <a:t>Economic Impact ($ Millions)</a:t>
                </a:r>
              </a:p>
            </c:rich>
          </c:tx>
          <c:layout>
            <c:manualLayout>
              <c:xMode val="edge"/>
              <c:yMode val="edge"/>
              <c:x val="1.6666724038379137E-2"/>
              <c:y val="0.42586679920664638"/>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en-US"/>
            </a:p>
          </c:txPr>
        </c:title>
        <c:numFmt formatCode="&quot;$&quot;#,##0.0" sourceLinked="0"/>
        <c:majorTickMark val="none"/>
        <c:minorTickMark val="none"/>
        <c:tickLblPos val="nextTo"/>
        <c:crossAx val="481372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Annual Economic Impact - </a:t>
            </a:r>
          </a:p>
          <a:p>
            <a:pPr>
              <a:defRPr/>
            </a:pPr>
            <a:r>
              <a:rPr lang="en-US" sz="1400">
                <a:solidFill>
                  <a:sysClr val="windowText" lastClr="000000"/>
                </a:solidFill>
                <a:latin typeface="Arial" panose="020B0604020202020204" pitchFamily="34" charset="0"/>
                <a:cs typeface="Arial" panose="020B0604020202020204" pitchFamily="34" charset="0"/>
              </a:rPr>
              <a:t># of Jobs Created</a:t>
            </a:r>
          </a:p>
          <a:p>
            <a:pPr>
              <a:defRPr/>
            </a:pPr>
            <a:r>
              <a:rPr lang="en-US" sz="1400">
                <a:solidFill>
                  <a:sysClr val="windowText" lastClr="000000"/>
                </a:solidFill>
                <a:latin typeface="Arial" panose="020B0604020202020204" pitchFamily="34" charset="0"/>
                <a:cs typeface="Arial" panose="020B0604020202020204" pitchFamily="34" charset="0"/>
              </a:rPr>
              <a:t>During Operating Years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'Economic Impact Results'!$B$59</c:f>
              <c:strCache>
                <c:ptCount val="1"/>
                <c:pt idx="0">
                  <c:v>Technicians and Management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Results'!$D$59</c:f>
              <c:numCache>
                <c:formatCode>_(* #,##0_);_(* \(#,##0\);_(* "-"??_);_(@_)</c:formatCode>
                <c:ptCount val="1"/>
                <c:pt idx="0">
                  <c:v>0</c:v>
                </c:pt>
              </c:numCache>
            </c:numRef>
          </c:val>
          <c:extLst>
            <c:ext xmlns:c16="http://schemas.microsoft.com/office/drawing/2014/chart" uri="{C3380CC4-5D6E-409C-BE32-E72D297353CC}">
              <c16:uniqueId val="{00000001-94B1-4E20-B633-119DB156896D}"/>
            </c:ext>
          </c:extLst>
        </c:ser>
        <c:ser>
          <c:idx val="1"/>
          <c:order val="1"/>
          <c:tx>
            <c:strRef>
              <c:f>'Economic Impact Results'!$B$60</c:f>
              <c:strCache>
                <c:ptCount val="1"/>
                <c:pt idx="0">
                  <c:v>Supply Chain/Support Services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Results'!$D$60</c:f>
              <c:numCache>
                <c:formatCode>_(* #,##0_);_(* \(#,##0\);_(* "-"??_);_(@_)</c:formatCode>
                <c:ptCount val="1"/>
                <c:pt idx="0">
                  <c:v>0</c:v>
                </c:pt>
              </c:numCache>
            </c:numRef>
          </c:val>
          <c:extLst>
            <c:ext xmlns:c16="http://schemas.microsoft.com/office/drawing/2014/chart" uri="{C3380CC4-5D6E-409C-BE32-E72D297353CC}">
              <c16:uniqueId val="{00000002-94B1-4E20-B633-119DB156896D}"/>
            </c:ext>
          </c:extLst>
        </c:ser>
        <c:ser>
          <c:idx val="2"/>
          <c:order val="2"/>
          <c:tx>
            <c:strRef>
              <c:f>'Economic Impact Results'!$B$61</c:f>
              <c:strCache>
                <c:ptCount val="1"/>
                <c:pt idx="0">
                  <c:v>Induced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[6]SummaryResults!$AU$15</c:f>
              <c:strCache>
                <c:ptCount val="1"/>
                <c:pt idx="0">
                  <c:v>Jobs</c:v>
                </c:pt>
              </c:strCache>
            </c:strRef>
          </c:cat>
          <c:val>
            <c:numRef>
              <c:f>'Economic Impact Results'!$D$61</c:f>
              <c:numCache>
                <c:formatCode>_(* #,##0_);_(* \(#,##0\);_(* "-"??_);_(@_)</c:formatCode>
                <c:ptCount val="1"/>
                <c:pt idx="0">
                  <c:v>0</c:v>
                </c:pt>
              </c:numCache>
            </c:numRef>
          </c:val>
          <c:extLst>
            <c:ext xmlns:c16="http://schemas.microsoft.com/office/drawing/2014/chart" uri="{C3380CC4-5D6E-409C-BE32-E72D297353CC}">
              <c16:uniqueId val="{00000003-94B1-4E20-B633-119DB156896D}"/>
            </c:ext>
          </c:extLst>
        </c:ser>
        <c:dLbls>
          <c:dLblPos val="ctr"/>
          <c:showLegendKey val="0"/>
          <c:showVal val="1"/>
          <c:showCatName val="0"/>
          <c:showSerName val="0"/>
          <c:showPercent val="0"/>
          <c:showBubbleSize val="0"/>
        </c:dLbls>
        <c:gapWidth val="79"/>
        <c:overlap val="100"/>
        <c:axId val="1736684400"/>
        <c:axId val="1410798399"/>
      </c:barChart>
      <c:catAx>
        <c:axId val="1736684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ysClr val="windowText" lastClr="000000"/>
                </a:solidFill>
                <a:latin typeface="+mn-lt"/>
                <a:ea typeface="+mn-ea"/>
                <a:cs typeface="+mn-cs"/>
              </a:defRPr>
            </a:pPr>
            <a:endParaRPr lang="en-US"/>
          </a:p>
        </c:txPr>
        <c:crossAx val="1410798399"/>
        <c:crosses val="autoZero"/>
        <c:auto val="1"/>
        <c:lblAlgn val="ctr"/>
        <c:lblOffset val="100"/>
        <c:noMultiLvlLbl val="0"/>
      </c:catAx>
      <c:valAx>
        <c:axId val="141079839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solidFill>
                      <a:sysClr val="windowText" lastClr="000000"/>
                    </a:solidFill>
                  </a:rPr>
                  <a:t># of Jobs (FTE  Equivalents)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en-US"/>
            </a:p>
          </c:txPr>
        </c:title>
        <c:numFmt formatCode="_(* #,##0_);_(* \(#,##0\);_(* &quot;-&quot;??_);_(@_)" sourceLinked="1"/>
        <c:majorTickMark val="none"/>
        <c:minorTickMark val="none"/>
        <c:tickLblPos val="nextTo"/>
        <c:crossAx val="1736684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ysClr val="windowText" lastClr="000000"/>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Annual Economic Impact </a:t>
            </a:r>
          </a:p>
          <a:p>
            <a:pPr>
              <a:defRPr>
                <a:solidFill>
                  <a:sysClr val="windowText" lastClr="000000"/>
                </a:solidFill>
              </a:defRPr>
            </a:pPr>
            <a:r>
              <a:rPr lang="en-US" sz="1400">
                <a:solidFill>
                  <a:sysClr val="windowText" lastClr="000000"/>
                </a:solidFill>
                <a:latin typeface="Arial" panose="020B0604020202020204" pitchFamily="34" charset="0"/>
                <a:cs typeface="Arial" panose="020B0604020202020204" pitchFamily="34" charset="0"/>
              </a:rPr>
              <a:t>($ Millions)</a:t>
            </a:r>
          </a:p>
          <a:p>
            <a:pPr>
              <a:defRPr>
                <a:solidFill>
                  <a:sysClr val="windowText" lastClr="000000"/>
                </a:solidFill>
              </a:defRPr>
            </a:pPr>
            <a:r>
              <a:rPr lang="en-US" sz="1400">
                <a:solidFill>
                  <a:sysClr val="windowText" lastClr="000000"/>
                </a:solidFill>
                <a:latin typeface="Arial" panose="020B0604020202020204" pitchFamily="34" charset="0"/>
                <a:cs typeface="Arial" panose="020B0604020202020204" pitchFamily="34" charset="0"/>
              </a:rPr>
              <a:t>During Operating Years</a:t>
            </a:r>
          </a:p>
        </c:rich>
      </c:tx>
      <c:layout>
        <c:manualLayout>
          <c:xMode val="edge"/>
          <c:yMode val="edge"/>
          <c:x val="0.20570706232740904"/>
          <c:y val="3.2077302890720333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'Economic Impact Results'!$B$59</c:f>
              <c:strCache>
                <c:ptCount val="1"/>
                <c:pt idx="0">
                  <c:v>Technicians and Management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Results'!$E$59:$G$59</c:f>
              <c:numCache>
                <c:formatCode>"$"#,##0.0</c:formatCode>
                <c:ptCount val="3"/>
                <c:pt idx="0">
                  <c:v>0</c:v>
                </c:pt>
                <c:pt idx="1">
                  <c:v>0</c:v>
                </c:pt>
                <c:pt idx="2">
                  <c:v>0</c:v>
                </c:pt>
              </c:numCache>
            </c:numRef>
          </c:val>
          <c:extLst>
            <c:ext xmlns:c16="http://schemas.microsoft.com/office/drawing/2014/chart" uri="{C3380CC4-5D6E-409C-BE32-E72D297353CC}">
              <c16:uniqueId val="{00000000-F851-43A3-8DAE-45DBF43F2158}"/>
            </c:ext>
          </c:extLst>
        </c:ser>
        <c:ser>
          <c:idx val="1"/>
          <c:order val="1"/>
          <c:tx>
            <c:strRef>
              <c:f>'Economic Impact Results'!$B$60</c:f>
              <c:strCache>
                <c:ptCount val="1"/>
                <c:pt idx="0">
                  <c:v>Supply Chain/Support Services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Results'!$E$60:$G$60</c:f>
              <c:numCache>
                <c:formatCode>"$"#,##0.0</c:formatCode>
                <c:ptCount val="3"/>
                <c:pt idx="0">
                  <c:v>0</c:v>
                </c:pt>
                <c:pt idx="1">
                  <c:v>0</c:v>
                </c:pt>
                <c:pt idx="2">
                  <c:v>0</c:v>
                </c:pt>
              </c:numCache>
            </c:numRef>
          </c:val>
          <c:extLst>
            <c:ext xmlns:c16="http://schemas.microsoft.com/office/drawing/2014/chart" uri="{C3380CC4-5D6E-409C-BE32-E72D297353CC}">
              <c16:uniqueId val="{00000001-F851-43A3-8DAE-45DBF43F2158}"/>
            </c:ext>
          </c:extLst>
        </c:ser>
        <c:ser>
          <c:idx val="2"/>
          <c:order val="2"/>
          <c:tx>
            <c:strRef>
              <c:f>'Economic Impact Results'!$B$61</c:f>
              <c:strCache>
                <c:ptCount val="1"/>
                <c:pt idx="0">
                  <c:v>Induced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[6]SummaryResults!$AV$15:$AX$15</c:f>
              <c:strCache>
                <c:ptCount val="3"/>
                <c:pt idx="0">
                  <c:v>Earnings</c:v>
                </c:pt>
                <c:pt idx="1">
                  <c:v>Outputs</c:v>
                </c:pt>
                <c:pt idx="2">
                  <c:v>Value Add</c:v>
                </c:pt>
              </c:strCache>
            </c:strRef>
          </c:cat>
          <c:val>
            <c:numRef>
              <c:f>'Economic Impact Results'!$E$61:$G$61</c:f>
              <c:numCache>
                <c:formatCode>"$"#,##0.0</c:formatCode>
                <c:ptCount val="3"/>
                <c:pt idx="0">
                  <c:v>0</c:v>
                </c:pt>
                <c:pt idx="1">
                  <c:v>0</c:v>
                </c:pt>
                <c:pt idx="2">
                  <c:v>0</c:v>
                </c:pt>
              </c:numCache>
            </c:numRef>
          </c:val>
          <c:extLst>
            <c:ext xmlns:c16="http://schemas.microsoft.com/office/drawing/2014/chart" uri="{C3380CC4-5D6E-409C-BE32-E72D297353CC}">
              <c16:uniqueId val="{00000002-F851-43A3-8DAE-45DBF43F2158}"/>
            </c:ext>
          </c:extLst>
        </c:ser>
        <c:dLbls>
          <c:dLblPos val="ctr"/>
          <c:showLegendKey val="0"/>
          <c:showVal val="1"/>
          <c:showCatName val="0"/>
          <c:showSerName val="0"/>
          <c:showPercent val="0"/>
          <c:showBubbleSize val="0"/>
        </c:dLbls>
        <c:gapWidth val="79"/>
        <c:overlap val="100"/>
        <c:axId val="481372240"/>
        <c:axId val="482083632"/>
      </c:barChart>
      <c:catAx>
        <c:axId val="481372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2083632"/>
        <c:crosses val="autoZero"/>
        <c:auto val="1"/>
        <c:lblAlgn val="ctr"/>
        <c:lblOffset val="100"/>
        <c:noMultiLvlLbl val="0"/>
      </c:catAx>
      <c:valAx>
        <c:axId val="482083632"/>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r>
                  <a:rPr lang="en-US">
                    <a:solidFill>
                      <a:sysClr val="windowText" lastClr="000000"/>
                    </a:solidFill>
                    <a:latin typeface="Arial" panose="020B0604020202020204" pitchFamily="34" charset="0"/>
                    <a:cs typeface="Arial" panose="020B0604020202020204" pitchFamily="34" charset="0"/>
                  </a:rPr>
                  <a:t>Annual Economic Impact ($ Millions)</a:t>
                </a:r>
              </a:p>
            </c:rich>
          </c:tx>
          <c:layout>
            <c:manualLayout>
              <c:xMode val="edge"/>
              <c:yMode val="edge"/>
              <c:x val="1.6666724038379137E-2"/>
              <c:y val="0.4162846868224262"/>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quot;$&quot;#,##0.0" sourceLinked="0"/>
        <c:majorTickMark val="none"/>
        <c:minorTickMark val="none"/>
        <c:tickLblPos val="nextTo"/>
        <c:crossAx val="481372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Project Data - Step 1'!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Optional Turbine Subcomponents'!A1"/><Relationship Id="rId2" Type="http://schemas.openxmlformats.org/officeDocument/2006/relationships/chart" Target="../charts/chart1.xml"/><Relationship Id="rId1" Type="http://schemas.openxmlformats.org/officeDocument/2006/relationships/hyperlink" Target="#'Local Share - Step 3'!A1"/><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hyperlink" Target="#'Model Scenario - Step 4'!A1"/></Relationships>
</file>

<file path=xl/drawings/_rels/drawing5.xml.rels><?xml version="1.0" encoding="UTF-8" standalone="yes"?>
<Relationships xmlns="http://schemas.openxmlformats.org/package/2006/relationships"><Relationship Id="rId3" Type="http://schemas.openxmlformats.org/officeDocument/2006/relationships/hyperlink" Target="#'Local Share - Step 3'!A1"/><Relationship Id="rId2" Type="http://schemas.openxmlformats.org/officeDocument/2006/relationships/hyperlink" Target="#'Project Costs - Step 2'!A1"/><Relationship Id="rId1" Type="http://schemas.openxmlformats.org/officeDocument/2006/relationships/hyperlink" Target="#'Project Data - Step 1'!A1"/><Relationship Id="rId5" Type="http://schemas.openxmlformats.org/officeDocument/2006/relationships/hyperlink" Target="#'Economic Impact Results'!A1"/><Relationship Id="rId4" Type="http://schemas.openxmlformats.org/officeDocument/2006/relationships/hyperlink" Target="#'Optional Turbine Subcomponents'!A1"/></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hyperlink" Target="#'Local Share - Step 3'!A1"/><Relationship Id="rId2" Type="http://schemas.openxmlformats.org/officeDocument/2006/relationships/hyperlink" Target="#'Project Data - Step 1'!A1"/><Relationship Id="rId1" Type="http://schemas.openxmlformats.org/officeDocument/2006/relationships/hyperlink" Target="#'Project Costs - Step 2'!A1"/></Relationships>
</file>

<file path=xl/drawings/drawing1.xml><?xml version="1.0" encoding="utf-8"?>
<xdr:wsDr xmlns:xdr="http://schemas.openxmlformats.org/drawingml/2006/spreadsheetDrawing" xmlns:a="http://schemas.openxmlformats.org/drawingml/2006/main">
  <xdr:twoCellAnchor>
    <xdr:from>
      <xdr:col>2</xdr:col>
      <xdr:colOff>409575</xdr:colOff>
      <xdr:row>4</xdr:row>
      <xdr:rowOff>95250</xdr:rowOff>
    </xdr:from>
    <xdr:to>
      <xdr:col>10</xdr:col>
      <xdr:colOff>601553</xdr:colOff>
      <xdr:row>11</xdr:row>
      <xdr:rowOff>114300</xdr:rowOff>
    </xdr:to>
    <xdr:grpSp>
      <xdr:nvGrpSpPr>
        <xdr:cNvPr id="6" name="Group 8">
          <a:extLst>
            <a:ext uri="{FF2B5EF4-FFF2-40B4-BE49-F238E27FC236}">
              <a16:creationId xmlns:a16="http://schemas.microsoft.com/office/drawing/2014/main" id="{00000000-0008-0000-0000-000006000000}"/>
            </a:ext>
          </a:extLst>
        </xdr:cNvPr>
        <xdr:cNvGrpSpPr/>
      </xdr:nvGrpSpPr>
      <xdr:grpSpPr>
        <a:xfrm>
          <a:off x="1628775" y="1447800"/>
          <a:ext cx="5068778" cy="1352550"/>
          <a:chOff x="2981325" y="676275"/>
          <a:chExt cx="5068778" cy="1352550"/>
        </a:xfrm>
      </xdr:grpSpPr>
      <xdr:pic>
        <xdr:nvPicPr>
          <xdr:cNvPr id="8" name="Picture 1">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l="21200" t="47339" r="58224" b="42993"/>
          <a:stretch/>
        </xdr:blipFill>
        <xdr:spPr>
          <a:xfrm>
            <a:off x="2981325" y="676275"/>
            <a:ext cx="4605667" cy="1352550"/>
          </a:xfrm>
          <a:prstGeom prst="rect">
            <a:avLst/>
          </a:prstGeom>
          <a:ln>
            <a:solidFill>
              <a:schemeClr val="tx1"/>
            </a:solidFill>
          </a:ln>
        </xdr:spPr>
      </xdr:pic>
      <xdr:grpSp>
        <xdr:nvGrpSpPr>
          <xdr:cNvPr id="10" name="Group 4">
            <a:extLst>
              <a:ext uri="{FF2B5EF4-FFF2-40B4-BE49-F238E27FC236}">
                <a16:creationId xmlns:a16="http://schemas.microsoft.com/office/drawing/2014/main" id="{00000000-0008-0000-0000-00000A000000}"/>
              </a:ext>
            </a:extLst>
          </xdr:cNvPr>
          <xdr:cNvGrpSpPr/>
        </xdr:nvGrpSpPr>
        <xdr:grpSpPr>
          <a:xfrm>
            <a:off x="4846911" y="792874"/>
            <a:ext cx="2705100" cy="1212631"/>
            <a:chOff x="5486400" y="5505450"/>
            <a:chExt cx="2209800" cy="990600"/>
          </a:xfrm>
        </xdr:grpSpPr>
        <xdr:sp macro="" textlink="">
          <xdr:nvSpPr>
            <xdr:cNvPr id="11" name="Rectangle 2">
              <a:extLst>
                <a:ext uri="{FF2B5EF4-FFF2-40B4-BE49-F238E27FC236}">
                  <a16:creationId xmlns:a16="http://schemas.microsoft.com/office/drawing/2014/main" id="{00000000-0008-0000-0000-00000B000000}"/>
                </a:ext>
              </a:extLst>
            </xdr:cNvPr>
            <xdr:cNvSpPr/>
          </xdr:nvSpPr>
          <xdr:spPr>
            <a:xfrm>
              <a:off x="5486400" y="5505450"/>
              <a:ext cx="200025" cy="6477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3">
              <a:extLst>
                <a:ext uri="{FF2B5EF4-FFF2-40B4-BE49-F238E27FC236}">
                  <a16:creationId xmlns:a16="http://schemas.microsoft.com/office/drawing/2014/main" id="{00000000-0008-0000-0000-00000C000000}"/>
                </a:ext>
              </a:extLst>
            </xdr:cNvPr>
            <xdr:cNvSpPr/>
          </xdr:nvSpPr>
          <xdr:spPr>
            <a:xfrm>
              <a:off x="5505450" y="6172200"/>
              <a:ext cx="2190750" cy="32385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3" name="TextBox 6">
            <a:extLst>
              <a:ext uri="{FF2B5EF4-FFF2-40B4-BE49-F238E27FC236}">
                <a16:creationId xmlns:a16="http://schemas.microsoft.com/office/drawing/2014/main" id="{00000000-0008-0000-0000-00000D000000}"/>
              </a:ext>
            </a:extLst>
          </xdr:cNvPr>
          <xdr:cNvSpPr txBox="1"/>
        </xdr:nvSpPr>
        <xdr:spPr>
          <a:xfrm>
            <a:off x="5065164" y="1538697"/>
            <a:ext cx="2984939" cy="320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77C8"/>
                </a:solidFill>
                <a:latin typeface="Century Gothic" panose="020B0502020202020204" pitchFamily="34" charset="0"/>
                <a:cs typeface="Arial" panose="020B0604020202020204" pitchFamily="34" charset="0"/>
              </a:rPr>
              <a:t>Offshore Wind Model</a:t>
            </a:r>
          </a:p>
        </xdr:txBody>
      </xdr:sp>
    </xdr:grpSp>
    <xdr:clientData/>
  </xdr:twoCellAnchor>
  <xdr:twoCellAnchor>
    <xdr:from>
      <xdr:col>4</xdr:col>
      <xdr:colOff>82550</xdr:colOff>
      <xdr:row>27</xdr:row>
      <xdr:rowOff>57150</xdr:rowOff>
    </xdr:from>
    <xdr:to>
      <xdr:col>8</xdr:col>
      <xdr:colOff>349250</xdr:colOff>
      <xdr:row>32</xdr:row>
      <xdr:rowOff>107950</xdr:rowOff>
    </xdr:to>
    <xdr:sp macro="" textlink="">
      <xdr:nvSpPr>
        <xdr:cNvPr id="2" name="Rounded Rectangle 1">
          <a:hlinkClick xmlns:r="http://schemas.openxmlformats.org/officeDocument/2006/relationships" r:id="rId2"/>
          <a:extLst>
            <a:ext uri="{FF2B5EF4-FFF2-40B4-BE49-F238E27FC236}">
              <a16:creationId xmlns:a16="http://schemas.microsoft.com/office/drawing/2014/main" id="{00000000-0008-0000-0000-000002000000}"/>
            </a:ext>
          </a:extLst>
        </xdr:cNvPr>
        <xdr:cNvSpPr/>
      </xdr:nvSpPr>
      <xdr:spPr>
        <a:xfrm>
          <a:off x="2520950" y="5810250"/>
          <a:ext cx="2705100" cy="1003300"/>
        </a:xfrm>
        <a:prstGeom prst="roundRect">
          <a:avLst/>
        </a:prstGeom>
        <a:solidFill>
          <a:srgbClr val="0077C8"/>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Calibri" panose="020F0502020204030204" pitchFamily="34" charset="0"/>
              <a:cs typeface="Calibri" panose="020F0502020204030204" pitchFamily="34" charset="0"/>
            </a:rPr>
            <a:t>Get</a:t>
          </a:r>
          <a:r>
            <a:rPr lang="en-US" sz="2400" b="1" baseline="0">
              <a:latin typeface="Calibri" panose="020F0502020204030204" pitchFamily="34" charset="0"/>
              <a:cs typeface="Calibri" panose="020F0502020204030204" pitchFamily="34" charset="0"/>
            </a:rPr>
            <a:t> Started</a:t>
          </a:r>
          <a:endParaRPr lang="en-US" sz="2400" b="1">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1047750</xdr:colOff>
      <xdr:row>9</xdr:row>
      <xdr:rowOff>171450</xdr:rowOff>
    </xdr:from>
    <xdr:to>
      <xdr:col>2</xdr:col>
      <xdr:colOff>571500</xdr:colOff>
      <xdr:row>13</xdr:row>
      <xdr:rowOff>0</xdr:rowOff>
    </xdr:to>
    <xdr:sp macro="[0]!RunORBIT" textlink="">
      <xdr:nvSpPr>
        <xdr:cNvPr id="15" name="Rectangle: Rounded Corners 14">
          <a:extLst>
            <a:ext uri="{FF2B5EF4-FFF2-40B4-BE49-F238E27FC236}">
              <a16:creationId xmlns:a16="http://schemas.microsoft.com/office/drawing/2014/main" id="{00000000-0008-0000-0100-00000F000000}"/>
            </a:ext>
          </a:extLst>
        </xdr:cNvPr>
        <xdr:cNvSpPr/>
      </xdr:nvSpPr>
      <xdr:spPr>
        <a:xfrm flipH="1">
          <a:off x="1524000" y="3200400"/>
          <a:ext cx="2752725" cy="590550"/>
        </a:xfrm>
        <a:prstGeom prst="roundRect">
          <a:avLst/>
        </a:prstGeom>
        <a:solidFill>
          <a:srgbClr val="0077C8"/>
        </a:solidFill>
        <a:ln w="19050">
          <a:solidFill>
            <a:schemeClr val="tx1"/>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a:solidFill>
                <a:schemeClr val="bg1"/>
              </a:solidFill>
              <a:latin typeface="Century Gothic" panose="020B0502020202020204" pitchFamily="34" charset="0"/>
            </a:rPr>
            <a:t>Use Inputs to Calculate</a:t>
          </a:r>
          <a:r>
            <a:rPr lang="en-US" sz="1400" baseline="0">
              <a:solidFill>
                <a:schemeClr val="bg1"/>
              </a:solidFill>
              <a:latin typeface="Century Gothic" panose="020B0502020202020204" pitchFamily="34" charset="0"/>
            </a:rPr>
            <a:t> Costs </a:t>
          </a:r>
        </a:p>
        <a:p>
          <a:pPr algn="ctr"/>
          <a:r>
            <a:rPr lang="en-US" sz="1000" i="1" baseline="0">
              <a:solidFill>
                <a:schemeClr val="bg1"/>
              </a:solidFill>
              <a:latin typeface="Century Gothic" panose="020B0502020202020204" pitchFamily="34" charset="0"/>
            </a:rPr>
            <a:t>Proceed to Next Step</a:t>
          </a:r>
          <a:endParaRPr lang="en-US" sz="1000" i="1">
            <a:solidFill>
              <a:schemeClr val="bg1"/>
            </a:solidFill>
            <a:latin typeface="Century Gothic" panose="020B0502020202020204" pitchFamily="34" charset="0"/>
          </a:endParaRPr>
        </a:p>
      </xdr:txBody>
    </xdr:sp>
    <xdr:clientData/>
  </xdr:twoCellAnchor>
  <xdr:twoCellAnchor>
    <xdr:from>
      <xdr:col>2</xdr:col>
      <xdr:colOff>666750</xdr:colOff>
      <xdr:row>9</xdr:row>
      <xdr:rowOff>133350</xdr:rowOff>
    </xdr:from>
    <xdr:to>
      <xdr:col>5</xdr:col>
      <xdr:colOff>247650</xdr:colOff>
      <xdr:row>14</xdr:row>
      <xdr:rowOff>28575</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4371975" y="3162300"/>
          <a:ext cx="4381500"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a:solidFill>
                <a:srgbClr val="0077C8"/>
              </a:solidFill>
              <a:latin typeface="Arial" panose="020B0604020202020204" pitchFamily="34" charset="0"/>
              <a:cs typeface="Arial" panose="020B0604020202020204" pitchFamily="34" charset="0"/>
            </a:rPr>
            <a:t>&lt;</a:t>
          </a:r>
          <a:r>
            <a:rPr lang="en-US" sz="1000" b="1" i="0" baseline="0">
              <a:solidFill>
                <a:srgbClr val="0077C8"/>
              </a:solidFill>
              <a:latin typeface="Arial" panose="020B0604020202020204" pitchFamily="34" charset="0"/>
              <a:cs typeface="Arial" panose="020B0604020202020204" pitchFamily="34" charset="0"/>
            </a:rPr>
            <a:t> </a:t>
          </a:r>
          <a:r>
            <a:rPr lang="en-US" sz="1000" b="1" i="0">
              <a:solidFill>
                <a:srgbClr val="0077C8"/>
              </a:solidFill>
              <a:latin typeface="Arial" panose="020B0604020202020204" pitchFamily="34" charset="0"/>
              <a:cs typeface="Arial" panose="020B0604020202020204" pitchFamily="34" charset="0"/>
            </a:rPr>
            <a:t>CLICK BEFORE</a:t>
          </a:r>
          <a:r>
            <a:rPr lang="en-US" sz="1000" b="1" i="0" baseline="0">
              <a:solidFill>
                <a:srgbClr val="0077C8"/>
              </a:solidFill>
              <a:latin typeface="Arial" panose="020B0604020202020204" pitchFamily="34" charset="0"/>
              <a:cs typeface="Arial" panose="020B0604020202020204" pitchFamily="34" charset="0"/>
            </a:rPr>
            <a:t> PROCEEDING</a:t>
          </a:r>
        </a:p>
        <a:p>
          <a:r>
            <a:rPr lang="en-US" sz="900" i="1" baseline="0">
              <a:latin typeface="Arial" panose="020B0604020202020204" pitchFamily="34" charset="0"/>
              <a:cs typeface="Arial" panose="020B0604020202020204" pitchFamily="34" charset="0"/>
            </a:rPr>
            <a:t>Click the blue button to the left to run the ORBIT cost model. A blue circle curser indicates the model is running. When the cursor indicates the model run is complete, click on Project Costs - Step 2 to see costs data based on these inputs.</a:t>
          </a:r>
          <a:endParaRPr lang="en-US" sz="900" i="1">
            <a:latin typeface="Arial" panose="020B0604020202020204" pitchFamily="34" charset="0"/>
            <a:cs typeface="Arial" panose="020B0604020202020204" pitchFamily="34" charset="0"/>
          </a:endParaRPr>
        </a:p>
      </xdr:txBody>
    </xdr:sp>
    <xdr:clientData/>
  </xdr:twoCellAnchor>
  <xdr:twoCellAnchor editAs="oneCell">
    <xdr:from>
      <xdr:col>1</xdr:col>
      <xdr:colOff>1016000</xdr:colOff>
      <xdr:row>10</xdr:row>
      <xdr:rowOff>101600</xdr:rowOff>
    </xdr:from>
    <xdr:to>
      <xdr:col>1</xdr:col>
      <xdr:colOff>1701800</xdr:colOff>
      <xdr:row>13</xdr:row>
      <xdr:rowOff>101600</xdr:rowOff>
    </xdr:to>
    <xdr:sp macro="" textlink="">
      <xdr:nvSpPr>
        <xdr:cNvPr id="2056" name="ToggleButton1" hidden="1">
          <a:extLst>
            <a:ext uri="{63B3BB69-23CF-44E3-9099-C40C66FF867C}">
              <a14:compatExt xmlns:a14="http://schemas.microsoft.com/office/drawing/2010/main"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2273300</xdr:colOff>
      <xdr:row>10</xdr:row>
      <xdr:rowOff>114300</xdr:rowOff>
    </xdr:from>
    <xdr:to>
      <xdr:col>3</xdr:col>
      <xdr:colOff>241300</xdr:colOff>
      <xdr:row>11</xdr:row>
      <xdr:rowOff>127000</xdr:rowOff>
    </xdr:to>
    <xdr:sp macro="" textlink="">
      <xdr:nvSpPr>
        <xdr:cNvPr id="2148" name="RestoreDefaults" hidden="1">
          <a:extLst>
            <a:ext uri="{63B3BB69-23CF-44E3-9099-C40C66FF867C}">
              <a14:compatExt xmlns:a14="http://schemas.microsoft.com/office/drawing/2010/main"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1308100</xdr:colOff>
      <xdr:row>9</xdr:row>
      <xdr:rowOff>177800</xdr:rowOff>
    </xdr:from>
    <xdr:to>
      <xdr:col>1</xdr:col>
      <xdr:colOff>2489200</xdr:colOff>
      <xdr:row>12</xdr:row>
      <xdr:rowOff>177800</xdr:rowOff>
    </xdr:to>
    <xdr:sp macro="" textlink="">
      <xdr:nvSpPr>
        <xdr:cNvPr id="2167" name="ToggleButton1" hidden="1">
          <a:extLst>
            <a:ext uri="{63B3BB69-23CF-44E3-9099-C40C66FF867C}">
              <a14:compatExt xmlns:a14="http://schemas.microsoft.com/office/drawing/2010/main"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797854</xdr:colOff>
      <xdr:row>9</xdr:row>
      <xdr:rowOff>171450</xdr:rowOff>
    </xdr:from>
    <xdr:to>
      <xdr:col>2</xdr:col>
      <xdr:colOff>1362630</xdr:colOff>
      <xdr:row>13</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flipH="1">
          <a:off x="1279707" y="3208244"/>
          <a:ext cx="3713629" cy="590550"/>
        </a:xfrm>
        <a:prstGeom prst="roundRect">
          <a:avLst/>
        </a:prstGeom>
        <a:solidFill>
          <a:srgbClr val="0077C8"/>
        </a:solidFill>
        <a:ln w="19050">
          <a:solidFill>
            <a:schemeClr val="tx1"/>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aseline="0">
              <a:solidFill>
                <a:schemeClr val="bg1"/>
              </a:solidFill>
              <a:latin typeface="Century Gothic" panose="020B0502020202020204" pitchFamily="34" charset="0"/>
            </a:rPr>
            <a:t>Define Local Share</a:t>
          </a:r>
        </a:p>
        <a:p>
          <a:pPr algn="ctr"/>
          <a:r>
            <a:rPr lang="en-US" sz="1000" i="1" baseline="0">
              <a:solidFill>
                <a:schemeClr val="bg1"/>
              </a:solidFill>
              <a:latin typeface="Century Gothic" panose="020B0502020202020204" pitchFamily="34" charset="0"/>
            </a:rPr>
            <a:t>Proceed to Next Step</a:t>
          </a:r>
          <a:endParaRPr lang="en-US" sz="1000" i="1">
            <a:solidFill>
              <a:schemeClr val="bg1"/>
            </a:solidFill>
            <a:latin typeface="Century Gothic" panose="020B0502020202020204" pitchFamily="34" charset="0"/>
          </a:endParaRPr>
        </a:p>
      </xdr:txBody>
    </xdr:sp>
    <xdr:clientData/>
  </xdr:twoCellAnchor>
  <xdr:twoCellAnchor>
    <xdr:from>
      <xdr:col>9</xdr:col>
      <xdr:colOff>400051</xdr:colOff>
      <xdr:row>4</xdr:row>
      <xdr:rowOff>133350</xdr:rowOff>
    </xdr:from>
    <xdr:to>
      <xdr:col>14</xdr:col>
      <xdr:colOff>57151</xdr:colOff>
      <xdr:row>19</xdr:row>
      <xdr:rowOff>180976</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246531</xdr:colOff>
      <xdr:row>9</xdr:row>
      <xdr:rowOff>168088</xdr:rowOff>
    </xdr:from>
    <xdr:to>
      <xdr:col>5</xdr:col>
      <xdr:colOff>1107517</xdr:colOff>
      <xdr:row>12</xdr:row>
      <xdr:rowOff>186764</xdr:rowOff>
    </xdr:to>
    <xdr:sp macro="" textlink="">
      <xdr:nvSpPr>
        <xdr:cNvPr id="3" name="Rounded Rectangle 2">
          <a:hlinkClick xmlns:r="http://schemas.openxmlformats.org/officeDocument/2006/relationships" r:id="rId3"/>
          <a:extLst>
            <a:ext uri="{FF2B5EF4-FFF2-40B4-BE49-F238E27FC236}">
              <a16:creationId xmlns:a16="http://schemas.microsoft.com/office/drawing/2014/main" id="{00000000-0008-0000-0200-000003000000}"/>
            </a:ext>
          </a:extLst>
        </xdr:cNvPr>
        <xdr:cNvSpPr/>
      </xdr:nvSpPr>
      <xdr:spPr>
        <a:xfrm>
          <a:off x="5334002" y="3204882"/>
          <a:ext cx="3146986" cy="590176"/>
        </a:xfrm>
        <a:prstGeom prst="round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Century Gothic" panose="020B0502020202020204" pitchFamily="34" charset="0"/>
            </a:rPr>
            <a:t>Enter Turbine Component Details</a:t>
          </a:r>
        </a:p>
        <a:p>
          <a:pPr algn="ctr"/>
          <a:r>
            <a:rPr lang="en-US" sz="1400">
              <a:solidFill>
                <a:schemeClr val="bg1"/>
              </a:solidFill>
              <a:latin typeface="Century Gothic" panose="020B0502020202020204" pitchFamily="34" charset="0"/>
            </a:rPr>
            <a:t>(Optional)</a:t>
          </a:r>
        </a:p>
      </xdr:txBody>
    </xdr:sp>
    <xdr:clientData/>
  </xdr:twoCellAnchor>
  <xdr:twoCellAnchor>
    <xdr:from>
      <xdr:col>9</xdr:col>
      <xdr:colOff>358588</xdr:colOff>
      <xdr:row>4</xdr:row>
      <xdr:rowOff>57148</xdr:rowOff>
    </xdr:from>
    <xdr:to>
      <xdr:col>14</xdr:col>
      <xdr:colOff>414618</xdr:colOff>
      <xdr:row>21</xdr:row>
      <xdr:rowOff>145675</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1276917</xdr:colOff>
      <xdr:row>10</xdr:row>
      <xdr:rowOff>29286</xdr:rowOff>
    </xdr:from>
    <xdr:to>
      <xdr:col>2</xdr:col>
      <xdr:colOff>1323832</xdr:colOff>
      <xdr:row>13</xdr:row>
      <xdr:rowOff>42650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flipH="1">
          <a:off x="1886517" y="3248736"/>
          <a:ext cx="4361740" cy="584864"/>
        </a:xfrm>
        <a:prstGeom prst="roundRect">
          <a:avLst/>
        </a:prstGeom>
        <a:solidFill>
          <a:srgbClr val="0077C8"/>
        </a:solidFill>
        <a:ln w="19050">
          <a:solidFill>
            <a:schemeClr val="tx1"/>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aseline="0">
              <a:solidFill>
                <a:schemeClr val="bg1"/>
              </a:solidFill>
              <a:latin typeface="Century Gothic" panose="020B0502020202020204" pitchFamily="34" charset="0"/>
            </a:rPr>
            <a:t>Build Model Scenario</a:t>
          </a:r>
        </a:p>
        <a:p>
          <a:pPr algn="ctr"/>
          <a:r>
            <a:rPr lang="en-US" sz="1000" i="1" baseline="0">
              <a:solidFill>
                <a:schemeClr val="bg1"/>
              </a:solidFill>
              <a:latin typeface="Century Gothic" panose="020B0502020202020204" pitchFamily="34" charset="0"/>
            </a:rPr>
            <a:t>Proceed to Next Step</a:t>
          </a:r>
          <a:endParaRPr lang="en-US" sz="1000" i="1">
            <a:solidFill>
              <a:schemeClr val="bg1"/>
            </a:solidFill>
            <a:latin typeface="Century Gothic" panose="020B0502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7097</xdr:colOff>
      <xdr:row>10</xdr:row>
      <xdr:rowOff>11206</xdr:rowOff>
    </xdr:from>
    <xdr:to>
      <xdr:col>1</xdr:col>
      <xdr:colOff>2087282</xdr:colOff>
      <xdr:row>12</xdr:row>
      <xdr:rowOff>179294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612215" y="3238500"/>
          <a:ext cx="2080185" cy="549088"/>
        </a:xfrm>
        <a:prstGeom prst="round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entury Gothic" panose="020B0502020202020204" pitchFamily="34" charset="0"/>
            </a:rPr>
            <a:t>Project Data</a:t>
          </a:r>
          <a:r>
            <a:rPr lang="en-US" sz="1400" baseline="0">
              <a:latin typeface="Century Gothic" panose="020B0502020202020204" pitchFamily="34" charset="0"/>
            </a:rPr>
            <a:t> </a:t>
          </a:r>
          <a:r>
            <a:rPr lang="en-US" sz="1400">
              <a:latin typeface="Century Gothic" panose="020B0502020202020204" pitchFamily="34" charset="0"/>
            </a:rPr>
            <a:t>- Step 1</a:t>
          </a:r>
        </a:p>
      </xdr:txBody>
    </xdr:sp>
    <xdr:clientData/>
  </xdr:twoCellAnchor>
  <xdr:twoCellAnchor>
    <xdr:from>
      <xdr:col>1</xdr:col>
      <xdr:colOff>2686796</xdr:colOff>
      <xdr:row>10</xdr:row>
      <xdr:rowOff>33617</xdr:rowOff>
    </xdr:from>
    <xdr:to>
      <xdr:col>2</xdr:col>
      <xdr:colOff>1157193</xdr:colOff>
      <xdr:row>12</xdr:row>
      <xdr:rowOff>179293</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3291914" y="3260911"/>
          <a:ext cx="2067485" cy="526676"/>
        </a:xfrm>
        <a:prstGeom prst="round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entury Gothic" panose="020B0502020202020204" pitchFamily="34" charset="0"/>
            </a:rPr>
            <a:t>Project Costs - Step 2</a:t>
          </a:r>
        </a:p>
      </xdr:txBody>
    </xdr:sp>
    <xdr:clientData/>
  </xdr:twoCellAnchor>
  <xdr:twoCellAnchor>
    <xdr:from>
      <xdr:col>2</xdr:col>
      <xdr:colOff>1800037</xdr:colOff>
      <xdr:row>10</xdr:row>
      <xdr:rowOff>56590</xdr:rowOff>
    </xdr:from>
    <xdr:to>
      <xdr:col>8</xdr:col>
      <xdr:colOff>47810</xdr:colOff>
      <xdr:row>13</xdr:row>
      <xdr:rowOff>22412</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6002243" y="3283884"/>
          <a:ext cx="2080185" cy="537322"/>
        </a:xfrm>
        <a:prstGeom prst="round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entury Gothic" panose="020B0502020202020204" pitchFamily="34" charset="0"/>
            </a:rPr>
            <a:t>Local Share - Step 3</a:t>
          </a:r>
        </a:p>
      </xdr:txBody>
    </xdr:sp>
    <xdr:clientData/>
  </xdr:twoCellAnchor>
  <xdr:twoCellAnchor>
    <xdr:from>
      <xdr:col>3</xdr:col>
      <xdr:colOff>231026</xdr:colOff>
      <xdr:row>14</xdr:row>
      <xdr:rowOff>130550</xdr:rowOff>
    </xdr:from>
    <xdr:to>
      <xdr:col>8</xdr:col>
      <xdr:colOff>401730</xdr:colOff>
      <xdr:row>17</xdr:row>
      <xdr:rowOff>100854</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0400-000005000000}"/>
            </a:ext>
          </a:extLst>
        </xdr:cNvPr>
        <xdr:cNvSpPr/>
      </xdr:nvSpPr>
      <xdr:spPr>
        <a:xfrm>
          <a:off x="6371850" y="4119844"/>
          <a:ext cx="2064498" cy="553010"/>
        </a:xfrm>
        <a:prstGeom prst="round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entury Gothic" panose="020B0502020202020204" pitchFamily="34" charset="0"/>
            </a:rPr>
            <a:t>Optional Turbine Subcomponents</a:t>
          </a:r>
        </a:p>
      </xdr:txBody>
    </xdr:sp>
    <xdr:clientData/>
  </xdr:twoCellAnchor>
  <xdr:twoCellAnchor>
    <xdr:from>
      <xdr:col>8</xdr:col>
      <xdr:colOff>160057</xdr:colOff>
      <xdr:row>11</xdr:row>
      <xdr:rowOff>81244</xdr:rowOff>
    </xdr:from>
    <xdr:to>
      <xdr:col>8</xdr:col>
      <xdr:colOff>172757</xdr:colOff>
      <xdr:row>14</xdr:row>
      <xdr:rowOff>55844</xdr:rowOff>
    </xdr:to>
    <xdr:cxnSp macro="">
      <xdr:nvCxnSpPr>
        <xdr:cNvPr id="8" name="Curved Connector 7">
          <a:extLst>
            <a:ext uri="{FF2B5EF4-FFF2-40B4-BE49-F238E27FC236}">
              <a16:creationId xmlns:a16="http://schemas.microsoft.com/office/drawing/2014/main" id="{00000000-0008-0000-0400-000008000000}"/>
            </a:ext>
          </a:extLst>
        </xdr:cNvPr>
        <xdr:cNvCxnSpPr/>
      </xdr:nvCxnSpPr>
      <xdr:spPr>
        <a:xfrm>
          <a:off x="8194675" y="3499038"/>
          <a:ext cx="12700" cy="546100"/>
        </a:xfrm>
        <a:prstGeom prst="curvedConnector3">
          <a:avLst>
            <a:gd name="adj1" fmla="val 1800000"/>
          </a:avLst>
        </a:prstGeom>
        <a:ln w="508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50427</xdr:colOff>
      <xdr:row>10</xdr:row>
      <xdr:rowOff>104401</xdr:rowOff>
    </xdr:from>
    <xdr:to>
      <xdr:col>13</xdr:col>
      <xdr:colOff>44824</xdr:colOff>
      <xdr:row>16</xdr:row>
      <xdr:rowOff>33616</xdr:rowOff>
    </xdr:to>
    <xdr:sp macro="" textlink="">
      <xdr:nvSpPr>
        <xdr:cNvPr id="6" name="Right Arrow 5">
          <a:hlinkClick xmlns:r="http://schemas.openxmlformats.org/officeDocument/2006/relationships" r:id="rId5"/>
          <a:extLst>
            <a:ext uri="{FF2B5EF4-FFF2-40B4-BE49-F238E27FC236}">
              <a16:creationId xmlns:a16="http://schemas.microsoft.com/office/drawing/2014/main" id="{00000000-0008-0000-0400-000006000000}"/>
            </a:ext>
          </a:extLst>
        </xdr:cNvPr>
        <xdr:cNvSpPr/>
      </xdr:nvSpPr>
      <xdr:spPr>
        <a:xfrm>
          <a:off x="8678956" y="3331695"/>
          <a:ext cx="2582956" cy="1083421"/>
        </a:xfrm>
        <a:prstGeom prst="rightArrow">
          <a:avLst/>
        </a:prstGeom>
        <a:solidFill>
          <a:srgbClr val="0077C8"/>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entury Gothic" panose="020B0502020202020204" pitchFamily="34" charset="0"/>
            </a:rPr>
            <a:t>Go to Model Results</a:t>
          </a:r>
        </a:p>
      </xdr:txBody>
    </xdr:sp>
    <xdr:clientData/>
  </xdr:twoCellAnchor>
  <xdr:twoCellAnchor>
    <xdr:from>
      <xdr:col>1</xdr:col>
      <xdr:colOff>2185146</xdr:colOff>
      <xdr:row>11</xdr:row>
      <xdr:rowOff>112059</xdr:rowOff>
    </xdr:from>
    <xdr:to>
      <xdr:col>1</xdr:col>
      <xdr:colOff>2577352</xdr:colOff>
      <xdr:row>11</xdr:row>
      <xdr:rowOff>112059</xdr:rowOff>
    </xdr:to>
    <xdr:cxnSp macro="">
      <xdr:nvCxnSpPr>
        <xdr:cNvPr id="32" name="Straight Arrow Connector 31">
          <a:extLst>
            <a:ext uri="{FF2B5EF4-FFF2-40B4-BE49-F238E27FC236}">
              <a16:creationId xmlns:a16="http://schemas.microsoft.com/office/drawing/2014/main" id="{00000000-0008-0000-0400-000020000000}"/>
            </a:ext>
          </a:extLst>
        </xdr:cNvPr>
        <xdr:cNvCxnSpPr/>
      </xdr:nvCxnSpPr>
      <xdr:spPr>
        <a:xfrm>
          <a:off x="2790264" y="3529853"/>
          <a:ext cx="392206" cy="0"/>
        </a:xfrm>
        <a:prstGeom prst="straightConnector1">
          <a:avLst/>
        </a:prstGeom>
        <a:ln w="508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1261782</xdr:colOff>
      <xdr:row>11</xdr:row>
      <xdr:rowOff>107576</xdr:rowOff>
    </xdr:from>
    <xdr:to>
      <xdr:col>2</xdr:col>
      <xdr:colOff>1653988</xdr:colOff>
      <xdr:row>11</xdr:row>
      <xdr:rowOff>107576</xdr:rowOff>
    </xdr:to>
    <xdr:cxnSp macro="">
      <xdr:nvCxnSpPr>
        <xdr:cNvPr id="33" name="Straight Arrow Connector 32">
          <a:extLst>
            <a:ext uri="{FF2B5EF4-FFF2-40B4-BE49-F238E27FC236}">
              <a16:creationId xmlns:a16="http://schemas.microsoft.com/office/drawing/2014/main" id="{00000000-0008-0000-0400-000021000000}"/>
            </a:ext>
          </a:extLst>
        </xdr:cNvPr>
        <xdr:cNvCxnSpPr/>
      </xdr:nvCxnSpPr>
      <xdr:spPr>
        <a:xfrm>
          <a:off x="5463988" y="3525370"/>
          <a:ext cx="392206" cy="0"/>
        </a:xfrm>
        <a:prstGeom prst="straightConnector1">
          <a:avLst/>
        </a:prstGeom>
        <a:ln w="5080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374910</xdr:colOff>
      <xdr:row>8</xdr:row>
      <xdr:rowOff>609859</xdr:rowOff>
    </xdr:from>
    <xdr:to>
      <xdr:col>14</xdr:col>
      <xdr:colOff>358118</xdr:colOff>
      <xdr:row>33</xdr:row>
      <xdr:rowOff>32337</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453637</xdr:colOff>
      <xdr:row>8</xdr:row>
      <xdr:rowOff>613926</xdr:rowOff>
    </xdr:from>
    <xdr:to>
      <xdr:col>23</xdr:col>
      <xdr:colOff>17049</xdr:colOff>
      <xdr:row>33</xdr:row>
      <xdr:rowOff>29349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378601</xdr:colOff>
      <xdr:row>33</xdr:row>
      <xdr:rowOff>185325</xdr:rowOff>
    </xdr:from>
    <xdr:to>
      <xdr:col>14</xdr:col>
      <xdr:colOff>367252</xdr:colOff>
      <xdr:row>58</xdr:row>
      <xdr:rowOff>15386</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441290</xdr:colOff>
      <xdr:row>33</xdr:row>
      <xdr:rowOff>213900</xdr:rowOff>
    </xdr:from>
    <xdr:to>
      <xdr:col>22</xdr:col>
      <xdr:colOff>586786</xdr:colOff>
      <xdr:row>58</xdr:row>
      <xdr:rowOff>36906</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2501900</xdr:colOff>
      <xdr:row>10</xdr:row>
      <xdr:rowOff>38100</xdr:rowOff>
    </xdr:from>
    <xdr:to>
      <xdr:col>2</xdr:col>
      <xdr:colOff>635000</xdr:colOff>
      <xdr:row>12</xdr:row>
      <xdr:rowOff>177800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3327400" y="3695700"/>
          <a:ext cx="2273300" cy="520700"/>
        </a:xfrm>
        <a:prstGeom prst="roundRect">
          <a:avLst/>
        </a:prstGeom>
        <a:solidFill>
          <a:srgbClr val="0077C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Century Gothic" panose="020B0502020202020204" pitchFamily="34" charset="0"/>
            </a:rPr>
            <a:t>Go to Project Costs - Step 2</a:t>
          </a:r>
        </a:p>
      </xdr:txBody>
    </xdr:sp>
    <xdr:clientData/>
  </xdr:twoCellAnchor>
  <xdr:twoCellAnchor>
    <xdr:from>
      <xdr:col>1</xdr:col>
      <xdr:colOff>88900</xdr:colOff>
      <xdr:row>9</xdr:row>
      <xdr:rowOff>88900</xdr:rowOff>
    </xdr:from>
    <xdr:to>
      <xdr:col>1</xdr:col>
      <xdr:colOff>2260600</xdr:colOff>
      <xdr:row>13</xdr:row>
      <xdr:rowOff>139700</xdr:rowOff>
    </xdr:to>
    <xdr:sp macro="" textlink="">
      <xdr:nvSpPr>
        <xdr:cNvPr id="3" name="Left Arrow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914400" y="3556000"/>
          <a:ext cx="2171700" cy="812800"/>
        </a:xfrm>
        <a:prstGeom prst="leftArrow">
          <a:avLst/>
        </a:prstGeom>
        <a:solidFill>
          <a:srgbClr val="0077C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Century Gothic" panose="020B0502020202020204" pitchFamily="34" charset="0"/>
            </a:rPr>
            <a:t>Go to Project Data - Step 1</a:t>
          </a:r>
        </a:p>
      </xdr:txBody>
    </xdr:sp>
    <xdr:clientData/>
  </xdr:twoCellAnchor>
  <xdr:twoCellAnchor>
    <xdr:from>
      <xdr:col>2</xdr:col>
      <xdr:colOff>812800</xdr:colOff>
      <xdr:row>9</xdr:row>
      <xdr:rowOff>88900</xdr:rowOff>
    </xdr:from>
    <xdr:to>
      <xdr:col>5</xdr:col>
      <xdr:colOff>482600</xdr:colOff>
      <xdr:row>13</xdr:row>
      <xdr:rowOff>127000</xdr:rowOff>
    </xdr:to>
    <xdr:sp macro="" textlink="">
      <xdr:nvSpPr>
        <xdr:cNvPr id="4" name="Right Arrow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5778500" y="3556000"/>
          <a:ext cx="2514600" cy="800100"/>
        </a:xfrm>
        <a:prstGeom prst="rightArrow">
          <a:avLst/>
        </a:prstGeom>
        <a:solidFill>
          <a:srgbClr val="0077C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Century Gothic" panose="020B0502020202020204" pitchFamily="34" charset="0"/>
            </a:rPr>
            <a:t>Go to Local Share - Step 3</a:t>
          </a:r>
        </a:p>
      </xdr:txBody>
    </xdr:sp>
    <xdr:clientData/>
  </xdr:twoCellAnchor>
  <mc:AlternateContent xmlns:mc="http://schemas.openxmlformats.org/markup-compatibility/2006">
    <mc:Choice xmlns:a14="http://schemas.microsoft.com/office/drawing/2010/main" Requires="a14">
      <xdr:twoCellAnchor>
        <xdr:from>
          <xdr:col>5</xdr:col>
          <xdr:colOff>371475</xdr:colOff>
          <xdr:row>19</xdr:row>
          <xdr:rowOff>152400</xdr:rowOff>
        </xdr:from>
        <xdr:to>
          <xdr:col>6</xdr:col>
          <xdr:colOff>1847850</xdr:colOff>
          <xdr:row>23</xdr:row>
          <xdr:rowOff>85725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entury Gothic"/>
                </a:rPr>
                <a:t>Populate nacelle/drivetrain with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523875</xdr:colOff>
          <xdr:row>41</xdr:row>
          <xdr:rowOff>38100</xdr:rowOff>
        </xdr:from>
        <xdr:to>
          <xdr:col>6</xdr:col>
          <xdr:colOff>1752600</xdr:colOff>
          <xdr:row>44</xdr:row>
          <xdr:rowOff>104775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entury Gothic"/>
                </a:rPr>
                <a:t>Populate blades with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504825</xdr:colOff>
          <xdr:row>71</xdr:row>
          <xdr:rowOff>161925</xdr:rowOff>
        </xdr:from>
        <xdr:to>
          <xdr:col>6</xdr:col>
          <xdr:colOff>1857375</xdr:colOff>
          <xdr:row>75</xdr:row>
          <xdr:rowOff>104775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entury Gothic"/>
                </a:rPr>
                <a:t>Populate towers with defaults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rel.sharepoint.com/Users/jstefek/Downloads/jedi-beta-windows%20(1)/JEDI%20Beta%20Windows/jedi-lbw-model-w20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rel.sharepoint.com/sites/WindandWaterWorkforce/Shared%20Documents/OSW%20JEDI%20Upgrades/Beta%20Models/jedi-osw-model-beta2020-updated.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rel.sharepoint.com/sites/WindandWaterWorkforce/Shared%20Documents/OSW%20JEDI%20Upgrades/jedi-osw-model-beta2020_Rob%20Changes_djkDec29chg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rel.sharepoint.com/Users/jstefek/Downloads/JEDI-ORBIT/JEDI-ORBIT/JEDI_installer_Windows/JEDI_installer_Windows/JEDI_installer_Windows/jedi-osw-model-beta20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nrel.sharepoint.com/Users/jstefek/Desktop/Copy%20of%20jedi-osw-model_rel2021-1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nrel.sharepoint.com/sites/StakeholderEngagement/Shared%20Documents/JEDI/jedi-lbw-model-w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JEDI"/>
      <sheetName val="FAQ"/>
      <sheetName val="START"/>
      <sheetName val="STEP 1 - Project Information"/>
      <sheetName val="STEP 2 - Cost Information"/>
      <sheetName val="STEP 3 - Edit Project Data"/>
      <sheetName val="SummaryResults"/>
      <sheetName val="User Add-in Location"/>
      <sheetName val="DefaultData"/>
      <sheetName val="Deflators"/>
      <sheetName val="Household Exp"/>
      <sheetName val="Calculations"/>
      <sheetName val="xlwings.conf"/>
      <sheetName val="Multipliers"/>
      <sheetName val="jedi-lbw-model-w2020"/>
    </sheetNames>
    <sheetDataSet>
      <sheetData sheetId="0"/>
      <sheetData sheetId="1"/>
      <sheetData sheetId="2"/>
      <sheetData sheetId="3"/>
      <sheetData sheetId="4"/>
      <sheetData sheetId="5">
        <row r="9">
          <cell r="X9">
            <v>2000</v>
          </cell>
        </row>
        <row r="10">
          <cell r="X10">
            <v>2001</v>
          </cell>
        </row>
        <row r="11">
          <cell r="X11">
            <v>2002</v>
          </cell>
        </row>
        <row r="12">
          <cell r="X12">
            <v>2003</v>
          </cell>
        </row>
        <row r="13">
          <cell r="X13">
            <v>2004</v>
          </cell>
        </row>
        <row r="14">
          <cell r="X14">
            <v>2005</v>
          </cell>
        </row>
        <row r="15">
          <cell r="X15">
            <v>2006</v>
          </cell>
        </row>
        <row r="16">
          <cell r="X16">
            <v>2007</v>
          </cell>
        </row>
        <row r="17">
          <cell r="X17">
            <v>2008</v>
          </cell>
        </row>
        <row r="18">
          <cell r="X18">
            <v>2009</v>
          </cell>
        </row>
        <row r="19">
          <cell r="X19">
            <v>2010</v>
          </cell>
        </row>
        <row r="20">
          <cell r="X20">
            <v>2011</v>
          </cell>
        </row>
        <row r="21">
          <cell r="X21">
            <v>2012</v>
          </cell>
        </row>
        <row r="22">
          <cell r="X22">
            <v>2013</v>
          </cell>
        </row>
        <row r="23">
          <cell r="X23">
            <v>2014</v>
          </cell>
        </row>
        <row r="24">
          <cell r="X24">
            <v>2015</v>
          </cell>
        </row>
        <row r="25">
          <cell r="X25">
            <v>2016</v>
          </cell>
        </row>
        <row r="26">
          <cell r="X26">
            <v>2017</v>
          </cell>
        </row>
        <row r="27">
          <cell r="X27">
            <v>2018</v>
          </cell>
        </row>
        <row r="28">
          <cell r="X28">
            <v>2019</v>
          </cell>
        </row>
        <row r="29">
          <cell r="X29">
            <v>2020</v>
          </cell>
        </row>
        <row r="30">
          <cell r="X30">
            <v>2021</v>
          </cell>
        </row>
        <row r="31">
          <cell r="X31">
            <v>2022</v>
          </cell>
        </row>
        <row r="32">
          <cell r="X32">
            <v>2023</v>
          </cell>
        </row>
        <row r="33">
          <cell r="X33">
            <v>2024</v>
          </cell>
        </row>
        <row r="34">
          <cell r="X34">
            <v>2025</v>
          </cell>
        </row>
        <row r="35">
          <cell r="X35">
            <v>2026</v>
          </cell>
        </row>
        <row r="36">
          <cell r="X36">
            <v>2027</v>
          </cell>
        </row>
        <row r="37">
          <cell r="X37">
            <v>2028</v>
          </cell>
        </row>
        <row r="38">
          <cell r="X38">
            <v>2029</v>
          </cell>
        </row>
        <row r="39">
          <cell r="X39">
            <v>2030</v>
          </cell>
        </row>
      </sheetData>
      <sheetData sheetId="6"/>
      <sheetData sheetId="7"/>
      <sheetData sheetId="8">
        <row r="202">
          <cell r="D202">
            <v>130</v>
          </cell>
        </row>
      </sheetData>
      <sheetData sheetId="9"/>
      <sheetData sheetId="10"/>
      <sheetData sheetId="11"/>
      <sheetData sheetId="12"/>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Project Data - Step 1"/>
      <sheetName val="Sheet1"/>
      <sheetName val="xlwings.conf"/>
      <sheetName val="Project Data - JEDI Inputs"/>
      <sheetName val="Project Costs - Step 2"/>
      <sheetName val="Local Share - Step 3"/>
      <sheetName val="Model Scenario - Step 4"/>
      <sheetName val="General-Calculations"/>
      <sheetName val="Economic Impact Results"/>
      <sheetName val="Deflators"/>
      <sheetName val="Multipliers"/>
      <sheetName val="Multiplier-Calculations"/>
      <sheetName val="O&amp;M Costs"/>
      <sheetName val="Project Data - ORBIT Inputs"/>
      <sheetName val="User Add-In Location"/>
      <sheetName val="Results Ideas"/>
      <sheetName val="notes"/>
    </sheetNames>
    <sheetDataSet>
      <sheetData sheetId="0"/>
      <sheetData sheetId="1">
        <row r="19">
          <cell r="D19" t="str">
            <v>United States</v>
          </cell>
        </row>
      </sheetData>
      <sheetData sheetId="2"/>
      <sheetData sheetId="3"/>
      <sheetData sheetId="4"/>
      <sheetData sheetId="5">
        <row r="28">
          <cell r="B28" t="str">
            <v>Nacelle/Drivetrain</v>
          </cell>
        </row>
      </sheetData>
      <sheetData sheetId="6">
        <row r="19">
          <cell r="D19">
            <v>0.2</v>
          </cell>
        </row>
      </sheetData>
      <sheetData sheetId="7">
        <row r="23">
          <cell r="B23">
            <v>400</v>
          </cell>
        </row>
      </sheetData>
      <sheetData sheetId="8">
        <row r="18">
          <cell r="C18">
            <v>400</v>
          </cell>
        </row>
      </sheetData>
      <sheetData sheetId="9"/>
      <sheetData sheetId="10">
        <row r="34">
          <cell r="C34">
            <v>1.0422194185205114</v>
          </cell>
        </row>
        <row r="35">
          <cell r="C35">
            <v>0.95949085406560153</v>
          </cell>
        </row>
      </sheetData>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lwings.conf"/>
      <sheetName val="Start"/>
      <sheetName val="Project Data - Step 1"/>
      <sheetName val="Project Data - ORBIT Inputs"/>
      <sheetName val="Project Data - JEDI Inputs"/>
      <sheetName val="Project Costs - Step 2"/>
      <sheetName val="Local Share - Step 3"/>
      <sheetName val="Model Scenario - Step 4"/>
      <sheetName val="Economic Impact Results"/>
      <sheetName val="Results Ideas"/>
      <sheetName val="Calculations"/>
      <sheetName val="User Add-In Location"/>
      <sheetName val="Deflators"/>
      <sheetName val="Multipliers"/>
      <sheetName val="Regions"/>
      <sheetName val="Sheet5"/>
    </sheetNames>
    <sheetDataSet>
      <sheetData sheetId="0"/>
      <sheetData sheetId="1"/>
      <sheetData sheetId="2">
        <row r="21">
          <cell r="D21">
            <v>2019</v>
          </cell>
        </row>
      </sheetData>
      <sheetData sheetId="3"/>
      <sheetData sheetId="4"/>
      <sheetData sheetId="5"/>
      <sheetData sheetId="6"/>
      <sheetData sheetId="7"/>
      <sheetData sheetId="8"/>
      <sheetData sheetId="9"/>
      <sheetData sheetId="10"/>
      <sheetData sheetId="11"/>
      <sheetData sheetId="12">
        <row r="36">
          <cell r="G36">
            <v>1000000</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lwings.conf"/>
      <sheetName val="Start"/>
      <sheetName val="Project Data - Step 1"/>
      <sheetName val="Project Costs - Step 2"/>
      <sheetName val="Optional Turbine Subcomponents"/>
      <sheetName val="Local Share - Step 3"/>
      <sheetName val="Model Scenario - Step 4"/>
      <sheetName val="Economic Impact Results"/>
      <sheetName val="User Add-In Location"/>
      <sheetName val="Multiplier-Calculations"/>
      <sheetName val="General-Calculations"/>
      <sheetName val="Project Data - JEDI Inputs"/>
      <sheetName val="Default Local"/>
      <sheetName val="Multipliers"/>
      <sheetName val="Deflators"/>
      <sheetName val="O&amp;M Costs"/>
      <sheetName val="Project Data - ORBIT Inputs"/>
    </sheetNames>
    <sheetDataSet>
      <sheetData sheetId="0" refreshError="1"/>
      <sheetData sheetId="1" refreshError="1"/>
      <sheetData sheetId="2">
        <row r="53">
          <cell r="D53" t="str">
            <v>Fixed-Bottom</v>
          </cell>
        </row>
      </sheetData>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lwings.conf"/>
      <sheetName val="Start"/>
      <sheetName val="Project Data - Step 1"/>
      <sheetName val="Project Data - JEDI Inputs"/>
      <sheetName val="Project Costs - Step 2"/>
      <sheetName val="Local Share - Step 3"/>
      <sheetName val="Model Scenario - Step 4"/>
      <sheetName val="Economic Impact Results"/>
      <sheetName val="Optional Turbine Subcomponents"/>
      <sheetName val="User Add-In Location"/>
      <sheetName val="Multiplier-Calculations"/>
      <sheetName val="General-Calculations"/>
      <sheetName val="Default Local"/>
      <sheetName val="Multipliers"/>
      <sheetName val="Deflators"/>
      <sheetName val="O&amp;M Costs"/>
      <sheetName val="Project Data - ORBIT Inputs"/>
    </sheetNames>
    <sheetDataSet>
      <sheetData sheetId="0" refreshError="1"/>
      <sheetData sheetId="1" refreshError="1"/>
      <sheetData sheetId="2" refreshError="1">
        <row r="21">
          <cell r="D21">
            <v>2019</v>
          </cell>
        </row>
        <row r="25">
          <cell r="D25" t="str">
            <v>Ring</v>
          </cell>
        </row>
        <row r="52">
          <cell r="D52" t="str">
            <v>Monopile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JEDI"/>
      <sheetName val="FAQ"/>
      <sheetName val="START"/>
      <sheetName val="STEP 1 - Project Information"/>
      <sheetName val="STEP 2 - Cost Information"/>
      <sheetName val="STEP 3 - Edit Project Data"/>
      <sheetName val="SummaryResults"/>
      <sheetName val="User Add-in Location"/>
      <sheetName val="DefaultData"/>
      <sheetName val="Deflators"/>
      <sheetName val="Household Exp"/>
      <sheetName val="Calculations"/>
      <sheetName val="xlwings.conf"/>
      <sheetName val="Multipliers"/>
    </sheetNames>
    <sheetDataSet>
      <sheetData sheetId="0" refreshError="1"/>
      <sheetData sheetId="1" refreshError="1"/>
      <sheetData sheetId="2" refreshError="1"/>
      <sheetData sheetId="3" refreshError="1"/>
      <sheetData sheetId="4" refreshError="1"/>
      <sheetData sheetId="5" refreshError="1"/>
      <sheetData sheetId="6">
        <row r="15">
          <cell r="AU15" t="str">
            <v>Jobs</v>
          </cell>
          <cell r="AV15" t="str">
            <v>Earnings</v>
          </cell>
          <cell r="AW15" t="str">
            <v>Outputs</v>
          </cell>
          <cell r="AX15" t="str">
            <v>Value Add</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Stefek, Jeremy" id="{93A48158-0B73-467E-A479-C153926BBDA1}" userId="S::jstefek@nrel.gov::b686600a-1353-42c4-888d-0f49107466c7" providerId="AD"/>
  <person displayName="Hammond, Rob" id="{A09483BA-5C95-40BA-AC8E-511F8D0E2DFB}" userId="S::rhammond@nrel.gov::94ee2f7e-db45-4a3a-8a33-9e15e2e6688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4" dT="2021-01-25T16:35:57.33" personId="{93A48158-0B73-467E-A479-C153926BBDA1}" id="{296E9CDD-4667-FF4F-825B-90F7BE58B87A}">
    <text>Connected to AT.</text>
  </threadedComment>
</ThreadedComments>
</file>

<file path=xl/threadedComments/threadedComment2.xml><?xml version="1.0" encoding="utf-8"?>
<ThreadedComments xmlns="http://schemas.microsoft.com/office/spreadsheetml/2018/threadedcomments" xmlns:x="http://schemas.openxmlformats.org/spreadsheetml/2006/main">
  <threadedComment ref="C65" dT="2021-02-05T19:35:35.79" personId="{A09483BA-5C95-40BA-AC8E-511F8D0E2DFB}" id="{EC07FDAA-B63E-2C46-B3AD-F11C066582DA}">
    <text>There is a currently a bug in ORBIT where Spar and Semi NOTE: installations do not produce port costs. Jake is planning on working on it later today (most likely), so this should hopefully be fixed soon.</text>
  </threadedComment>
  <threadedComment ref="C65" dT="2021-02-11T18:19:10.93" personId="{93A48158-0B73-467E-A479-C153926BBDA1}" id="{EB87D723-00B5-9B41-93D1-F407B4677B58}" parentId="{EC07FDAA-B63E-2C46-B3AD-F11C066582DA}">
    <text>Thanks for the note.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A4286-B68D-4EED-86FD-65F109D6E96D}">
  <sheetPr codeName="Sheet2">
    <tabColor theme="9"/>
  </sheetPr>
  <dimension ref="A1:P37"/>
  <sheetViews>
    <sheetView showGridLines="0" tabSelected="1" zoomScaleNormal="100" workbookViewId="0">
      <selection activeCell="O30" sqref="O30"/>
    </sheetView>
  </sheetViews>
  <sheetFormatPr defaultColWidth="9.140625" defaultRowHeight="15" x14ac:dyDescent="0.25"/>
  <cols>
    <col min="1" max="6" width="9.140625" style="1"/>
    <col min="7" max="7" width="9.140625" style="1" customWidth="1"/>
    <col min="8" max="16384" width="9.140625" style="1"/>
  </cols>
  <sheetData>
    <row r="1" spans="1:16" ht="40.5" customHeight="1" x14ac:dyDescent="0.25">
      <c r="A1" s="850" t="s">
        <v>0</v>
      </c>
      <c r="B1" s="4"/>
      <c r="C1" s="4"/>
      <c r="D1" s="4"/>
      <c r="E1" s="4"/>
      <c r="F1" s="4"/>
      <c r="G1" s="4"/>
      <c r="H1" s="327"/>
      <c r="I1" s="327"/>
      <c r="J1" s="327"/>
      <c r="K1" s="327"/>
      <c r="L1" s="327"/>
      <c r="M1" s="327"/>
    </row>
    <row r="2" spans="1:16" ht="30.75" customHeight="1" x14ac:dyDescent="0.25">
      <c r="A2" s="851" t="s">
        <v>1</v>
      </c>
      <c r="B2" s="5"/>
      <c r="C2" s="5"/>
      <c r="D2" s="5"/>
      <c r="E2" s="5"/>
      <c r="F2" s="5"/>
      <c r="G2" s="5"/>
      <c r="H2" s="5"/>
      <c r="I2" s="5"/>
      <c r="J2" s="5"/>
      <c r="K2" s="5"/>
      <c r="L2" s="5"/>
      <c r="M2" s="5"/>
    </row>
    <row r="3" spans="1:16" ht="20.25" customHeight="1" x14ac:dyDescent="0.25">
      <c r="A3" s="852" t="s">
        <v>2</v>
      </c>
      <c r="B3" s="7"/>
      <c r="C3" s="7"/>
      <c r="D3" s="7"/>
      <c r="E3" s="7"/>
      <c r="F3" s="7"/>
      <c r="G3" s="7"/>
      <c r="H3" s="7"/>
      <c r="I3" s="7"/>
      <c r="J3" s="7"/>
      <c r="K3" s="7"/>
      <c r="L3" s="7"/>
      <c r="M3" s="7"/>
    </row>
    <row r="4" spans="1:16" x14ac:dyDescent="0.25">
      <c r="B4" s="2"/>
      <c r="C4" s="2"/>
      <c r="D4" s="2"/>
      <c r="E4" s="2"/>
      <c r="F4" s="2"/>
      <c r="G4" s="2"/>
      <c r="H4" s="2"/>
      <c r="I4" s="2"/>
      <c r="J4" s="2"/>
      <c r="K4" s="2"/>
      <c r="L4" s="2"/>
      <c r="M4" s="2"/>
      <c r="N4" s="2"/>
      <c r="O4" s="2"/>
      <c r="P4" s="2"/>
    </row>
    <row r="5" spans="1:16" x14ac:dyDescent="0.25">
      <c r="B5" s="85"/>
      <c r="C5" s="57"/>
      <c r="D5" s="57"/>
      <c r="E5" s="57"/>
      <c r="F5" s="57"/>
      <c r="G5" s="57"/>
      <c r="H5" s="57"/>
      <c r="I5" s="57"/>
      <c r="J5" s="57"/>
      <c r="K5" s="57"/>
      <c r="L5" s="58"/>
      <c r="M5" s="2"/>
      <c r="N5" s="2"/>
      <c r="O5" s="2"/>
      <c r="P5" s="2"/>
    </row>
    <row r="6" spans="1:16" x14ac:dyDescent="0.25">
      <c r="B6" s="86"/>
      <c r="C6" s="56"/>
      <c r="D6" s="56"/>
      <c r="E6" s="56"/>
      <c r="F6" s="56"/>
      <c r="G6" s="56"/>
      <c r="H6" s="56"/>
      <c r="I6" s="56"/>
      <c r="J6" s="56"/>
      <c r="K6" s="56"/>
      <c r="L6" s="87"/>
      <c r="M6" s="2"/>
      <c r="N6" s="2"/>
      <c r="O6" s="2"/>
      <c r="P6" s="2"/>
    </row>
    <row r="7" spans="1:16" x14ac:dyDescent="0.25">
      <c r="B7" s="86"/>
      <c r="C7" s="56"/>
      <c r="D7" s="56"/>
      <c r="E7" s="56"/>
      <c r="F7" s="56"/>
      <c r="G7" s="56"/>
      <c r="H7" s="56"/>
      <c r="I7" s="56"/>
      <c r="J7" s="56"/>
      <c r="K7" s="56"/>
      <c r="L7" s="87"/>
      <c r="M7" s="2"/>
      <c r="N7" s="2"/>
      <c r="O7" s="2"/>
      <c r="P7" s="2"/>
    </row>
    <row r="8" spans="1:16" x14ac:dyDescent="0.25">
      <c r="B8" s="86"/>
      <c r="C8" s="56"/>
      <c r="D8" s="56"/>
      <c r="E8" s="56"/>
      <c r="F8" s="56"/>
      <c r="G8" s="56"/>
      <c r="H8" s="56"/>
      <c r="I8" s="56"/>
      <c r="J8" s="56"/>
      <c r="K8" s="56"/>
      <c r="L8" s="87"/>
      <c r="M8" s="2"/>
      <c r="N8" s="2"/>
      <c r="O8" s="2"/>
      <c r="P8" s="2"/>
    </row>
    <row r="9" spans="1:16" x14ac:dyDescent="0.25">
      <c r="B9" s="86"/>
      <c r="C9" s="56"/>
      <c r="D9" s="56"/>
      <c r="E9" s="56"/>
      <c r="F9" s="56"/>
      <c r="G9" s="56"/>
      <c r="H9" s="56"/>
      <c r="I9" s="56"/>
      <c r="J9" s="56"/>
      <c r="K9" s="56"/>
      <c r="L9" s="87"/>
      <c r="M9" s="2"/>
      <c r="N9" s="2"/>
      <c r="O9" s="2"/>
      <c r="P9" s="2"/>
    </row>
    <row r="10" spans="1:16" x14ac:dyDescent="0.25">
      <c r="B10" s="86"/>
      <c r="C10" s="56"/>
      <c r="D10" s="56"/>
      <c r="E10" s="56"/>
      <c r="F10" s="56"/>
      <c r="G10" s="56"/>
      <c r="H10" s="56"/>
      <c r="I10" s="56"/>
      <c r="J10" s="56"/>
      <c r="K10" s="56"/>
      <c r="L10" s="87"/>
      <c r="M10" s="2"/>
      <c r="N10" s="2"/>
      <c r="O10" s="2"/>
      <c r="P10" s="2"/>
    </row>
    <row r="11" spans="1:16" x14ac:dyDescent="0.25">
      <c r="B11" s="86"/>
      <c r="C11" s="56"/>
      <c r="D11" s="56"/>
      <c r="E11" s="56"/>
      <c r="F11" s="56"/>
      <c r="G11" s="56"/>
      <c r="H11" s="56"/>
      <c r="I11" s="56"/>
      <c r="J11" s="56"/>
      <c r="K11" s="56"/>
      <c r="L11" s="87"/>
      <c r="M11" s="2"/>
      <c r="N11" s="2"/>
      <c r="O11" s="2"/>
      <c r="P11" s="2"/>
    </row>
    <row r="12" spans="1:16" ht="15" customHeight="1" x14ac:dyDescent="0.25">
      <c r="B12" s="86"/>
      <c r="C12" s="91"/>
      <c r="D12" s="56"/>
      <c r="E12" s="56"/>
      <c r="F12" s="56"/>
      <c r="G12" s="56"/>
      <c r="H12" s="56"/>
      <c r="I12" s="56"/>
      <c r="J12" s="56"/>
      <c r="K12" s="56"/>
      <c r="L12" s="87"/>
      <c r="M12" s="2"/>
      <c r="N12" s="2"/>
      <c r="O12" s="2"/>
      <c r="P12" s="2"/>
    </row>
    <row r="13" spans="1:16" x14ac:dyDescent="0.25">
      <c r="B13" s="86"/>
      <c r="C13" s="860" t="s">
        <v>3</v>
      </c>
      <c r="D13" s="861"/>
      <c r="E13" s="861"/>
      <c r="F13" s="861"/>
      <c r="G13" s="861"/>
      <c r="H13" s="861"/>
      <c r="I13" s="861"/>
      <c r="J13" s="861"/>
      <c r="K13" s="862"/>
      <c r="L13" s="87"/>
      <c r="M13" s="2"/>
      <c r="N13" s="2"/>
      <c r="O13" s="2"/>
      <c r="P13" s="2"/>
    </row>
    <row r="14" spans="1:16" ht="15" customHeight="1" x14ac:dyDescent="0.25">
      <c r="B14" s="86"/>
      <c r="C14" s="863"/>
      <c r="D14" s="864"/>
      <c r="E14" s="864"/>
      <c r="F14" s="864"/>
      <c r="G14" s="864"/>
      <c r="H14" s="864"/>
      <c r="I14" s="864"/>
      <c r="J14" s="864"/>
      <c r="K14" s="865"/>
      <c r="L14" s="87"/>
      <c r="M14" s="2"/>
      <c r="N14" s="2"/>
      <c r="O14" s="2"/>
      <c r="P14" s="2"/>
    </row>
    <row r="15" spans="1:16" ht="15.75" customHeight="1" x14ac:dyDescent="0.25">
      <c r="B15" s="86"/>
      <c r="C15" s="863"/>
      <c r="D15" s="864"/>
      <c r="E15" s="864"/>
      <c r="F15" s="864"/>
      <c r="G15" s="864"/>
      <c r="H15" s="864"/>
      <c r="I15" s="864"/>
      <c r="J15" s="864"/>
      <c r="K15" s="865"/>
      <c r="L15" s="87"/>
      <c r="M15" s="2"/>
      <c r="N15" s="2"/>
      <c r="O15" s="2"/>
      <c r="P15" s="2"/>
    </row>
    <row r="16" spans="1:16" ht="15.75" customHeight="1" x14ac:dyDescent="0.25">
      <c r="B16" s="86"/>
      <c r="C16" s="863"/>
      <c r="D16" s="864"/>
      <c r="E16" s="864"/>
      <c r="F16" s="864"/>
      <c r="G16" s="864"/>
      <c r="H16" s="864"/>
      <c r="I16" s="864"/>
      <c r="J16" s="864"/>
      <c r="K16" s="865"/>
      <c r="L16" s="87"/>
      <c r="M16" s="2"/>
      <c r="N16" s="2"/>
      <c r="O16" s="2"/>
      <c r="P16" s="2"/>
    </row>
    <row r="17" spans="2:16" x14ac:dyDescent="0.25">
      <c r="B17" s="86"/>
      <c r="C17" s="863"/>
      <c r="D17" s="864"/>
      <c r="E17" s="864"/>
      <c r="F17" s="864"/>
      <c r="G17" s="864"/>
      <c r="H17" s="864"/>
      <c r="I17" s="864"/>
      <c r="J17" s="864"/>
      <c r="K17" s="865"/>
      <c r="L17" s="87"/>
      <c r="M17" s="2"/>
      <c r="N17" s="2"/>
      <c r="O17" s="2"/>
      <c r="P17" s="2"/>
    </row>
    <row r="18" spans="2:16" ht="15" customHeight="1" x14ac:dyDescent="0.25">
      <c r="B18" s="86"/>
      <c r="C18" s="866"/>
      <c r="D18" s="867"/>
      <c r="E18" s="867"/>
      <c r="F18" s="867"/>
      <c r="G18" s="867"/>
      <c r="H18" s="867"/>
      <c r="I18" s="867"/>
      <c r="J18" s="867"/>
      <c r="K18" s="868"/>
      <c r="L18" s="87"/>
      <c r="M18" s="2"/>
      <c r="N18" s="2"/>
      <c r="O18" s="2"/>
      <c r="P18" s="2"/>
    </row>
    <row r="19" spans="2:16" x14ac:dyDescent="0.25">
      <c r="B19" s="86"/>
      <c r="C19" s="56"/>
      <c r="D19" s="56"/>
      <c r="E19" s="56"/>
      <c r="F19" s="56"/>
      <c r="G19" s="56"/>
      <c r="H19" s="56"/>
      <c r="I19" s="56"/>
      <c r="J19" s="56"/>
      <c r="K19" s="56"/>
      <c r="L19" s="87"/>
      <c r="M19" s="2"/>
      <c r="N19" s="2"/>
      <c r="O19" s="2"/>
      <c r="P19" s="2"/>
    </row>
    <row r="20" spans="2:16" ht="15" customHeight="1" x14ac:dyDescent="0.25">
      <c r="B20" s="86"/>
      <c r="C20" s="860" t="s">
        <v>4</v>
      </c>
      <c r="D20" s="861"/>
      <c r="E20" s="861"/>
      <c r="F20" s="861"/>
      <c r="G20" s="861"/>
      <c r="H20" s="861"/>
      <c r="I20" s="861"/>
      <c r="J20" s="861"/>
      <c r="K20" s="862"/>
      <c r="L20" s="87"/>
      <c r="M20" s="2"/>
      <c r="N20" s="2"/>
      <c r="O20" s="2"/>
      <c r="P20" s="2"/>
    </row>
    <row r="21" spans="2:16" ht="15" customHeight="1" x14ac:dyDescent="0.25">
      <c r="B21" s="86"/>
      <c r="C21" s="863"/>
      <c r="D21" s="864"/>
      <c r="E21" s="864"/>
      <c r="F21" s="864"/>
      <c r="G21" s="864"/>
      <c r="H21" s="864"/>
      <c r="I21" s="864"/>
      <c r="J21" s="864"/>
      <c r="K21" s="865"/>
      <c r="L21" s="87"/>
      <c r="M21" s="2"/>
      <c r="N21" s="2"/>
      <c r="O21" s="2"/>
      <c r="P21" s="2"/>
    </row>
    <row r="22" spans="2:16" x14ac:dyDescent="0.25">
      <c r="B22" s="86"/>
      <c r="C22" s="863"/>
      <c r="D22" s="864"/>
      <c r="E22" s="864"/>
      <c r="F22" s="864"/>
      <c r="G22" s="864"/>
      <c r="H22" s="864"/>
      <c r="I22" s="864"/>
      <c r="J22" s="864"/>
      <c r="K22" s="865"/>
      <c r="L22" s="87"/>
      <c r="M22" s="2"/>
      <c r="N22" s="2"/>
      <c r="O22" s="2"/>
      <c r="P22" s="2"/>
    </row>
    <row r="23" spans="2:16" x14ac:dyDescent="0.25">
      <c r="B23" s="86"/>
      <c r="C23" s="866"/>
      <c r="D23" s="867"/>
      <c r="E23" s="867"/>
      <c r="F23" s="867"/>
      <c r="G23" s="867"/>
      <c r="H23" s="867"/>
      <c r="I23" s="867"/>
      <c r="J23" s="867"/>
      <c r="K23" s="868"/>
      <c r="L23" s="87"/>
      <c r="M23" s="2"/>
      <c r="N23" s="2"/>
      <c r="O23" s="2"/>
      <c r="P23" s="2"/>
    </row>
    <row r="24" spans="2:16" x14ac:dyDescent="0.25">
      <c r="B24" s="86"/>
      <c r="C24" s="56"/>
      <c r="D24" s="56"/>
      <c r="E24" s="56"/>
      <c r="F24" s="56"/>
      <c r="G24" s="56"/>
      <c r="H24" s="56"/>
      <c r="I24" s="56"/>
      <c r="J24" s="56"/>
      <c r="K24" s="56"/>
      <c r="L24" s="87"/>
      <c r="M24" s="2"/>
      <c r="N24" s="2"/>
      <c r="O24" s="2"/>
      <c r="P24" s="2"/>
    </row>
    <row r="25" spans="2:16" ht="15" customHeight="1" x14ac:dyDescent="0.25">
      <c r="B25" s="86"/>
      <c r="C25" s="869" t="s">
        <v>1065</v>
      </c>
      <c r="D25" s="870"/>
      <c r="E25" s="870"/>
      <c r="F25" s="870"/>
      <c r="G25" s="870"/>
      <c r="H25" s="870"/>
      <c r="I25" s="870"/>
      <c r="J25" s="870"/>
      <c r="K25" s="871"/>
      <c r="L25" s="87"/>
      <c r="M25" s="2"/>
      <c r="N25" s="2"/>
      <c r="O25" s="2"/>
      <c r="P25" s="2"/>
    </row>
    <row r="26" spans="2:16" x14ac:dyDescent="0.25">
      <c r="B26" s="86"/>
      <c r="C26" s="872"/>
      <c r="D26" s="873"/>
      <c r="E26" s="873"/>
      <c r="F26" s="873"/>
      <c r="G26" s="873"/>
      <c r="H26" s="873"/>
      <c r="I26" s="873"/>
      <c r="J26" s="873"/>
      <c r="K26" s="874"/>
      <c r="L26" s="87"/>
      <c r="M26" s="2"/>
      <c r="N26" s="2"/>
      <c r="O26" s="2"/>
      <c r="P26" s="2"/>
    </row>
    <row r="27" spans="2:16" x14ac:dyDescent="0.25">
      <c r="B27" s="86"/>
      <c r="C27" s="56"/>
      <c r="D27" s="56"/>
      <c r="E27" s="56"/>
      <c r="F27" s="56"/>
      <c r="G27" s="56"/>
      <c r="H27" s="56"/>
      <c r="I27" s="56"/>
      <c r="J27" s="56"/>
      <c r="K27" s="56"/>
      <c r="L27" s="87"/>
      <c r="M27" s="2"/>
      <c r="N27" s="2"/>
      <c r="O27" s="2"/>
      <c r="P27" s="2"/>
    </row>
    <row r="28" spans="2:16" x14ac:dyDescent="0.25">
      <c r="B28" s="86"/>
      <c r="C28" s="56"/>
      <c r="D28" s="56"/>
      <c r="E28" s="56"/>
      <c r="F28" s="56"/>
      <c r="G28" s="56"/>
      <c r="H28" s="56"/>
      <c r="I28" s="56"/>
      <c r="J28" s="56"/>
      <c r="K28" s="56"/>
      <c r="L28" s="87"/>
      <c r="M28" s="2"/>
      <c r="N28" s="2"/>
      <c r="O28" s="2"/>
      <c r="P28" s="2"/>
    </row>
    <row r="29" spans="2:16" x14ac:dyDescent="0.25">
      <c r="B29" s="86"/>
      <c r="C29" s="56"/>
      <c r="D29" s="56"/>
      <c r="E29" s="56"/>
      <c r="F29" s="56"/>
      <c r="G29" s="56"/>
      <c r="H29" s="56"/>
      <c r="I29" s="56"/>
      <c r="J29" s="56"/>
      <c r="K29" s="56"/>
      <c r="L29" s="87"/>
      <c r="M29" s="2"/>
      <c r="N29" s="2"/>
      <c r="O29" s="2"/>
      <c r="P29" s="2"/>
    </row>
    <row r="30" spans="2:16" x14ac:dyDescent="0.25">
      <c r="B30" s="86"/>
      <c r="C30" s="56"/>
      <c r="D30" s="56"/>
      <c r="E30" s="56"/>
      <c r="F30" s="56"/>
      <c r="G30" s="56"/>
      <c r="H30" s="56"/>
      <c r="I30" s="56"/>
      <c r="J30" s="56"/>
      <c r="K30" s="56"/>
      <c r="L30" s="87"/>
      <c r="M30" s="2"/>
      <c r="N30" s="2"/>
      <c r="O30" s="2"/>
      <c r="P30" s="2"/>
    </row>
    <row r="31" spans="2:16" x14ac:dyDescent="0.25">
      <c r="B31" s="86"/>
      <c r="C31" s="56"/>
      <c r="D31" s="56"/>
      <c r="E31" s="56"/>
      <c r="F31" s="56"/>
      <c r="G31" s="56"/>
      <c r="H31" s="56"/>
      <c r="I31" s="56"/>
      <c r="J31" s="56"/>
      <c r="K31" s="56"/>
      <c r="L31" s="87"/>
      <c r="M31" s="2"/>
      <c r="N31" s="2"/>
      <c r="O31" s="2"/>
      <c r="P31" s="2"/>
    </row>
    <row r="32" spans="2:16" x14ac:dyDescent="0.25">
      <c r="B32" s="86"/>
      <c r="C32" s="56"/>
      <c r="D32" s="56"/>
      <c r="E32" s="56"/>
      <c r="F32" s="56"/>
      <c r="G32" s="56"/>
      <c r="H32" s="56"/>
      <c r="I32" s="56"/>
      <c r="J32" s="56"/>
      <c r="K32" s="56"/>
      <c r="L32" s="87"/>
      <c r="M32" s="2"/>
      <c r="N32" s="2"/>
      <c r="O32" s="2"/>
      <c r="P32" s="2"/>
    </row>
    <row r="33" spans="2:16" x14ac:dyDescent="0.25">
      <c r="B33" s="86"/>
      <c r="C33" s="56"/>
      <c r="D33" s="56"/>
      <c r="E33" s="56"/>
      <c r="F33" s="56"/>
      <c r="G33" s="56"/>
      <c r="H33" s="56"/>
      <c r="I33" s="56"/>
      <c r="J33" s="56"/>
      <c r="K33" s="56"/>
      <c r="L33" s="87"/>
      <c r="M33" s="2"/>
      <c r="N33" s="2"/>
      <c r="O33" s="2"/>
      <c r="P33" s="2"/>
    </row>
    <row r="34" spans="2:16" x14ac:dyDescent="0.25">
      <c r="B34" s="88"/>
      <c r="C34" s="89"/>
      <c r="D34" s="89"/>
      <c r="E34" s="89"/>
      <c r="F34" s="89"/>
      <c r="G34" s="89"/>
      <c r="H34" s="89"/>
      <c r="I34" s="89"/>
      <c r="J34" s="89"/>
      <c r="K34" s="89"/>
      <c r="L34" s="90"/>
      <c r="M34" s="2"/>
      <c r="N34" s="2"/>
      <c r="O34" s="2"/>
      <c r="P34" s="2"/>
    </row>
    <row r="35" spans="2:16" x14ac:dyDescent="0.25">
      <c r="B35" s="2"/>
      <c r="C35" s="2"/>
      <c r="D35" s="2"/>
      <c r="E35" s="2"/>
      <c r="F35" s="2"/>
      <c r="G35" s="2"/>
      <c r="H35" s="2"/>
      <c r="I35" s="2"/>
      <c r="J35" s="2"/>
      <c r="K35" s="2"/>
      <c r="L35" s="2"/>
      <c r="M35" s="2"/>
      <c r="N35" s="2"/>
      <c r="O35" s="2"/>
      <c r="P35" s="2"/>
    </row>
    <row r="36" spans="2:16" x14ac:dyDescent="0.25">
      <c r="B36" s="2"/>
      <c r="C36" s="2"/>
      <c r="D36" s="2"/>
      <c r="E36" s="2"/>
      <c r="F36" s="2"/>
      <c r="G36" s="2"/>
      <c r="H36" s="2"/>
      <c r="I36" s="2"/>
      <c r="J36" s="2"/>
      <c r="K36" s="2"/>
      <c r="L36" s="2"/>
      <c r="M36" s="2"/>
      <c r="N36" s="2"/>
      <c r="O36" s="2"/>
      <c r="P36" s="2"/>
    </row>
    <row r="37" spans="2:16" x14ac:dyDescent="0.25">
      <c r="B37" s="2"/>
      <c r="C37" s="2"/>
      <c r="D37" s="2"/>
      <c r="E37" s="2"/>
      <c r="F37" s="2"/>
      <c r="G37" s="2"/>
      <c r="H37" s="2"/>
      <c r="I37" s="2"/>
      <c r="J37" s="2"/>
      <c r="K37" s="2"/>
      <c r="L37" s="2"/>
      <c r="M37" s="2"/>
      <c r="N37" s="2"/>
    </row>
  </sheetData>
  <sheetProtection algorithmName="SHA-512" hashValue="PY208tlJrPilnkmAIUPYJLNZOhpSNrT9lXh/dBy7lWNeHuNWUGaKq//Gbslq8Rp/Am1GIrOvAAQ0ipy2EIxGDQ==" saltValue="Onaxa9eU5eUBCI4ZWkc97Q==" spinCount="100000" sheet="1" objects="1" scenarios="1"/>
  <mergeCells count="3">
    <mergeCell ref="C13:K18"/>
    <mergeCell ref="C20:K23"/>
    <mergeCell ref="C25:K26"/>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C1A09-4344-4824-8AA5-D34AD5D77EEB}">
  <sheetPr codeName="Sheet1">
    <tabColor theme="6"/>
    <pageSetUpPr autoPageBreaks="0"/>
  </sheetPr>
  <dimension ref="A1:L123"/>
  <sheetViews>
    <sheetView showGridLines="0" zoomScaleNormal="100" workbookViewId="0">
      <selection activeCell="N62" sqref="N62"/>
    </sheetView>
  </sheetViews>
  <sheetFormatPr defaultColWidth="9.140625" defaultRowHeight="15" x14ac:dyDescent="0.25"/>
  <cols>
    <col min="1" max="1" width="7.140625" style="1" customWidth="1"/>
    <col min="2" max="2" width="48.42578125" style="1" customWidth="1"/>
    <col min="3" max="3" width="38.7109375" style="1" customWidth="1"/>
    <col min="4" max="4" width="26.42578125" style="1" customWidth="1"/>
    <col min="5" max="5" width="6.85546875" style="1" customWidth="1"/>
    <col min="6" max="6" width="7.140625" style="1" customWidth="1"/>
    <col min="7" max="7" width="23.85546875" style="1" hidden="1" customWidth="1"/>
    <col min="8" max="9" width="0" style="1" hidden="1" customWidth="1"/>
    <col min="10" max="16384" width="9.140625" style="1"/>
  </cols>
  <sheetData>
    <row r="1" spans="1:9" ht="40.5" customHeight="1" x14ac:dyDescent="0.25">
      <c r="A1" s="850" t="s">
        <v>0</v>
      </c>
      <c r="B1" s="4"/>
      <c r="C1" s="4"/>
      <c r="D1" s="4"/>
      <c r="E1" s="4"/>
      <c r="F1" s="4"/>
      <c r="G1" s="4"/>
    </row>
    <row r="2" spans="1:9" ht="30.75" customHeight="1" x14ac:dyDescent="0.25">
      <c r="A2" s="851" t="s">
        <v>1</v>
      </c>
      <c r="B2" s="5"/>
      <c r="C2" s="5"/>
      <c r="D2" s="5"/>
      <c r="E2" s="5"/>
      <c r="F2" s="5"/>
      <c r="G2" s="5"/>
    </row>
    <row r="3" spans="1:9" ht="20.25" customHeight="1" x14ac:dyDescent="0.25">
      <c r="A3" s="852" t="s">
        <v>2</v>
      </c>
      <c r="B3" s="7"/>
      <c r="C3" s="7"/>
      <c r="D3" s="7"/>
      <c r="E3" s="7"/>
      <c r="F3" s="7"/>
      <c r="G3" s="7"/>
    </row>
    <row r="4" spans="1:9" ht="15" customHeight="1" x14ac:dyDescent="0.25">
      <c r="A4" s="6"/>
    </row>
    <row r="5" spans="1:9" ht="27" customHeight="1" x14ac:dyDescent="0.25">
      <c r="B5" s="11" t="s">
        <v>5</v>
      </c>
      <c r="C5" s="12"/>
      <c r="D5" s="12"/>
      <c r="E5" s="12"/>
      <c r="F5" s="13"/>
    </row>
    <row r="6" spans="1:9" ht="15" customHeight="1" x14ac:dyDescent="0.35">
      <c r="B6" s="8"/>
    </row>
    <row r="7" spans="1:9" x14ac:dyDescent="0.25">
      <c r="B7" s="589" t="s">
        <v>6</v>
      </c>
    </row>
    <row r="8" spans="1:9" x14ac:dyDescent="0.25">
      <c r="B8" s="875" t="s">
        <v>7</v>
      </c>
      <c r="C8" s="876"/>
      <c r="D8" s="876"/>
      <c r="E8" s="876"/>
      <c r="F8" s="877"/>
      <c r="G8" s="16"/>
    </row>
    <row r="9" spans="1:9" ht="60" customHeight="1" x14ac:dyDescent="0.25">
      <c r="B9" s="878"/>
      <c r="C9" s="879"/>
      <c r="D9" s="879"/>
      <c r="E9" s="879"/>
      <c r="F9" s="880"/>
      <c r="G9" s="2"/>
    </row>
    <row r="15" spans="1:9" ht="18" x14ac:dyDescent="0.25">
      <c r="B15" s="881" t="s">
        <v>8</v>
      </c>
      <c r="C15" s="882"/>
      <c r="D15" s="882"/>
      <c r="E15" s="882"/>
      <c r="F15" s="883"/>
    </row>
    <row r="16" spans="1:9" x14ac:dyDescent="0.25">
      <c r="B16" s="92" t="s">
        <v>9</v>
      </c>
      <c r="C16" s="100" t="s">
        <v>10</v>
      </c>
      <c r="D16" s="93" t="s">
        <v>11</v>
      </c>
      <c r="E16" s="93"/>
      <c r="F16" s="94" t="s">
        <v>12</v>
      </c>
      <c r="G16" s="50"/>
      <c r="H16" s="3"/>
      <c r="I16" s="3"/>
    </row>
    <row r="17" spans="1:9" ht="15.75" x14ac:dyDescent="0.25">
      <c r="B17" s="20" t="s">
        <v>13</v>
      </c>
      <c r="C17" s="21"/>
      <c r="D17" s="21"/>
      <c r="E17" s="21"/>
      <c r="F17" s="10"/>
      <c r="G17" s="3"/>
      <c r="H17" s="135"/>
      <c r="I17" s="3"/>
    </row>
    <row r="18" spans="1:9" ht="15.75" x14ac:dyDescent="0.3">
      <c r="B18" s="22" t="s">
        <v>14</v>
      </c>
      <c r="C18" s="97"/>
      <c r="D18" s="136" t="s">
        <v>15</v>
      </c>
      <c r="E18" s="23"/>
      <c r="F18" s="14"/>
      <c r="G18" s="3"/>
      <c r="H18" s="3"/>
      <c r="I18" s="3"/>
    </row>
    <row r="19" spans="1:9" ht="15.75" x14ac:dyDescent="0.3">
      <c r="B19" s="22" t="s">
        <v>16</v>
      </c>
      <c r="C19" s="97" t="s">
        <v>17</v>
      </c>
      <c r="D19" s="95" t="s">
        <v>530</v>
      </c>
      <c r="E19" s="23"/>
      <c r="F19" s="14"/>
      <c r="G19" s="3"/>
      <c r="H19" s="288" t="s">
        <v>19</v>
      </c>
      <c r="I19" s="3"/>
    </row>
    <row r="20" spans="1:9" ht="15.75" x14ac:dyDescent="0.3">
      <c r="B20" s="22" t="s">
        <v>20</v>
      </c>
      <c r="C20" s="97" t="s">
        <v>17</v>
      </c>
      <c r="D20" s="95" t="s">
        <v>530</v>
      </c>
      <c r="E20" s="23"/>
      <c r="F20" s="14"/>
      <c r="G20" s="3"/>
      <c r="H20" s="288" t="s">
        <v>19</v>
      </c>
      <c r="I20" s="3"/>
    </row>
    <row r="21" spans="1:9" ht="15.75" x14ac:dyDescent="0.3">
      <c r="B21" s="24" t="s">
        <v>22</v>
      </c>
      <c r="C21" s="98" t="s">
        <v>23</v>
      </c>
      <c r="D21" s="95">
        <v>2024</v>
      </c>
      <c r="E21" s="23"/>
      <c r="F21" s="14"/>
      <c r="G21" s="3"/>
      <c r="H21" s="288" t="s">
        <v>24</v>
      </c>
      <c r="I21" s="3"/>
    </row>
    <row r="22" spans="1:9" ht="15.75" x14ac:dyDescent="0.3">
      <c r="B22" s="24" t="s">
        <v>25</v>
      </c>
      <c r="C22" s="98" t="s">
        <v>23</v>
      </c>
      <c r="D22" s="95">
        <v>2022</v>
      </c>
      <c r="E22" s="23"/>
      <c r="F22" s="14"/>
      <c r="G22" s="49"/>
    </row>
    <row r="23" spans="1:9" ht="15.75" x14ac:dyDescent="0.25">
      <c r="A23" s="50"/>
      <c r="B23" s="20" t="s">
        <v>26</v>
      </c>
      <c r="C23" s="99"/>
      <c r="D23" s="96"/>
      <c r="E23" s="21"/>
      <c r="F23" s="10"/>
    </row>
    <row r="24" spans="1:9" ht="15.75" x14ac:dyDescent="0.3">
      <c r="A24" s="50"/>
      <c r="B24" s="24" t="s">
        <v>27</v>
      </c>
      <c r="C24" s="98" t="s">
        <v>28</v>
      </c>
      <c r="D24" s="129">
        <f>D25*D31</f>
        <v>900</v>
      </c>
      <c r="E24" s="23"/>
      <c r="F24" s="14" t="s">
        <v>29</v>
      </c>
    </row>
    <row r="25" spans="1:9" ht="15.75" x14ac:dyDescent="0.3">
      <c r="A25" s="50"/>
      <c r="B25" s="24" t="s">
        <v>30</v>
      </c>
      <c r="C25" s="98"/>
      <c r="D25" s="106">
        <v>75</v>
      </c>
      <c r="E25" s="23"/>
      <c r="F25" s="14"/>
    </row>
    <row r="26" spans="1:9" ht="15.75" x14ac:dyDescent="0.3">
      <c r="A26" s="50"/>
      <c r="B26" s="24" t="s">
        <v>31</v>
      </c>
      <c r="C26" s="98"/>
      <c r="D26" s="95" t="s">
        <v>32</v>
      </c>
      <c r="E26" s="23"/>
      <c r="F26" s="14"/>
    </row>
    <row r="27" spans="1:9" ht="15.75" x14ac:dyDescent="0.3">
      <c r="A27" s="50"/>
      <c r="B27" s="24" t="s">
        <v>33</v>
      </c>
      <c r="C27" s="98" t="s">
        <v>34</v>
      </c>
      <c r="D27" s="95">
        <v>7</v>
      </c>
      <c r="E27" s="23"/>
      <c r="F27" s="14"/>
    </row>
    <row r="28" spans="1:9" ht="15.75" x14ac:dyDescent="0.3">
      <c r="A28" s="50"/>
      <c r="B28" s="24" t="s">
        <v>35</v>
      </c>
      <c r="C28" s="98" t="s">
        <v>34</v>
      </c>
      <c r="D28" s="95">
        <v>7</v>
      </c>
      <c r="E28" s="23"/>
      <c r="F28" s="14"/>
    </row>
    <row r="29" spans="1:9" ht="15.75" x14ac:dyDescent="0.25">
      <c r="A29" s="50"/>
      <c r="B29" s="20" t="s">
        <v>36</v>
      </c>
      <c r="C29" s="99"/>
      <c r="D29" s="96"/>
      <c r="E29" s="21"/>
      <c r="F29" s="10"/>
    </row>
    <row r="30" spans="1:9" ht="15.75" x14ac:dyDescent="0.3">
      <c r="A30" s="50"/>
      <c r="B30" s="24" t="s">
        <v>37</v>
      </c>
      <c r="C30" s="98"/>
      <c r="D30" s="95" t="s">
        <v>776</v>
      </c>
      <c r="E30" s="23"/>
      <c r="F30" s="14"/>
    </row>
    <row r="31" spans="1:9" ht="15.75" x14ac:dyDescent="0.3">
      <c r="A31" s="50"/>
      <c r="B31" s="127" t="s">
        <v>39</v>
      </c>
      <c r="C31" s="98" t="s">
        <v>28</v>
      </c>
      <c r="D31" s="129">
        <f>IF($D$30="SWT 6MW 154",'Project Data - JEDI Inputs'!D75,IF($D$30="12MW Generic",'Project Data - JEDI Inputs'!E75,IF($D$30="15MW Reference",'Project Data - JEDI Inputs'!F75,IF($D$30="Custom",'Project Data - JEDI Inputs'!G75))))</f>
        <v>12</v>
      </c>
      <c r="E31" s="23"/>
      <c r="F31" s="14"/>
    </row>
    <row r="32" spans="1:9" ht="15.75" x14ac:dyDescent="0.3">
      <c r="A32" s="50"/>
      <c r="B32" s="127" t="s">
        <v>40</v>
      </c>
      <c r="C32" s="97" t="s">
        <v>41</v>
      </c>
      <c r="D32" s="129">
        <f>IF($D$30="SWT 6MW 154",'Project Data - JEDI Inputs'!D72,IF($D$30="12MW Generic",'Project Data - JEDI Inputs'!E72,IF($D$30="15MW Reference",'Project Data - JEDI Inputs'!F72,IF($D$30="Custom",'Project Data - JEDI Inputs'!G72))))</f>
        <v>215</v>
      </c>
      <c r="E32" s="23"/>
      <c r="F32" s="14"/>
    </row>
    <row r="33" spans="1:6" ht="15.75" x14ac:dyDescent="0.3">
      <c r="A33" s="50"/>
      <c r="B33" s="127" t="s">
        <v>42</v>
      </c>
      <c r="C33" s="97" t="s">
        <v>41</v>
      </c>
      <c r="D33" s="129">
        <f>IF($D$30="SWT 6MW 154",'Project Data - JEDI Inputs'!D73,IF($D$30="12MW Generic",'Project Data - JEDI Inputs'!E73,IF($D$30="15MW Reference",'Project Data - JEDI Inputs'!F73,IF($D$30="Custom",'Project Data - JEDI Inputs'!G73))))</f>
        <v>132</v>
      </c>
      <c r="E33" s="23"/>
      <c r="F33" s="14"/>
    </row>
    <row r="34" spans="1:6" ht="15.75" x14ac:dyDescent="0.3">
      <c r="A34" s="50"/>
      <c r="B34" s="127" t="s">
        <v>43</v>
      </c>
      <c r="C34" s="97" t="s">
        <v>44</v>
      </c>
      <c r="D34" s="802">
        <f>IF($D$30="SWT 6MW 154",'Project Data - JEDI Inputs'!D74,IF($D$30="12MW Generic",'Project Data - JEDI Inputs'!E74,IF($D$30="15MW Reference",'Project Data - JEDI Inputs'!F74,IF($D$30="Custom",'Project Data - JEDI Inputs'!G74))))</f>
        <v>11</v>
      </c>
      <c r="E34" s="23"/>
      <c r="F34" s="14"/>
    </row>
    <row r="35" spans="1:6" ht="15.75" x14ac:dyDescent="0.3">
      <c r="A35" s="50"/>
      <c r="B35" s="127" t="s">
        <v>45</v>
      </c>
      <c r="C35" s="97" t="s">
        <v>46</v>
      </c>
      <c r="D35" s="129">
        <f>IF($D$30="SWT 6MW 154",'Project Data - JEDI Inputs'!D76,IF($D$30="12MW Generic",'Project Data - JEDI Inputs'!E76,IF($D$30="15MW Reference",'Project Data - JEDI Inputs'!F76,IF($D$30="Custom",'Project Data - JEDI Inputs'!G76))))</f>
        <v>54</v>
      </c>
      <c r="E35" s="23"/>
      <c r="F35" s="14"/>
    </row>
    <row r="36" spans="1:6" ht="15.75" x14ac:dyDescent="0.3">
      <c r="A36" s="50"/>
      <c r="B36" s="127" t="s">
        <v>47</v>
      </c>
      <c r="C36" s="97" t="s">
        <v>48</v>
      </c>
      <c r="D36" s="129">
        <f>IF($D$30="SWT 6MW 154",'Project Data - JEDI Inputs'!D77,IF($D$30="12MW Generic",'Project Data - JEDI Inputs'!E77,IF($D$30="15MW Reference",'Project Data - JEDI Inputs'!F77,IF($D$30="Custom",'Project Data - JEDI Inputs'!G77))))</f>
        <v>385</v>
      </c>
      <c r="E36" s="23"/>
      <c r="F36" s="14"/>
    </row>
    <row r="37" spans="1:6" ht="15.75" x14ac:dyDescent="0.3">
      <c r="A37" s="50"/>
      <c r="B37" s="127" t="s">
        <v>49</v>
      </c>
      <c r="C37" s="97" t="s">
        <v>41</v>
      </c>
      <c r="D37" s="129">
        <f>IF($D$30="SWT 6MW 154",'Project Data - JEDI Inputs'!D78,IF($D$30="12MW Generic",'Project Data - JEDI Inputs'!E78,IF($D$30="15MW Reference",'Project Data - JEDI Inputs'!F78,IF($D$30="Custom",'Project Data - JEDI Inputs'!G78))))</f>
        <v>107</v>
      </c>
      <c r="E37" s="23"/>
      <c r="F37" s="14"/>
    </row>
    <row r="38" spans="1:6" ht="15.75" x14ac:dyDescent="0.3">
      <c r="A38" s="50"/>
      <c r="B38" s="127" t="s">
        <v>50</v>
      </c>
      <c r="C38" s="97" t="s">
        <v>46</v>
      </c>
      <c r="D38" s="129">
        <f>IF($D$30="SWT 6MW 154",'Project Data - JEDI Inputs'!D79,IF($D$30="12MW Generic",'Project Data - JEDI Inputs'!E79,IF($D$30="15MW Reference",'Project Data - JEDI Inputs'!F79,IF($D$30="Custom",'Project Data - JEDI Inputs'!G79))))</f>
        <v>604</v>
      </c>
      <c r="E38" s="23"/>
      <c r="F38" s="14"/>
    </row>
    <row r="39" spans="1:6" ht="15.75" x14ac:dyDescent="0.3">
      <c r="A39" s="50"/>
      <c r="B39" s="127" t="s">
        <v>51</v>
      </c>
      <c r="C39" s="97" t="s">
        <v>48</v>
      </c>
      <c r="D39" s="129">
        <f>IF($D$30="SWT 6MW 154",'Project Data - JEDI Inputs'!D80,IF($D$30="12MW Generic",'Project Data - JEDI Inputs'!E80,IF($D$30="15MW Reference",'Project Data - JEDI Inputs'!F80,IF($D$30="Custom",'Project Data - JEDI Inputs'!G80))))</f>
        <v>203</v>
      </c>
      <c r="E39" s="23"/>
      <c r="F39" s="14"/>
    </row>
    <row r="40" spans="1:6" ht="15.75" x14ac:dyDescent="0.3">
      <c r="A40" s="50"/>
      <c r="B40" s="127" t="s">
        <v>52</v>
      </c>
      <c r="C40" s="97" t="s">
        <v>46</v>
      </c>
      <c r="D40" s="129">
        <f>IF($D$30="SWT 6MW 154",'Project Data - JEDI Inputs'!D81,IF($D$30="12MW Generic",'Project Data - JEDI Inputs'!E81,IF($D$30="15MW Reference",'Project Data - JEDI Inputs'!F81,IF($D$30="Custom",'Project Data - JEDI Inputs'!G81))))</f>
        <v>399</v>
      </c>
      <c r="E40" s="23"/>
      <c r="F40" s="14"/>
    </row>
    <row r="41" spans="1:6" ht="15.75" x14ac:dyDescent="0.3">
      <c r="A41" s="50"/>
      <c r="B41" s="127" t="s">
        <v>53</v>
      </c>
      <c r="C41" s="97" t="s">
        <v>48</v>
      </c>
      <c r="D41" s="802">
        <f>IF($D$30="SWT 6MW 154",'Project Data - JEDI Inputs'!D82,IF($D$30="12MW Generic",'Project Data - JEDI Inputs'!E82,IF($D$30="15MW Reference",'Project Data - JEDI Inputs'!F82,IF($D$30="Custom",'Project Data - JEDI Inputs'!G82))))</f>
        <v>50.24</v>
      </c>
      <c r="E41" s="23"/>
      <c r="F41" s="14"/>
    </row>
    <row r="42" spans="1:6" ht="15.75" x14ac:dyDescent="0.3">
      <c r="A42" s="50"/>
      <c r="B42" s="127" t="s">
        <v>54</v>
      </c>
      <c r="C42" s="97" t="s">
        <v>41</v>
      </c>
      <c r="D42" s="129">
        <f>IF($D$30="SWT 6MW 154",'Project Data - JEDI Inputs'!D83,IF($D$30="12MW Generic",'Project Data - JEDI Inputs'!E83,IF($D$30="15MW Reference",'Project Data - JEDI Inputs'!F83,IF($D$30="Custom",'Project Data - JEDI Inputs'!G83))))</f>
        <v>132</v>
      </c>
      <c r="E42" s="23"/>
      <c r="F42" s="14"/>
    </row>
    <row r="43" spans="1:6" ht="15.75" x14ac:dyDescent="0.3">
      <c r="A43" s="50"/>
      <c r="B43" s="127" t="s">
        <v>55</v>
      </c>
      <c r="C43" s="97"/>
      <c r="D43" s="129">
        <f>IF($D$30="SWT 6MW 154",'Project Data - JEDI Inputs'!D84,IF($D$30="12MW Generic",'Project Data - JEDI Inputs'!E84,IF($D$30="15MW Reference",'Project Data - JEDI Inputs'!F84,IF($D$30="Custom",'Project Data - JEDI Inputs'!G84))))</f>
        <v>2</v>
      </c>
      <c r="E43" s="23"/>
      <c r="F43" s="14"/>
    </row>
    <row r="44" spans="1:6" ht="15.75" x14ac:dyDescent="0.25">
      <c r="A44" s="50"/>
      <c r="B44" s="20" t="s">
        <v>56</v>
      </c>
      <c r="C44" s="99"/>
      <c r="D44" s="96"/>
      <c r="E44" s="21"/>
      <c r="F44" s="10"/>
    </row>
    <row r="45" spans="1:6" ht="15.75" x14ac:dyDescent="0.3">
      <c r="A45" s="50"/>
      <c r="B45" s="24" t="s">
        <v>57</v>
      </c>
      <c r="C45" s="97" t="s">
        <v>41</v>
      </c>
      <c r="D45" s="95">
        <v>22.5</v>
      </c>
      <c r="E45" s="23"/>
      <c r="F45" s="14"/>
    </row>
    <row r="46" spans="1:6" ht="15.75" x14ac:dyDescent="0.3">
      <c r="A46" s="50"/>
      <c r="B46" s="24" t="s">
        <v>58</v>
      </c>
      <c r="C46" s="97" t="s">
        <v>44</v>
      </c>
      <c r="D46" s="858">
        <f>LOOKUP(D20,'Project Data - JEDI Inputs'!C89:C126,'Project Data - JEDI Inputs'!D89:D126)</f>
        <v>8.0133333333333301</v>
      </c>
      <c r="E46" s="23"/>
      <c r="F46" s="14"/>
    </row>
    <row r="47" spans="1:6" ht="15.75" x14ac:dyDescent="0.3">
      <c r="A47" s="50"/>
      <c r="B47" s="24" t="s">
        <v>59</v>
      </c>
      <c r="C47" s="97" t="s">
        <v>60</v>
      </c>
      <c r="D47" s="95">
        <v>40</v>
      </c>
      <c r="E47" s="23"/>
      <c r="F47" s="14"/>
    </row>
    <row r="48" spans="1:6" ht="15.75" x14ac:dyDescent="0.3">
      <c r="A48" s="50"/>
      <c r="B48" s="24" t="s">
        <v>61</v>
      </c>
      <c r="C48" s="98" t="s">
        <v>60</v>
      </c>
      <c r="D48" s="95">
        <f>'Project Data - JEDI Inputs'!C128</f>
        <v>2</v>
      </c>
      <c r="E48" s="23"/>
      <c r="F48" s="14"/>
    </row>
    <row r="49" spans="1:11" ht="15.75" x14ac:dyDescent="0.3">
      <c r="A49" s="50"/>
      <c r="B49" s="24" t="s">
        <v>62</v>
      </c>
      <c r="C49" s="97" t="s">
        <v>60</v>
      </c>
      <c r="D49" s="95">
        <f>'Project Data - JEDI Inputs'!C129</f>
        <v>20</v>
      </c>
      <c r="E49" s="23"/>
      <c r="F49" s="14"/>
    </row>
    <row r="50" spans="1:11" ht="15.75" x14ac:dyDescent="0.3">
      <c r="A50" s="50"/>
      <c r="B50" s="24" t="s">
        <v>63</v>
      </c>
      <c r="C50" s="97" t="s">
        <v>60</v>
      </c>
      <c r="D50" s="95">
        <v>10</v>
      </c>
      <c r="E50" s="23"/>
      <c r="F50" s="14"/>
    </row>
    <row r="51" spans="1:11" ht="15.75" x14ac:dyDescent="0.3">
      <c r="A51" s="50"/>
      <c r="B51" s="24" t="s">
        <v>64</v>
      </c>
      <c r="C51" s="97" t="s">
        <v>60</v>
      </c>
      <c r="D51" s="95">
        <f>'Project Data - JEDI Inputs'!C130</f>
        <v>3</v>
      </c>
      <c r="E51" s="23"/>
      <c r="F51" s="14"/>
    </row>
    <row r="52" spans="1:11" ht="15.75" x14ac:dyDescent="0.25">
      <c r="A52" s="50"/>
      <c r="B52" s="20" t="s">
        <v>65</v>
      </c>
      <c r="C52" s="99"/>
      <c r="D52" s="96"/>
      <c r="E52" s="21"/>
      <c r="F52" s="10"/>
    </row>
    <row r="53" spans="1:11" ht="15.75" x14ac:dyDescent="0.3">
      <c r="A53" s="50"/>
      <c r="B53" s="24" t="s">
        <v>66</v>
      </c>
      <c r="C53" s="97"/>
      <c r="D53" s="128" t="s">
        <v>67</v>
      </c>
      <c r="E53" s="23"/>
      <c r="F53" s="14"/>
      <c r="G53" s="327" t="s">
        <v>68</v>
      </c>
    </row>
    <row r="54" spans="1:11" ht="15.75" x14ac:dyDescent="0.3">
      <c r="A54" s="50"/>
      <c r="B54" s="24" t="s">
        <v>69</v>
      </c>
      <c r="C54" s="97"/>
      <c r="D54" s="128" t="str">
        <f>'Project Data - JEDI Inputs'!C136</f>
        <v>Fixed-Bottom</v>
      </c>
      <c r="E54" s="23"/>
      <c r="F54" s="14"/>
      <c r="H54" s="283"/>
    </row>
    <row r="55" spans="1:11" ht="15.75" hidden="1" x14ac:dyDescent="0.3">
      <c r="A55" s="50"/>
      <c r="B55" s="24" t="s">
        <v>70</v>
      </c>
      <c r="C55" s="97"/>
      <c r="D55" s="128" t="s">
        <v>71</v>
      </c>
      <c r="E55" s="23"/>
      <c r="F55" s="14"/>
      <c r="H55" s="283"/>
    </row>
    <row r="56" spans="1:11" ht="15.75" hidden="1" x14ac:dyDescent="0.3">
      <c r="A56" s="50"/>
      <c r="B56" s="24" t="s">
        <v>72</v>
      </c>
      <c r="C56" s="97"/>
      <c r="D56" s="128">
        <f>'Project Data - JEDI Inputs'!C139</f>
        <v>4</v>
      </c>
      <c r="E56" s="23"/>
      <c r="F56" s="14"/>
      <c r="H56" s="283"/>
    </row>
    <row r="57" spans="1:11" ht="15.75" x14ac:dyDescent="0.3">
      <c r="A57" s="50"/>
      <c r="B57" s="24" t="s">
        <v>73</v>
      </c>
      <c r="C57" s="97" t="s">
        <v>74</v>
      </c>
      <c r="D57" s="128">
        <v>40</v>
      </c>
      <c r="E57" s="23"/>
      <c r="F57" s="14"/>
      <c r="H57" s="283"/>
    </row>
    <row r="58" spans="1:11" ht="15.75" x14ac:dyDescent="0.25">
      <c r="A58" s="50"/>
      <c r="B58" s="20" t="s">
        <v>75</v>
      </c>
      <c r="C58" s="99"/>
      <c r="D58" s="96"/>
      <c r="E58" s="21"/>
      <c r="F58" s="10"/>
    </row>
    <row r="59" spans="1:11" ht="15.75" x14ac:dyDescent="0.3">
      <c r="A59" s="50"/>
      <c r="B59" s="24" t="s">
        <v>76</v>
      </c>
      <c r="C59" s="97"/>
      <c r="D59" s="95" t="s">
        <v>77</v>
      </c>
      <c r="E59" s="23"/>
      <c r="F59" s="14"/>
    </row>
    <row r="60" spans="1:11" ht="15.75" x14ac:dyDescent="0.3">
      <c r="A60" s="50"/>
      <c r="B60" s="127" t="s">
        <v>78</v>
      </c>
      <c r="C60" s="97" t="s">
        <v>79</v>
      </c>
      <c r="D60" s="130">
        <f>IF($D$59="XLPE 1000m 220kV",'Project Data - JEDI Inputs'!D143,IF($D$59="XLPE 500mm 132kV",'Project Data - JEDI Inputs'!E143,IF($D$59="Input Specifications",'Project Data - JEDI Inputs'!F143)))</f>
        <v>0.03</v>
      </c>
      <c r="E60" s="23"/>
      <c r="F60" s="14"/>
      <c r="G60" s="283"/>
      <c r="K60" s="283"/>
    </row>
    <row r="61" spans="1:11" ht="15.75" x14ac:dyDescent="0.3">
      <c r="A61" s="50"/>
      <c r="B61" s="127" t="s">
        <v>80</v>
      </c>
      <c r="C61" s="97" t="s">
        <v>81</v>
      </c>
      <c r="D61" s="130">
        <f>IF($D$59="XLPE 1000m 220kV",'Project Data - JEDI Inputs'!D144,IF($D$59="XLPE 500mm 132kV",'Project Data - JEDI Inputs'!E144,IF($D$59="Input Specifications",'Project Data - JEDI Inputs'!F144)))</f>
        <v>300</v>
      </c>
      <c r="E61" s="23"/>
      <c r="F61" s="14"/>
      <c r="G61" s="283"/>
    </row>
    <row r="62" spans="1:11" ht="15.75" x14ac:dyDescent="0.3">
      <c r="A62" s="50"/>
      <c r="B62" s="127" t="s">
        <v>82</v>
      </c>
      <c r="C62" s="97" t="s">
        <v>83</v>
      </c>
      <c r="D62" s="130">
        <f>IF($D$59="XLPE 1000m 220kV",'Project Data - JEDI Inputs'!D145,IF($D$59="XLPE 500mm 132kV",'Project Data - JEDI Inputs'!E145,IF($D$59="Input Specifications",'Project Data - JEDI Inputs'!F145)))</f>
        <v>1000</v>
      </c>
      <c r="E62" s="23"/>
      <c r="F62" s="14"/>
      <c r="G62" s="283"/>
    </row>
    <row r="63" spans="1:11" ht="15.75" x14ac:dyDescent="0.3">
      <c r="A63" s="50"/>
      <c r="B63" s="127" t="s">
        <v>84</v>
      </c>
      <c r="C63" s="97" t="s">
        <v>85</v>
      </c>
      <c r="D63" s="130">
        <f>IF($D$59="XLPE 1000m 220kV",'Project Data - JEDI Inputs'!D147,IF($D$59="XLPE 500mm 132kV",'Project Data - JEDI Inputs'!E147,IF($D$59="Input Specifications",'Project Data - JEDI Inputs'!F147)))</f>
        <v>900</v>
      </c>
      <c r="E63" s="23"/>
      <c r="F63" s="14"/>
    </row>
    <row r="64" spans="1:11" ht="15.75" x14ac:dyDescent="0.3">
      <c r="A64" s="50"/>
      <c r="B64" s="127" t="s">
        <v>86</v>
      </c>
      <c r="C64" s="97" t="s">
        <v>87</v>
      </c>
      <c r="D64" s="130">
        <f>IF($D$59="XLPE 1000m 220kV",'Project Data - JEDI Inputs'!D148,IF($D$59="XLPE 500mm 132kV",'Project Data - JEDI Inputs'!E148,IF($D$59="Input Specifications",'Project Data - JEDI Inputs'!F148)))</f>
        <v>0.35</v>
      </c>
      <c r="E64" s="23"/>
      <c r="F64" s="14"/>
    </row>
    <row r="65" spans="1:12" ht="15.75" x14ac:dyDescent="0.3">
      <c r="A65" s="50"/>
      <c r="B65" s="127" t="s">
        <v>88</v>
      </c>
      <c r="C65" s="97" t="s">
        <v>89</v>
      </c>
      <c r="D65" s="130">
        <f>IF($D$59="XLPE 1000m 220kV",'Project Data - JEDI Inputs'!D149,IF($D$59="XLPE 500mm 132kV",'Project Data - JEDI Inputs'!E149,IF($D$59="Input Specifications",'Project Data - JEDI Inputs'!F149)))</f>
        <v>90</v>
      </c>
      <c r="E65" s="23"/>
      <c r="F65" s="14"/>
    </row>
    <row r="66" spans="1:12" ht="15.75" x14ac:dyDescent="0.3">
      <c r="A66" s="50"/>
      <c r="B66" s="127" t="s">
        <v>90</v>
      </c>
      <c r="C66" s="97" t="s">
        <v>91</v>
      </c>
      <c r="D66" s="130">
        <f>IF($D$59="XLPE 1000m 220kV",'Project Data - JEDI Inputs'!D150,IF($D$59="XLPE 500mm 132kV",'Project Data - JEDI Inputs'!E150,IF($D$59="Input Specifications",'Project Data - JEDI Inputs'!F150)))</f>
        <v>220</v>
      </c>
      <c r="E66" s="23"/>
      <c r="F66" s="14"/>
    </row>
    <row r="67" spans="1:12" ht="15.75" x14ac:dyDescent="0.3">
      <c r="A67" s="50"/>
      <c r="B67" s="127" t="s">
        <v>92</v>
      </c>
      <c r="C67" s="97" t="s">
        <v>93</v>
      </c>
      <c r="D67" s="300">
        <f>IF($D$59="XLPE 1000m 220kV",'Project Data - JEDI Inputs'!D146,IF($D$59="XLPE 500mm 132kV",'Project Data - JEDI Inputs'!E146,IF($D$59="Input Specifications",'Project Data - JEDI Inputs'!F146)))</f>
        <v>850000</v>
      </c>
      <c r="E67" s="23"/>
      <c r="F67" s="14"/>
    </row>
    <row r="68" spans="1:12" ht="15.75" x14ac:dyDescent="0.3">
      <c r="A68" s="50"/>
      <c r="B68" s="24" t="s">
        <v>94</v>
      </c>
      <c r="C68" s="97" t="s">
        <v>95</v>
      </c>
      <c r="D68" s="95">
        <f>'Project Data - JEDI Inputs'!C152</f>
        <v>0</v>
      </c>
      <c r="E68" s="23"/>
      <c r="F68" s="14"/>
    </row>
    <row r="69" spans="1:12" ht="15.75" x14ac:dyDescent="0.3">
      <c r="A69" s="50"/>
      <c r="B69" s="24" t="s">
        <v>96</v>
      </c>
      <c r="C69" s="97" t="s">
        <v>97</v>
      </c>
      <c r="D69" s="125">
        <f>'Project Data - JEDI Inputs'!C153</f>
        <v>0</v>
      </c>
      <c r="E69" s="23"/>
      <c r="F69" s="14"/>
    </row>
    <row r="70" spans="1:12" ht="15.75" x14ac:dyDescent="0.3">
      <c r="A70" s="50"/>
      <c r="B70" s="24" t="s">
        <v>98</v>
      </c>
      <c r="C70" s="97"/>
      <c r="D70" s="95" t="s">
        <v>99</v>
      </c>
      <c r="E70" s="23"/>
      <c r="F70" s="14"/>
      <c r="G70" s="327" t="s">
        <v>100</v>
      </c>
      <c r="J70" s="283"/>
      <c r="L70" s="283"/>
    </row>
    <row r="71" spans="1:12" ht="15.75" x14ac:dyDescent="0.3">
      <c r="A71" s="50"/>
      <c r="B71" s="127" t="s">
        <v>78</v>
      </c>
      <c r="C71" s="97" t="s">
        <v>79</v>
      </c>
      <c r="D71" s="130">
        <f>IF($D$70="XLPE 185mm 66kV",'Project Data - JEDI Inputs'!D155,IF($D$70="XLPE 630mm 66kV",'Project Data - JEDI Inputs'!E155,IF($D$70="XLPE 630mm 33kV",'Project Data - JEDI Inputs'!F155,IF($D$70="XLPE 500mm 132kV",'Project Data - JEDI Inputs'!E143,IF($D$70="XLPE 400mm 33kV",'Project Data - JEDI Inputs'!G155,IF($D$70="Input Specifications",'Project Data - JEDI Inputs'!H155))))))</f>
        <v>0.128</v>
      </c>
      <c r="E71" s="23"/>
      <c r="F71" s="14"/>
    </row>
    <row r="72" spans="1:12" ht="15.75" x14ac:dyDescent="0.3">
      <c r="A72" s="50"/>
      <c r="B72" s="127" t="s">
        <v>80</v>
      </c>
      <c r="C72" s="97" t="s">
        <v>81</v>
      </c>
      <c r="D72" s="130">
        <f>IF($D$70="XLPE 185mm 66kV",'Project Data - JEDI Inputs'!D156,IF($D$70="XLPE 630mm 66kV",'Project Data - JEDI Inputs'!E156,IF($D$70="XLPE 630mm 33kV",'Project Data - JEDI Inputs'!F156,IF($D$70="XLPE 500mm 132kV",'Project Data - JEDI Inputs'!E144,IF($D$70="XLPE 400mm 33kV",'Project Data - JEDI Inputs'!G156,IF($D$70="Input Specifications",'Project Data - JEDI Inputs'!H156))))))</f>
        <v>163</v>
      </c>
      <c r="E72" s="23"/>
      <c r="F72" s="14"/>
      <c r="G72" s="283"/>
    </row>
    <row r="73" spans="1:12" ht="15.75" x14ac:dyDescent="0.3">
      <c r="A73" s="50"/>
      <c r="B73" s="127" t="s">
        <v>82</v>
      </c>
      <c r="C73" s="97" t="s">
        <v>83</v>
      </c>
      <c r="D73" s="130">
        <f>IF($D$70="XLPE 185mm 66kV",'Project Data - JEDI Inputs'!D157,IF($D$70="XLPE 630mm 66kV",'Project Data - JEDI Inputs'!E157,IF($D$70="XLPE 630mm 33kV",'Project Data - JEDI Inputs'!F157,IF($D$70="XLPE 500mm 132kV",'Project Data - JEDI Inputs'!E145,IF($D$70="XLPE 400mm 33kV",'Project Data - JEDI Inputs'!G157,IF($D$70="Input Specifications",'Project Data - JEDI Inputs'!H157))))))</f>
        <v>185</v>
      </c>
      <c r="E73" s="23"/>
      <c r="F73" s="14"/>
    </row>
    <row r="74" spans="1:12" ht="15.75" x14ac:dyDescent="0.3">
      <c r="A74" s="50"/>
      <c r="B74" s="127" t="s">
        <v>84</v>
      </c>
      <c r="C74" s="97" t="s">
        <v>85</v>
      </c>
      <c r="D74" s="130">
        <f>IF($D$70="XLPE 185mm 66kV",'Project Data - JEDI Inputs'!D159,IF($D$70="XLPE 630mm 66kV",'Project Data - JEDI Inputs'!E159,IF($D$70="XLPE 630mm 33kV",'Project Data - JEDI Inputs'!F159,IF($D$70="XLPE 500mm 132kV",'Project Data - JEDI Inputs'!E147,IF($D$70="XLPE 400mm 33kV",'Project Data - JEDI Inputs'!G159,IF($D$70="Input Specifications",'Project Data - JEDI Inputs'!H159))))))</f>
        <v>445</v>
      </c>
      <c r="E74" s="23"/>
      <c r="F74" s="14"/>
    </row>
    <row r="75" spans="1:12" ht="15.75" x14ac:dyDescent="0.3">
      <c r="A75" s="50"/>
      <c r="B75" s="127" t="s">
        <v>86</v>
      </c>
      <c r="C75" s="97" t="s">
        <v>87</v>
      </c>
      <c r="D75" s="130">
        <f>IF($D$70="XLPE 185mm 66kV",'Project Data - JEDI Inputs'!D160,IF($D$70="XLPE 630mm 66kV",'Project Data - JEDI Inputs'!E160,IF($D$70="XLPE 630mm 33kV",'Project Data - JEDI Inputs'!F160,IF($D$70="XLPE 500mm 132kV",'Project Data - JEDI Inputs'!E148,IF($D$70="XLPE 400mm 33kV",'Project Data - JEDI Inputs'!G160,IF($D$70="Input Specifications",'Project Data - JEDI Inputs'!H160))))))</f>
        <v>0.443</v>
      </c>
      <c r="E75" s="23"/>
      <c r="F75" s="14"/>
    </row>
    <row r="76" spans="1:12" ht="15.75" x14ac:dyDescent="0.3">
      <c r="A76" s="50"/>
      <c r="B76" s="127" t="s">
        <v>88</v>
      </c>
      <c r="C76" s="97" t="s">
        <v>89</v>
      </c>
      <c r="D76" s="130">
        <f>IF($D$70="XLPE 185mm 66kV",'Project Data - JEDI Inputs'!D161,IF($D$70="XLPE 630mm 66kV",'Project Data - JEDI Inputs'!E161,IF($D$70="XLPE 630mm 33kV",'Project Data - JEDI Inputs'!F161,IF($D$70="XLPE 500mm 132kV",'Project Data - JEDI Inputs'!E149,IF($D$70="XLPE 400mm 33kV",'Project Data - JEDI Inputs'!G161,IF($D$70="Input Specifications",'Project Data - JEDI Inputs'!H161))))))</f>
        <v>26.1</v>
      </c>
      <c r="E76" s="23"/>
      <c r="F76" s="14"/>
    </row>
    <row r="77" spans="1:12" ht="15.75" x14ac:dyDescent="0.3">
      <c r="A77" s="50"/>
      <c r="B77" s="127" t="s">
        <v>90</v>
      </c>
      <c r="C77" s="97" t="s">
        <v>91</v>
      </c>
      <c r="D77" s="130">
        <f>IF($D$70="XLPE 185mm 66kV",'Project Data - JEDI Inputs'!D162,IF($D$70="XLPE 630mm 66kV",'Project Data - JEDI Inputs'!E162,IF($D$70="XLPE 630mm 33kV",'Project Data - JEDI Inputs'!F162,IF($D$70="XLPE 500mm 132kV",'Project Data - JEDI Inputs'!E150,IF($D$70="XLPE 400mm 33kV",'Project Data - JEDI Inputs'!G162,IF($D$70="Input Specifications",'Project Data - JEDI Inputs'!H162))))))</f>
        <v>66</v>
      </c>
      <c r="E77" s="23"/>
      <c r="F77" s="14"/>
    </row>
    <row r="78" spans="1:12" ht="15.75" x14ac:dyDescent="0.3">
      <c r="A78" s="50"/>
      <c r="B78" s="127" t="s">
        <v>92</v>
      </c>
      <c r="C78" s="97" t="s">
        <v>93</v>
      </c>
      <c r="D78" s="300">
        <f>IF($D$70="XLPE 185mm 66kV",'Project Data - JEDI Inputs'!D158,IF($D$70="XLPE 630mm 66kV",'Project Data - JEDI Inputs'!E158,IF($D$70="XLPE 630mm 33kV",'Project Data - JEDI Inputs'!F158,IF($D$70="XLPE 500mm 132kV",'Project Data - JEDI Inputs'!E146,IF($D$70="XLPE 400mm 33kV",'Project Data - JEDI Inputs'!G158,IF($D$70="Input Specifications",'Project Data - JEDI Inputs'!H158))))))</f>
        <v>200000</v>
      </c>
      <c r="E78" s="23"/>
      <c r="F78" s="14"/>
    </row>
    <row r="79" spans="1:12" ht="15.75" x14ac:dyDescent="0.3">
      <c r="A79" s="50"/>
      <c r="B79" s="24" t="s">
        <v>101</v>
      </c>
      <c r="C79" s="97"/>
      <c r="D79" s="95" t="s">
        <v>102</v>
      </c>
      <c r="E79" s="23"/>
      <c r="F79" s="14"/>
      <c r="J79" s="283"/>
      <c r="L79" s="283"/>
    </row>
    <row r="80" spans="1:12" ht="15.75" x14ac:dyDescent="0.3">
      <c r="A80" s="50"/>
      <c r="B80" s="127" t="s">
        <v>78</v>
      </c>
      <c r="C80" s="97" t="s">
        <v>79</v>
      </c>
      <c r="D80" s="130" t="str">
        <f>IF($D$79="XLPE 630mm 66kV",'Project Data - JEDI Inputs'!D165,IF('Project Data - Step 1'!$D$79="XLPE 630mm 33kV",'Project Data - JEDI Inputs'!E165,IF('Project Data - Step 1'!$D$79="None",'Project Data - JEDI Inputs'!F165,IF($D$79="Input Specifications",'Project Data - JEDI Inputs'!G165))))</f>
        <v>-</v>
      </c>
      <c r="E80" s="23"/>
      <c r="F80" s="14"/>
    </row>
    <row r="81" spans="1:7" ht="15.75" x14ac:dyDescent="0.3">
      <c r="A81" s="50"/>
      <c r="B81" s="127" t="s">
        <v>80</v>
      </c>
      <c r="C81" s="97" t="s">
        <v>81</v>
      </c>
      <c r="D81" s="130" t="str">
        <f>IF($D$79="XLPE 630mm 66kV",'Project Data - JEDI Inputs'!D166,IF('Project Data - Step 1'!$D$79="XLPE 630mm 33kV",'Project Data - JEDI Inputs'!E166,IF('Project Data - Step 1'!$D$79="None",'Project Data - JEDI Inputs'!F166,IF($D$79="Input Specifications",'Project Data - JEDI Inputs'!G166))))</f>
        <v>-</v>
      </c>
      <c r="E81" s="23"/>
      <c r="F81" s="14"/>
      <c r="G81" s="283"/>
    </row>
    <row r="82" spans="1:7" ht="15.75" x14ac:dyDescent="0.3">
      <c r="A82" s="50"/>
      <c r="B82" s="127" t="s">
        <v>82</v>
      </c>
      <c r="C82" s="97" t="s">
        <v>83</v>
      </c>
      <c r="D82" s="130" t="str">
        <f>IF($D$79="XLPE 630mm 66kV",'Project Data - JEDI Inputs'!D167,IF('Project Data - Step 1'!$D$79="XLPE 630mm 33kV",'Project Data - JEDI Inputs'!E167,IF('Project Data - Step 1'!$D$79="None",'Project Data - JEDI Inputs'!F167,IF($D$79="Input Specifications",'Project Data - JEDI Inputs'!G167))))</f>
        <v>-</v>
      </c>
      <c r="E82" s="23"/>
      <c r="F82" s="14"/>
    </row>
    <row r="83" spans="1:7" ht="15.75" x14ac:dyDescent="0.3">
      <c r="A83" s="50"/>
      <c r="B83" s="127" t="s">
        <v>84</v>
      </c>
      <c r="C83" s="97" t="s">
        <v>85</v>
      </c>
      <c r="D83" s="130" t="str">
        <f>IF($D$79="XLPE 630mm 66kV",'Project Data - JEDI Inputs'!D169,IF('Project Data - Step 1'!$D$79="XLPE 630mm 33kV",'Project Data - JEDI Inputs'!E169,IF('Project Data - Step 1'!$D$79="None",'Project Data - JEDI Inputs'!F169,IF($D$79="Input Specifications",'Project Data - JEDI Inputs'!G169))))</f>
        <v>-</v>
      </c>
      <c r="E83" s="23"/>
      <c r="F83" s="14"/>
    </row>
    <row r="84" spans="1:7" ht="15.75" x14ac:dyDescent="0.3">
      <c r="A84" s="50"/>
      <c r="B84" s="127" t="s">
        <v>86</v>
      </c>
      <c r="C84" s="97" t="s">
        <v>87</v>
      </c>
      <c r="D84" s="130" t="str">
        <f>IF($D$79="XLPE 630mm 66kV",'Project Data - JEDI Inputs'!D170,IF('Project Data - Step 1'!$D$79="XLPE 630mm 33kV",'Project Data - JEDI Inputs'!E170,IF('Project Data - Step 1'!$D$79="None",'Project Data - JEDI Inputs'!F170,IF($D$79="Input Specifications",'Project Data - JEDI Inputs'!G170))))</f>
        <v>-</v>
      </c>
      <c r="E84" s="23"/>
      <c r="F84" s="14"/>
    </row>
    <row r="85" spans="1:7" ht="15.75" x14ac:dyDescent="0.3">
      <c r="A85" s="50"/>
      <c r="B85" s="127" t="s">
        <v>88</v>
      </c>
      <c r="C85" s="97" t="s">
        <v>89</v>
      </c>
      <c r="D85" s="130" t="str">
        <f>IF($D$79="XLPE 630mm 66kV",'Project Data - JEDI Inputs'!D171,IF('Project Data - Step 1'!$D$79="XLPE 630mm 33kV",'Project Data - JEDI Inputs'!E171,IF('Project Data - Step 1'!$D$79="None",'Project Data - JEDI Inputs'!F171,IF($D$79="Input Specifications",'Project Data - JEDI Inputs'!G171))))</f>
        <v>-</v>
      </c>
      <c r="E85" s="23"/>
      <c r="F85" s="14"/>
    </row>
    <row r="86" spans="1:7" ht="15.75" x14ac:dyDescent="0.3">
      <c r="A86" s="50"/>
      <c r="B86" s="127" t="s">
        <v>90</v>
      </c>
      <c r="C86" s="97" t="s">
        <v>91</v>
      </c>
      <c r="D86" s="130" t="str">
        <f>IF($D$79="XLPE 630mm 66kV",'Project Data - JEDI Inputs'!D172,IF('Project Data - Step 1'!$D$79="XLPE 630mm 33kV",'Project Data - JEDI Inputs'!E172,IF('Project Data - Step 1'!$D$79="None",'Project Data - JEDI Inputs'!F172,IF($D$79="Input Specifications",'Project Data - JEDI Inputs'!G172))))</f>
        <v>-</v>
      </c>
      <c r="E86" s="23"/>
      <c r="F86" s="14"/>
    </row>
    <row r="87" spans="1:7" ht="15.75" x14ac:dyDescent="0.3">
      <c r="A87" s="50"/>
      <c r="B87" s="127" t="s">
        <v>92</v>
      </c>
      <c r="C87" s="97" t="s">
        <v>93</v>
      </c>
      <c r="D87" s="300" t="str">
        <f>IF($D$79="XLPE 630mm 66kV",'Project Data - JEDI Inputs'!D168,IF('Project Data - Step 1'!$D$79="XLPE 630mm 33kV",'Project Data - JEDI Inputs'!E168,IF('Project Data - Step 1'!$D$79="None",'Project Data - JEDI Inputs'!F168,IF($D$79="Input Specifications",'Project Data - JEDI Inputs'!G168))))</f>
        <v>-</v>
      </c>
      <c r="E87" s="23"/>
      <c r="F87" s="14"/>
    </row>
    <row r="88" spans="1:7" ht="15.75" x14ac:dyDescent="0.3">
      <c r="A88" s="50"/>
      <c r="B88" s="24" t="s">
        <v>103</v>
      </c>
      <c r="C88" s="97" t="s">
        <v>97</v>
      </c>
      <c r="D88" s="126">
        <v>0</v>
      </c>
      <c r="E88" s="23"/>
      <c r="F88" s="14"/>
    </row>
    <row r="89" spans="1:7" ht="15.75" x14ac:dyDescent="0.3">
      <c r="A89" s="50"/>
      <c r="B89" s="24" t="s">
        <v>104</v>
      </c>
      <c r="C89" s="97"/>
      <c r="D89" s="95">
        <f>IF(D24&gt;1052, 'Project Data - JEDI Inputs'!D65,'Project Data - JEDI Inputs'!C65)</f>
        <v>1</v>
      </c>
      <c r="E89" s="23"/>
      <c r="F89" s="14" t="s">
        <v>29</v>
      </c>
    </row>
    <row r="90" spans="1:7" ht="15.75" x14ac:dyDescent="0.25">
      <c r="A90" s="50"/>
      <c r="B90" s="20" t="s">
        <v>105</v>
      </c>
      <c r="C90" s="99"/>
      <c r="D90" s="96"/>
      <c r="E90" s="21"/>
      <c r="F90" s="10"/>
      <c r="G90" s="283"/>
    </row>
    <row r="91" spans="1:7" ht="15.75" x14ac:dyDescent="0.3">
      <c r="A91" s="50"/>
      <c r="B91" s="24" t="s">
        <v>106</v>
      </c>
      <c r="C91" s="97"/>
      <c r="D91" s="95" t="s">
        <v>106</v>
      </c>
      <c r="E91" s="23"/>
      <c r="F91" s="14"/>
      <c r="G91" s="327" t="s">
        <v>107</v>
      </c>
    </row>
    <row r="92" spans="1:7" ht="15.75" x14ac:dyDescent="0.3">
      <c r="A92" s="50"/>
      <c r="B92" s="24" t="s">
        <v>108</v>
      </c>
      <c r="C92" s="97" t="s">
        <v>109</v>
      </c>
      <c r="D92" s="132">
        <f>'Project Data - JEDI Inputs'!C68</f>
        <v>2000000</v>
      </c>
      <c r="E92" s="23"/>
      <c r="F92" s="14"/>
      <c r="G92" s="283"/>
    </row>
    <row r="93" spans="1:7" ht="15.75" x14ac:dyDescent="0.3">
      <c r="A93" s="50"/>
      <c r="B93" s="24" t="s">
        <v>110</v>
      </c>
      <c r="C93" s="97"/>
      <c r="D93" s="95">
        <f>'Project Data - JEDI Inputs'!C69</f>
        <v>1</v>
      </c>
      <c r="E93" s="23"/>
      <c r="F93" s="14"/>
    </row>
    <row r="94" spans="1:7" ht="15.75" x14ac:dyDescent="0.25">
      <c r="A94" s="50"/>
      <c r="B94" s="20" t="s">
        <v>111</v>
      </c>
      <c r="C94" s="99"/>
      <c r="D94" s="96"/>
      <c r="E94" s="21"/>
      <c r="F94" s="10"/>
    </row>
    <row r="95" spans="1:7" ht="15.75" x14ac:dyDescent="0.3">
      <c r="A95" s="50"/>
      <c r="B95" s="24" t="s">
        <v>112</v>
      </c>
      <c r="C95" s="274" t="s">
        <v>819</v>
      </c>
      <c r="D95" s="97"/>
      <c r="E95" s="23"/>
      <c r="F95" s="14" t="s">
        <v>29</v>
      </c>
    </row>
    <row r="96" spans="1:7" ht="15.75" x14ac:dyDescent="0.3">
      <c r="A96" s="50"/>
      <c r="B96" s="127"/>
      <c r="C96" s="273" t="s">
        <v>114</v>
      </c>
      <c r="D96" s="286">
        <f>IF(C95="Wind Turbine Installation Vessel (WTIV)", 'Project Data - JEDI Inputs'!D175,'Project Data - JEDI Inputs'!E175)</f>
        <v>1</v>
      </c>
      <c r="E96" s="23"/>
      <c r="F96" s="14"/>
    </row>
    <row r="97" spans="1:6" ht="15.75" x14ac:dyDescent="0.3">
      <c r="A97" s="50"/>
      <c r="B97" s="127"/>
      <c r="C97" s="273" t="s">
        <v>115</v>
      </c>
      <c r="D97" s="272">
        <f>IF(C95="Wind Turbine Installation Vessel (WTIV)", 'Project Data - JEDI Inputs'!D176,'Project Data - JEDI Inputs'!E176)</f>
        <v>180000</v>
      </c>
      <c r="E97" s="23"/>
      <c r="F97" s="14"/>
    </row>
    <row r="98" spans="1:6" ht="15.75" x14ac:dyDescent="0.3">
      <c r="A98" s="50"/>
      <c r="B98" s="24"/>
      <c r="C98" s="98" t="str">
        <f>IF(C95="Wind Turbine Installation Vessel (WTIV)", 'Project Data - JEDI Inputs'!F174,'Project Data - JEDI Inputs'!G174)</f>
        <v>Feeder Vessel</v>
      </c>
      <c r="D98" s="97"/>
      <c r="E98" s="23"/>
      <c r="F98" s="14"/>
    </row>
    <row r="99" spans="1:6" ht="15.75" x14ac:dyDescent="0.3">
      <c r="A99" s="50"/>
      <c r="B99" s="127"/>
      <c r="C99" s="273" t="s">
        <v>114</v>
      </c>
      <c r="D99" s="286">
        <f>IF(C98="Feeder Vessel", 'Project Data - JEDI Inputs'!F175,'Project Data - JEDI Inputs'!G175)</f>
        <v>1</v>
      </c>
      <c r="E99" s="23"/>
      <c r="F99" s="14"/>
    </row>
    <row r="100" spans="1:6" ht="15.75" x14ac:dyDescent="0.3">
      <c r="A100" s="50"/>
      <c r="B100" s="127"/>
      <c r="C100" s="273" t="s">
        <v>115</v>
      </c>
      <c r="D100" s="272">
        <f>IF(C98="Feeder Vessel", 'Project Data - JEDI Inputs'!F176,'Project Data - JEDI Inputs'!G176)</f>
        <v>75000</v>
      </c>
      <c r="E100" s="23"/>
      <c r="F100" s="14"/>
    </row>
    <row r="101" spans="1:6" ht="15.75" x14ac:dyDescent="0.3">
      <c r="A101" s="50"/>
      <c r="B101" s="127"/>
      <c r="C101" s="98" t="s">
        <v>116</v>
      </c>
      <c r="D101" s="97"/>
      <c r="E101" s="23"/>
      <c r="F101" s="14"/>
    </row>
    <row r="102" spans="1:6" ht="15.75" x14ac:dyDescent="0.3">
      <c r="A102" s="50"/>
      <c r="B102" s="127"/>
      <c r="C102" s="273" t="s">
        <v>114</v>
      </c>
      <c r="D102" s="286">
        <f>'Project Data - JEDI Inputs'!H175</f>
        <v>1</v>
      </c>
      <c r="E102" s="23"/>
      <c r="F102" s="14"/>
    </row>
    <row r="103" spans="1:6" ht="15.75" x14ac:dyDescent="0.3">
      <c r="A103" s="50"/>
      <c r="B103" s="127"/>
      <c r="C103" s="273" t="s">
        <v>115</v>
      </c>
      <c r="D103" s="302">
        <f>'Project Data - JEDI Inputs'!H176</f>
        <v>120000</v>
      </c>
      <c r="E103" s="23"/>
      <c r="F103" s="14"/>
    </row>
    <row r="104" spans="1:6" ht="15.75" hidden="1" x14ac:dyDescent="0.3">
      <c r="A104" s="509"/>
      <c r="B104" s="24" t="s">
        <v>117</v>
      </c>
      <c r="C104" s="134" t="s">
        <v>118</v>
      </c>
      <c r="D104" s="303"/>
      <c r="E104" s="134"/>
      <c r="F104" s="14"/>
    </row>
    <row r="105" spans="1:6" ht="15.75" hidden="1" x14ac:dyDescent="0.3">
      <c r="A105" s="509"/>
      <c r="B105" s="127"/>
      <c r="C105" s="273" t="s">
        <v>114</v>
      </c>
      <c r="D105" s="286">
        <v>1</v>
      </c>
      <c r="E105" s="24"/>
      <c r="F105" s="14" t="s">
        <v>29</v>
      </c>
    </row>
    <row r="106" spans="1:6" ht="15.75" hidden="1" x14ac:dyDescent="0.3">
      <c r="A106" s="509"/>
      <c r="B106" s="127"/>
      <c r="C106" s="273" t="s">
        <v>115</v>
      </c>
      <c r="D106" s="272">
        <f>'Project Data - JEDI Inputs'!D179</f>
        <v>100000</v>
      </c>
      <c r="E106" s="24"/>
      <c r="F106" s="14"/>
    </row>
    <row r="107" spans="1:6" ht="15.75" hidden="1" x14ac:dyDescent="0.3">
      <c r="A107" s="50"/>
      <c r="B107" s="24"/>
      <c r="C107" s="134" t="s">
        <v>119</v>
      </c>
      <c r="D107" s="279"/>
      <c r="E107" s="134"/>
      <c r="F107" s="14"/>
    </row>
    <row r="108" spans="1:6" ht="15.75" hidden="1" x14ac:dyDescent="0.3">
      <c r="A108" s="50"/>
      <c r="B108" s="127"/>
      <c r="C108" s="273" t="s">
        <v>114</v>
      </c>
      <c r="D108" s="286">
        <v>1</v>
      </c>
      <c r="E108" s="24"/>
      <c r="F108" s="14"/>
    </row>
    <row r="109" spans="1:6" ht="15.75" hidden="1" x14ac:dyDescent="0.3">
      <c r="A109" s="50"/>
      <c r="B109" s="127"/>
      <c r="C109" s="273" t="s">
        <v>115</v>
      </c>
      <c r="D109" s="132">
        <f>'Project Data - JEDI Inputs'!E179</f>
        <v>30000</v>
      </c>
      <c r="E109" s="24"/>
      <c r="F109" s="14"/>
    </row>
    <row r="110" spans="1:6" ht="15.75" hidden="1" x14ac:dyDescent="0.3">
      <c r="A110" s="50"/>
      <c r="B110" s="127"/>
      <c r="C110" s="98" t="s">
        <v>120</v>
      </c>
      <c r="D110" s="286">
        <f>'Project Data - JEDI Inputs'!D180</f>
        <v>1</v>
      </c>
      <c r="E110" s="134"/>
      <c r="F110" s="14"/>
    </row>
    <row r="111" spans="1:6" s="17" customFormat="1" ht="15.75" x14ac:dyDescent="0.3">
      <c r="A111" s="50"/>
      <c r="B111" s="24" t="s">
        <v>121</v>
      </c>
      <c r="C111" s="134" t="str">
        <f>IF(D53="Monopile", 'Project Data - JEDI Inputs'!E181, 'Project Data - JEDI Inputs'!D181)</f>
        <v>Heavy Lift Vessel</v>
      </c>
      <c r="D111" s="279"/>
      <c r="E111" s="134"/>
      <c r="F111" s="14"/>
    </row>
    <row r="112" spans="1:6" s="17" customFormat="1" ht="15.75" x14ac:dyDescent="0.3">
      <c r="A112" s="50"/>
      <c r="B112" s="127"/>
      <c r="C112" s="273" t="s">
        <v>114</v>
      </c>
      <c r="D112" s="286">
        <f>IF(C111="Floating Heavy Lift",'Project Data - JEDI Inputs'!D182,'Project Data - JEDI Inputs'!E182)</f>
        <v>1</v>
      </c>
      <c r="E112" s="24"/>
      <c r="F112" s="14"/>
    </row>
    <row r="113" spans="1:10" s="17" customFormat="1" ht="15.75" x14ac:dyDescent="0.3">
      <c r="A113" s="50"/>
      <c r="B113" s="127"/>
      <c r="C113" s="273" t="s">
        <v>115</v>
      </c>
      <c r="D113" s="132">
        <f>IF(C111="Floating Heavy Lift",'Project Data - JEDI Inputs'!D183,'Project Data - JEDI Inputs'!E183)</f>
        <v>500000</v>
      </c>
      <c r="E113" s="24"/>
      <c r="F113" s="14"/>
    </row>
    <row r="114" spans="1:10" ht="15.75" x14ac:dyDescent="0.3">
      <c r="A114" s="509"/>
      <c r="B114" s="24"/>
      <c r="C114" s="134" t="str">
        <f>IF(C111="Floating Heavy Lift",'Project Data - JEDI Inputs'!F181,'Project Data - JEDI Inputs'!G181)</f>
        <v>Heavy Barge</v>
      </c>
      <c r="D114" s="279"/>
      <c r="E114" s="134"/>
      <c r="F114" s="14"/>
    </row>
    <row r="115" spans="1:10" ht="15.75" x14ac:dyDescent="0.3">
      <c r="A115" s="50"/>
      <c r="B115" s="24"/>
      <c r="C115" s="275" t="s">
        <v>114</v>
      </c>
      <c r="D115" s="286">
        <f>IF(C114="Floating Barge",'Project Data - JEDI Inputs'!F182,'Project Data - JEDI Inputs'!G182)</f>
        <v>1</v>
      </c>
      <c r="E115" s="24"/>
      <c r="F115" s="14"/>
    </row>
    <row r="116" spans="1:10" ht="15.75" x14ac:dyDescent="0.3">
      <c r="A116" s="50"/>
      <c r="B116" s="127"/>
      <c r="C116" s="275" t="s">
        <v>115</v>
      </c>
      <c r="D116" s="132">
        <f>IF(C114="Floating Barge",'Project Data - JEDI Inputs'!F183,'Project Data - JEDI Inputs'!G183)</f>
        <v>120000</v>
      </c>
      <c r="E116" s="24"/>
      <c r="F116" s="14"/>
    </row>
    <row r="117" spans="1:10" ht="15.75" x14ac:dyDescent="0.3">
      <c r="A117" s="50"/>
      <c r="B117" s="24" t="s">
        <v>122</v>
      </c>
      <c r="C117" s="134" t="s">
        <v>123</v>
      </c>
      <c r="D117" s="97"/>
      <c r="E117" s="23"/>
      <c r="F117" s="14"/>
      <c r="G117" s="327" t="s">
        <v>124</v>
      </c>
    </row>
    <row r="118" spans="1:10" ht="15.75" x14ac:dyDescent="0.3">
      <c r="A118" s="50"/>
      <c r="B118" s="127"/>
      <c r="C118" s="275" t="s">
        <v>114</v>
      </c>
      <c r="D118" s="286">
        <f>'Project Data - JEDI Inputs'!D185</f>
        <v>1</v>
      </c>
      <c r="E118" s="23"/>
      <c r="F118" s="14"/>
    </row>
    <row r="119" spans="1:10" ht="15.75" x14ac:dyDescent="0.3">
      <c r="A119" s="50"/>
      <c r="B119" s="24"/>
      <c r="C119" s="275" t="s">
        <v>115</v>
      </c>
      <c r="D119" s="132">
        <f>'Project Data - JEDI Inputs'!D186</f>
        <v>120000</v>
      </c>
      <c r="E119" s="23"/>
      <c r="F119" s="14"/>
    </row>
    <row r="120" spans="1:10" ht="15.75" x14ac:dyDescent="0.3">
      <c r="A120" s="50"/>
      <c r="B120" s="127"/>
      <c r="C120" s="134" t="s">
        <v>125</v>
      </c>
      <c r="D120" s="97"/>
      <c r="E120" s="23"/>
      <c r="F120" s="14"/>
      <c r="G120" s="327" t="s">
        <v>126</v>
      </c>
    </row>
    <row r="121" spans="1:10" ht="15.75" x14ac:dyDescent="0.3">
      <c r="A121" s="50"/>
      <c r="B121" s="127"/>
      <c r="C121" s="275" t="s">
        <v>114</v>
      </c>
      <c r="D121" s="286">
        <f>'Project Data - JEDI Inputs'!E185</f>
        <v>1</v>
      </c>
      <c r="E121" s="23"/>
      <c r="F121" s="14"/>
    </row>
    <row r="122" spans="1:10" ht="15.75" x14ac:dyDescent="0.3">
      <c r="A122" s="50"/>
      <c r="B122" s="284"/>
      <c r="C122" s="285" t="s">
        <v>115</v>
      </c>
      <c r="D122" s="132">
        <f>'Project Data - JEDI Inputs'!E186</f>
        <v>120000</v>
      </c>
      <c r="E122" s="284"/>
      <c r="F122" s="15"/>
      <c r="J122" s="283"/>
    </row>
    <row r="123" spans="1:10" x14ac:dyDescent="0.25">
      <c r="C123" s="3"/>
    </row>
  </sheetData>
  <mergeCells count="2">
    <mergeCell ref="B8:F9"/>
    <mergeCell ref="B15:F15"/>
  </mergeCells>
  <conditionalFormatting sqref="B15:F15">
    <cfRule type="containsText" dxfId="156" priority="26" operator="containsText" text="ADVANCED INPUTS">
      <formula>NOT(ISERROR(SEARCH("ADVANCED INPUTS",B15)))</formula>
    </cfRule>
    <cfRule type="containsText" dxfId="155" priority="27" operator="containsText" text="BASIC INPUTS">
      <formula>NOT(ISERROR(SEARCH("BASIC INPUTS",B15)))</formula>
    </cfRule>
  </conditionalFormatting>
  <conditionalFormatting sqref="D31:D43">
    <cfRule type="cellIs" dxfId="154" priority="25" operator="equal">
      <formula>0</formula>
    </cfRule>
  </conditionalFormatting>
  <conditionalFormatting sqref="D57">
    <cfRule type="notContainsBlanks" dxfId="153" priority="17">
      <formula>LEN(TRIM(D57))&gt;0</formula>
    </cfRule>
  </conditionalFormatting>
  <conditionalFormatting sqref="E96">
    <cfRule type="cellIs" dxfId="152" priority="16" operator="equal">
      <formula>1</formula>
    </cfRule>
  </conditionalFormatting>
  <conditionalFormatting sqref="D60:D66">
    <cfRule type="cellIs" dxfId="151" priority="11" operator="equal">
      <formula>0</formula>
    </cfRule>
  </conditionalFormatting>
  <conditionalFormatting sqref="D78">
    <cfRule type="cellIs" dxfId="150" priority="10" operator="equal">
      <formula>0</formula>
    </cfRule>
  </conditionalFormatting>
  <conditionalFormatting sqref="D71:D77">
    <cfRule type="cellIs" dxfId="149" priority="9" operator="equal">
      <formula>0</formula>
    </cfRule>
  </conditionalFormatting>
  <conditionalFormatting sqref="D87">
    <cfRule type="cellIs" dxfId="148" priority="5" operator="equal">
      <formula>0</formula>
    </cfRule>
  </conditionalFormatting>
  <conditionalFormatting sqref="D80:D86">
    <cfRule type="cellIs" dxfId="147" priority="4" operator="equal">
      <formula>0</formula>
    </cfRule>
  </conditionalFormatting>
  <conditionalFormatting sqref="D67">
    <cfRule type="cellIs" dxfId="146" priority="3" operator="equal">
      <formula>0</formula>
    </cfRule>
  </conditionalFormatting>
  <pageMargins left="0.7" right="0.7" top="0.75" bottom="0.75" header="0.3" footer="0.3"/>
  <pageSetup orientation="portrait" horizontalDpi="300" verticalDpi="300"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18" operator="containsText" id="{45ACB7C1-E46C-409C-86AA-B8C5FDBC6871}">
            <xm:f>NOT(ISERROR(SEARCH($D$54="Floating",D55)))</xm:f>
            <xm:f>$D$54="Floating"</xm:f>
            <x14:dxf>
              <fill>
                <patternFill>
                  <bgColor theme="0"/>
                </patternFill>
              </fill>
            </x14:dxf>
          </x14:cfRule>
          <x14:cfRule type="containsText" priority="21" operator="containsText" id="{8B47C8A6-4C6A-4E3E-B363-8659FDFDBBD3}">
            <xm:f>NOT(ISERROR(SEARCH($D$54="Floating",D55)))</xm:f>
            <xm:f>$D$54="Floating"</xm:f>
            <x14:dxf>
              <fill>
                <patternFill>
                  <bgColor theme="0"/>
                </patternFill>
              </fill>
            </x14:dxf>
          </x14:cfRule>
          <xm:sqref>D55</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CDAAC509-A72C-47DB-986B-8297FCCD0AF8}">
          <x14:formula1>
            <xm:f>'Project Data - JEDI Inputs'!$C$15:$C$54</xm:f>
          </x14:formula1>
          <xm:sqref>D19:D20</xm:sqref>
        </x14:dataValidation>
        <x14:dataValidation type="list" allowBlank="1" showInputMessage="1" showErrorMessage="1" xr:uid="{43BD3BA7-26A2-4767-9F80-9668F0A7A6F8}">
          <x14:formula1>
            <xm:f>'Project Data - JEDI Inputs'!$D$71:$G$71</xm:f>
          </x14:formula1>
          <xm:sqref>D30</xm:sqref>
        </x14:dataValidation>
        <x14:dataValidation type="list" allowBlank="1" showInputMessage="1" showErrorMessage="1" xr:uid="{E5DD6FBD-C29C-4DF2-935F-567028F144AE}">
          <x14:formula1>
            <xm:f>'Project Data - JEDI Inputs'!$C$133:$C$135</xm:f>
          </x14:formula1>
          <xm:sqref>D53</xm:sqref>
        </x14:dataValidation>
        <x14:dataValidation type="list" allowBlank="1" showInputMessage="1" showErrorMessage="1" xr:uid="{F1E61A0E-648C-4689-A0DF-DA92903C583F}">
          <x14:formula1>
            <xm:f>'Project Data - JEDI Inputs'!$C$60:$C$62</xm:f>
          </x14:formula1>
          <xm:sqref>D26</xm:sqref>
        </x14:dataValidation>
        <x14:dataValidation type="list" allowBlank="1" showInputMessage="1" showErrorMessage="1" xr:uid="{34822893-9C0A-47B9-B21C-C473F2A2923D}">
          <x14:formula1>
            <xm:f>Deflators!$B$38:$B$83</xm:f>
          </x14:formula1>
          <xm:sqref>D22</xm:sqref>
        </x14:dataValidation>
        <x14:dataValidation type="list" allowBlank="1" showInputMessage="1" showErrorMessage="1" xr:uid="{20F1E8BF-9001-48BD-B2F2-327D0021F28E}">
          <x14:formula1>
            <xm:f>'Project Data - JEDI Inputs'!$D$174:$E$174</xm:f>
          </x14:formula1>
          <xm:sqref>C95</xm:sqref>
        </x14:dataValidation>
        <x14:dataValidation type="list" allowBlank="1" showInputMessage="1" showErrorMessage="1" xr:uid="{BEA35EBB-1CF9-4534-BFED-B6834CCB30FA}">
          <x14:formula1>
            <xm:f>'Project Data - JEDI Inputs'!$D$164:$G$164</xm:f>
          </x14:formula1>
          <xm:sqref>D79</xm:sqref>
        </x14:dataValidation>
        <x14:dataValidation type="list" allowBlank="1" showInputMessage="1" showErrorMessage="1" xr:uid="{9E818F5D-4178-4C02-8980-07EA9D70DC85}">
          <x14:formula1>
            <xm:f>'Project Data - JEDI Inputs'!$D$142:$F$142</xm:f>
          </x14:formula1>
          <xm:sqref>D59</xm:sqref>
        </x14:dataValidation>
        <x14:dataValidation type="list" allowBlank="1" showInputMessage="1" showErrorMessage="1" xr:uid="{CCDD9A18-F2C3-470B-A328-DA915EBD7088}">
          <x14:formula1>
            <xm:f>'Project Data - JEDI Inputs'!$D$154:$H$154</xm:f>
          </x14:formula1>
          <xm:sqref>D70</xm:sqref>
        </x14:dataValidation>
        <x14:dataValidation type="list" allowBlank="1" showInputMessage="1" showErrorMessage="1" xr:uid="{C4D4DE25-455F-404B-862B-6514EE347558}">
          <x14:formula1>
            <xm:f>'Project Data - JEDI Inputs'!C137:C138</xm:f>
          </x14:formula1>
          <xm:sqref>D55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A2570-4E47-4C19-80EB-8A595A2D98B0}">
  <sheetPr codeName="Sheet6">
    <tabColor theme="7"/>
    <pageSetUpPr autoPageBreaks="0"/>
  </sheetPr>
  <dimension ref="A1:Q114"/>
  <sheetViews>
    <sheetView showGridLines="0" zoomScaleNormal="100" workbookViewId="0">
      <selection activeCell="D87" sqref="D87"/>
    </sheetView>
  </sheetViews>
  <sheetFormatPr defaultColWidth="9.140625" defaultRowHeight="15" x14ac:dyDescent="0.25"/>
  <cols>
    <col min="1" max="1" width="7.140625" style="1" customWidth="1"/>
    <col min="2" max="2" width="47.140625" style="1" customWidth="1"/>
    <col min="3" max="3" width="21.85546875" style="1" customWidth="1"/>
    <col min="4" max="4" width="17.42578125" style="1" customWidth="1"/>
    <col min="5" max="5" width="16.85546875" style="1" customWidth="1"/>
    <col min="6" max="6" width="22.42578125" style="1" customWidth="1"/>
    <col min="7" max="7" width="9.7109375" style="1" customWidth="1"/>
    <col min="8" max="8" width="10.28515625" style="1" customWidth="1"/>
    <col min="9" max="9" width="7.42578125" style="1" customWidth="1"/>
    <col min="10" max="10" width="67.28515625" style="1" customWidth="1"/>
    <col min="11" max="11" width="24.140625" style="1" customWidth="1"/>
    <col min="12" max="12" width="16.85546875" style="1" customWidth="1"/>
    <col min="13" max="13" width="17.7109375" style="1" customWidth="1"/>
    <col min="14" max="14" width="6.85546875" style="1" customWidth="1"/>
    <col min="15" max="15" width="7.140625" style="1" customWidth="1"/>
    <col min="16" max="16384" width="9.140625" style="1"/>
  </cols>
  <sheetData>
    <row r="1" spans="1:16" ht="40.5" customHeight="1" x14ac:dyDescent="0.25">
      <c r="A1" s="850" t="s">
        <v>0</v>
      </c>
      <c r="B1" s="4"/>
      <c r="C1" s="4"/>
      <c r="D1" s="4"/>
      <c r="E1" s="4"/>
      <c r="F1" s="4"/>
      <c r="G1" s="4"/>
      <c r="H1" s="4"/>
      <c r="I1" s="4"/>
      <c r="J1" s="4"/>
      <c r="K1" s="4"/>
      <c r="L1" s="4"/>
      <c r="M1" s="4"/>
      <c r="N1" s="4"/>
      <c r="O1" s="4"/>
      <c r="P1" s="4"/>
    </row>
    <row r="2" spans="1:16" ht="30.75" customHeight="1" x14ac:dyDescent="0.25">
      <c r="A2" s="851" t="s">
        <v>1</v>
      </c>
      <c r="B2" s="5"/>
      <c r="C2" s="5"/>
      <c r="D2" s="5"/>
      <c r="E2" s="5"/>
      <c r="F2" s="5"/>
      <c r="G2" s="5"/>
      <c r="H2" s="5"/>
      <c r="I2" s="5"/>
      <c r="J2" s="5"/>
      <c r="K2" s="5"/>
      <c r="L2" s="5"/>
      <c r="M2" s="5"/>
      <c r="N2" s="5"/>
      <c r="O2" s="5"/>
      <c r="P2" s="5"/>
    </row>
    <row r="3" spans="1:16" ht="20.25" customHeight="1" x14ac:dyDescent="0.25">
      <c r="A3" s="852" t="s">
        <v>2</v>
      </c>
      <c r="B3" s="7"/>
      <c r="C3" s="7"/>
      <c r="D3" s="7"/>
      <c r="E3" s="7"/>
      <c r="F3" s="7"/>
      <c r="G3" s="7"/>
      <c r="H3" s="7"/>
      <c r="I3" s="7"/>
      <c r="J3" s="7"/>
      <c r="K3" s="7"/>
      <c r="L3" s="7"/>
      <c r="M3" s="7"/>
      <c r="N3" s="7"/>
      <c r="O3" s="7"/>
      <c r="P3" s="7"/>
    </row>
    <row r="4" spans="1:16" ht="15" customHeight="1" x14ac:dyDescent="0.25">
      <c r="A4" s="6"/>
    </row>
    <row r="5" spans="1:16" ht="27" customHeight="1" x14ac:dyDescent="0.25">
      <c r="B5" s="11" t="s">
        <v>127</v>
      </c>
      <c r="C5" s="12"/>
      <c r="D5" s="12"/>
      <c r="E5" s="12"/>
      <c r="F5" s="12"/>
      <c r="G5" s="12"/>
      <c r="H5" s="13"/>
    </row>
    <row r="6" spans="1:16" ht="15" customHeight="1" x14ac:dyDescent="0.35">
      <c r="B6" s="8"/>
    </row>
    <row r="7" spans="1:16" x14ac:dyDescent="0.25">
      <c r="B7" s="589" t="s">
        <v>128</v>
      </c>
    </row>
    <row r="8" spans="1:16" x14ac:dyDescent="0.25">
      <c r="B8" s="875" t="s">
        <v>129</v>
      </c>
      <c r="C8" s="876"/>
      <c r="D8" s="876"/>
      <c r="E8" s="876"/>
      <c r="F8" s="876"/>
      <c r="G8" s="876"/>
      <c r="H8" s="877"/>
      <c r="I8" s="16"/>
    </row>
    <row r="9" spans="1:16" ht="60" customHeight="1" x14ac:dyDescent="0.25">
      <c r="B9" s="878"/>
      <c r="C9" s="879"/>
      <c r="D9" s="879"/>
      <c r="E9" s="879"/>
      <c r="F9" s="879"/>
      <c r="G9" s="879"/>
      <c r="H9" s="880"/>
      <c r="I9" s="2"/>
    </row>
    <row r="15" spans="1:16" ht="18" x14ac:dyDescent="0.25">
      <c r="B15" s="884" t="s">
        <v>130</v>
      </c>
      <c r="C15" s="887"/>
      <c r="D15" s="888"/>
    </row>
    <row r="16" spans="1:16" x14ac:dyDescent="0.25">
      <c r="B16" s="51" t="s">
        <v>9</v>
      </c>
      <c r="C16" s="25" t="s">
        <v>131</v>
      </c>
      <c r="D16" s="52" t="s">
        <v>132</v>
      </c>
    </row>
    <row r="17" spans="1:15" x14ac:dyDescent="0.25">
      <c r="B17" s="22" t="s">
        <v>133</v>
      </c>
      <c r="C17" s="525">
        <f>'Project Data - Step 1'!D24</f>
        <v>900</v>
      </c>
      <c r="D17" s="526"/>
    </row>
    <row r="18" spans="1:15" x14ac:dyDescent="0.25">
      <c r="B18" s="22" t="s">
        <v>30</v>
      </c>
      <c r="C18" s="531">
        <f>'Project Data - Step 1'!D25</f>
        <v>75</v>
      </c>
      <c r="D18" s="528"/>
    </row>
    <row r="19" spans="1:15" x14ac:dyDescent="0.25">
      <c r="B19" s="101" t="s">
        <v>134</v>
      </c>
      <c r="C19" s="527">
        <f>C20+C21+C22</f>
        <v>2435446826.368</v>
      </c>
      <c r="D19" s="528">
        <f>C19/($C$17*1000)</f>
        <v>2706.0520292977776</v>
      </c>
    </row>
    <row r="20" spans="1:15" x14ac:dyDescent="0.25">
      <c r="B20" s="521" t="s">
        <v>135</v>
      </c>
      <c r="C20" s="527">
        <f>C28+C31+C34+C37</f>
        <v>1170900000</v>
      </c>
      <c r="D20" s="528">
        <f>C20/($C$17*1000)</f>
        <v>1301</v>
      </c>
    </row>
    <row r="21" spans="1:15" x14ac:dyDescent="0.25">
      <c r="B21" s="522" t="s">
        <v>136</v>
      </c>
      <c r="C21" s="527">
        <f>C39+C55+C65+C87+C95+C103+C105</f>
        <v>1071046826.3680003</v>
      </c>
      <c r="D21" s="528">
        <f>C21/($C$17*1000)</f>
        <v>1190.0520292977781</v>
      </c>
    </row>
    <row r="22" spans="1:15" x14ac:dyDescent="0.25">
      <c r="B22" s="523" t="s">
        <v>137</v>
      </c>
      <c r="C22" s="527">
        <f>C106+C107+C108+C109+C110+C111</f>
        <v>193500000</v>
      </c>
      <c r="D22" s="528">
        <f>C22/($C$17*1000)</f>
        <v>215</v>
      </c>
    </row>
    <row r="23" spans="1:15" x14ac:dyDescent="0.25">
      <c r="B23" s="524" t="s">
        <v>138</v>
      </c>
      <c r="C23" s="529">
        <f>K27</f>
        <v>106988448.59999999</v>
      </c>
      <c r="D23" s="530">
        <f>C23/($C$17*1000)</f>
        <v>118.876054</v>
      </c>
    </row>
    <row r="25" spans="1:15" ht="18" x14ac:dyDescent="0.25">
      <c r="B25" s="884" t="s">
        <v>139</v>
      </c>
      <c r="C25" s="887"/>
      <c r="D25" s="887"/>
      <c r="E25" s="887"/>
      <c r="F25" s="887"/>
      <c r="G25" s="887"/>
      <c r="H25" s="888"/>
      <c r="J25" s="884" t="s">
        <v>140</v>
      </c>
      <c r="K25" s="887"/>
      <c r="L25" s="887"/>
      <c r="M25" s="887"/>
      <c r="N25" s="887"/>
      <c r="O25" s="888"/>
    </row>
    <row r="26" spans="1:15" ht="17.25" customHeight="1" x14ac:dyDescent="0.25">
      <c r="B26" s="46" t="s">
        <v>9</v>
      </c>
      <c r="C26" s="47" t="s">
        <v>141</v>
      </c>
      <c r="D26" s="47" t="s">
        <v>142</v>
      </c>
      <c r="E26" s="47" t="s">
        <v>132</v>
      </c>
      <c r="F26" s="47" t="s">
        <v>143</v>
      </c>
      <c r="G26" s="47"/>
      <c r="H26" s="48"/>
      <c r="I26" s="3"/>
      <c r="J26" s="46" t="s">
        <v>9</v>
      </c>
      <c r="K26" s="25" t="s">
        <v>141</v>
      </c>
      <c r="L26" s="47" t="s">
        <v>132</v>
      </c>
      <c r="M26" s="47" t="s">
        <v>143</v>
      </c>
      <c r="N26" s="47"/>
      <c r="O26" s="48" t="s">
        <v>12</v>
      </c>
    </row>
    <row r="27" spans="1:15" ht="15.75" x14ac:dyDescent="0.25">
      <c r="B27" s="26" t="s">
        <v>144</v>
      </c>
      <c r="C27" s="45"/>
      <c r="D27" s="27"/>
      <c r="E27" s="27"/>
      <c r="F27" s="261">
        <f>F28+F31+F34</f>
        <v>0.48077420016850542</v>
      </c>
      <c r="G27" s="28"/>
      <c r="H27" s="18"/>
      <c r="I27" s="3"/>
      <c r="J27" s="32" t="s">
        <v>145</v>
      </c>
      <c r="K27" s="33">
        <f>K28+K34</f>
        <v>106988448.59999999</v>
      </c>
      <c r="L27" s="308">
        <f>K27/($C$17*1000)</f>
        <v>118.876054</v>
      </c>
      <c r="M27" s="311">
        <f t="shared" ref="M27" si="0">K27/$K$27</f>
        <v>1</v>
      </c>
      <c r="N27" s="308"/>
      <c r="O27" s="19" t="s">
        <v>29</v>
      </c>
    </row>
    <row r="28" spans="1:15" ht="16.5" x14ac:dyDescent="0.3">
      <c r="B28" s="165" t="s">
        <v>146</v>
      </c>
      <c r="C28" s="475">
        <f>'General-Calculations'!AY26</f>
        <v>774900000</v>
      </c>
      <c r="D28" s="170"/>
      <c r="E28" s="253">
        <f>C28/($C$17*1000)</f>
        <v>861</v>
      </c>
      <c r="F28" s="257">
        <f>C28/$C$19</f>
        <v>0.31817570049583638</v>
      </c>
      <c r="G28" s="170"/>
      <c r="H28" s="71"/>
      <c r="I28" s="3"/>
      <c r="J28" s="32" t="s">
        <v>147</v>
      </c>
      <c r="K28" s="33">
        <f>K29+K33</f>
        <v>73766295</v>
      </c>
      <c r="L28" s="308">
        <f t="shared" ref="L28:L39" si="1">K28/($C$17*1000)</f>
        <v>81.962549999999993</v>
      </c>
      <c r="M28" s="311">
        <f>K28/$K$27</f>
        <v>0.68947906026557715</v>
      </c>
      <c r="N28" s="308"/>
      <c r="O28" s="19" t="s">
        <v>29</v>
      </c>
    </row>
    <row r="29" spans="1:15" ht="15.75" x14ac:dyDescent="0.3">
      <c r="B29" s="245" t="s">
        <v>148</v>
      </c>
      <c r="C29" s="472">
        <f>C28*D29</f>
        <v>688989069.96061444</v>
      </c>
      <c r="D29" s="170">
        <f>1-D30</f>
        <v>0.88913288161132331</v>
      </c>
      <c r="E29" s="253">
        <f>C29/($C$17*1000)</f>
        <v>765.54341106734933</v>
      </c>
      <c r="F29" s="257"/>
      <c r="G29" s="170"/>
      <c r="H29" s="71"/>
      <c r="I29" s="3"/>
      <c r="J29" s="34" t="s">
        <v>149</v>
      </c>
      <c r="K29" s="305">
        <f>SUM(K30:K32)</f>
        <v>73219878</v>
      </c>
      <c r="L29" s="309">
        <f t="shared" si="1"/>
        <v>81.355419999999995</v>
      </c>
      <c r="M29" s="312"/>
      <c r="N29" s="35"/>
      <c r="O29" s="36"/>
    </row>
    <row r="30" spans="1:15" ht="15.75" x14ac:dyDescent="0.3">
      <c r="A30" s="50"/>
      <c r="B30" s="245" t="s">
        <v>150</v>
      </c>
      <c r="C30" s="472">
        <f>C28*D30</f>
        <v>85910930.039385527</v>
      </c>
      <c r="D30" s="473">
        <f>Multipliers!D442</f>
        <v>0.11086711838867663</v>
      </c>
      <c r="E30" s="253">
        <f t="shared" ref="E30:E36" si="2">C30/($C$17*1000)</f>
        <v>95.45658893265059</v>
      </c>
      <c r="F30" s="257"/>
      <c r="G30" s="170"/>
      <c r="H30" s="71"/>
      <c r="J30" s="307" t="s">
        <v>151</v>
      </c>
      <c r="K30" s="475">
        <f>8014116*(C17/1000)</f>
        <v>7212704.4000000004</v>
      </c>
      <c r="L30" s="309">
        <f t="shared" si="1"/>
        <v>8.0141159999999996</v>
      </c>
      <c r="M30" s="312">
        <f>K30/$K$27</f>
        <v>6.7415730337078664E-2</v>
      </c>
      <c r="N30" s="35"/>
      <c r="O30" s="36"/>
    </row>
    <row r="31" spans="1:15" ht="15.75" x14ac:dyDescent="0.3">
      <c r="A31" s="50"/>
      <c r="B31" s="165" t="s">
        <v>152</v>
      </c>
      <c r="C31" s="475">
        <f>'General-Calculations'!AY27</f>
        <v>232200000</v>
      </c>
      <c r="D31" s="170"/>
      <c r="E31" s="253">
        <f t="shared" si="2"/>
        <v>258</v>
      </c>
      <c r="F31" s="257">
        <f t="shared" ref="F31:F34" si="3">C31/$C$19</f>
        <v>9.5341847535337726E-2</v>
      </c>
      <c r="G31" s="170"/>
      <c r="H31" s="71"/>
      <c r="J31" s="307" t="s">
        <v>153</v>
      </c>
      <c r="K31" s="475">
        <f>23799496*(C17/1000)</f>
        <v>21419546.400000002</v>
      </c>
      <c r="L31" s="309">
        <f t="shared" si="1"/>
        <v>23.799496000000001</v>
      </c>
      <c r="M31" s="312">
        <f t="shared" ref="M31:M39" si="4">K31/$K$27</f>
        <v>0.20020429009193058</v>
      </c>
      <c r="N31" s="35"/>
      <c r="O31" s="36"/>
    </row>
    <row r="32" spans="1:15" ht="15.75" x14ac:dyDescent="0.3">
      <c r="B32" s="245" t="s">
        <v>148</v>
      </c>
      <c r="C32" s="472">
        <f>C31*D32</f>
        <v>191829710.03057131</v>
      </c>
      <c r="D32" s="170">
        <f>1-D33</f>
        <v>0.82614000874492377</v>
      </c>
      <c r="E32" s="253">
        <f t="shared" si="2"/>
        <v>213.14412225619034</v>
      </c>
      <c r="F32" s="257"/>
      <c r="G32" s="170"/>
      <c r="H32" s="71"/>
      <c r="J32" s="307" t="s">
        <v>154</v>
      </c>
      <c r="K32" s="475">
        <f>IF('[4]Project Data - Step 1'!D53="Fixed-Bottom", 49541808*(C17/1000), 49541808*(C17/1000)*1.08)</f>
        <v>44587627.200000003</v>
      </c>
      <c r="L32" s="309">
        <f t="shared" si="1"/>
        <v>49.541808000000003</v>
      </c>
      <c r="M32" s="312">
        <f t="shared" si="4"/>
        <v>0.41675178753830444</v>
      </c>
      <c r="N32" s="35"/>
      <c r="O32" s="36"/>
    </row>
    <row r="33" spans="1:15" ht="15.75" x14ac:dyDescent="0.3">
      <c r="B33" s="245" t="s">
        <v>150</v>
      </c>
      <c r="C33" s="472">
        <f>C31*D33</f>
        <v>40370289.969428711</v>
      </c>
      <c r="D33" s="473">
        <f>Multipliers!D440</f>
        <v>0.17385999125507626</v>
      </c>
      <c r="E33" s="253">
        <f t="shared" si="2"/>
        <v>44.855877743809678</v>
      </c>
      <c r="F33" s="257"/>
      <c r="G33" s="170"/>
      <c r="H33" s="71"/>
      <c r="J33" s="34" t="s">
        <v>155</v>
      </c>
      <c r="K33" s="475">
        <f>607130*(C17/1000)</f>
        <v>546417</v>
      </c>
      <c r="L33" s="310">
        <f t="shared" si="1"/>
        <v>0.60712999999999995</v>
      </c>
      <c r="M33" s="312">
        <f t="shared" si="4"/>
        <v>5.1072522982635342E-3</v>
      </c>
      <c r="N33" s="37"/>
      <c r="O33" s="38"/>
    </row>
    <row r="34" spans="1:15" ht="16.5" x14ac:dyDescent="0.3">
      <c r="A34" s="50"/>
      <c r="B34" s="165" t="s">
        <v>156</v>
      </c>
      <c r="C34" s="475">
        <f>'General-Calculations'!AY28</f>
        <v>163800000</v>
      </c>
      <c r="D34" s="241"/>
      <c r="E34" s="253">
        <f t="shared" si="2"/>
        <v>182</v>
      </c>
      <c r="F34" s="257">
        <f t="shared" si="3"/>
        <v>6.7256652137331271E-2</v>
      </c>
      <c r="G34" s="170"/>
      <c r="H34" s="71"/>
      <c r="J34" s="32" t="s">
        <v>157</v>
      </c>
      <c r="K34" s="306">
        <f>SUM(K35:K39)</f>
        <v>33222153.599999998</v>
      </c>
      <c r="L34" s="308">
        <f>K34/($C$17*1000)</f>
        <v>36.913503999999996</v>
      </c>
      <c r="M34" s="313">
        <f t="shared" si="4"/>
        <v>0.31052093973442285</v>
      </c>
      <c r="N34" s="33"/>
      <c r="O34" s="19"/>
    </row>
    <row r="35" spans="1:15" ht="15.75" x14ac:dyDescent="0.3">
      <c r="B35" s="245" t="s">
        <v>148</v>
      </c>
      <c r="C35" s="472">
        <f>C34*D35</f>
        <v>140248988.41882631</v>
      </c>
      <c r="D35" s="170">
        <f>1-D36</f>
        <v>0.85622093051786508</v>
      </c>
      <c r="E35" s="253">
        <f t="shared" si="2"/>
        <v>155.83220935425146</v>
      </c>
      <c r="F35" s="257"/>
      <c r="G35" s="170"/>
      <c r="H35" s="71"/>
      <c r="J35" s="34" t="s">
        <v>158</v>
      </c>
      <c r="K35" s="475">
        <f>3399928*(C17/1000)</f>
        <v>3059935.2</v>
      </c>
      <c r="L35" s="309">
        <f t="shared" si="1"/>
        <v>3.3999280000000001</v>
      </c>
      <c r="M35" s="312">
        <f t="shared" si="4"/>
        <v>2.8600612870275793E-2</v>
      </c>
      <c r="N35" s="35"/>
      <c r="O35" s="36" t="s">
        <v>29</v>
      </c>
    </row>
    <row r="36" spans="1:15" ht="15.75" x14ac:dyDescent="0.3">
      <c r="B36" s="245" t="s">
        <v>150</v>
      </c>
      <c r="C36" s="472">
        <f>C34*D36</f>
        <v>23551011.581173699</v>
      </c>
      <c r="D36" s="473">
        <f>Multipliers!D441</f>
        <v>0.14377906948213492</v>
      </c>
      <c r="E36" s="253">
        <f t="shared" si="2"/>
        <v>26.167790645748553</v>
      </c>
      <c r="F36" s="257"/>
      <c r="G36" s="170"/>
      <c r="H36" s="71"/>
      <c r="J36" s="34" t="s">
        <v>159</v>
      </c>
      <c r="K36" s="475">
        <f>1578538*(C17/1000)</f>
        <v>1420684.2</v>
      </c>
      <c r="L36" s="309">
        <f t="shared" si="1"/>
        <v>1.578538</v>
      </c>
      <c r="M36" s="312">
        <f t="shared" si="4"/>
        <v>1.327885597548519E-2</v>
      </c>
      <c r="N36" s="35"/>
      <c r="O36" s="36"/>
    </row>
    <row r="37" spans="1:15" ht="15.75" x14ac:dyDescent="0.3">
      <c r="B37" s="598"/>
      <c r="C37" s="597"/>
      <c r="D37" s="597"/>
      <c r="E37" s="597"/>
      <c r="F37" s="597"/>
      <c r="G37" s="597"/>
      <c r="H37" s="599"/>
      <c r="J37" s="34" t="s">
        <v>160</v>
      </c>
      <c r="K37" s="475">
        <f>607130*(C17/1000)</f>
        <v>546417</v>
      </c>
      <c r="L37" s="309">
        <f t="shared" si="1"/>
        <v>0.60712999999999995</v>
      </c>
      <c r="M37" s="312">
        <f t="shared" si="4"/>
        <v>5.1072522982635342E-3</v>
      </c>
      <c r="N37" s="35"/>
      <c r="O37" s="36"/>
    </row>
    <row r="38" spans="1:15" ht="16.5" x14ac:dyDescent="0.3">
      <c r="B38" s="591" t="s">
        <v>161</v>
      </c>
      <c r="C38" s="592"/>
      <c r="D38" s="592"/>
      <c r="E38" s="593"/>
      <c r="F38" s="594"/>
      <c r="G38" s="595"/>
      <c r="H38" s="596"/>
      <c r="J38" s="34" t="s">
        <v>162</v>
      </c>
      <c r="K38" s="475">
        <f>25499460*(C17/1000)</f>
        <v>22949514</v>
      </c>
      <c r="L38" s="309">
        <f t="shared" si="1"/>
        <v>25.499459999999999</v>
      </c>
      <c r="M38" s="312">
        <f t="shared" si="4"/>
        <v>0.21450459652706844</v>
      </c>
      <c r="N38" s="35"/>
      <c r="O38" s="36"/>
    </row>
    <row r="39" spans="1:15" ht="15.75" x14ac:dyDescent="0.3">
      <c r="B39" s="61" t="s">
        <v>163</v>
      </c>
      <c r="C39" s="233">
        <f>C40+C43+C46+C49+C52</f>
        <v>376660239.15785801</v>
      </c>
      <c r="D39" s="238"/>
      <c r="E39" s="252">
        <f>C39/($C$17*1000)</f>
        <v>418.51137684206446</v>
      </c>
      <c r="F39" s="259">
        <f>C39/$C$19</f>
        <v>0.1546575499328697</v>
      </c>
      <c r="G39" s="62"/>
      <c r="H39" s="63"/>
      <c r="J39" s="246" t="s">
        <v>164</v>
      </c>
      <c r="K39" s="475">
        <f>5828448*(C17/1000)</f>
        <v>5245603.2</v>
      </c>
      <c r="L39" s="310">
        <f t="shared" si="1"/>
        <v>5.8284479999999999</v>
      </c>
      <c r="M39" s="314">
        <f t="shared" si="4"/>
        <v>4.9029622063329933E-2</v>
      </c>
      <c r="N39" s="37"/>
      <c r="O39" s="38" t="s">
        <v>29</v>
      </c>
    </row>
    <row r="40" spans="1:15" ht="15.75" x14ac:dyDescent="0.3">
      <c r="B40" s="68" t="s">
        <v>67</v>
      </c>
      <c r="C40" s="474">
        <v>363232239.15785801</v>
      </c>
      <c r="D40" s="242"/>
      <c r="E40" s="250">
        <f t="shared" ref="E40:E112" si="5">C40/($C$17*1000)</f>
        <v>403.59137684206445</v>
      </c>
      <c r="F40" s="258">
        <f t="shared" ref="F40:F69" si="6">C40/$C$19</f>
        <v>0.14914398262578737</v>
      </c>
      <c r="G40" s="64"/>
      <c r="H40" s="65"/>
    </row>
    <row r="41" spans="1:15" ht="15.75" x14ac:dyDescent="0.3">
      <c r="B41" s="249" t="s">
        <v>165</v>
      </c>
      <c r="C41" s="504">
        <f>$C$40*D41</f>
        <v>311007045.80582887</v>
      </c>
      <c r="D41" s="471">
        <f>1-D42</f>
        <v>0.85622093051786508</v>
      </c>
      <c r="E41" s="250">
        <f t="shared" si="5"/>
        <v>345.56338422869874</v>
      </c>
      <c r="F41" s="258"/>
      <c r="G41" s="64"/>
      <c r="H41" s="65"/>
    </row>
    <row r="42" spans="1:15" ht="15.75" customHeight="1" x14ac:dyDescent="0.3">
      <c r="B42" s="249" t="s">
        <v>166</v>
      </c>
      <c r="C42" s="504">
        <f>$C$40*D42</f>
        <v>52225193.352029115</v>
      </c>
      <c r="D42" s="473">
        <f>Multipliers!D441</f>
        <v>0.14377906948213492</v>
      </c>
      <c r="E42" s="250">
        <f t="shared" si="5"/>
        <v>58.027992613365683</v>
      </c>
      <c r="F42" s="258"/>
      <c r="G42" s="242"/>
      <c r="H42" s="65"/>
      <c r="J42" s="884" t="s">
        <v>167</v>
      </c>
      <c r="K42" s="887"/>
      <c r="L42" s="887"/>
      <c r="M42" s="887"/>
      <c r="N42" s="887"/>
      <c r="O42" s="888"/>
    </row>
    <row r="43" spans="1:15" ht="15.75" x14ac:dyDescent="0.3">
      <c r="B43" s="68" t="s">
        <v>73</v>
      </c>
      <c r="C43" s="474">
        <v>13428000</v>
      </c>
      <c r="D43" s="242"/>
      <c r="E43" s="250">
        <f t="shared" si="5"/>
        <v>14.92</v>
      </c>
      <c r="F43" s="258">
        <f t="shared" si="6"/>
        <v>5.5135673070823218E-3</v>
      </c>
      <c r="G43" s="242"/>
      <c r="H43" s="65"/>
      <c r="J43" s="46" t="s">
        <v>9</v>
      </c>
      <c r="K43" s="47" t="s">
        <v>168</v>
      </c>
      <c r="L43" s="47" t="s">
        <v>11</v>
      </c>
      <c r="M43" s="47"/>
      <c r="N43" s="47"/>
      <c r="O43" s="48"/>
    </row>
    <row r="44" spans="1:15" ht="16.5" x14ac:dyDescent="0.3">
      <c r="B44" s="249" t="s">
        <v>169</v>
      </c>
      <c r="C44" s="504">
        <f>$C$43*D44</f>
        <v>11570449.604742739</v>
      </c>
      <c r="D44" s="471">
        <f>1-D45</f>
        <v>0.86166589251882186</v>
      </c>
      <c r="E44" s="250">
        <f t="shared" si="5"/>
        <v>12.856055116380821</v>
      </c>
      <c r="F44" s="258"/>
      <c r="G44" s="64"/>
      <c r="H44" s="65"/>
      <c r="J44" s="39" t="s">
        <v>170</v>
      </c>
      <c r="K44" s="40"/>
      <c r="L44" s="40"/>
      <c r="M44" s="40"/>
      <c r="N44" s="41"/>
      <c r="O44" s="42"/>
    </row>
    <row r="45" spans="1:15" ht="15.75" x14ac:dyDescent="0.3">
      <c r="B45" s="249" t="s">
        <v>171</v>
      </c>
      <c r="C45" s="504">
        <f>$C$43*D45</f>
        <v>1857550.3952572607</v>
      </c>
      <c r="D45" s="473">
        <f>Multipliers!D439</f>
        <v>0.13833410748117819</v>
      </c>
      <c r="E45" s="250">
        <f t="shared" si="5"/>
        <v>2.0639448836191785</v>
      </c>
      <c r="F45" s="258"/>
      <c r="G45" s="242"/>
      <c r="H45" s="65"/>
      <c r="J45" s="78" t="s">
        <v>172</v>
      </c>
      <c r="K45" s="315" t="s">
        <v>97</v>
      </c>
      <c r="L45" s="473">
        <v>0.7</v>
      </c>
      <c r="M45" s="79"/>
      <c r="N45" s="79"/>
      <c r="O45" s="80"/>
    </row>
    <row r="46" spans="1:15" ht="15.75" x14ac:dyDescent="0.3">
      <c r="B46" s="68" t="s">
        <v>173</v>
      </c>
      <c r="C46" s="474">
        <v>0</v>
      </c>
      <c r="D46" s="242"/>
      <c r="E46" s="250">
        <f t="shared" si="5"/>
        <v>0</v>
      </c>
      <c r="F46" s="258">
        <f t="shared" si="6"/>
        <v>0</v>
      </c>
      <c r="G46" s="242"/>
      <c r="H46" s="65"/>
      <c r="J46" s="78" t="s">
        <v>174</v>
      </c>
      <c r="K46" s="315" t="s">
        <v>97</v>
      </c>
      <c r="L46" s="476">
        <v>0.05</v>
      </c>
      <c r="M46" s="81"/>
      <c r="N46" s="81"/>
      <c r="O46" s="80"/>
    </row>
    <row r="47" spans="1:15" ht="15.75" x14ac:dyDescent="0.3">
      <c r="B47" s="249" t="s">
        <v>175</v>
      </c>
      <c r="C47" s="504">
        <f>$C$46*D47</f>
        <v>0</v>
      </c>
      <c r="D47" s="471">
        <f>1-D48</f>
        <v>0.85622093051786508</v>
      </c>
      <c r="E47" s="250">
        <f t="shared" si="5"/>
        <v>0</v>
      </c>
      <c r="F47" s="258"/>
      <c r="G47" s="242"/>
      <c r="H47" s="65"/>
      <c r="J47" s="78" t="s">
        <v>176</v>
      </c>
      <c r="K47" s="315" t="s">
        <v>177</v>
      </c>
      <c r="L47" s="477">
        <v>15</v>
      </c>
      <c r="M47" s="81"/>
      <c r="N47" s="81"/>
      <c r="O47" s="80"/>
    </row>
    <row r="48" spans="1:15" ht="15.75" x14ac:dyDescent="0.3">
      <c r="B48" s="249" t="s">
        <v>178</v>
      </c>
      <c r="C48" s="504">
        <f>$C$46*D48</f>
        <v>0</v>
      </c>
      <c r="D48" s="473">
        <f>Multipliers!D441</f>
        <v>0.14377906948213492</v>
      </c>
      <c r="E48" s="250">
        <f t="shared" si="5"/>
        <v>0</v>
      </c>
      <c r="F48" s="258"/>
      <c r="G48" s="242"/>
      <c r="H48" s="65"/>
      <c r="J48" s="78" t="s">
        <v>179</v>
      </c>
      <c r="K48" s="315" t="s">
        <v>97</v>
      </c>
      <c r="L48" s="476">
        <v>0.03</v>
      </c>
      <c r="M48" s="223"/>
      <c r="N48" s="81"/>
      <c r="O48" s="80"/>
    </row>
    <row r="49" spans="2:17" ht="16.5" x14ac:dyDescent="0.3">
      <c r="B49" s="68" t="s">
        <v>180</v>
      </c>
      <c r="C49" s="474">
        <v>0</v>
      </c>
      <c r="D49" s="242"/>
      <c r="E49" s="250">
        <f t="shared" si="5"/>
        <v>0</v>
      </c>
      <c r="F49" s="258">
        <f t="shared" si="6"/>
        <v>0</v>
      </c>
      <c r="G49" s="242"/>
      <c r="H49" s="65"/>
      <c r="J49" s="39" t="s">
        <v>181</v>
      </c>
      <c r="K49" s="40"/>
      <c r="L49" s="318"/>
      <c r="M49" s="317"/>
      <c r="N49" s="41"/>
      <c r="O49" s="42"/>
    </row>
    <row r="50" spans="2:17" ht="15.75" x14ac:dyDescent="0.3">
      <c r="B50" s="249" t="s">
        <v>182</v>
      </c>
      <c r="C50" s="504">
        <f>$C$49*D50</f>
        <v>0</v>
      </c>
      <c r="D50" s="471">
        <f>1-D51</f>
        <v>0.85622093051786508</v>
      </c>
      <c r="E50" s="250">
        <f t="shared" si="5"/>
        <v>0</v>
      </c>
      <c r="F50" s="258"/>
      <c r="G50" s="242"/>
      <c r="H50" s="65"/>
      <c r="J50" s="78" t="s">
        <v>183</v>
      </c>
      <c r="K50" s="315" t="s">
        <v>97</v>
      </c>
      <c r="L50" s="473">
        <v>0.3</v>
      </c>
      <c r="M50" s="223"/>
      <c r="N50" s="81"/>
      <c r="O50" s="80"/>
    </row>
    <row r="51" spans="2:17" ht="15.75" x14ac:dyDescent="0.3">
      <c r="B51" s="249" t="s">
        <v>184</v>
      </c>
      <c r="C51" s="504">
        <f>$C$49*D51</f>
        <v>0</v>
      </c>
      <c r="D51" s="473">
        <f>Multipliers!D441</f>
        <v>0.14377906948213492</v>
      </c>
      <c r="E51" s="250">
        <f t="shared" si="5"/>
        <v>0</v>
      </c>
      <c r="F51" s="258"/>
      <c r="G51" s="242"/>
      <c r="H51" s="65"/>
      <c r="J51" s="78" t="s">
        <v>185</v>
      </c>
      <c r="K51" s="315" t="s">
        <v>97</v>
      </c>
      <c r="L51" s="476">
        <v>0.1</v>
      </c>
      <c r="M51" s="223"/>
      <c r="N51" s="81"/>
      <c r="O51" s="80"/>
    </row>
    <row r="52" spans="2:17" ht="15.75" x14ac:dyDescent="0.3">
      <c r="B52" s="68" t="s">
        <v>186</v>
      </c>
      <c r="C52" s="474">
        <v>0</v>
      </c>
      <c r="D52" s="242"/>
      <c r="E52" s="250">
        <f t="shared" si="5"/>
        <v>0</v>
      </c>
      <c r="F52" s="258">
        <f t="shared" si="6"/>
        <v>0</v>
      </c>
      <c r="G52" s="64"/>
      <c r="H52" s="65"/>
      <c r="J52" s="78" t="s">
        <v>187</v>
      </c>
      <c r="K52" s="315" t="s">
        <v>177</v>
      </c>
      <c r="L52" s="478">
        <v>5</v>
      </c>
      <c r="M52" s="81"/>
      <c r="N52" s="81"/>
      <c r="O52" s="80"/>
    </row>
    <row r="53" spans="2:17" ht="15.75" x14ac:dyDescent="0.3">
      <c r="B53" s="249" t="s">
        <v>188</v>
      </c>
      <c r="C53" s="472">
        <f>$C$52*D53</f>
        <v>0</v>
      </c>
      <c r="D53" s="471">
        <f>1-D54</f>
        <v>0.85622093051786508</v>
      </c>
      <c r="E53" s="250">
        <f t="shared" si="5"/>
        <v>0</v>
      </c>
      <c r="F53" s="258"/>
      <c r="G53" s="242"/>
      <c r="H53" s="65"/>
      <c r="J53" s="78" t="s">
        <v>189</v>
      </c>
      <c r="K53" s="315" t="s">
        <v>97</v>
      </c>
      <c r="L53" s="479">
        <v>0.5</v>
      </c>
      <c r="M53" s="81"/>
      <c r="N53" s="81"/>
      <c r="O53" s="80"/>
      <c r="Q53" s="442"/>
    </row>
    <row r="54" spans="2:17" ht="15.75" x14ac:dyDescent="0.3">
      <c r="B54" s="249" t="s">
        <v>190</v>
      </c>
      <c r="C54" s="472">
        <f>$C$52*D54</f>
        <v>0</v>
      </c>
      <c r="D54" s="473">
        <f>Multipliers!D441</f>
        <v>0.14377906948213492</v>
      </c>
      <c r="E54" s="250">
        <f t="shared" si="5"/>
        <v>0</v>
      </c>
      <c r="F54" s="258"/>
      <c r="G54" s="242"/>
      <c r="H54" s="65"/>
      <c r="J54" s="78" t="s">
        <v>191</v>
      </c>
      <c r="K54" s="315" t="s">
        <v>97</v>
      </c>
      <c r="L54" s="537">
        <f>100%-L53</f>
        <v>0.5</v>
      </c>
      <c r="M54" s="81"/>
      <c r="N54" s="81"/>
      <c r="O54" s="80"/>
      <c r="Q54" s="442"/>
    </row>
    <row r="55" spans="2:17" ht="16.5" x14ac:dyDescent="0.3">
      <c r="B55" s="61" t="s">
        <v>192</v>
      </c>
      <c r="C55" s="234">
        <f>C56+C59+C62</f>
        <v>239352981.85592002</v>
      </c>
      <c r="D55" s="239"/>
      <c r="E55" s="252">
        <f>C55/($C$17*1000)</f>
        <v>265.94775761768892</v>
      </c>
      <c r="F55" s="259">
        <f>C55/$C$19</f>
        <v>9.8278878136242823E-2</v>
      </c>
      <c r="G55" s="811"/>
      <c r="H55" s="63"/>
      <c r="J55" s="39" t="s">
        <v>193</v>
      </c>
      <c r="K55" s="40"/>
      <c r="L55" s="43"/>
      <c r="M55" s="43"/>
      <c r="N55" s="43"/>
      <c r="O55" s="42"/>
      <c r="Q55" s="442"/>
    </row>
    <row r="56" spans="2:17" ht="15.75" x14ac:dyDescent="0.3">
      <c r="B56" s="68" t="s">
        <v>194</v>
      </c>
      <c r="C56" s="474">
        <v>45708306.855920002</v>
      </c>
      <c r="D56" s="242"/>
      <c r="E56" s="250">
        <f t="shared" si="5"/>
        <v>50.787007617688893</v>
      </c>
      <c r="F56" s="258">
        <f t="shared" si="6"/>
        <v>1.8767934639774147E-2</v>
      </c>
      <c r="G56" s="506"/>
      <c r="H56" s="65"/>
      <c r="J56" s="78" t="s">
        <v>195</v>
      </c>
      <c r="K56" s="315" t="s">
        <v>97</v>
      </c>
      <c r="L56" s="480">
        <v>0.01</v>
      </c>
      <c r="M56" s="315"/>
      <c r="N56" s="315"/>
      <c r="O56" s="80"/>
      <c r="Q56" s="442"/>
    </row>
    <row r="57" spans="2:17" ht="15.75" x14ac:dyDescent="0.3">
      <c r="B57" s="248" t="s">
        <v>196</v>
      </c>
      <c r="C57" s="472">
        <f>$C$56*D57</f>
        <v>39136409.028571934</v>
      </c>
      <c r="D57" s="471">
        <f>1-D58</f>
        <v>0.85622093051786508</v>
      </c>
      <c r="E57" s="250">
        <f t="shared" si="5"/>
        <v>43.48489892063548</v>
      </c>
      <c r="F57" s="258"/>
      <c r="G57" s="64"/>
      <c r="H57" s="65"/>
      <c r="J57" s="84" t="s">
        <v>197</v>
      </c>
      <c r="K57" s="323" t="s">
        <v>97</v>
      </c>
      <c r="L57" s="480">
        <v>0.01</v>
      </c>
      <c r="M57" s="82"/>
      <c r="N57" s="82"/>
      <c r="O57" s="83"/>
      <c r="Q57" s="442"/>
    </row>
    <row r="58" spans="2:17" ht="16.5" x14ac:dyDescent="0.3">
      <c r="B58" s="248" t="s">
        <v>150</v>
      </c>
      <c r="C58" s="472">
        <f>$C$56*D58</f>
        <v>6571897.8273480665</v>
      </c>
      <c r="D58" s="473">
        <f>Multipliers!D441</f>
        <v>0.14377906948213492</v>
      </c>
      <c r="E58" s="250">
        <f t="shared" si="5"/>
        <v>7.3021086970534075</v>
      </c>
      <c r="F58" s="258"/>
      <c r="G58" s="64"/>
      <c r="H58" s="65"/>
      <c r="J58" s="39" t="s">
        <v>198</v>
      </c>
      <c r="K58" s="40"/>
      <c r="L58" s="536"/>
      <c r="M58" s="43"/>
      <c r="N58" s="43"/>
      <c r="O58" s="42"/>
    </row>
    <row r="59" spans="2:17" ht="15.75" x14ac:dyDescent="0.3">
      <c r="B59" s="68" t="s">
        <v>199</v>
      </c>
      <c r="C59" s="474">
        <v>76557375</v>
      </c>
      <c r="D59" s="242"/>
      <c r="E59" s="250">
        <f t="shared" si="5"/>
        <v>85.063749999999999</v>
      </c>
      <c r="F59" s="258">
        <f t="shared" si="6"/>
        <v>3.1434632105752265E-2</v>
      </c>
      <c r="G59" s="64"/>
      <c r="H59" s="65"/>
      <c r="J59" s="84" t="s">
        <v>200</v>
      </c>
      <c r="K59" s="323" t="s">
        <v>177</v>
      </c>
      <c r="L59" s="481">
        <v>20</v>
      </c>
      <c r="M59" s="467"/>
      <c r="N59" s="467"/>
      <c r="O59" s="83"/>
      <c r="Q59" s="442"/>
    </row>
    <row r="60" spans="2:17" ht="15.75" x14ac:dyDescent="0.3">
      <c r="B60" s="248" t="s">
        <v>196</v>
      </c>
      <c r="C60" s="472">
        <f>$C$59*D60</f>
        <v>65550026.860505141</v>
      </c>
      <c r="D60" s="471">
        <f>1-D61</f>
        <v>0.85622093051786508</v>
      </c>
      <c r="E60" s="250">
        <f t="shared" si="5"/>
        <v>72.833363178339042</v>
      </c>
      <c r="F60" s="258"/>
      <c r="G60" s="64"/>
      <c r="H60" s="65"/>
      <c r="Q60" s="442"/>
    </row>
    <row r="61" spans="2:17" ht="18.75" x14ac:dyDescent="0.3">
      <c r="B61" s="248" t="s">
        <v>150</v>
      </c>
      <c r="C61" s="472">
        <f>$C$59*D61</f>
        <v>11007348.139494859</v>
      </c>
      <c r="D61" s="473">
        <f>Multipliers!D441</f>
        <v>0.14377906948213492</v>
      </c>
      <c r="E61" s="250">
        <f t="shared" si="5"/>
        <v>12.230386821660954</v>
      </c>
      <c r="F61" s="258"/>
      <c r="G61" s="64"/>
      <c r="H61" s="65"/>
      <c r="J61" s="884" t="s">
        <v>201</v>
      </c>
      <c r="K61" s="885"/>
      <c r="L61" s="885"/>
      <c r="M61" s="885"/>
      <c r="N61" s="885"/>
      <c r="O61" s="886"/>
    </row>
    <row r="62" spans="2:17" ht="15.75" x14ac:dyDescent="0.3">
      <c r="B62" s="68" t="s">
        <v>202</v>
      </c>
      <c r="C62" s="475">
        <v>117087300</v>
      </c>
      <c r="D62" s="242"/>
      <c r="E62" s="250">
        <f t="shared" si="5"/>
        <v>130.09700000000001</v>
      </c>
      <c r="F62" s="258">
        <f t="shared" si="6"/>
        <v>4.8076311390716407E-2</v>
      </c>
      <c r="G62" s="64"/>
      <c r="H62" s="65"/>
      <c r="J62" s="46" t="s">
        <v>9</v>
      </c>
      <c r="K62" s="47" t="s">
        <v>203</v>
      </c>
      <c r="L62" s="535"/>
      <c r="M62" s="535"/>
      <c r="N62" s="47"/>
      <c r="O62" s="48"/>
    </row>
    <row r="63" spans="2:17" ht="16.5" x14ac:dyDescent="0.3">
      <c r="B63" s="248" t="s">
        <v>196</v>
      </c>
      <c r="C63" s="472">
        <f>$C$62*D63</f>
        <v>100548039.27389497</v>
      </c>
      <c r="D63" s="471">
        <f>1-D64</f>
        <v>0.85874419577439198</v>
      </c>
      <c r="E63" s="250">
        <f t="shared" si="5"/>
        <v>111.72004363766108</v>
      </c>
      <c r="F63" s="258"/>
      <c r="G63" s="64"/>
      <c r="H63" s="65"/>
      <c r="J63" s="513" t="s">
        <v>204</v>
      </c>
      <c r="K63" s="514"/>
      <c r="L63" s="514"/>
      <c r="M63" s="514"/>
      <c r="N63" s="514"/>
      <c r="O63" s="532"/>
    </row>
    <row r="64" spans="2:17" ht="15.75" x14ac:dyDescent="0.3">
      <c r="B64" s="248" t="s">
        <v>150</v>
      </c>
      <c r="C64" s="472">
        <f>$C$62*D64</f>
        <v>16539260.726105027</v>
      </c>
      <c r="D64" s="473">
        <f>Multipliers!D437</f>
        <v>0.14125580422560796</v>
      </c>
      <c r="E64" s="251">
        <f t="shared" si="5"/>
        <v>18.37695636233892</v>
      </c>
      <c r="F64" s="258"/>
      <c r="G64" s="64"/>
      <c r="H64" s="65"/>
      <c r="J64" s="515" t="s">
        <v>205</v>
      </c>
      <c r="K64" s="520">
        <v>99000</v>
      </c>
      <c r="L64" s="516"/>
      <c r="M64" s="516"/>
      <c r="N64" s="516"/>
      <c r="O64" s="533"/>
    </row>
    <row r="65" spans="2:15" ht="15.75" x14ac:dyDescent="0.3">
      <c r="B65" s="61" t="s">
        <v>206</v>
      </c>
      <c r="C65" s="234">
        <f>C66+C69+C72+C75+C78+C81+C84</f>
        <v>96673034.628951102</v>
      </c>
      <c r="D65" s="239"/>
      <c r="E65" s="252">
        <f t="shared" si="5"/>
        <v>107.41448292105677</v>
      </c>
      <c r="F65" s="259">
        <f t="shared" si="6"/>
        <v>3.9694167650180363E-2</v>
      </c>
      <c r="G65" s="166"/>
      <c r="H65" s="63"/>
      <c r="J65" s="515" t="s">
        <v>207</v>
      </c>
      <c r="K65" s="520">
        <v>99000</v>
      </c>
      <c r="L65" s="516"/>
      <c r="M65" s="516"/>
      <c r="N65" s="516"/>
      <c r="O65" s="533"/>
    </row>
    <row r="66" spans="2:15" ht="15.75" x14ac:dyDescent="0.3">
      <c r="B66" s="68" t="s">
        <v>205</v>
      </c>
      <c r="C66" s="475">
        <v>23642555.378794268</v>
      </c>
      <c r="D66" s="243"/>
      <c r="E66" s="250">
        <f t="shared" si="5"/>
        <v>26.269505976438076</v>
      </c>
      <c r="F66" s="258">
        <f t="shared" si="6"/>
        <v>9.707686952070551E-3</v>
      </c>
      <c r="G66" s="67"/>
      <c r="H66" s="65"/>
      <c r="J66" s="515" t="s">
        <v>208</v>
      </c>
      <c r="K66" s="520">
        <v>60000</v>
      </c>
      <c r="L66" s="516"/>
      <c r="M66" s="516"/>
      <c r="N66" s="516"/>
      <c r="O66" s="533"/>
    </row>
    <row r="67" spans="2:15" ht="15.75" x14ac:dyDescent="0.3">
      <c r="B67" s="248" t="s">
        <v>209</v>
      </c>
      <c r="C67" s="505">
        <f>$C$66*D67</f>
        <v>19683951.69649205</v>
      </c>
      <c r="D67" s="471">
        <f>1-D68</f>
        <v>0.83256447457228711</v>
      </c>
      <c r="E67" s="250">
        <f t="shared" si="5"/>
        <v>21.871057440546721</v>
      </c>
      <c r="F67" s="258"/>
      <c r="G67" s="67"/>
      <c r="H67" s="65"/>
      <c r="J67" s="515" t="s">
        <v>210</v>
      </c>
      <c r="K67" s="520">
        <v>64000</v>
      </c>
      <c r="L67" s="516"/>
      <c r="M67" s="516"/>
      <c r="N67" s="516"/>
      <c r="O67" s="533"/>
    </row>
    <row r="68" spans="2:15" ht="15.75" x14ac:dyDescent="0.3">
      <c r="B68" s="248" t="s">
        <v>150</v>
      </c>
      <c r="C68" s="505">
        <f>$C$66*D68</f>
        <v>3958603.6823022175</v>
      </c>
      <c r="D68" s="473">
        <f>Multipliers!D443</f>
        <v>0.16743552542771287</v>
      </c>
      <c r="E68" s="250">
        <f t="shared" si="5"/>
        <v>4.3984485358913528</v>
      </c>
      <c r="F68" s="258"/>
      <c r="G68" s="67"/>
      <c r="H68" s="65"/>
      <c r="J68" s="515" t="s">
        <v>211</v>
      </c>
      <c r="K68" s="520">
        <v>99000</v>
      </c>
      <c r="L68" s="516"/>
      <c r="M68" s="516"/>
      <c r="N68" s="516"/>
      <c r="O68" s="533"/>
    </row>
    <row r="69" spans="2:15" ht="15.75" x14ac:dyDescent="0.3">
      <c r="B69" s="68" t="s">
        <v>186</v>
      </c>
      <c r="C69" s="475">
        <v>0</v>
      </c>
      <c r="D69" s="243"/>
      <c r="E69" s="250">
        <f t="shared" si="5"/>
        <v>0</v>
      </c>
      <c r="F69" s="258">
        <f t="shared" si="6"/>
        <v>0</v>
      </c>
      <c r="G69" s="64"/>
      <c r="H69" s="65"/>
      <c r="J69" s="515" t="s">
        <v>202</v>
      </c>
      <c r="K69" s="520">
        <v>99000</v>
      </c>
      <c r="L69" s="516"/>
      <c r="M69" s="516"/>
      <c r="N69" s="516"/>
      <c r="O69" s="533"/>
    </row>
    <row r="70" spans="2:15" ht="16.5" x14ac:dyDescent="0.3">
      <c r="B70" s="248" t="s">
        <v>209</v>
      </c>
      <c r="C70" s="505">
        <f>$C$69*D70</f>
        <v>0</v>
      </c>
      <c r="D70" s="471">
        <f>1-D71</f>
        <v>0.83256447457228711</v>
      </c>
      <c r="E70" s="250">
        <f t="shared" si="5"/>
        <v>0</v>
      </c>
      <c r="F70" s="258"/>
      <c r="G70" s="64"/>
      <c r="H70" s="65"/>
      <c r="J70" s="513" t="s">
        <v>212</v>
      </c>
      <c r="K70" s="518"/>
      <c r="L70" s="518"/>
      <c r="M70" s="518"/>
      <c r="N70" s="518"/>
      <c r="O70" s="532"/>
    </row>
    <row r="71" spans="2:15" ht="15.75" x14ac:dyDescent="0.3">
      <c r="B71" s="248" t="s">
        <v>150</v>
      </c>
      <c r="C71" s="505">
        <f>$C$69*D71</f>
        <v>0</v>
      </c>
      <c r="D71" s="473">
        <f>Multipliers!D443</f>
        <v>0.16743552542771287</v>
      </c>
      <c r="E71" s="250">
        <f t="shared" si="5"/>
        <v>0</v>
      </c>
      <c r="F71" s="258"/>
      <c r="G71" s="64"/>
      <c r="H71" s="65"/>
      <c r="J71" s="515" t="s">
        <v>213</v>
      </c>
      <c r="K71" s="520">
        <v>100000</v>
      </c>
      <c r="L71" s="516"/>
      <c r="M71" s="516"/>
      <c r="N71" s="516"/>
      <c r="O71" s="533"/>
    </row>
    <row r="72" spans="2:15" ht="15.75" x14ac:dyDescent="0.3">
      <c r="B72" s="68" t="s">
        <v>210</v>
      </c>
      <c r="C72" s="475">
        <v>42802500</v>
      </c>
      <c r="D72" s="243"/>
      <c r="E72" s="250">
        <f t="shared" si="5"/>
        <v>47.55833333333333</v>
      </c>
      <c r="F72" s="258">
        <f t="shared" ref="F72:F105" si="7">C72/$C$19</f>
        <v>1.7574803743028826E-2</v>
      </c>
      <c r="G72" s="67"/>
      <c r="H72" s="65"/>
      <c r="J72" s="517" t="s">
        <v>214</v>
      </c>
      <c r="K72" s="520">
        <v>75000</v>
      </c>
      <c r="L72" s="519"/>
      <c r="M72" s="519"/>
      <c r="N72" s="519"/>
      <c r="O72" s="534"/>
    </row>
    <row r="73" spans="2:15" ht="15.75" x14ac:dyDescent="0.3">
      <c r="B73" s="248" t="s">
        <v>209</v>
      </c>
      <c r="C73" s="505">
        <f>$C$72*D73</f>
        <v>35635840.922880322</v>
      </c>
      <c r="D73" s="471">
        <f>1-D74</f>
        <v>0.83256447457228711</v>
      </c>
      <c r="E73" s="250">
        <f t="shared" si="5"/>
        <v>39.595378803200354</v>
      </c>
      <c r="F73" s="258"/>
      <c r="G73" s="67"/>
      <c r="H73" s="65"/>
    </row>
    <row r="74" spans="2:15" ht="15.75" x14ac:dyDescent="0.3">
      <c r="B74" s="248" t="s">
        <v>150</v>
      </c>
      <c r="C74" s="505">
        <f>$C$72*D74</f>
        <v>7166659.0771196801</v>
      </c>
      <c r="D74" s="473">
        <f>Multipliers!D443</f>
        <v>0.16743552542771287</v>
      </c>
      <c r="E74" s="250">
        <f t="shared" si="5"/>
        <v>7.9629545301329783</v>
      </c>
      <c r="F74" s="258"/>
      <c r="G74" s="67"/>
      <c r="H74" s="65"/>
    </row>
    <row r="75" spans="2:15" ht="15.75" x14ac:dyDescent="0.3">
      <c r="B75" s="68" t="s">
        <v>215</v>
      </c>
      <c r="C75" s="475">
        <v>14770982.093065798</v>
      </c>
      <c r="D75" s="243"/>
      <c r="E75" s="250">
        <f t="shared" si="5"/>
        <v>16.412202325628666</v>
      </c>
      <c r="F75" s="258">
        <f t="shared" si="7"/>
        <v>6.0649988056170681E-3</v>
      </c>
      <c r="G75" s="67"/>
      <c r="H75" s="65"/>
    </row>
    <row r="76" spans="2:15" ht="15.75" x14ac:dyDescent="0.3">
      <c r="B76" s="248" t="s">
        <v>209</v>
      </c>
      <c r="C76" s="505">
        <f>$C$75*D76</f>
        <v>12297794.945229989</v>
      </c>
      <c r="D76" s="471">
        <f>1-D77</f>
        <v>0.83256447457228711</v>
      </c>
      <c r="E76" s="250">
        <f t="shared" si="5"/>
        <v>13.664216605811099</v>
      </c>
      <c r="F76" s="258"/>
      <c r="G76" s="67"/>
      <c r="H76" s="65"/>
    </row>
    <row r="77" spans="2:15" ht="15.75" x14ac:dyDescent="0.3">
      <c r="B77" s="248" t="s">
        <v>150</v>
      </c>
      <c r="C77" s="505">
        <f>$C$75*D77</f>
        <v>2473187.1478358097</v>
      </c>
      <c r="D77" s="473">
        <f>Multipliers!D443</f>
        <v>0.16743552542771287</v>
      </c>
      <c r="E77" s="250">
        <f t="shared" si="5"/>
        <v>2.7479857198175663</v>
      </c>
      <c r="F77" s="258"/>
      <c r="G77" s="67"/>
      <c r="H77" s="65"/>
    </row>
    <row r="78" spans="2:15" ht="15.75" x14ac:dyDescent="0.3">
      <c r="B78" s="68" t="s">
        <v>216</v>
      </c>
      <c r="C78" s="475">
        <v>2540511.4130434259</v>
      </c>
      <c r="D78" s="243"/>
      <c r="E78" s="250">
        <f t="shared" si="5"/>
        <v>2.8227904589371398</v>
      </c>
      <c r="F78" s="258">
        <f t="shared" si="7"/>
        <v>1.0431397579852358E-3</v>
      </c>
      <c r="G78" s="67"/>
      <c r="H78" s="65"/>
    </row>
    <row r="79" spans="2:15" ht="15.75" x14ac:dyDescent="0.3">
      <c r="B79" s="248" t="s">
        <v>209</v>
      </c>
      <c r="C79" s="505">
        <f>$C$78*D79</f>
        <v>2115139.5497453986</v>
      </c>
      <c r="D79" s="471">
        <f>1-D80</f>
        <v>0.83256447457228711</v>
      </c>
      <c r="E79" s="250">
        <f t="shared" si="5"/>
        <v>2.3501550552726651</v>
      </c>
      <c r="F79" s="258"/>
      <c r="G79" s="67"/>
      <c r="H79" s="65"/>
    </row>
    <row r="80" spans="2:15" ht="15.75" x14ac:dyDescent="0.3">
      <c r="B80" s="248" t="s">
        <v>150</v>
      </c>
      <c r="C80" s="505">
        <f>$C$78*D80</f>
        <v>425371.86329802725</v>
      </c>
      <c r="D80" s="473">
        <f>Multipliers!D443</f>
        <v>0.16743552542771287</v>
      </c>
      <c r="E80" s="250">
        <f t="shared" si="5"/>
        <v>0.47263540366447471</v>
      </c>
      <c r="F80" s="258"/>
      <c r="G80" s="67"/>
      <c r="H80" s="65"/>
    </row>
    <row r="81" spans="2:8" ht="15.75" x14ac:dyDescent="0.3">
      <c r="B81" s="68" t="s">
        <v>202</v>
      </c>
      <c r="C81" s="475">
        <v>2486485.7440476194</v>
      </c>
      <c r="D81" s="244"/>
      <c r="E81" s="250">
        <f t="shared" si="5"/>
        <v>2.762761937830688</v>
      </c>
      <c r="F81" s="258">
        <f t="shared" si="7"/>
        <v>1.0209566955546034E-3</v>
      </c>
      <c r="G81" s="69"/>
      <c r="H81" s="65"/>
    </row>
    <row r="82" spans="2:8" ht="15.75" x14ac:dyDescent="0.3">
      <c r="B82" s="248" t="s">
        <v>209</v>
      </c>
      <c r="C82" s="505">
        <f>$C$81*D82</f>
        <v>2070159.6970244886</v>
      </c>
      <c r="D82" s="471">
        <f>1-D83</f>
        <v>0.83256447457228711</v>
      </c>
      <c r="E82" s="250">
        <f t="shared" si="5"/>
        <v>2.3001774411383207</v>
      </c>
      <c r="F82" s="258"/>
      <c r="G82" s="69"/>
      <c r="H82" s="65"/>
    </row>
    <row r="83" spans="2:8" ht="15.75" x14ac:dyDescent="0.3">
      <c r="B83" s="248" t="s">
        <v>150</v>
      </c>
      <c r="C83" s="505">
        <f>$C$81*D83</f>
        <v>416326.0470231307</v>
      </c>
      <c r="D83" s="473">
        <f>Multipliers!D443</f>
        <v>0.16743552542771287</v>
      </c>
      <c r="E83" s="250">
        <f t="shared" si="5"/>
        <v>0.46258449669236745</v>
      </c>
      <c r="F83" s="258"/>
      <c r="G83" s="69"/>
      <c r="H83" s="65"/>
    </row>
    <row r="84" spans="2:8" ht="15.75" x14ac:dyDescent="0.3">
      <c r="B84" s="68" t="s">
        <v>73</v>
      </c>
      <c r="C84" s="475">
        <v>10430000</v>
      </c>
      <c r="D84" s="242"/>
      <c r="E84" s="250">
        <f t="shared" si="5"/>
        <v>11.588888888888889</v>
      </c>
      <c r="F84" s="258">
        <f t="shared" si="7"/>
        <v>4.2825816959240846E-3</v>
      </c>
      <c r="G84" s="64"/>
      <c r="H84" s="65"/>
    </row>
    <row r="85" spans="2:8" ht="15.75" x14ac:dyDescent="0.3">
      <c r="B85" s="248" t="s">
        <v>209</v>
      </c>
      <c r="C85" s="505">
        <f>$C$84*D85</f>
        <v>8683647.4697889537</v>
      </c>
      <c r="D85" s="471">
        <f>1-D86</f>
        <v>0.83256447457228711</v>
      </c>
      <c r="E85" s="250">
        <f t="shared" si="5"/>
        <v>9.6484971886543924</v>
      </c>
      <c r="F85" s="258"/>
      <c r="G85" s="64"/>
      <c r="H85" s="65"/>
    </row>
    <row r="86" spans="2:8" ht="15.75" x14ac:dyDescent="0.3">
      <c r="B86" s="248" t="s">
        <v>150</v>
      </c>
      <c r="C86" s="505">
        <f>$C$84*D86</f>
        <v>1746352.5302110452</v>
      </c>
      <c r="D86" s="473">
        <f>Multipliers!D443</f>
        <v>0.16743552542771287</v>
      </c>
      <c r="E86" s="250">
        <f t="shared" si="5"/>
        <v>1.9403917002344946</v>
      </c>
      <c r="F86" s="258"/>
      <c r="G86" s="64"/>
      <c r="H86" s="65"/>
    </row>
    <row r="87" spans="2:8" ht="15.75" x14ac:dyDescent="0.3">
      <c r="B87" s="61" t="s">
        <v>217</v>
      </c>
      <c r="C87" s="234">
        <f>SUM(C88:C94)</f>
        <v>38328032.750982717</v>
      </c>
      <c r="D87" s="239"/>
      <c r="E87" s="252">
        <f t="shared" si="5"/>
        <v>42.586703056647465</v>
      </c>
      <c r="F87" s="259">
        <f>C87/$C$19</f>
        <v>1.5737577325037146E-2</v>
      </c>
      <c r="G87" s="62"/>
      <c r="H87" s="63"/>
    </row>
    <row r="88" spans="2:8" ht="15.75" x14ac:dyDescent="0.3">
      <c r="B88" s="68" t="s">
        <v>205</v>
      </c>
      <c r="C88" s="474">
        <v>8176275.9374590851</v>
      </c>
      <c r="D88" s="242"/>
      <c r="E88" s="250">
        <f t="shared" si="5"/>
        <v>9.0847510416212049</v>
      </c>
      <c r="F88" s="258">
        <f t="shared" si="7"/>
        <v>3.3571974756075565E-3</v>
      </c>
      <c r="G88" s="64"/>
      <c r="H88" s="65"/>
    </row>
    <row r="89" spans="2:8" ht="15.75" x14ac:dyDescent="0.3">
      <c r="B89" s="68" t="s">
        <v>186</v>
      </c>
      <c r="C89" s="474">
        <v>0</v>
      </c>
      <c r="D89" s="242"/>
      <c r="E89" s="250">
        <f t="shared" si="5"/>
        <v>0</v>
      </c>
      <c r="F89" s="258">
        <f t="shared" si="7"/>
        <v>0</v>
      </c>
      <c r="G89" s="64"/>
      <c r="H89" s="65"/>
    </row>
    <row r="90" spans="2:8" ht="15.75" x14ac:dyDescent="0.3">
      <c r="B90" s="68" t="s">
        <v>210</v>
      </c>
      <c r="C90" s="474">
        <v>15175342.465753362</v>
      </c>
      <c r="D90" s="242"/>
      <c r="E90" s="250">
        <f t="shared" si="5"/>
        <v>16.861491628614846</v>
      </c>
      <c r="F90" s="258">
        <f t="shared" si="7"/>
        <v>6.231030093309187E-3</v>
      </c>
      <c r="G90" s="64"/>
      <c r="H90" s="65"/>
    </row>
    <row r="91" spans="2:8" ht="15.75" x14ac:dyDescent="0.3">
      <c r="B91" s="68" t="s">
        <v>215</v>
      </c>
      <c r="C91" s="474">
        <v>7995058.6811319487</v>
      </c>
      <c r="D91" s="242"/>
      <c r="E91" s="250">
        <f t="shared" si="5"/>
        <v>8.8833985345910538</v>
      </c>
      <c r="F91" s="258">
        <f t="shared" si="7"/>
        <v>3.2827892584520266E-3</v>
      </c>
      <c r="G91" s="64"/>
      <c r="H91" s="65"/>
    </row>
    <row r="92" spans="2:8" ht="15.75" x14ac:dyDescent="0.3">
      <c r="B92" s="68" t="s">
        <v>216</v>
      </c>
      <c r="C92" s="474">
        <v>1194800.774270399</v>
      </c>
      <c r="D92" s="242"/>
      <c r="E92" s="250">
        <f t="shared" si="5"/>
        <v>1.3275564158559989</v>
      </c>
      <c r="F92" s="258">
        <f t="shared" si="7"/>
        <v>4.9058791238411651E-4</v>
      </c>
      <c r="G92" s="64"/>
      <c r="H92" s="65"/>
    </row>
    <row r="93" spans="2:8" ht="15.75" x14ac:dyDescent="0.3">
      <c r="B93" s="68" t="s">
        <v>202</v>
      </c>
      <c r="C93" s="474">
        <v>170116.53620352253</v>
      </c>
      <c r="D93" s="242"/>
      <c r="E93" s="250">
        <f t="shared" si="5"/>
        <v>0.18901837355946946</v>
      </c>
      <c r="F93" s="258">
        <f t="shared" si="7"/>
        <v>6.9850236253040504E-5</v>
      </c>
      <c r="G93" s="64"/>
      <c r="H93" s="65"/>
    </row>
    <row r="94" spans="2:8" ht="15.75" x14ac:dyDescent="0.3">
      <c r="B94" s="68" t="s">
        <v>73</v>
      </c>
      <c r="C94" s="474">
        <v>5616438.3561643958</v>
      </c>
      <c r="D94" s="242"/>
      <c r="E94" s="250">
        <f t="shared" si="5"/>
        <v>6.2404870624048838</v>
      </c>
      <c r="F94" s="258">
        <f t="shared" si="7"/>
        <v>2.3061223490312174E-3</v>
      </c>
      <c r="G94" s="64"/>
      <c r="H94" s="65"/>
    </row>
    <row r="95" spans="2:8" ht="15.75" x14ac:dyDescent="0.3">
      <c r="B95" s="61" t="s">
        <v>218</v>
      </c>
      <c r="C95" s="234">
        <f>SUM(C96:C102)</f>
        <v>257032537.9742884</v>
      </c>
      <c r="D95" s="239"/>
      <c r="E95" s="252">
        <f>C95/($C$17*1000)</f>
        <v>285.59170886032047</v>
      </c>
      <c r="F95" s="259">
        <f>C95/$C$19</f>
        <v>0.10553814404464044</v>
      </c>
      <c r="G95" s="66"/>
      <c r="H95" s="63"/>
    </row>
    <row r="96" spans="2:8" ht="15.75" x14ac:dyDescent="0.3">
      <c r="B96" s="68" t="s">
        <v>219</v>
      </c>
      <c r="C96" s="500">
        <f>C17*D96*1000</f>
        <v>45000000</v>
      </c>
      <c r="D96" s="502">
        <v>50</v>
      </c>
      <c r="E96" s="250">
        <f t="shared" si="5"/>
        <v>50</v>
      </c>
      <c r="F96" s="258">
        <f t="shared" si="7"/>
        <v>1.8477102235530569E-2</v>
      </c>
      <c r="G96" s="64"/>
      <c r="H96" s="65"/>
    </row>
    <row r="97" spans="2:8" ht="15.75" x14ac:dyDescent="0.3">
      <c r="B97" s="68" t="s">
        <v>220</v>
      </c>
      <c r="C97" s="500">
        <v>0</v>
      </c>
      <c r="D97" s="242"/>
      <c r="E97" s="250">
        <f t="shared" si="5"/>
        <v>0</v>
      </c>
      <c r="F97" s="258">
        <f t="shared" si="7"/>
        <v>0</v>
      </c>
      <c r="G97" s="64"/>
      <c r="H97" s="65"/>
    </row>
    <row r="98" spans="2:8" ht="15.75" x14ac:dyDescent="0.3">
      <c r="B98" s="68" t="s">
        <v>221</v>
      </c>
      <c r="C98" s="500">
        <v>1000000</v>
      </c>
      <c r="D98" s="242"/>
      <c r="E98" s="250">
        <f t="shared" si="5"/>
        <v>1.1111111111111112</v>
      </c>
      <c r="F98" s="258">
        <f t="shared" si="7"/>
        <v>4.1060227190067931E-4</v>
      </c>
      <c r="G98" s="64"/>
      <c r="H98" s="65"/>
    </row>
    <row r="99" spans="2:8" ht="15.75" x14ac:dyDescent="0.3">
      <c r="B99" s="68" t="s">
        <v>222</v>
      </c>
      <c r="C99" s="500">
        <v>250000</v>
      </c>
      <c r="D99" s="242"/>
      <c r="E99" s="250">
        <f t="shared" si="5"/>
        <v>0.27777777777777779</v>
      </c>
      <c r="F99" s="258">
        <f t="shared" si="7"/>
        <v>1.0265056797516983E-4</v>
      </c>
      <c r="G99" s="64"/>
      <c r="H99" s="65"/>
    </row>
    <row r="100" spans="2:8" ht="15.75" x14ac:dyDescent="0.3">
      <c r="B100" s="68" t="s">
        <v>223</v>
      </c>
      <c r="C100" s="501">
        <v>500000</v>
      </c>
      <c r="D100" s="242"/>
      <c r="E100" s="250">
        <f t="shared" si="5"/>
        <v>0.55555555555555558</v>
      </c>
      <c r="F100" s="258">
        <f t="shared" si="7"/>
        <v>2.0530113595033965E-4</v>
      </c>
      <c r="G100" s="64"/>
      <c r="H100" s="65"/>
    </row>
    <row r="101" spans="2:8" ht="15.75" x14ac:dyDescent="0.3">
      <c r="B101" s="68" t="s">
        <v>224</v>
      </c>
      <c r="C101" s="501">
        <v>50000000</v>
      </c>
      <c r="D101" s="242"/>
      <c r="E101" s="250">
        <f t="shared" si="5"/>
        <v>55.555555555555557</v>
      </c>
      <c r="F101" s="258">
        <f t="shared" si="7"/>
        <v>2.0530113595033966E-2</v>
      </c>
      <c r="G101" s="64"/>
      <c r="H101" s="65"/>
    </row>
    <row r="102" spans="2:8" ht="15.75" x14ac:dyDescent="0.3">
      <c r="B102" s="68" t="s">
        <v>225</v>
      </c>
      <c r="C102" s="500">
        <v>160282537.9742884</v>
      </c>
      <c r="D102" s="242"/>
      <c r="E102" s="250">
        <f>C102/($C$17*1000)</f>
        <v>178.09170886032044</v>
      </c>
      <c r="F102" s="258">
        <f>C102/$C$19</f>
        <v>6.5812374238249718E-2</v>
      </c>
      <c r="G102" s="64"/>
      <c r="H102" s="65"/>
    </row>
    <row r="103" spans="2:8" ht="15.75" x14ac:dyDescent="0.3">
      <c r="B103" s="61" t="s">
        <v>226</v>
      </c>
      <c r="C103" s="235">
        <f>C104</f>
        <v>63000000</v>
      </c>
      <c r="D103" s="239"/>
      <c r="E103" s="252">
        <f t="shared" si="5"/>
        <v>70</v>
      </c>
      <c r="F103" s="259">
        <f>C103/$C$19</f>
        <v>2.5867943129742794E-2</v>
      </c>
      <c r="G103" s="66"/>
      <c r="H103" s="63"/>
    </row>
    <row r="104" spans="2:8" ht="15.75" x14ac:dyDescent="0.3">
      <c r="B104" s="68" t="s">
        <v>227</v>
      </c>
      <c r="C104" s="475">
        <f>D104*$C$17*1000</f>
        <v>63000000</v>
      </c>
      <c r="D104" s="503">
        <v>70</v>
      </c>
      <c r="E104" s="250">
        <f t="shared" si="5"/>
        <v>70</v>
      </c>
      <c r="F104" s="258">
        <f t="shared" si="7"/>
        <v>2.5867943129742794E-2</v>
      </c>
      <c r="G104" s="64"/>
      <c r="H104" s="65"/>
    </row>
    <row r="105" spans="2:8" ht="15.75" x14ac:dyDescent="0.3">
      <c r="B105" s="322" t="s">
        <v>228</v>
      </c>
      <c r="C105" s="233">
        <v>0</v>
      </c>
      <c r="D105" s="320"/>
      <c r="E105" s="252">
        <v>0</v>
      </c>
      <c r="F105" s="259">
        <f t="shared" si="7"/>
        <v>0</v>
      </c>
      <c r="G105" s="321"/>
      <c r="H105" s="63"/>
    </row>
    <row r="106" spans="2:8" ht="15.75" x14ac:dyDescent="0.25">
      <c r="B106" s="29" t="s">
        <v>229</v>
      </c>
      <c r="C106" s="236"/>
      <c r="D106" s="240"/>
      <c r="E106" s="256"/>
      <c r="F106" s="260"/>
      <c r="G106" s="30"/>
      <c r="H106" s="31"/>
    </row>
    <row r="107" spans="2:8" ht="15.75" x14ac:dyDescent="0.3">
      <c r="B107" s="72" t="s">
        <v>230</v>
      </c>
      <c r="C107" s="475">
        <v>13200000</v>
      </c>
      <c r="D107" s="224"/>
      <c r="E107" s="254">
        <f t="shared" si="5"/>
        <v>14.666666666666666</v>
      </c>
      <c r="F107" s="507">
        <f t="shared" ref="F107:F112" si="8">C107/$C$19</f>
        <v>5.4199499890889664E-3</v>
      </c>
      <c r="G107" s="74"/>
      <c r="H107" s="75"/>
    </row>
    <row r="108" spans="2:8" ht="15.75" x14ac:dyDescent="0.3">
      <c r="B108" s="72" t="s">
        <v>231</v>
      </c>
      <c r="C108" s="475">
        <v>54900000</v>
      </c>
      <c r="D108" s="224"/>
      <c r="E108" s="254">
        <f t="shared" si="5"/>
        <v>61</v>
      </c>
      <c r="F108" s="507">
        <f t="shared" si="8"/>
        <v>2.2542064727347294E-2</v>
      </c>
      <c r="G108" s="74"/>
      <c r="H108" s="75"/>
    </row>
    <row r="109" spans="2:8" ht="15.75" x14ac:dyDescent="0.3">
      <c r="B109" s="72" t="s">
        <v>232</v>
      </c>
      <c r="C109" s="475">
        <v>13200000</v>
      </c>
      <c r="D109" s="224"/>
      <c r="E109" s="254">
        <f t="shared" si="5"/>
        <v>14.666666666666666</v>
      </c>
      <c r="F109" s="507">
        <f t="shared" si="8"/>
        <v>5.4199499890889664E-3</v>
      </c>
      <c r="G109" s="74"/>
      <c r="H109" s="75"/>
    </row>
    <row r="110" spans="2:8" ht="15.75" x14ac:dyDescent="0.3">
      <c r="B110" s="72" t="s">
        <v>233</v>
      </c>
      <c r="C110" s="475">
        <v>94800000</v>
      </c>
      <c r="D110" s="224"/>
      <c r="E110" s="254">
        <f t="shared" si="5"/>
        <v>105.33333333333333</v>
      </c>
      <c r="F110" s="507">
        <f t="shared" si="8"/>
        <v>3.8925095376184396E-2</v>
      </c>
      <c r="G110" s="74"/>
      <c r="H110" s="75"/>
    </row>
    <row r="111" spans="2:8" ht="15.75" x14ac:dyDescent="0.3">
      <c r="B111" s="72" t="s">
        <v>234</v>
      </c>
      <c r="C111" s="475">
        <v>17400000</v>
      </c>
      <c r="D111" s="74"/>
      <c r="E111" s="254">
        <f t="shared" ref="E111" si="9">C111/($C$17*1000)</f>
        <v>19.333333333333332</v>
      </c>
      <c r="F111" s="507">
        <f t="shared" si="8"/>
        <v>7.1444795310718198E-3</v>
      </c>
      <c r="G111" s="74"/>
      <c r="H111" s="75"/>
    </row>
    <row r="112" spans="2:8" ht="15.75" x14ac:dyDescent="0.3">
      <c r="B112" s="73" t="s">
        <v>228</v>
      </c>
      <c r="C112" s="474">
        <v>0</v>
      </c>
      <c r="D112" s="76"/>
      <c r="E112" s="255">
        <f t="shared" si="5"/>
        <v>0</v>
      </c>
      <c r="F112" s="508">
        <f t="shared" si="8"/>
        <v>0</v>
      </c>
      <c r="G112" s="76"/>
      <c r="H112" s="77"/>
    </row>
    <row r="114" spans="6:6" x14ac:dyDescent="0.25">
      <c r="F114" s="812"/>
    </row>
  </sheetData>
  <sheetProtection algorithmName="SHA-512" hashValue="xg8vk4kmpf3RqTuwfJcEdwWOkxW50YyosFaj8o0sXqnIkszC1a7NDXUI3gb2/tSHP+oWvNB8f3M9RoTQlrcd/Q==" saltValue="nw+jRoOjvPi6GzPALejBTQ==" spinCount="100000" sheet="1" objects="1" scenarios="1"/>
  <mergeCells count="6">
    <mergeCell ref="J61:O61"/>
    <mergeCell ref="B8:H9"/>
    <mergeCell ref="B25:H25"/>
    <mergeCell ref="J25:O25"/>
    <mergeCell ref="J42:O42"/>
    <mergeCell ref="B15:D15"/>
  </mergeCells>
  <conditionalFormatting sqref="G31 G34">
    <cfRule type="cellIs" dxfId="143" priority="92" operator="greaterThan">
      <formula>$I$5</formula>
    </cfRule>
    <cfRule type="iconSet" priority="93">
      <iconSet iconSet="3Symbols">
        <cfvo type="percent" val="0"/>
        <cfvo type="percent" val="33"/>
        <cfvo type="percent" val="67"/>
      </iconSet>
    </cfRule>
    <cfRule type="notContainsBlanks" priority="94">
      <formula>LEN(TRIM(G31))&gt;0</formula>
    </cfRule>
  </conditionalFormatting>
  <conditionalFormatting sqref="N31">
    <cfRule type="cellIs" dxfId="142" priority="77" operator="greaterThan">
      <formula>$I$5</formula>
    </cfRule>
    <cfRule type="iconSet" priority="78">
      <iconSet iconSet="3Symbols">
        <cfvo type="percent" val="0"/>
        <cfvo type="percent" val="33"/>
        <cfvo type="percent" val="67"/>
      </iconSet>
    </cfRule>
    <cfRule type="notContainsBlanks" priority="79">
      <formula>LEN(TRIM(N31))&gt;0</formula>
    </cfRule>
  </conditionalFormatting>
  <conditionalFormatting sqref="N45">
    <cfRule type="cellIs" dxfId="141" priority="65" operator="greaterThan">
      <formula>$I$5</formula>
    </cfRule>
    <cfRule type="iconSet" priority="66">
      <iconSet iconSet="3Symbols">
        <cfvo type="percent" val="0"/>
        <cfvo type="percent" val="33"/>
        <cfvo type="percent" val="67"/>
      </iconSet>
    </cfRule>
    <cfRule type="notContainsBlanks" priority="67">
      <formula>LEN(TRIM(N45))&gt;0</formula>
    </cfRule>
  </conditionalFormatting>
  <conditionalFormatting sqref="M45">
    <cfRule type="cellIs" dxfId="140" priority="68" operator="greaterThan">
      <formula>$I$5</formula>
    </cfRule>
    <cfRule type="iconSet" priority="69">
      <iconSet iconSet="3Symbols">
        <cfvo type="percent" val="0"/>
        <cfvo type="percent" val="33"/>
        <cfvo type="percent" val="67"/>
      </iconSet>
    </cfRule>
    <cfRule type="notContainsBlanks" priority="70">
      <formula>LEN(TRIM(M45))&gt;0</formula>
    </cfRule>
  </conditionalFormatting>
  <conditionalFormatting sqref="N33">
    <cfRule type="cellIs" dxfId="139" priority="134" operator="greaterThan">
      <formula>$I$5</formula>
    </cfRule>
    <cfRule type="iconSet" priority="135">
      <iconSet iconSet="3Symbols">
        <cfvo type="percent" val="0"/>
        <cfvo type="percent" val="33"/>
        <cfvo type="percent" val="67"/>
      </iconSet>
    </cfRule>
    <cfRule type="notContainsBlanks" priority="136">
      <formula>LEN(TRIM(N33))&gt;0</formula>
    </cfRule>
  </conditionalFormatting>
  <conditionalFormatting sqref="N32 N30">
    <cfRule type="cellIs" dxfId="138" priority="137" operator="greaterThan">
      <formula>$I$5</formula>
    </cfRule>
    <cfRule type="iconSet" priority="138">
      <iconSet iconSet="3Symbols">
        <cfvo type="percent" val="0"/>
        <cfvo type="percent" val="33"/>
        <cfvo type="percent" val="67"/>
      </iconSet>
    </cfRule>
    <cfRule type="notContainsBlanks" priority="139">
      <formula>LEN(TRIM(N30))&gt;0</formula>
    </cfRule>
  </conditionalFormatting>
  <conditionalFormatting sqref="G28">
    <cfRule type="cellIs" dxfId="137" priority="158" operator="greaterThan">
      <formula>$I$5</formula>
    </cfRule>
    <cfRule type="iconSet" priority="159">
      <iconSet iconSet="3Symbols">
        <cfvo type="percent" val="0"/>
        <cfvo type="percent" val="33"/>
        <cfvo type="percent" val="67"/>
      </iconSet>
    </cfRule>
    <cfRule type="notContainsBlanks" priority="160">
      <formula>LEN(TRIM(G28))&gt;0</formula>
    </cfRule>
  </conditionalFormatting>
  <conditionalFormatting sqref="G30">
    <cfRule type="cellIs" dxfId="136" priority="32" operator="greaterThan">
      <formula>$I$5</formula>
    </cfRule>
    <cfRule type="iconSet" priority="33">
      <iconSet iconSet="3Symbols">
        <cfvo type="percent" val="0"/>
        <cfvo type="percent" val="33"/>
        <cfvo type="percent" val="67"/>
      </iconSet>
    </cfRule>
    <cfRule type="notContainsBlanks" priority="34">
      <formula>LEN(TRIM(G30))&gt;0</formula>
    </cfRule>
  </conditionalFormatting>
  <conditionalFormatting sqref="G29">
    <cfRule type="cellIs" dxfId="135" priority="29" operator="greaterThan">
      <formula>$I$5</formula>
    </cfRule>
    <cfRule type="iconSet" priority="30">
      <iconSet iconSet="3Symbols">
        <cfvo type="percent" val="0"/>
        <cfvo type="percent" val="33"/>
        <cfvo type="percent" val="67"/>
      </iconSet>
    </cfRule>
    <cfRule type="notContainsBlanks" priority="31">
      <formula>LEN(TRIM(G29))&gt;0</formula>
    </cfRule>
  </conditionalFormatting>
  <conditionalFormatting sqref="C29:C30">
    <cfRule type="cellIs" dxfId="134" priority="16" operator="equal">
      <formula>0</formula>
    </cfRule>
  </conditionalFormatting>
  <conditionalFormatting sqref="C63:C64">
    <cfRule type="cellIs" dxfId="133" priority="7" operator="equal">
      <formula>0</formula>
    </cfRule>
  </conditionalFormatting>
  <conditionalFormatting sqref="C57:C58">
    <cfRule type="cellIs" dxfId="132" priority="9" operator="equal">
      <formula>0</formula>
    </cfRule>
  </conditionalFormatting>
  <conditionalFormatting sqref="C60:C61">
    <cfRule type="cellIs" dxfId="131" priority="8" operator="equal">
      <formula>0</formula>
    </cfRule>
  </conditionalFormatting>
  <conditionalFormatting sqref="C32:C33">
    <cfRule type="cellIs" dxfId="130" priority="2" operator="equal">
      <formula>0</formula>
    </cfRule>
  </conditionalFormatting>
  <conditionalFormatting sqref="C35:C36">
    <cfRule type="cellIs" dxfId="129" priority="1" operator="equal">
      <formula>0</formula>
    </cfRule>
  </conditionalFormatting>
  <conditionalFormatting sqref="N35:N39">
    <cfRule type="cellIs" dxfId="128" priority="161" operator="greaterThan">
      <formula>$I$5</formula>
    </cfRule>
    <cfRule type="iconSet" priority="162">
      <iconSet iconSet="3Symbols">
        <cfvo type="percent" val="0"/>
        <cfvo type="percent" val="33"/>
        <cfvo type="percent" val="67"/>
      </iconSet>
    </cfRule>
    <cfRule type="notContainsBlanks" priority="163">
      <formula>LEN(TRIM(N35))&gt;0</formula>
    </cfRule>
  </conditionalFormatting>
  <dataValidations count="1">
    <dataValidation type="decimal" allowBlank="1" showInputMessage="1" showErrorMessage="1" sqref="L45:L46 L48 L50:L51 L53 L56:L57" xr:uid="{26A1C14C-FA38-6048-B793-29959D7650A6}">
      <formula1>0</formula1>
      <formula2>1</formula2>
    </dataValidation>
  </dataValidations>
  <pageMargins left="0.7" right="0.7" top="0.75" bottom="0.75" header="0.3" footer="0.3"/>
  <pageSetup orientation="portrait" horizontalDpi="300" verticalDpi="3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BECA-CFBF-415E-837D-EE8D75D8EAB7}">
  <sheetPr codeName="Sheet4">
    <tabColor rgb="FF7030A0"/>
  </sheetPr>
  <dimension ref="A1:J130"/>
  <sheetViews>
    <sheetView showGridLines="0" zoomScaleNormal="100" workbookViewId="0">
      <selection activeCell="E132" sqref="E132"/>
    </sheetView>
  </sheetViews>
  <sheetFormatPr defaultColWidth="8.85546875" defaultRowHeight="15" x14ac:dyDescent="0.25"/>
  <cols>
    <col min="1" max="1" width="9.140625" customWidth="1"/>
    <col min="2" max="2" width="64.7109375" customWidth="1"/>
    <col min="3" max="3" width="22" customWidth="1"/>
    <col min="4" max="4" width="18.140625" customWidth="1"/>
    <col min="5" max="5" width="14.28515625" customWidth="1"/>
    <col min="6" max="6" width="11.7109375" customWidth="1"/>
    <col min="9" max="9" width="39" customWidth="1"/>
    <col min="10" max="11" width="26.7109375" customWidth="1"/>
  </cols>
  <sheetData>
    <row r="1" spans="1:10" s="1" customFormat="1" ht="40.5" customHeight="1" x14ac:dyDescent="0.25">
      <c r="A1" s="850" t="s">
        <v>0</v>
      </c>
      <c r="B1" s="4"/>
      <c r="C1" s="4"/>
      <c r="D1" s="4"/>
      <c r="E1" s="4"/>
      <c r="F1" s="4"/>
      <c r="G1" s="4"/>
      <c r="H1" s="4"/>
      <c r="I1" s="4"/>
    </row>
    <row r="2" spans="1:10" s="1" customFormat="1" ht="30.75" customHeight="1" x14ac:dyDescent="0.25">
      <c r="A2" s="851" t="s">
        <v>1</v>
      </c>
      <c r="B2" s="5"/>
      <c r="C2" s="5"/>
      <c r="D2" s="5"/>
      <c r="E2" s="5"/>
      <c r="F2" s="5"/>
      <c r="G2" s="5"/>
      <c r="H2" s="5"/>
      <c r="I2" s="5"/>
    </row>
    <row r="3" spans="1:10" s="1" customFormat="1" ht="20.25" customHeight="1" x14ac:dyDescent="0.25">
      <c r="A3" s="852" t="s">
        <v>2</v>
      </c>
      <c r="B3" s="7"/>
      <c r="C3" s="7"/>
      <c r="D3" s="7"/>
      <c r="E3" s="7"/>
      <c r="F3" s="7"/>
      <c r="G3" s="7"/>
      <c r="H3" s="7"/>
      <c r="I3" s="7"/>
    </row>
    <row r="4" spans="1:10" s="1" customFormat="1" ht="15" customHeight="1" x14ac:dyDescent="0.25">
      <c r="A4" s="6"/>
    </row>
    <row r="5" spans="1:10" s="1" customFormat="1" ht="27" customHeight="1" x14ac:dyDescent="0.25">
      <c r="B5" s="11" t="s">
        <v>235</v>
      </c>
      <c r="C5" s="262"/>
      <c r="D5" s="12"/>
      <c r="E5" s="12"/>
      <c r="F5" s="12"/>
      <c r="G5" s="12"/>
      <c r="H5" s="13"/>
    </row>
    <row r="6" spans="1:10" s="1" customFormat="1" ht="15" customHeight="1" x14ac:dyDescent="0.35">
      <c r="B6" s="8"/>
      <c r="C6" s="8"/>
    </row>
    <row r="7" spans="1:10" s="1" customFormat="1" x14ac:dyDescent="0.25">
      <c r="B7" s="589" t="s">
        <v>236</v>
      </c>
      <c r="C7" s="9"/>
    </row>
    <row r="8" spans="1:10" s="1" customFormat="1" ht="15" customHeight="1" x14ac:dyDescent="0.25">
      <c r="B8" s="875" t="s">
        <v>237</v>
      </c>
      <c r="C8" s="876"/>
      <c r="D8" s="876"/>
      <c r="E8" s="876"/>
      <c r="F8" s="876"/>
      <c r="G8" s="876"/>
      <c r="H8" s="877"/>
      <c r="I8" s="16"/>
    </row>
    <row r="9" spans="1:10" s="1" customFormat="1" ht="60" customHeight="1" x14ac:dyDescent="0.25">
      <c r="B9" s="878"/>
      <c r="C9" s="879"/>
      <c r="D9" s="879"/>
      <c r="E9" s="879"/>
      <c r="F9" s="879"/>
      <c r="G9" s="879"/>
      <c r="H9" s="880"/>
      <c r="I9" s="2"/>
    </row>
    <row r="10" spans="1:10" s="1" customFormat="1" ht="15" customHeight="1" x14ac:dyDescent="0.35">
      <c r="J10" s="418"/>
    </row>
    <row r="11" spans="1:10" s="1" customFormat="1" x14ac:dyDescent="0.25"/>
    <row r="12" spans="1:10" s="1" customFormat="1" x14ac:dyDescent="0.25"/>
    <row r="13" spans="1:10" s="1" customFormat="1" x14ac:dyDescent="0.25"/>
    <row r="14" spans="1:10" s="1" customFormat="1" x14ac:dyDescent="0.25"/>
    <row r="15" spans="1:10" ht="18" x14ac:dyDescent="0.25">
      <c r="B15" s="889" t="s">
        <v>238</v>
      </c>
      <c r="C15" s="890"/>
      <c r="D15" s="891"/>
      <c r="E15" s="495"/>
    </row>
    <row r="16" spans="1:10" ht="15.75" x14ac:dyDescent="0.3">
      <c r="B16" s="497" t="s">
        <v>9</v>
      </c>
      <c r="C16" s="498" t="s">
        <v>239</v>
      </c>
      <c r="D16" s="803" t="s">
        <v>29</v>
      </c>
      <c r="E16" s="496"/>
    </row>
    <row r="17" spans="2:5" ht="15.75" x14ac:dyDescent="0.25">
      <c r="B17" s="26" t="s">
        <v>144</v>
      </c>
      <c r="C17" s="499"/>
      <c r="D17" s="18"/>
    </row>
    <row r="18" spans="2:5" ht="15.75" x14ac:dyDescent="0.3">
      <c r="B18" s="165" t="s">
        <v>146</v>
      </c>
      <c r="C18" s="510"/>
      <c r="D18" s="71"/>
    </row>
    <row r="19" spans="2:5" ht="15.75" x14ac:dyDescent="0.3">
      <c r="B19" s="245" t="s">
        <v>148</v>
      </c>
      <c r="C19" s="473">
        <v>0</v>
      </c>
      <c r="D19" s="71"/>
      <c r="E19" s="54" t="str">
        <f>IF('Optional Turbine Subcomponents'!C17="Yes","&lt;- You opted to enter nacelle local content in the Optional Turbine Subcomponents tab and this value will not be used","")</f>
        <v/>
      </c>
    </row>
    <row r="20" spans="2:5" ht="15.75" x14ac:dyDescent="0.3">
      <c r="B20" s="245" t="s">
        <v>150</v>
      </c>
      <c r="C20" s="473">
        <v>0</v>
      </c>
      <c r="D20" s="71"/>
    </row>
    <row r="21" spans="2:5" ht="15.75" x14ac:dyDescent="0.3">
      <c r="B21" s="165" t="s">
        <v>152</v>
      </c>
      <c r="C21" s="510"/>
      <c r="D21" s="71"/>
    </row>
    <row r="22" spans="2:5" ht="15.75" x14ac:dyDescent="0.3">
      <c r="B22" s="245" t="s">
        <v>148</v>
      </c>
      <c r="C22" s="473">
        <v>0</v>
      </c>
      <c r="D22" s="71"/>
      <c r="E22" s="54" t="str">
        <f>IF('Optional Turbine Subcomponents'!C40="Yes","&lt;- You opted to enter blade local content in the Optional Turbine Subcomponents tab and this value will not be used","")</f>
        <v/>
      </c>
    </row>
    <row r="23" spans="2:5" ht="15.75" x14ac:dyDescent="0.3">
      <c r="B23" s="245" t="s">
        <v>150</v>
      </c>
      <c r="C23" s="473">
        <v>0</v>
      </c>
      <c r="D23" s="71"/>
    </row>
    <row r="24" spans="2:5" ht="15.75" x14ac:dyDescent="0.3">
      <c r="B24" s="165" t="s">
        <v>156</v>
      </c>
      <c r="C24" s="510"/>
      <c r="D24" s="71"/>
    </row>
    <row r="25" spans="2:5" ht="15.75" x14ac:dyDescent="0.3">
      <c r="B25" s="245" t="s">
        <v>148</v>
      </c>
      <c r="C25" s="473">
        <v>0</v>
      </c>
      <c r="D25" s="71"/>
      <c r="E25" s="54" t="str">
        <f>IF('Optional Turbine Subcomponents'!C69="Yes","'&lt;- You opted to enter towers local content in the Optional Turbine Subcomponents tab and this value will not be used","")</f>
        <v/>
      </c>
    </row>
    <row r="26" spans="2:5" ht="15.75" x14ac:dyDescent="0.3">
      <c r="B26" s="245" t="s">
        <v>150</v>
      </c>
      <c r="C26" s="473">
        <v>0</v>
      </c>
      <c r="D26" s="71"/>
    </row>
    <row r="27" spans="2:5" ht="15.75" x14ac:dyDescent="0.3">
      <c r="B27" s="165" t="s">
        <v>228</v>
      </c>
      <c r="C27" s="473">
        <v>0</v>
      </c>
      <c r="D27" s="71"/>
    </row>
    <row r="28" spans="2:5" ht="15.75" x14ac:dyDescent="0.25">
      <c r="B28" s="59" t="s">
        <v>161</v>
      </c>
      <c r="C28" s="482"/>
      <c r="D28" s="60"/>
    </row>
    <row r="29" spans="2:5" ht="15.75" x14ac:dyDescent="0.3">
      <c r="B29" s="61" t="s">
        <v>163</v>
      </c>
      <c r="C29" s="483"/>
      <c r="D29" s="63"/>
    </row>
    <row r="30" spans="2:5" ht="15.75" x14ac:dyDescent="0.3">
      <c r="B30" s="68" t="s">
        <v>67</v>
      </c>
      <c r="C30" s="473">
        <v>0</v>
      </c>
      <c r="D30" s="65"/>
    </row>
    <row r="31" spans="2:5" ht="15.75" x14ac:dyDescent="0.3">
      <c r="B31" s="249" t="s">
        <v>165</v>
      </c>
      <c r="C31" s="484"/>
      <c r="D31" s="65"/>
    </row>
    <row r="32" spans="2:5" ht="15.75" x14ac:dyDescent="0.3">
      <c r="B32" s="249" t="s">
        <v>166</v>
      </c>
      <c r="C32" s="484"/>
      <c r="D32" s="65"/>
    </row>
    <row r="33" spans="2:4" ht="15.75" x14ac:dyDescent="0.3">
      <c r="B33" s="68" t="s">
        <v>73</v>
      </c>
      <c r="C33" s="473">
        <v>0</v>
      </c>
      <c r="D33" s="65"/>
    </row>
    <row r="34" spans="2:4" ht="15.75" x14ac:dyDescent="0.3">
      <c r="B34" s="249" t="s">
        <v>169</v>
      </c>
      <c r="C34" s="484"/>
      <c r="D34" s="65"/>
    </row>
    <row r="35" spans="2:4" ht="15.75" x14ac:dyDescent="0.3">
      <c r="B35" s="249" t="s">
        <v>171</v>
      </c>
      <c r="C35" s="484"/>
      <c r="D35" s="65"/>
    </row>
    <row r="36" spans="2:4" ht="15.75" x14ac:dyDescent="0.3">
      <c r="B36" s="68" t="s">
        <v>173</v>
      </c>
      <c r="C36" s="473">
        <v>0</v>
      </c>
      <c r="D36" s="65"/>
    </row>
    <row r="37" spans="2:4" ht="15.75" x14ac:dyDescent="0.3">
      <c r="B37" s="249" t="s">
        <v>175</v>
      </c>
      <c r="C37" s="484"/>
      <c r="D37" s="65"/>
    </row>
    <row r="38" spans="2:4" ht="15.75" x14ac:dyDescent="0.3">
      <c r="B38" s="249" t="s">
        <v>178</v>
      </c>
      <c r="C38" s="484"/>
      <c r="D38" s="65"/>
    </row>
    <row r="39" spans="2:4" ht="15.75" x14ac:dyDescent="0.3">
      <c r="B39" s="68" t="s">
        <v>180</v>
      </c>
      <c r="C39" s="473">
        <v>0</v>
      </c>
      <c r="D39" s="65"/>
    </row>
    <row r="40" spans="2:4" ht="15.75" x14ac:dyDescent="0.3">
      <c r="B40" s="249" t="s">
        <v>182</v>
      </c>
      <c r="C40" s="484"/>
      <c r="D40" s="65"/>
    </row>
    <row r="41" spans="2:4" ht="15.75" x14ac:dyDescent="0.3">
      <c r="B41" s="249" t="s">
        <v>184</v>
      </c>
      <c r="C41" s="484"/>
      <c r="D41" s="65"/>
    </row>
    <row r="42" spans="2:4" ht="15.75" x14ac:dyDescent="0.3">
      <c r="B42" s="68" t="s">
        <v>186</v>
      </c>
      <c r="C42" s="473">
        <v>0</v>
      </c>
      <c r="D42" s="65"/>
    </row>
    <row r="43" spans="2:4" ht="15.75" x14ac:dyDescent="0.3">
      <c r="B43" s="249" t="s">
        <v>188</v>
      </c>
      <c r="C43" s="484"/>
      <c r="D43" s="65"/>
    </row>
    <row r="44" spans="2:4" ht="15.75" x14ac:dyDescent="0.3">
      <c r="B44" s="249" t="s">
        <v>190</v>
      </c>
      <c r="C44" s="484"/>
      <c r="D44" s="65"/>
    </row>
    <row r="45" spans="2:4" ht="15.75" x14ac:dyDescent="0.3">
      <c r="B45" s="61" t="s">
        <v>192</v>
      </c>
      <c r="C45" s="485"/>
      <c r="D45" s="63"/>
    </row>
    <row r="46" spans="2:4" ht="15.75" x14ac:dyDescent="0.3">
      <c r="B46" s="68" t="s">
        <v>194</v>
      </c>
      <c r="C46" s="473">
        <v>0</v>
      </c>
      <c r="D46" s="65"/>
    </row>
    <row r="47" spans="2:4" ht="15.75" x14ac:dyDescent="0.3">
      <c r="B47" s="248" t="s">
        <v>196</v>
      </c>
      <c r="C47" s="484"/>
      <c r="D47" s="65"/>
    </row>
    <row r="48" spans="2:4" ht="15.75" x14ac:dyDescent="0.3">
      <c r="B48" s="248" t="s">
        <v>150</v>
      </c>
      <c r="C48" s="484"/>
      <c r="D48" s="65"/>
    </row>
    <row r="49" spans="2:6" ht="15.75" x14ac:dyDescent="0.3">
      <c r="B49" s="68" t="s">
        <v>199</v>
      </c>
      <c r="C49" s="473">
        <v>0</v>
      </c>
      <c r="D49" s="65"/>
    </row>
    <row r="50" spans="2:6" ht="15.75" x14ac:dyDescent="0.3">
      <c r="B50" s="248" t="s">
        <v>196</v>
      </c>
      <c r="C50" s="484"/>
      <c r="D50" s="65"/>
    </row>
    <row r="51" spans="2:6" ht="15.75" x14ac:dyDescent="0.3">
      <c r="B51" s="248" t="s">
        <v>150</v>
      </c>
      <c r="C51" s="484"/>
      <c r="D51" s="65"/>
    </row>
    <row r="52" spans="2:6" ht="15.75" x14ac:dyDescent="0.3">
      <c r="B52" s="68" t="s">
        <v>202</v>
      </c>
      <c r="C52" s="473">
        <v>0</v>
      </c>
      <c r="D52" s="65"/>
    </row>
    <row r="53" spans="2:6" ht="15.75" x14ac:dyDescent="0.3">
      <c r="B53" s="248" t="s">
        <v>196</v>
      </c>
      <c r="C53" s="484"/>
      <c r="D53" s="65"/>
    </row>
    <row r="54" spans="2:6" ht="15.75" x14ac:dyDescent="0.3">
      <c r="B54" s="248" t="s">
        <v>150</v>
      </c>
      <c r="C54" s="484"/>
      <c r="D54" s="65"/>
    </row>
    <row r="55" spans="2:6" ht="15.75" x14ac:dyDescent="0.3">
      <c r="B55" s="61" t="s">
        <v>206</v>
      </c>
      <c r="C55" s="483"/>
      <c r="D55" s="63"/>
      <c r="F55" s="54"/>
    </row>
    <row r="56" spans="2:6" ht="15.75" x14ac:dyDescent="0.3">
      <c r="B56" s="68" t="s">
        <v>205</v>
      </c>
      <c r="C56" s="486"/>
      <c r="D56" s="65"/>
    </row>
    <row r="57" spans="2:6" ht="15.75" x14ac:dyDescent="0.3">
      <c r="B57" s="248" t="s">
        <v>209</v>
      </c>
      <c r="C57" s="473">
        <v>0</v>
      </c>
      <c r="D57" s="65"/>
    </row>
    <row r="58" spans="2:6" ht="15.75" x14ac:dyDescent="0.3">
      <c r="B58" s="248" t="s">
        <v>150</v>
      </c>
      <c r="C58" s="473">
        <v>0</v>
      </c>
      <c r="D58" s="65"/>
    </row>
    <row r="59" spans="2:6" ht="15.75" x14ac:dyDescent="0.3">
      <c r="B59" s="68" t="s">
        <v>186</v>
      </c>
      <c r="C59" s="486"/>
      <c r="D59" s="65"/>
    </row>
    <row r="60" spans="2:6" ht="15.75" x14ac:dyDescent="0.3">
      <c r="B60" s="248" t="s">
        <v>209</v>
      </c>
      <c r="C60" s="473">
        <v>0</v>
      </c>
      <c r="D60" s="65"/>
    </row>
    <row r="61" spans="2:6" ht="15.75" x14ac:dyDescent="0.3">
      <c r="B61" s="248" t="s">
        <v>150</v>
      </c>
      <c r="C61" s="473">
        <v>0</v>
      </c>
      <c r="D61" s="65"/>
    </row>
    <row r="62" spans="2:6" ht="15.75" x14ac:dyDescent="0.3">
      <c r="B62" s="68" t="s">
        <v>210</v>
      </c>
      <c r="C62" s="486"/>
      <c r="D62" s="65"/>
    </row>
    <row r="63" spans="2:6" ht="15.75" x14ac:dyDescent="0.3">
      <c r="B63" s="248" t="s">
        <v>209</v>
      </c>
      <c r="C63" s="473">
        <v>0</v>
      </c>
      <c r="D63" s="65"/>
    </row>
    <row r="64" spans="2:6" ht="15.75" x14ac:dyDescent="0.3">
      <c r="B64" s="248" t="s">
        <v>150</v>
      </c>
      <c r="C64" s="473">
        <v>0</v>
      </c>
      <c r="D64" s="65"/>
    </row>
    <row r="65" spans="2:4" ht="15.75" x14ac:dyDescent="0.3">
      <c r="B65" s="68" t="s">
        <v>215</v>
      </c>
      <c r="C65" s="486"/>
      <c r="D65" s="65"/>
    </row>
    <row r="66" spans="2:4" ht="15.75" x14ac:dyDescent="0.3">
      <c r="B66" s="248" t="s">
        <v>209</v>
      </c>
      <c r="C66" s="473">
        <v>0</v>
      </c>
      <c r="D66" s="65"/>
    </row>
    <row r="67" spans="2:4" ht="15.75" x14ac:dyDescent="0.3">
      <c r="B67" s="248" t="s">
        <v>150</v>
      </c>
      <c r="C67" s="473">
        <v>0</v>
      </c>
      <c r="D67" s="65"/>
    </row>
    <row r="68" spans="2:4" ht="15.75" x14ac:dyDescent="0.3">
      <c r="B68" s="68" t="s">
        <v>216</v>
      </c>
      <c r="C68" s="486"/>
      <c r="D68" s="65"/>
    </row>
    <row r="69" spans="2:4" ht="15.75" x14ac:dyDescent="0.3">
      <c r="B69" s="248" t="s">
        <v>209</v>
      </c>
      <c r="C69" s="473">
        <v>0</v>
      </c>
      <c r="D69" s="65"/>
    </row>
    <row r="70" spans="2:4" ht="15.75" x14ac:dyDescent="0.3">
      <c r="B70" s="248" t="s">
        <v>150</v>
      </c>
      <c r="C70" s="473">
        <v>0</v>
      </c>
      <c r="D70" s="65"/>
    </row>
    <row r="71" spans="2:4" ht="15.75" x14ac:dyDescent="0.3">
      <c r="B71" s="68" t="s">
        <v>202</v>
      </c>
      <c r="C71" s="486"/>
      <c r="D71" s="65"/>
    </row>
    <row r="72" spans="2:4" ht="15.75" x14ac:dyDescent="0.3">
      <c r="B72" s="248" t="s">
        <v>209</v>
      </c>
      <c r="C72" s="473">
        <v>0</v>
      </c>
      <c r="D72" s="65"/>
    </row>
    <row r="73" spans="2:4" ht="15.75" x14ac:dyDescent="0.3">
      <c r="B73" s="248" t="s">
        <v>150</v>
      </c>
      <c r="C73" s="473">
        <v>0</v>
      </c>
      <c r="D73" s="65"/>
    </row>
    <row r="74" spans="2:4" ht="15.75" x14ac:dyDescent="0.3">
      <c r="B74" s="68" t="s">
        <v>73</v>
      </c>
      <c r="C74" s="486"/>
      <c r="D74" s="65"/>
    </row>
    <row r="75" spans="2:4" ht="15.75" x14ac:dyDescent="0.3">
      <c r="B75" s="248" t="s">
        <v>209</v>
      </c>
      <c r="C75" s="473">
        <v>0</v>
      </c>
      <c r="D75" s="65"/>
    </row>
    <row r="76" spans="2:4" ht="15.75" x14ac:dyDescent="0.3">
      <c r="B76" s="248" t="s">
        <v>150</v>
      </c>
      <c r="C76" s="473">
        <v>0</v>
      </c>
      <c r="D76" s="65"/>
    </row>
    <row r="77" spans="2:4" ht="15.75" x14ac:dyDescent="0.3">
      <c r="B77" s="61" t="s">
        <v>217</v>
      </c>
      <c r="C77" s="483"/>
      <c r="D77" s="63"/>
    </row>
    <row r="78" spans="2:4" ht="15.75" x14ac:dyDescent="0.3">
      <c r="B78" s="68" t="s">
        <v>205</v>
      </c>
      <c r="C78" s="473">
        <v>0</v>
      </c>
      <c r="D78" s="65"/>
    </row>
    <row r="79" spans="2:4" ht="15.75" x14ac:dyDescent="0.3">
      <c r="B79" s="68" t="s">
        <v>186</v>
      </c>
      <c r="C79" s="473">
        <v>0</v>
      </c>
      <c r="D79" s="65"/>
    </row>
    <row r="80" spans="2:4" ht="15.75" x14ac:dyDescent="0.3">
      <c r="B80" s="68" t="s">
        <v>210</v>
      </c>
      <c r="C80" s="473">
        <v>0</v>
      </c>
      <c r="D80" s="65"/>
    </row>
    <row r="81" spans="2:4" ht="15.75" x14ac:dyDescent="0.3">
      <c r="B81" s="68" t="s">
        <v>215</v>
      </c>
      <c r="C81" s="473">
        <v>0</v>
      </c>
      <c r="D81" s="65"/>
    </row>
    <row r="82" spans="2:4" ht="15.75" x14ac:dyDescent="0.3">
      <c r="B82" s="68" t="s">
        <v>216</v>
      </c>
      <c r="C82" s="473">
        <v>0</v>
      </c>
      <c r="D82" s="65"/>
    </row>
    <row r="83" spans="2:4" ht="15.75" x14ac:dyDescent="0.3">
      <c r="B83" s="68" t="s">
        <v>202</v>
      </c>
      <c r="C83" s="473">
        <v>0</v>
      </c>
      <c r="D83" s="65"/>
    </row>
    <row r="84" spans="2:4" ht="15.75" x14ac:dyDescent="0.3">
      <c r="B84" s="68" t="s">
        <v>73</v>
      </c>
      <c r="C84" s="473">
        <v>0</v>
      </c>
      <c r="D84" s="65"/>
    </row>
    <row r="85" spans="2:4" ht="15.75" x14ac:dyDescent="0.3">
      <c r="B85" s="61" t="s">
        <v>218</v>
      </c>
      <c r="C85" s="485"/>
      <c r="D85" s="63"/>
    </row>
    <row r="86" spans="2:4" ht="15.75" x14ac:dyDescent="0.3">
      <c r="B86" s="68" t="s">
        <v>219</v>
      </c>
      <c r="C86" s="473">
        <v>0</v>
      </c>
      <c r="D86" s="65"/>
    </row>
    <row r="87" spans="2:4" ht="15.75" x14ac:dyDescent="0.3">
      <c r="B87" s="68" t="s">
        <v>220</v>
      </c>
      <c r="C87" s="473">
        <v>0</v>
      </c>
      <c r="D87" s="65"/>
    </row>
    <row r="88" spans="2:4" ht="15.75" x14ac:dyDescent="0.3">
      <c r="B88" s="68" t="s">
        <v>221</v>
      </c>
      <c r="C88" s="473">
        <v>0</v>
      </c>
      <c r="D88" s="65"/>
    </row>
    <row r="89" spans="2:4" ht="15.75" x14ac:dyDescent="0.3">
      <c r="B89" s="68" t="s">
        <v>222</v>
      </c>
      <c r="C89" s="473">
        <v>0</v>
      </c>
      <c r="D89" s="65"/>
    </row>
    <row r="90" spans="2:4" ht="15.75" x14ac:dyDescent="0.3">
      <c r="B90" s="68" t="s">
        <v>223</v>
      </c>
      <c r="C90" s="473">
        <v>0</v>
      </c>
      <c r="D90" s="65"/>
    </row>
    <row r="91" spans="2:4" ht="15.75" x14ac:dyDescent="0.3">
      <c r="B91" s="68" t="s">
        <v>224</v>
      </c>
      <c r="C91" s="473">
        <v>0</v>
      </c>
      <c r="D91" s="65"/>
    </row>
    <row r="92" spans="2:4" ht="15.75" x14ac:dyDescent="0.3">
      <c r="B92" s="68" t="s">
        <v>225</v>
      </c>
      <c r="C92" s="473">
        <v>0</v>
      </c>
      <c r="D92" s="65"/>
    </row>
    <row r="93" spans="2:4" ht="15.75" x14ac:dyDescent="0.3">
      <c r="B93" s="61" t="s">
        <v>226</v>
      </c>
      <c r="C93" s="485"/>
      <c r="D93" s="63"/>
    </row>
    <row r="94" spans="2:4" ht="15.75" x14ac:dyDescent="0.3">
      <c r="B94" s="68" t="s">
        <v>227</v>
      </c>
      <c r="C94" s="473">
        <v>0</v>
      </c>
      <c r="D94" s="65"/>
    </row>
    <row r="95" spans="2:4" ht="15.75" x14ac:dyDescent="0.3">
      <c r="B95" s="511" t="s">
        <v>228</v>
      </c>
      <c r="C95" s="512"/>
      <c r="D95" s="63"/>
    </row>
    <row r="96" spans="2:4" ht="15.75" x14ac:dyDescent="0.25">
      <c r="B96" s="29" t="s">
        <v>229</v>
      </c>
      <c r="C96" s="487"/>
      <c r="D96" s="31"/>
    </row>
    <row r="97" spans="2:4" ht="15.75" x14ac:dyDescent="0.3">
      <c r="B97" s="72" t="s">
        <v>230</v>
      </c>
      <c r="C97" s="473">
        <v>0</v>
      </c>
      <c r="D97" s="75"/>
    </row>
    <row r="98" spans="2:4" ht="15.75" x14ac:dyDescent="0.3">
      <c r="B98" s="72" t="s">
        <v>231</v>
      </c>
      <c r="C98" s="473">
        <v>0</v>
      </c>
      <c r="D98" s="75"/>
    </row>
    <row r="99" spans="2:4" ht="15.75" x14ac:dyDescent="0.3">
      <c r="B99" s="72" t="s">
        <v>232</v>
      </c>
      <c r="C99" s="473">
        <v>0</v>
      </c>
      <c r="D99" s="75"/>
    </row>
    <row r="100" spans="2:4" ht="15.75" x14ac:dyDescent="0.3">
      <c r="B100" s="72" t="s">
        <v>233</v>
      </c>
      <c r="C100" s="473">
        <v>0</v>
      </c>
      <c r="D100" s="75"/>
    </row>
    <row r="101" spans="2:4" ht="15.75" x14ac:dyDescent="0.3">
      <c r="B101" s="72" t="s">
        <v>234</v>
      </c>
      <c r="C101" s="473">
        <v>0</v>
      </c>
      <c r="D101" s="75"/>
    </row>
    <row r="102" spans="2:4" ht="15.75" x14ac:dyDescent="0.3">
      <c r="B102" s="73" t="s">
        <v>228</v>
      </c>
      <c r="C102" s="473">
        <v>0</v>
      </c>
      <c r="D102" s="77"/>
    </row>
    <row r="103" spans="2:4" x14ac:dyDescent="0.25">
      <c r="C103" s="488"/>
    </row>
    <row r="104" spans="2:4" ht="18" x14ac:dyDescent="0.25">
      <c r="B104" s="847" t="s">
        <v>240</v>
      </c>
      <c r="C104" s="489"/>
      <c r="D104" s="849"/>
    </row>
    <row r="105" spans="2:4" x14ac:dyDescent="0.25">
      <c r="B105" s="46" t="s">
        <v>9</v>
      </c>
      <c r="C105" s="490" t="s">
        <v>239</v>
      </c>
      <c r="D105" s="48" t="s">
        <v>12</v>
      </c>
    </row>
    <row r="106" spans="2:4" ht="15.75" x14ac:dyDescent="0.25">
      <c r="B106" s="32" t="s">
        <v>145</v>
      </c>
      <c r="C106" s="491"/>
      <c r="D106" s="19"/>
    </row>
    <row r="107" spans="2:4" ht="15.75" x14ac:dyDescent="0.25">
      <c r="B107" s="32" t="s">
        <v>147</v>
      </c>
      <c r="C107" s="491"/>
      <c r="D107" s="19"/>
    </row>
    <row r="108" spans="2:4" ht="15.75" x14ac:dyDescent="0.3">
      <c r="B108" s="34" t="s">
        <v>149</v>
      </c>
      <c r="C108" s="492"/>
      <c r="D108" s="36"/>
    </row>
    <row r="109" spans="2:4" ht="15.75" x14ac:dyDescent="0.3">
      <c r="B109" s="307" t="s">
        <v>151</v>
      </c>
      <c r="C109" s="473">
        <v>0</v>
      </c>
      <c r="D109" s="36"/>
    </row>
    <row r="110" spans="2:4" ht="15.75" x14ac:dyDescent="0.3">
      <c r="B110" s="307" t="s">
        <v>153</v>
      </c>
      <c r="C110" s="473">
        <v>0</v>
      </c>
      <c r="D110" s="36"/>
    </row>
    <row r="111" spans="2:4" ht="15.75" x14ac:dyDescent="0.3">
      <c r="B111" s="307" t="s">
        <v>154</v>
      </c>
      <c r="C111" s="473">
        <v>0</v>
      </c>
      <c r="D111" s="36"/>
    </row>
    <row r="112" spans="2:4" ht="15.75" x14ac:dyDescent="0.3">
      <c r="B112" s="34" t="s">
        <v>155</v>
      </c>
      <c r="C112" s="473">
        <v>0</v>
      </c>
      <c r="D112" s="38"/>
    </row>
    <row r="113" spans="2:4" ht="15.75" x14ac:dyDescent="0.25">
      <c r="B113" s="32" t="s">
        <v>157</v>
      </c>
      <c r="C113" s="493"/>
      <c r="D113" s="19"/>
    </row>
    <row r="114" spans="2:4" ht="15.75" x14ac:dyDescent="0.3">
      <c r="B114" s="34" t="s">
        <v>158</v>
      </c>
      <c r="C114" s="473">
        <v>0</v>
      </c>
      <c r="D114" s="36" t="s">
        <v>29</v>
      </c>
    </row>
    <row r="115" spans="2:4" ht="15.75" x14ac:dyDescent="0.3">
      <c r="B115" s="34" t="s">
        <v>159</v>
      </c>
      <c r="C115" s="473">
        <v>0</v>
      </c>
      <c r="D115" s="36"/>
    </row>
    <row r="116" spans="2:4" ht="15.75" x14ac:dyDescent="0.3">
      <c r="B116" s="34" t="s">
        <v>160</v>
      </c>
      <c r="C116" s="473">
        <v>0</v>
      </c>
      <c r="D116" s="36"/>
    </row>
    <row r="117" spans="2:4" ht="15.75" x14ac:dyDescent="0.3">
      <c r="B117" s="34" t="s">
        <v>162</v>
      </c>
      <c r="C117" s="473">
        <v>0</v>
      </c>
      <c r="D117" s="36"/>
    </row>
    <row r="118" spans="2:4" ht="15.75" x14ac:dyDescent="0.3">
      <c r="B118" s="246" t="s">
        <v>241</v>
      </c>
      <c r="C118" s="473">
        <v>0</v>
      </c>
      <c r="D118" s="38" t="s">
        <v>29</v>
      </c>
    </row>
    <row r="119" spans="2:4" x14ac:dyDescent="0.25">
      <c r="C119" s="488"/>
    </row>
    <row r="120" spans="2:4" ht="18" x14ac:dyDescent="0.25">
      <c r="B120" s="847" t="s">
        <v>167</v>
      </c>
      <c r="C120" s="795" t="s">
        <v>11</v>
      </c>
    </row>
    <row r="121" spans="2:4" x14ac:dyDescent="0.25">
      <c r="B121" s="46" t="s">
        <v>9</v>
      </c>
      <c r="C121" s="796"/>
    </row>
    <row r="122" spans="2:4" ht="15.75" x14ac:dyDescent="0.25">
      <c r="B122" s="39" t="s">
        <v>170</v>
      </c>
      <c r="C122" s="797"/>
    </row>
    <row r="123" spans="2:4" x14ac:dyDescent="0.25">
      <c r="B123" s="78" t="s">
        <v>242</v>
      </c>
      <c r="C123" s="473">
        <v>0</v>
      </c>
    </row>
    <row r="124" spans="2:4" x14ac:dyDescent="0.25">
      <c r="B124" s="78" t="s">
        <v>243</v>
      </c>
      <c r="C124" s="473">
        <v>0</v>
      </c>
    </row>
    <row r="125" spans="2:4" ht="15.75" x14ac:dyDescent="0.25">
      <c r="B125" s="39" t="s">
        <v>181</v>
      </c>
      <c r="C125" s="798"/>
    </row>
    <row r="126" spans="2:4" x14ac:dyDescent="0.25">
      <c r="B126" s="78" t="s">
        <v>244</v>
      </c>
      <c r="C126" s="479">
        <v>0</v>
      </c>
    </row>
    <row r="127" spans="2:4" x14ac:dyDescent="0.25">
      <c r="B127" s="78" t="s">
        <v>245</v>
      </c>
      <c r="C127" s="479">
        <v>0</v>
      </c>
    </row>
    <row r="128" spans="2:4" ht="15.75" x14ac:dyDescent="0.25">
      <c r="B128" s="39" t="s">
        <v>193</v>
      </c>
      <c r="C128" s="799"/>
    </row>
    <row r="129" spans="2:3" x14ac:dyDescent="0.25">
      <c r="B129" s="78" t="s">
        <v>246</v>
      </c>
      <c r="C129" s="494">
        <v>0</v>
      </c>
    </row>
    <row r="130" spans="2:3" x14ac:dyDescent="0.25">
      <c r="B130" s="84" t="s">
        <v>247</v>
      </c>
      <c r="C130" s="494">
        <v>0</v>
      </c>
    </row>
  </sheetData>
  <sheetProtection algorithmName="SHA-512" hashValue="Y+JJFILoplCLeqLrKnY/tyB74SlBh4Dk/bA4/ykQzcJP769vPk2KqBGiPgtvgAGnBkFvPq6krK0QhhFwldYPMg==" saltValue="q7xIXu7OA623C7pLH/ERZA==" spinCount="100000" sheet="1" objects="1" scenarios="1"/>
  <dataConsolidate/>
  <mergeCells count="2">
    <mergeCell ref="B8:H9"/>
    <mergeCell ref="B15:D15"/>
  </mergeCells>
  <pageMargins left="0.7" right="0.7" top="0.75" bottom="0.75" header="0.3" footer="0.3"/>
  <pageSetup orientation="portrait" horizontalDpi="300" verticalDpi="3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 id="{78DAAE6D-6A4E-C54F-A77B-A421233E02AE}">
            <xm:f>'Optional Turbine Subcomponents'!$C$17="No"</xm:f>
            <x14:dxf>
              <font>
                <b val="0"/>
                <i val="0"/>
                <color theme="1"/>
              </font>
              <fill>
                <patternFill patternType="none">
                  <bgColor auto="1"/>
                </patternFill>
              </fill>
            </x14:dxf>
          </x14:cfRule>
          <xm:sqref>C19</xm:sqref>
        </x14:conditionalFormatting>
        <x14:conditionalFormatting xmlns:xm="http://schemas.microsoft.com/office/excel/2006/main">
          <x14:cfRule type="expression" priority="27" id="{CF84DDF2-D8E1-4F39-9DCE-634408F8F2D8}">
            <xm:f>'Optional Turbine Subcomponents'!$C$17="No"</xm:f>
            <x14:dxf>
              <font>
                <b val="0"/>
                <i val="0"/>
                <color theme="1"/>
              </font>
              <fill>
                <patternFill patternType="none">
                  <bgColor auto="1"/>
                </patternFill>
              </fill>
            </x14:dxf>
          </x14:cfRule>
          <xm:sqref>C20</xm:sqref>
        </x14:conditionalFormatting>
        <x14:conditionalFormatting xmlns:xm="http://schemas.microsoft.com/office/excel/2006/main">
          <x14:cfRule type="expression" priority="26" id="{9E3410B7-5028-4048-8077-9C0857C6898C}">
            <xm:f>'Optional Turbine Subcomponents'!$C$17="No"</xm:f>
            <x14:dxf>
              <font>
                <b val="0"/>
                <i val="0"/>
                <color theme="1"/>
              </font>
              <fill>
                <patternFill patternType="none">
                  <bgColor auto="1"/>
                </patternFill>
              </fill>
            </x14:dxf>
          </x14:cfRule>
          <xm:sqref>C22</xm:sqref>
        </x14:conditionalFormatting>
        <x14:conditionalFormatting xmlns:xm="http://schemas.microsoft.com/office/excel/2006/main">
          <x14:cfRule type="expression" priority="25" id="{4395DC18-8A3D-4694-8AA5-6B76AC9FAEF8}">
            <xm:f>'Optional Turbine Subcomponents'!$C$17="No"</xm:f>
            <x14:dxf>
              <font>
                <b val="0"/>
                <i val="0"/>
                <color theme="1"/>
              </font>
              <fill>
                <patternFill patternType="none">
                  <bgColor auto="1"/>
                </patternFill>
              </fill>
            </x14:dxf>
          </x14:cfRule>
          <xm:sqref>C23</xm:sqref>
        </x14:conditionalFormatting>
        <x14:conditionalFormatting xmlns:xm="http://schemas.microsoft.com/office/excel/2006/main">
          <x14:cfRule type="expression" priority="24" id="{71C6A314-69F2-4501-BCB4-88756023F8F9}">
            <xm:f>'Optional Turbine Subcomponents'!$C$17="No"</xm:f>
            <x14:dxf>
              <font>
                <b val="0"/>
                <i val="0"/>
                <color theme="1"/>
              </font>
              <fill>
                <patternFill patternType="none">
                  <bgColor auto="1"/>
                </patternFill>
              </fill>
            </x14:dxf>
          </x14:cfRule>
          <xm:sqref>C25 C27</xm:sqref>
        </x14:conditionalFormatting>
        <x14:conditionalFormatting xmlns:xm="http://schemas.microsoft.com/office/excel/2006/main">
          <x14:cfRule type="expression" priority="23" id="{7998368F-4DB4-47EC-8EA5-16916B76B072}">
            <xm:f>'Optional Turbine Subcomponents'!$C$17="No"</xm:f>
            <x14:dxf>
              <font>
                <b val="0"/>
                <i val="0"/>
                <color theme="1"/>
              </font>
              <fill>
                <patternFill patternType="none">
                  <bgColor auto="1"/>
                </patternFill>
              </fill>
            </x14:dxf>
          </x14:cfRule>
          <xm:sqref>C26</xm:sqref>
        </x14:conditionalFormatting>
        <x14:conditionalFormatting xmlns:xm="http://schemas.microsoft.com/office/excel/2006/main">
          <x14:cfRule type="expression" priority="22" id="{2293186B-6680-4D8B-8C10-3C2ED7EEF09F}">
            <xm:f>'Optional Turbine Subcomponents'!$C$17="No"</xm:f>
            <x14:dxf>
              <font>
                <b val="0"/>
                <i val="0"/>
                <color theme="1"/>
              </font>
              <fill>
                <patternFill patternType="none">
                  <bgColor auto="1"/>
                </patternFill>
              </fill>
            </x14:dxf>
          </x14:cfRule>
          <xm:sqref>C30</xm:sqref>
        </x14:conditionalFormatting>
        <x14:conditionalFormatting xmlns:xm="http://schemas.microsoft.com/office/excel/2006/main">
          <x14:cfRule type="expression" priority="21" id="{1CFC8C23-7A30-4ACE-854B-970D7383819F}">
            <xm:f>'Optional Turbine Subcomponents'!$C$17="No"</xm:f>
            <x14:dxf>
              <font>
                <b val="0"/>
                <i val="0"/>
                <color theme="1"/>
              </font>
              <fill>
                <patternFill patternType="none">
                  <bgColor auto="1"/>
                </patternFill>
              </fill>
            </x14:dxf>
          </x14:cfRule>
          <xm:sqref>C33</xm:sqref>
        </x14:conditionalFormatting>
        <x14:conditionalFormatting xmlns:xm="http://schemas.microsoft.com/office/excel/2006/main">
          <x14:cfRule type="expression" priority="20" id="{7CE03F91-ACB8-4162-A4E5-E9411631D6D9}">
            <xm:f>'Optional Turbine Subcomponents'!$C$17="No"</xm:f>
            <x14:dxf>
              <font>
                <b val="0"/>
                <i val="0"/>
                <color theme="1"/>
              </font>
              <fill>
                <patternFill patternType="none">
                  <bgColor auto="1"/>
                </patternFill>
              </fill>
            </x14:dxf>
          </x14:cfRule>
          <xm:sqref>C36</xm:sqref>
        </x14:conditionalFormatting>
        <x14:conditionalFormatting xmlns:xm="http://schemas.microsoft.com/office/excel/2006/main">
          <x14:cfRule type="expression" priority="19" id="{8A008077-97EE-4C5D-B8BD-3EC65857E98F}">
            <xm:f>'Optional Turbine Subcomponents'!$C$17="No"</xm:f>
            <x14:dxf>
              <font>
                <b val="0"/>
                <i val="0"/>
                <color theme="1"/>
              </font>
              <fill>
                <patternFill patternType="none">
                  <bgColor auto="1"/>
                </patternFill>
              </fill>
            </x14:dxf>
          </x14:cfRule>
          <xm:sqref>C39</xm:sqref>
        </x14:conditionalFormatting>
        <x14:conditionalFormatting xmlns:xm="http://schemas.microsoft.com/office/excel/2006/main">
          <x14:cfRule type="expression" priority="18" id="{11F0AD5A-2114-4900-9687-B9B081684F88}">
            <xm:f>'Optional Turbine Subcomponents'!$C$17="No"</xm:f>
            <x14:dxf>
              <font>
                <b val="0"/>
                <i val="0"/>
                <color theme="1"/>
              </font>
              <fill>
                <patternFill patternType="none">
                  <bgColor auto="1"/>
                </patternFill>
              </fill>
            </x14:dxf>
          </x14:cfRule>
          <xm:sqref>C42</xm:sqref>
        </x14:conditionalFormatting>
        <x14:conditionalFormatting xmlns:xm="http://schemas.microsoft.com/office/excel/2006/main">
          <x14:cfRule type="expression" priority="17" id="{C152C4D0-A7DC-4334-9585-4F13B91F3F9D}">
            <xm:f>'Optional Turbine Subcomponents'!$C$17="No"</xm:f>
            <x14:dxf>
              <font>
                <b val="0"/>
                <i val="0"/>
                <color theme="1"/>
              </font>
              <fill>
                <patternFill patternType="none">
                  <bgColor auto="1"/>
                </patternFill>
              </fill>
            </x14:dxf>
          </x14:cfRule>
          <xm:sqref>C46</xm:sqref>
        </x14:conditionalFormatting>
        <x14:conditionalFormatting xmlns:xm="http://schemas.microsoft.com/office/excel/2006/main">
          <x14:cfRule type="expression" priority="16" id="{A7CD3E0B-5E13-402F-9286-7D392F54B785}">
            <xm:f>'Optional Turbine Subcomponents'!$C$17="No"</xm:f>
            <x14:dxf>
              <font>
                <b val="0"/>
                <i val="0"/>
                <color theme="1"/>
              </font>
              <fill>
                <patternFill patternType="none">
                  <bgColor auto="1"/>
                </patternFill>
              </fill>
            </x14:dxf>
          </x14:cfRule>
          <xm:sqref>C49</xm:sqref>
        </x14:conditionalFormatting>
        <x14:conditionalFormatting xmlns:xm="http://schemas.microsoft.com/office/excel/2006/main">
          <x14:cfRule type="expression" priority="15" id="{AD9C28F4-CEF6-4993-B065-8347DC91E0C3}">
            <xm:f>'Optional Turbine Subcomponents'!$C$17="No"</xm:f>
            <x14:dxf>
              <font>
                <b val="0"/>
                <i val="0"/>
                <color theme="1"/>
              </font>
              <fill>
                <patternFill patternType="none">
                  <bgColor auto="1"/>
                </patternFill>
              </fill>
            </x14:dxf>
          </x14:cfRule>
          <xm:sqref>C52</xm:sqref>
        </x14:conditionalFormatting>
        <x14:conditionalFormatting xmlns:xm="http://schemas.microsoft.com/office/excel/2006/main">
          <x14:cfRule type="expression" priority="14" id="{AC9DC7A0-AEFB-4313-ABC7-6107B2AB2D47}">
            <xm:f>'Optional Turbine Subcomponents'!$C$17="No"</xm:f>
            <x14:dxf>
              <font>
                <b val="0"/>
                <i val="0"/>
                <color theme="1"/>
              </font>
              <fill>
                <patternFill patternType="none">
                  <bgColor auto="1"/>
                </patternFill>
              </fill>
            </x14:dxf>
          </x14:cfRule>
          <xm:sqref>C57:C58</xm:sqref>
        </x14:conditionalFormatting>
        <x14:conditionalFormatting xmlns:xm="http://schemas.microsoft.com/office/excel/2006/main">
          <x14:cfRule type="expression" priority="13" id="{32AE1A93-DFC1-4A3C-B8FD-2F8F168DA493}">
            <xm:f>'Optional Turbine Subcomponents'!$C$17="No"</xm:f>
            <x14:dxf>
              <font>
                <b val="0"/>
                <i val="0"/>
                <color theme="1"/>
              </font>
              <fill>
                <patternFill patternType="none">
                  <bgColor auto="1"/>
                </patternFill>
              </fill>
            </x14:dxf>
          </x14:cfRule>
          <xm:sqref>C60:C61</xm:sqref>
        </x14:conditionalFormatting>
        <x14:conditionalFormatting xmlns:xm="http://schemas.microsoft.com/office/excel/2006/main">
          <x14:cfRule type="expression" priority="12" id="{25C41111-F97E-4044-BB2F-C680F51C5028}">
            <xm:f>'Optional Turbine Subcomponents'!$C$17="No"</xm:f>
            <x14:dxf>
              <font>
                <b val="0"/>
                <i val="0"/>
                <color theme="1"/>
              </font>
              <fill>
                <patternFill patternType="none">
                  <bgColor auto="1"/>
                </patternFill>
              </fill>
            </x14:dxf>
          </x14:cfRule>
          <xm:sqref>C63:C64</xm:sqref>
        </x14:conditionalFormatting>
        <x14:conditionalFormatting xmlns:xm="http://schemas.microsoft.com/office/excel/2006/main">
          <x14:cfRule type="expression" priority="11" id="{104C318A-8203-4D1C-AB92-EE89DB9E5317}">
            <xm:f>'Optional Turbine Subcomponents'!$C$17="No"</xm:f>
            <x14:dxf>
              <font>
                <b val="0"/>
                <i val="0"/>
                <color theme="1"/>
              </font>
              <fill>
                <patternFill patternType="none">
                  <bgColor auto="1"/>
                </patternFill>
              </fill>
            </x14:dxf>
          </x14:cfRule>
          <xm:sqref>C66:C67</xm:sqref>
        </x14:conditionalFormatting>
        <x14:conditionalFormatting xmlns:xm="http://schemas.microsoft.com/office/excel/2006/main">
          <x14:cfRule type="expression" priority="10" id="{E18A335E-4EA5-48EE-B918-63094F0B2EE9}">
            <xm:f>'Optional Turbine Subcomponents'!$C$17="No"</xm:f>
            <x14:dxf>
              <font>
                <b val="0"/>
                <i val="0"/>
                <color theme="1"/>
              </font>
              <fill>
                <patternFill patternType="none">
                  <bgColor auto="1"/>
                </patternFill>
              </fill>
            </x14:dxf>
          </x14:cfRule>
          <xm:sqref>C69:C70</xm:sqref>
        </x14:conditionalFormatting>
        <x14:conditionalFormatting xmlns:xm="http://schemas.microsoft.com/office/excel/2006/main">
          <x14:cfRule type="expression" priority="9" id="{17EA6FB9-34DB-4DEC-8520-684344359191}">
            <xm:f>'Optional Turbine Subcomponents'!$C$17="No"</xm:f>
            <x14:dxf>
              <font>
                <b val="0"/>
                <i val="0"/>
                <color theme="1"/>
              </font>
              <fill>
                <patternFill patternType="none">
                  <bgColor auto="1"/>
                </patternFill>
              </fill>
            </x14:dxf>
          </x14:cfRule>
          <xm:sqref>C72:C73</xm:sqref>
        </x14:conditionalFormatting>
        <x14:conditionalFormatting xmlns:xm="http://schemas.microsoft.com/office/excel/2006/main">
          <x14:cfRule type="expression" priority="8" id="{FC8BA0F1-901C-4CE7-917C-51AA4E439A0E}">
            <xm:f>'Optional Turbine Subcomponents'!$C$17="No"</xm:f>
            <x14:dxf>
              <font>
                <b val="0"/>
                <i val="0"/>
                <color theme="1"/>
              </font>
              <fill>
                <patternFill patternType="none">
                  <bgColor auto="1"/>
                </patternFill>
              </fill>
            </x14:dxf>
          </x14:cfRule>
          <xm:sqref>C75:C76</xm:sqref>
        </x14:conditionalFormatting>
        <x14:conditionalFormatting xmlns:xm="http://schemas.microsoft.com/office/excel/2006/main">
          <x14:cfRule type="expression" priority="7" id="{ACD7C95F-BE00-4A9F-8E69-0EFC590BD0BC}">
            <xm:f>'Optional Turbine Subcomponents'!$C$17="No"</xm:f>
            <x14:dxf>
              <font>
                <b val="0"/>
                <i val="0"/>
                <color theme="1"/>
              </font>
              <fill>
                <patternFill patternType="none">
                  <bgColor auto="1"/>
                </patternFill>
              </fill>
            </x14:dxf>
          </x14:cfRule>
          <xm:sqref>C78:C84</xm:sqref>
        </x14:conditionalFormatting>
        <x14:conditionalFormatting xmlns:xm="http://schemas.microsoft.com/office/excel/2006/main">
          <x14:cfRule type="expression" priority="6" id="{248424AC-9F29-4722-81F5-11FDAADB041B}">
            <xm:f>'Optional Turbine Subcomponents'!$C$17="No"</xm:f>
            <x14:dxf>
              <font>
                <b val="0"/>
                <i val="0"/>
                <color theme="1"/>
              </font>
              <fill>
                <patternFill patternType="none">
                  <bgColor auto="1"/>
                </patternFill>
              </fill>
            </x14:dxf>
          </x14:cfRule>
          <xm:sqref>C86:C92</xm:sqref>
        </x14:conditionalFormatting>
        <x14:conditionalFormatting xmlns:xm="http://schemas.microsoft.com/office/excel/2006/main">
          <x14:cfRule type="expression" priority="5" id="{8B08ABD8-A958-455C-AA84-5879F75633C5}">
            <xm:f>'Optional Turbine Subcomponents'!$C$17="No"</xm:f>
            <x14:dxf>
              <font>
                <b val="0"/>
                <i val="0"/>
                <color theme="1"/>
              </font>
              <fill>
                <patternFill patternType="none">
                  <bgColor auto="1"/>
                </patternFill>
              </fill>
            </x14:dxf>
          </x14:cfRule>
          <xm:sqref>C97:C102</xm:sqref>
        </x14:conditionalFormatting>
        <x14:conditionalFormatting xmlns:xm="http://schemas.microsoft.com/office/excel/2006/main">
          <x14:cfRule type="expression" priority="4" id="{46E6BF64-D387-42D3-B60A-835D2C46A7AC}">
            <xm:f>'Optional Turbine Subcomponents'!$C$17="No"</xm:f>
            <x14:dxf>
              <font>
                <b val="0"/>
                <i val="0"/>
                <color theme="1"/>
              </font>
              <fill>
                <patternFill patternType="none">
                  <bgColor auto="1"/>
                </patternFill>
              </fill>
            </x14:dxf>
          </x14:cfRule>
          <xm:sqref>C109:C112</xm:sqref>
        </x14:conditionalFormatting>
        <x14:conditionalFormatting xmlns:xm="http://schemas.microsoft.com/office/excel/2006/main">
          <x14:cfRule type="expression" priority="3" id="{6A12F18C-A8D7-440B-9196-68A49D57D5A4}">
            <xm:f>'Optional Turbine Subcomponents'!$C$17="No"</xm:f>
            <x14:dxf>
              <font>
                <b val="0"/>
                <i val="0"/>
                <color theme="1"/>
              </font>
              <fill>
                <patternFill patternType="none">
                  <bgColor auto="1"/>
                </patternFill>
              </fill>
            </x14:dxf>
          </x14:cfRule>
          <xm:sqref>C114:C118</xm:sqref>
        </x14:conditionalFormatting>
        <x14:conditionalFormatting xmlns:xm="http://schemas.microsoft.com/office/excel/2006/main">
          <x14:cfRule type="expression" priority="1" id="{4A1DC149-56E7-4EC5-BD93-02DF06D5377F}">
            <xm:f>'Optional Turbine Subcomponents'!$C$17="No"</xm:f>
            <x14:dxf>
              <font>
                <b val="0"/>
                <i val="0"/>
                <color theme="1"/>
              </font>
              <fill>
                <patternFill patternType="none">
                  <bgColor auto="1"/>
                </patternFill>
              </fill>
            </x14:dxf>
          </x14:cfRule>
          <xm:sqref>C94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54631-2FE3-F243-8A6A-97AF8E42196E}">
  <sheetPr codeName="Sheet17">
    <tabColor theme="8"/>
  </sheetPr>
  <dimension ref="A1:Q239"/>
  <sheetViews>
    <sheetView showGridLines="0" zoomScaleNormal="100" workbookViewId="0">
      <selection activeCell="J30" sqref="J30"/>
    </sheetView>
  </sheetViews>
  <sheetFormatPr defaultColWidth="8.85546875" defaultRowHeight="15" x14ac:dyDescent="0.25"/>
  <cols>
    <col min="1" max="1" width="9.140625" customWidth="1"/>
    <col min="2" max="2" width="54" customWidth="1"/>
    <col min="3" max="3" width="29.140625" customWidth="1"/>
    <col min="4" max="4" width="9.42578125" customWidth="1"/>
    <col min="5" max="6" width="0.42578125" customWidth="1"/>
    <col min="12" max="12" width="12.140625" bestFit="1" customWidth="1"/>
  </cols>
  <sheetData>
    <row r="1" spans="1:14" s="1" customFormat="1" ht="40.5" customHeight="1" x14ac:dyDescent="0.25">
      <c r="A1" s="850" t="s">
        <v>0</v>
      </c>
      <c r="B1" s="4"/>
      <c r="C1" s="4"/>
      <c r="D1" s="4"/>
      <c r="E1" s="4"/>
      <c r="F1" s="4"/>
      <c r="G1" s="4"/>
      <c r="H1" s="4"/>
      <c r="I1" s="4"/>
      <c r="J1" s="4"/>
      <c r="K1" s="4"/>
      <c r="L1" s="4"/>
      <c r="M1" s="4"/>
      <c r="N1" s="4"/>
    </row>
    <row r="2" spans="1:14" s="1" customFormat="1" ht="30.75" customHeight="1" x14ac:dyDescent="0.25">
      <c r="A2" s="851" t="s">
        <v>1</v>
      </c>
      <c r="B2" s="5"/>
      <c r="C2" s="5"/>
      <c r="D2" s="5"/>
      <c r="E2" s="5"/>
      <c r="F2" s="5"/>
      <c r="G2" s="5"/>
      <c r="H2" s="5"/>
      <c r="I2" s="5"/>
      <c r="J2" s="5"/>
      <c r="K2" s="5"/>
      <c r="L2" s="5"/>
      <c r="M2" s="5"/>
      <c r="N2" s="5"/>
    </row>
    <row r="3" spans="1:14" s="1" customFormat="1" ht="20.25" customHeight="1" x14ac:dyDescent="0.25">
      <c r="A3" s="852" t="s">
        <v>2</v>
      </c>
      <c r="B3" s="7"/>
      <c r="C3" s="7"/>
      <c r="D3" s="7"/>
      <c r="E3" s="7"/>
      <c r="F3" s="7"/>
      <c r="G3" s="7"/>
      <c r="H3" s="7"/>
      <c r="I3" s="7"/>
      <c r="J3" s="7"/>
      <c r="K3" s="7"/>
      <c r="L3" s="7"/>
      <c r="M3" s="7"/>
      <c r="N3" s="7"/>
    </row>
    <row r="4" spans="1:14" s="1" customFormat="1" ht="15" customHeight="1" x14ac:dyDescent="0.25">
      <c r="A4" s="6"/>
    </row>
    <row r="5" spans="1:14" s="1" customFormat="1" ht="27" customHeight="1" x14ac:dyDescent="0.25">
      <c r="B5" s="11" t="s">
        <v>248</v>
      </c>
      <c r="C5" s="262"/>
      <c r="D5" s="12"/>
      <c r="E5" s="12"/>
      <c r="F5" s="12"/>
      <c r="G5" s="12"/>
      <c r="H5" s="13"/>
    </row>
    <row r="6" spans="1:14" s="1" customFormat="1" ht="15" customHeight="1" x14ac:dyDescent="0.35">
      <c r="B6" s="8"/>
      <c r="C6" s="8"/>
    </row>
    <row r="7" spans="1:14" s="1" customFormat="1" x14ac:dyDescent="0.25">
      <c r="B7" s="589" t="s">
        <v>249</v>
      </c>
      <c r="C7" s="9"/>
    </row>
    <row r="8" spans="1:14" s="1" customFormat="1" ht="15" customHeight="1" x14ac:dyDescent="0.25">
      <c r="B8" s="875" t="s">
        <v>250</v>
      </c>
      <c r="C8" s="876"/>
      <c r="D8" s="876"/>
      <c r="E8" s="876"/>
      <c r="F8" s="876"/>
      <c r="G8" s="876"/>
      <c r="H8" s="877"/>
      <c r="I8" s="16"/>
    </row>
    <row r="9" spans="1:14" s="1" customFormat="1" ht="60" customHeight="1" x14ac:dyDescent="0.25">
      <c r="B9" s="878"/>
      <c r="C9" s="879"/>
      <c r="D9" s="879"/>
      <c r="E9" s="879"/>
      <c r="F9" s="879"/>
      <c r="G9" s="879"/>
      <c r="H9" s="880"/>
      <c r="I9" s="2"/>
    </row>
    <row r="10" spans="1:14" s="1" customFormat="1" ht="15" customHeight="1" x14ac:dyDescent="0.35">
      <c r="J10" s="418"/>
    </row>
    <row r="11" spans="1:14" s="1" customFormat="1" x14ac:dyDescent="0.25"/>
    <row r="12" spans="1:14" s="1" customFormat="1" x14ac:dyDescent="0.25"/>
    <row r="13" spans="1:14" s="1" customFormat="1" x14ac:dyDescent="0.25"/>
    <row r="14" spans="1:14" s="1" customFormat="1" x14ac:dyDescent="0.25"/>
    <row r="15" spans="1:14" ht="15.75" x14ac:dyDescent="0.25">
      <c r="B15" s="542" t="s">
        <v>251</v>
      </c>
      <c r="C15" s="137"/>
    </row>
    <row r="16" spans="1:14" x14ac:dyDescent="0.25">
      <c r="B16" s="20" t="s">
        <v>252</v>
      </c>
      <c r="C16" s="612"/>
    </row>
    <row r="17" spans="2:3" x14ac:dyDescent="0.25">
      <c r="B17" s="545" t="s">
        <v>14</v>
      </c>
      <c r="C17" s="804" t="str">
        <f>'Project Data - Step 1'!D18</f>
        <v>Project</v>
      </c>
    </row>
    <row r="18" spans="2:3" x14ac:dyDescent="0.25">
      <c r="B18" s="545" t="s">
        <v>16</v>
      </c>
      <c r="C18" s="805" t="str">
        <f>nothing</f>
        <v>United States</v>
      </c>
    </row>
    <row r="19" spans="2:3" x14ac:dyDescent="0.25">
      <c r="B19" s="545" t="s">
        <v>20</v>
      </c>
      <c r="C19" s="806" t="str">
        <f>'Project Data - Step 1'!D20</f>
        <v>United States</v>
      </c>
    </row>
    <row r="20" spans="2:3" x14ac:dyDescent="0.25">
      <c r="B20" s="545" t="s">
        <v>106</v>
      </c>
      <c r="C20" s="806" t="str">
        <f>'Project Data - Step 1'!D91</f>
        <v>Port Name</v>
      </c>
    </row>
    <row r="21" spans="2:3" x14ac:dyDescent="0.25">
      <c r="B21" s="545" t="s">
        <v>253</v>
      </c>
      <c r="C21" s="806">
        <f>'Project Data - Step 1'!D21</f>
        <v>2024</v>
      </c>
    </row>
    <row r="22" spans="2:3" x14ac:dyDescent="0.25">
      <c r="B22" s="545" t="s">
        <v>254</v>
      </c>
      <c r="C22" s="806">
        <f>'Project Data - Step 1'!D24</f>
        <v>900</v>
      </c>
    </row>
    <row r="23" spans="2:3" x14ac:dyDescent="0.25">
      <c r="B23" s="545" t="s">
        <v>30</v>
      </c>
      <c r="C23" s="807">
        <f>'Project Data - Step 1'!D25</f>
        <v>75</v>
      </c>
    </row>
    <row r="24" spans="2:3" x14ac:dyDescent="0.25">
      <c r="B24" s="545" t="s">
        <v>66</v>
      </c>
      <c r="C24" s="806" t="str">
        <f>'Project Data - Step 1'!D53</f>
        <v>Monopile</v>
      </c>
    </row>
    <row r="25" spans="2:3" x14ac:dyDescent="0.25">
      <c r="B25" s="545" t="s">
        <v>69</v>
      </c>
      <c r="C25" s="806" t="str">
        <f>'Project Data - Step 1'!D54</f>
        <v>Fixed-Bottom</v>
      </c>
    </row>
    <row r="26" spans="2:3" x14ac:dyDescent="0.25">
      <c r="B26" s="20" t="s">
        <v>255</v>
      </c>
      <c r="C26" s="808"/>
    </row>
    <row r="27" spans="2:3" x14ac:dyDescent="0.25">
      <c r="B27" s="545" t="s">
        <v>256</v>
      </c>
      <c r="C27" s="809">
        <f>'Model Scenario - Step 4'!C178</f>
        <v>2724.9266067485951</v>
      </c>
    </row>
    <row r="28" spans="2:3" x14ac:dyDescent="0.25">
      <c r="B28" s="545" t="str">
        <f>"Total Cost ($"&amp;'[5]Project Data - Step 1'!D25&amp;" mil.)"</f>
        <v>Total Cost ($Ring mil.)</v>
      </c>
      <c r="C28" s="809">
        <f>'Model Scenario - Step 4'!C177</f>
        <v>2452433946.0737352</v>
      </c>
    </row>
    <row r="29" spans="2:3" x14ac:dyDescent="0.25">
      <c r="B29" s="545" t="s">
        <v>257</v>
      </c>
      <c r="C29" s="809">
        <f>'General-Calculations'!F146</f>
        <v>0</v>
      </c>
    </row>
    <row r="30" spans="2:3" x14ac:dyDescent="0.25">
      <c r="B30" s="545" t="s">
        <v>258</v>
      </c>
      <c r="C30" s="810">
        <f>C29/C28</f>
        <v>0</v>
      </c>
    </row>
    <row r="31" spans="2:3" x14ac:dyDescent="0.25">
      <c r="B31" s="20" t="s">
        <v>259</v>
      </c>
      <c r="C31" s="808"/>
    </row>
    <row r="32" spans="2:3" x14ac:dyDescent="0.25">
      <c r="B32" s="545" t="s">
        <v>260</v>
      </c>
      <c r="C32" s="809">
        <f>'Model Scenario - Step 4'!C200</f>
        <v>119.11404896000001</v>
      </c>
    </row>
    <row r="33" spans="1:9" x14ac:dyDescent="0.25">
      <c r="B33" s="545" t="s">
        <v>261</v>
      </c>
      <c r="C33" s="809">
        <f>'Model Scenario - Step 4'!C199</f>
        <v>107202644.064</v>
      </c>
    </row>
    <row r="34" spans="1:9" x14ac:dyDescent="0.25">
      <c r="B34" s="545" t="s">
        <v>257</v>
      </c>
      <c r="C34" s="809">
        <f>'General-Calculations'!F169</f>
        <v>0</v>
      </c>
    </row>
    <row r="35" spans="1:9" x14ac:dyDescent="0.25">
      <c r="B35" s="167" t="s">
        <v>262</v>
      </c>
      <c r="C35" s="551">
        <f>C34/C33</f>
        <v>0</v>
      </c>
    </row>
    <row r="36" spans="1:9" x14ac:dyDescent="0.25">
      <c r="A36" s="54"/>
    </row>
    <row r="38" spans="1:9" ht="21" customHeight="1" x14ac:dyDescent="0.25">
      <c r="B38" s="892" t="s">
        <v>263</v>
      </c>
      <c r="C38" s="893"/>
      <c r="D38" s="893"/>
      <c r="E38" s="893"/>
      <c r="F38" s="893"/>
      <c r="G38" s="893"/>
      <c r="H38" s="894"/>
    </row>
    <row r="39" spans="1:9" ht="18.75" customHeight="1" x14ac:dyDescent="0.25">
      <c r="B39" s="616" t="s">
        <v>264</v>
      </c>
      <c r="C39" s="96" t="str">
        <f>"Expenditure/Cost ($"&amp;'Project Data - Step 1'!D21&amp;")"</f>
        <v>Expenditure/Cost ($2024)</v>
      </c>
      <c r="D39" s="96"/>
      <c r="E39" s="96"/>
      <c r="F39" s="96"/>
      <c r="G39" s="96" t="s">
        <v>265</v>
      </c>
      <c r="H39" s="52"/>
    </row>
    <row r="40" spans="1:9" ht="15.75" x14ac:dyDescent="0.25">
      <c r="B40" s="613" t="s">
        <v>266</v>
      </c>
      <c r="C40" s="614"/>
      <c r="D40" s="614"/>
      <c r="E40" s="614"/>
      <c r="F40" s="614"/>
      <c r="G40" s="614"/>
      <c r="H40" s="615"/>
      <c r="I40" s="669"/>
    </row>
    <row r="41" spans="1:9" x14ac:dyDescent="0.25">
      <c r="B41" s="617" t="s">
        <v>267</v>
      </c>
      <c r="C41" s="623"/>
      <c r="D41" s="623"/>
      <c r="E41" s="624"/>
      <c r="F41" s="625"/>
      <c r="G41" s="626"/>
      <c r="H41" s="670"/>
      <c r="I41" s="669"/>
    </row>
    <row r="42" spans="1:9" x14ac:dyDescent="0.25">
      <c r="B42" s="627" t="s">
        <v>268</v>
      </c>
      <c r="C42" s="472">
        <f>IF('Optional Turbine Subcomponents'!C17="Yes",'Optional Turbine Subcomponents'!C35,'Project Costs - Step 2'!C29)</f>
        <v>688989069.96061444</v>
      </c>
      <c r="D42" s="628"/>
      <c r="E42" s="624"/>
      <c r="F42" s="625"/>
      <c r="G42" s="682">
        <f>'Local Share - Step 3'!C19</f>
        <v>0</v>
      </c>
      <c r="H42" s="670"/>
      <c r="I42" s="669"/>
    </row>
    <row r="43" spans="1:9" x14ac:dyDescent="0.25">
      <c r="B43" s="671" t="s">
        <v>269</v>
      </c>
      <c r="C43" s="672" t="str">
        <f>'Optional Turbine Subcomponents'!C17</f>
        <v>No</v>
      </c>
      <c r="D43" s="629"/>
      <c r="E43" s="630"/>
      <c r="F43" s="625"/>
      <c r="G43" s="631"/>
      <c r="H43" s="670"/>
      <c r="I43" s="669"/>
    </row>
    <row r="44" spans="1:9" hidden="1" x14ac:dyDescent="0.25">
      <c r="B44" s="673" t="s">
        <v>270</v>
      </c>
      <c r="C44" s="640">
        <f>'Optional Turbine Subcomponents'!C20</f>
        <v>36454448.146064252</v>
      </c>
      <c r="D44" s="629"/>
      <c r="E44" s="674"/>
      <c r="F44" s="625"/>
      <c r="G44" s="632">
        <f>'Optional Turbine Subcomponents'!D20</f>
        <v>0.2</v>
      </c>
      <c r="H44" s="670"/>
      <c r="I44" s="669"/>
    </row>
    <row r="45" spans="1:9" hidden="1" x14ac:dyDescent="0.25">
      <c r="B45" s="673" t="s">
        <v>271</v>
      </c>
      <c r="C45" s="640">
        <f>'Optional Turbine Subcomponents'!C21</f>
        <v>36454448.146064252</v>
      </c>
      <c r="D45" s="633"/>
      <c r="E45" s="624"/>
      <c r="F45" s="625"/>
      <c r="G45" s="632">
        <f>'Optional Turbine Subcomponents'!D21</f>
        <v>0.2</v>
      </c>
      <c r="H45" s="670"/>
      <c r="I45" s="669"/>
    </row>
    <row r="46" spans="1:9" hidden="1" x14ac:dyDescent="0.25">
      <c r="B46" s="673" t="s">
        <v>272</v>
      </c>
      <c r="C46" s="640">
        <f>'Optional Turbine Subcomponents'!C22</f>
        <v>127590568.5112249</v>
      </c>
      <c r="D46" s="633"/>
      <c r="E46" s="624"/>
      <c r="F46" s="625"/>
      <c r="G46" s="632">
        <f>'Optional Turbine Subcomponents'!D22</f>
        <v>0.2</v>
      </c>
      <c r="H46" s="670"/>
      <c r="I46" s="669"/>
    </row>
    <row r="47" spans="1:9" hidden="1" x14ac:dyDescent="0.25">
      <c r="B47" s="673" t="s">
        <v>273</v>
      </c>
      <c r="C47" s="640">
        <f>'Optional Turbine Subcomponents'!C23</f>
        <v>182272240.73032123</v>
      </c>
      <c r="D47" s="633"/>
      <c r="E47" s="624"/>
      <c r="F47" s="625"/>
      <c r="G47" s="632">
        <f>'Optional Turbine Subcomponents'!D23</f>
        <v>0.2</v>
      </c>
      <c r="H47" s="670"/>
      <c r="I47" s="669"/>
    </row>
    <row r="48" spans="1:9" hidden="1" x14ac:dyDescent="0.25">
      <c r="B48" s="673" t="s">
        <v>274</v>
      </c>
      <c r="C48" s="640">
        <f>'Optional Turbine Subcomponents'!C24</f>
        <v>127590568.5112249</v>
      </c>
      <c r="D48" s="633"/>
      <c r="E48" s="624"/>
      <c r="F48" s="625"/>
      <c r="G48" s="632">
        <f>'Optional Turbine Subcomponents'!D24</f>
        <v>0.2</v>
      </c>
      <c r="H48" s="670"/>
      <c r="I48" s="669"/>
    </row>
    <row r="49" spans="2:17" hidden="1" x14ac:dyDescent="0.25">
      <c r="B49" s="673" t="s">
        <v>275</v>
      </c>
      <c r="C49" s="640">
        <f>'Optional Turbine Subcomponents'!C25</f>
        <v>45568060.182580307</v>
      </c>
      <c r="D49" s="633"/>
      <c r="E49" s="624"/>
      <c r="F49" s="625"/>
      <c r="G49" s="632">
        <f>'Optional Turbine Subcomponents'!D25</f>
        <v>0.2</v>
      </c>
      <c r="H49" s="670"/>
      <c r="I49" s="669"/>
    </row>
    <row r="50" spans="2:17" hidden="1" x14ac:dyDescent="0.25">
      <c r="B50" s="673" t="s">
        <v>276</v>
      </c>
      <c r="C50" s="640">
        <f>'Optional Turbine Subcomponents'!C26</f>
        <v>30986280.924154609</v>
      </c>
      <c r="D50" s="633"/>
      <c r="E50" s="624"/>
      <c r="F50" s="625"/>
      <c r="G50" s="632">
        <f>'Optional Turbine Subcomponents'!D26</f>
        <v>0.2</v>
      </c>
      <c r="H50" s="670"/>
      <c r="I50" s="669"/>
    </row>
    <row r="51" spans="2:17" hidden="1" x14ac:dyDescent="0.25">
      <c r="B51" s="673" t="s">
        <v>277</v>
      </c>
      <c r="C51" s="640">
        <f>'Optional Turbine Subcomponents'!C27</f>
        <v>12759056.851122487</v>
      </c>
      <c r="D51" s="633"/>
      <c r="E51" s="624"/>
      <c r="F51" s="625"/>
      <c r="G51" s="632">
        <f>'Optional Turbine Subcomponents'!D27</f>
        <v>0.2</v>
      </c>
      <c r="H51" s="670"/>
      <c r="I51" s="669"/>
    </row>
    <row r="52" spans="2:17" hidden="1" x14ac:dyDescent="0.25">
      <c r="B52" s="673" t="s">
        <v>278</v>
      </c>
      <c r="C52" s="640">
        <f>'Optional Turbine Subcomponents'!C28</f>
        <v>12759056.851122487</v>
      </c>
      <c r="D52" s="633"/>
      <c r="E52" s="624"/>
      <c r="F52" s="625"/>
      <c r="G52" s="632">
        <f>'Optional Turbine Subcomponents'!D28</f>
        <v>0.2</v>
      </c>
      <c r="H52" s="670"/>
      <c r="I52" s="669"/>
    </row>
    <row r="53" spans="2:17" hidden="1" x14ac:dyDescent="0.25">
      <c r="B53" s="673" t="s">
        <v>279</v>
      </c>
      <c r="C53" s="640">
        <f>'Optional Turbine Subcomponents'!C29</f>
        <v>18227224.073032126</v>
      </c>
      <c r="D53" s="633"/>
      <c r="E53" s="624"/>
      <c r="F53" s="625"/>
      <c r="G53" s="632">
        <f>'Optional Turbine Subcomponents'!D29</f>
        <v>0.2</v>
      </c>
      <c r="H53" s="670"/>
      <c r="I53" s="669"/>
    </row>
    <row r="54" spans="2:17" hidden="1" x14ac:dyDescent="0.25">
      <c r="B54" s="673" t="s">
        <v>280</v>
      </c>
      <c r="C54" s="640">
        <f>'Optional Turbine Subcomponents'!C30</f>
        <v>45568060.182580307</v>
      </c>
      <c r="D54" s="633"/>
      <c r="E54" s="624"/>
      <c r="F54" s="625"/>
      <c r="G54" s="632">
        <f>'Optional Turbine Subcomponents'!D30</f>
        <v>0.2</v>
      </c>
      <c r="H54" s="670"/>
      <c r="I54" s="669"/>
    </row>
    <row r="55" spans="2:17" hidden="1" x14ac:dyDescent="0.25">
      <c r="B55" s="673" t="s">
        <v>281</v>
      </c>
      <c r="C55" s="640">
        <f>'Optional Turbine Subcomponents'!C31</f>
        <v>12759056.851122487</v>
      </c>
      <c r="D55" s="633"/>
      <c r="E55" s="624"/>
      <c r="F55" s="625"/>
      <c r="G55" s="632">
        <f>'Optional Turbine Subcomponents'!D31</f>
        <v>0.2</v>
      </c>
      <c r="H55" s="670"/>
      <c r="I55" s="669"/>
    </row>
    <row r="56" spans="2:17" hidden="1" x14ac:dyDescent="0.25">
      <c r="B56" s="673" t="s">
        <v>282</v>
      </c>
      <c r="C56" s="640">
        <f>'Optional Turbine Subcomponents'!C32</f>
        <v>0</v>
      </c>
      <c r="D56" s="633"/>
      <c r="E56" s="624"/>
      <c r="F56" s="625"/>
      <c r="G56" s="632">
        <f>'Optional Turbine Subcomponents'!D32</f>
        <v>0.2</v>
      </c>
      <c r="H56" s="670"/>
      <c r="I56" s="669"/>
    </row>
    <row r="57" spans="2:17" hidden="1" x14ac:dyDescent="0.25">
      <c r="B57" s="673" t="s">
        <v>283</v>
      </c>
      <c r="C57" s="640">
        <f>'Optional Turbine Subcomponents'!C33</f>
        <v>0</v>
      </c>
      <c r="D57" s="633"/>
      <c r="E57" s="624"/>
      <c r="F57" s="625"/>
      <c r="G57" s="632">
        <f>'Optional Turbine Subcomponents'!D33</f>
        <v>0.2</v>
      </c>
      <c r="H57" s="670"/>
      <c r="I57" s="669"/>
    </row>
    <row r="58" spans="2:17" x14ac:dyDescent="0.25">
      <c r="B58" s="634" t="s">
        <v>284</v>
      </c>
      <c r="C58" s="472">
        <f>'Project Costs - Step 2'!C30</f>
        <v>85910930.039385527</v>
      </c>
      <c r="D58" s="633"/>
      <c r="E58" s="624"/>
      <c r="F58" s="625"/>
      <c r="G58" s="682">
        <f>'Local Share - Step 3'!C20</f>
        <v>0</v>
      </c>
      <c r="H58" s="670"/>
      <c r="I58" s="669"/>
    </row>
    <row r="59" spans="2:17" x14ac:dyDescent="0.25">
      <c r="B59" s="617" t="s">
        <v>285</v>
      </c>
      <c r="C59" s="472">
        <f>C58+C42</f>
        <v>774900000</v>
      </c>
      <c r="D59" s="633"/>
      <c r="E59" s="624"/>
      <c r="F59" s="625"/>
      <c r="G59" s="631"/>
      <c r="H59" s="670"/>
      <c r="I59" s="669"/>
    </row>
    <row r="60" spans="2:17" hidden="1" x14ac:dyDescent="0.25">
      <c r="B60" s="635"/>
      <c r="C60" s="633"/>
      <c r="D60" s="633"/>
      <c r="E60" s="624"/>
      <c r="F60" s="625"/>
      <c r="G60" s="636"/>
      <c r="H60" s="670"/>
      <c r="I60" s="669"/>
    </row>
    <row r="61" spans="2:17" x14ac:dyDescent="0.25">
      <c r="B61" s="617" t="s">
        <v>152</v>
      </c>
      <c r="C61" s="637"/>
      <c r="D61" s="633"/>
      <c r="E61" s="624"/>
      <c r="F61" s="625"/>
      <c r="G61" s="638"/>
      <c r="H61" s="670"/>
      <c r="I61" s="669"/>
    </row>
    <row r="62" spans="2:17" x14ac:dyDescent="0.25">
      <c r="B62" s="165" t="s">
        <v>268</v>
      </c>
      <c r="C62" s="472">
        <f>IF('Optional Turbine Subcomponents'!C40="Yes",'Optional Turbine Subcomponents'!C64,'Project Costs - Step 2'!C32)</f>
        <v>191829710.03057131</v>
      </c>
      <c r="D62" s="628"/>
      <c r="E62" s="639"/>
      <c r="F62" s="625"/>
      <c r="G62" s="682">
        <f>'Local Share - Step 3'!C22</f>
        <v>0</v>
      </c>
      <c r="H62" s="670"/>
      <c r="I62" s="669"/>
    </row>
    <row r="63" spans="2:17" x14ac:dyDescent="0.25">
      <c r="B63" s="619" t="s">
        <v>286</v>
      </c>
      <c r="C63" s="630" t="str">
        <f>'Optional Turbine Subcomponents'!C40</f>
        <v>No</v>
      </c>
      <c r="D63" s="629"/>
      <c r="E63" s="630"/>
      <c r="F63" s="625"/>
      <c r="G63" s="631"/>
      <c r="H63" s="670"/>
      <c r="I63" s="669"/>
      <c r="Q63" s="202"/>
    </row>
    <row r="64" spans="2:17" hidden="1" x14ac:dyDescent="0.25">
      <c r="B64" s="620" t="s">
        <v>287</v>
      </c>
      <c r="C64" s="640">
        <f>'Optional Turbine Subcomponents'!C43</f>
        <v>191694.49424391973</v>
      </c>
      <c r="D64" s="641"/>
      <c r="E64" s="642"/>
      <c r="F64" s="643"/>
      <c r="G64" s="632">
        <f>'Optional Turbine Subcomponents'!D43</f>
        <v>0.4</v>
      </c>
      <c r="H64" s="670"/>
      <c r="I64" s="669"/>
    </row>
    <row r="65" spans="2:9" hidden="1" x14ac:dyDescent="0.25">
      <c r="B65" s="620" t="s">
        <v>288</v>
      </c>
      <c r="C65" s="640">
        <f>'Optional Turbine Subcomponents'!C44</f>
        <v>186217.50869409347</v>
      </c>
      <c r="D65" s="644"/>
      <c r="E65" s="642"/>
      <c r="F65" s="643"/>
      <c r="G65" s="632">
        <f>'Optional Turbine Subcomponents'!D44</f>
        <v>0.4</v>
      </c>
      <c r="H65" s="670"/>
      <c r="I65" s="669"/>
    </row>
    <row r="66" spans="2:9" hidden="1" x14ac:dyDescent="0.25">
      <c r="B66" s="620" t="s">
        <v>289</v>
      </c>
      <c r="C66" s="640">
        <f>'Optional Turbine Subcomponents'!C45</f>
        <v>186217.50869409347</v>
      </c>
      <c r="D66" s="644"/>
      <c r="E66" s="642"/>
      <c r="F66" s="643"/>
      <c r="G66" s="632">
        <f>'Optional Turbine Subcomponents'!D45</f>
        <v>0.4</v>
      </c>
      <c r="H66" s="670"/>
      <c r="I66" s="669"/>
    </row>
    <row r="67" spans="2:9" hidden="1" x14ac:dyDescent="0.25">
      <c r="B67" s="620" t="s">
        <v>290</v>
      </c>
      <c r="C67" s="640">
        <f>'Optional Turbine Subcomponents'!C46</f>
        <v>553175.54053245415</v>
      </c>
      <c r="D67" s="645"/>
      <c r="E67" s="642"/>
      <c r="F67" s="643"/>
      <c r="G67" s="632">
        <f>'Optional Turbine Subcomponents'!D46</f>
        <v>0.4</v>
      </c>
      <c r="H67" s="670"/>
      <c r="I67" s="669"/>
    </row>
    <row r="68" spans="2:9" hidden="1" x14ac:dyDescent="0.25">
      <c r="B68" s="620" t="s">
        <v>291</v>
      </c>
      <c r="C68" s="640">
        <f>'Optional Turbine Subcomponents'!C47</f>
        <v>553175.54053245415</v>
      </c>
      <c r="D68" s="644"/>
      <c r="E68" s="642"/>
      <c r="F68" s="643"/>
      <c r="G68" s="632">
        <f>'Optional Turbine Subcomponents'!D47</f>
        <v>0.4</v>
      </c>
      <c r="H68" s="670"/>
      <c r="I68" s="669"/>
    </row>
    <row r="69" spans="2:9" hidden="1" x14ac:dyDescent="0.25">
      <c r="B69" s="620" t="s">
        <v>292</v>
      </c>
      <c r="C69" s="640">
        <f>'Optional Turbine Subcomponents'!C48</f>
        <v>2875417.4136587959</v>
      </c>
      <c r="D69" s="644"/>
      <c r="E69" s="642"/>
      <c r="F69" s="643"/>
      <c r="G69" s="632">
        <f>'Optional Turbine Subcomponents'!D48</f>
        <v>0.4</v>
      </c>
      <c r="H69" s="670"/>
      <c r="I69" s="669"/>
    </row>
    <row r="70" spans="2:9" hidden="1" x14ac:dyDescent="0.25">
      <c r="B70" s="620" t="s">
        <v>293</v>
      </c>
      <c r="C70" s="640">
        <f>'Optional Turbine Subcomponents'!C49</f>
        <v>8817946.7352203093</v>
      </c>
      <c r="D70" s="644"/>
      <c r="E70" s="642"/>
      <c r="F70" s="643"/>
      <c r="G70" s="632">
        <f>'Optional Turbine Subcomponents'!D49</f>
        <v>0.4</v>
      </c>
      <c r="H70" s="670"/>
      <c r="I70" s="669"/>
    </row>
    <row r="71" spans="2:9" hidden="1" x14ac:dyDescent="0.25">
      <c r="B71" s="620" t="s">
        <v>294</v>
      </c>
      <c r="C71" s="640">
        <f>'Optional Turbine Subcomponents'!C50</f>
        <v>5241475.1711837482</v>
      </c>
      <c r="D71" s="644"/>
      <c r="E71" s="642"/>
      <c r="F71" s="643"/>
      <c r="G71" s="632">
        <f>'Optional Turbine Subcomponents'!D50</f>
        <v>0.4</v>
      </c>
      <c r="H71" s="670"/>
      <c r="I71" s="669"/>
    </row>
    <row r="72" spans="2:9" hidden="1" x14ac:dyDescent="0.25">
      <c r="B72" s="620" t="s">
        <v>295</v>
      </c>
      <c r="C72" s="640">
        <f>'Optional Turbine Subcomponents'!C51</f>
        <v>5685111.0007196777</v>
      </c>
      <c r="D72" s="644"/>
      <c r="E72" s="642"/>
      <c r="F72" s="643"/>
      <c r="G72" s="632">
        <f>'Optional Turbine Subcomponents'!D51</f>
        <v>0.4</v>
      </c>
      <c r="H72" s="670"/>
      <c r="I72" s="669"/>
    </row>
    <row r="73" spans="2:9" hidden="1" x14ac:dyDescent="0.25">
      <c r="B73" s="620" t="s">
        <v>296</v>
      </c>
      <c r="C73" s="640">
        <f>'Optional Turbine Subcomponents'!C52</f>
        <v>1478786.0984530952</v>
      </c>
      <c r="D73" s="644"/>
      <c r="E73" s="642"/>
      <c r="F73" s="643"/>
      <c r="G73" s="632">
        <f>'Optional Turbine Subcomponents'!D52</f>
        <v>0.4</v>
      </c>
      <c r="H73" s="670"/>
      <c r="I73" s="669"/>
    </row>
    <row r="74" spans="2:9" hidden="1" x14ac:dyDescent="0.25">
      <c r="B74" s="620" t="s">
        <v>297</v>
      </c>
      <c r="C74" s="640">
        <f>'Optional Turbine Subcomponents'!C53</f>
        <v>1259706.6764600442</v>
      </c>
      <c r="D74" s="644"/>
      <c r="E74" s="642"/>
      <c r="F74" s="643"/>
      <c r="G74" s="632">
        <f>'Optional Turbine Subcomponents'!D53</f>
        <v>0.4</v>
      </c>
      <c r="H74" s="670"/>
      <c r="I74" s="669"/>
    </row>
    <row r="75" spans="2:9" hidden="1" x14ac:dyDescent="0.25">
      <c r="B75" s="620" t="s">
        <v>298</v>
      </c>
      <c r="C75" s="640">
        <f>'Optional Turbine Subcomponents'!C54</f>
        <v>1078966.1533157767</v>
      </c>
      <c r="D75" s="644"/>
      <c r="E75" s="642"/>
      <c r="F75" s="643"/>
      <c r="G75" s="632">
        <f>'Optional Turbine Subcomponents'!D54</f>
        <v>0.4</v>
      </c>
      <c r="H75" s="670"/>
      <c r="I75" s="669"/>
    </row>
    <row r="76" spans="2:9" hidden="1" x14ac:dyDescent="0.25">
      <c r="B76" s="620" t="s">
        <v>299</v>
      </c>
      <c r="C76" s="640">
        <f>'Optional Turbine Subcomponents'!C55</f>
        <v>17301797.351901218</v>
      </c>
      <c r="D76" s="644"/>
      <c r="E76" s="642"/>
      <c r="F76" s="643"/>
      <c r="G76" s="632">
        <f>'Optional Turbine Subcomponents'!D55</f>
        <v>0.4</v>
      </c>
      <c r="H76" s="670"/>
      <c r="I76" s="669"/>
    </row>
    <row r="77" spans="2:9" hidden="1" x14ac:dyDescent="0.25">
      <c r="B77" s="620" t="s">
        <v>300</v>
      </c>
      <c r="C77" s="640">
        <f>'Optional Turbine Subcomponents'!C56</f>
        <v>9628540.5965945981</v>
      </c>
      <c r="D77" s="644"/>
      <c r="E77" s="642"/>
      <c r="F77" s="643"/>
      <c r="G77" s="632">
        <f>'Optional Turbine Subcomponents'!D56</f>
        <v>0.4</v>
      </c>
      <c r="H77" s="670"/>
      <c r="I77" s="669"/>
    </row>
    <row r="78" spans="2:9" hidden="1" x14ac:dyDescent="0.25">
      <c r="B78" s="620" t="s">
        <v>198</v>
      </c>
      <c r="C78" s="640">
        <f>'Optional Turbine Subcomponents'!C57</f>
        <v>68395741.120183513</v>
      </c>
      <c r="D78" s="644"/>
      <c r="E78" s="642"/>
      <c r="F78" s="643"/>
      <c r="G78" s="632">
        <f>'Optional Turbine Subcomponents'!D57</f>
        <v>0.4</v>
      </c>
      <c r="H78" s="670"/>
      <c r="I78" s="669"/>
    </row>
    <row r="79" spans="2:9" hidden="1" x14ac:dyDescent="0.25">
      <c r="B79" s="620" t="s">
        <v>301</v>
      </c>
      <c r="C79" s="640">
        <f>'Optional Turbine Subcomponents'!C58</f>
        <v>23775565.3437526</v>
      </c>
      <c r="D79" s="644"/>
      <c r="E79" s="642"/>
      <c r="F79" s="643"/>
      <c r="G79" s="632">
        <f>'Optional Turbine Subcomponents'!D58</f>
        <v>0.4</v>
      </c>
      <c r="H79" s="670"/>
      <c r="I79" s="669"/>
    </row>
    <row r="80" spans="2:9" hidden="1" x14ac:dyDescent="0.25">
      <c r="B80" s="620" t="s">
        <v>302</v>
      </c>
      <c r="C80" s="640">
        <f>'Optional Turbine Subcomponents'!C59</f>
        <v>13522410.685808579</v>
      </c>
      <c r="D80" s="644"/>
      <c r="E80" s="642"/>
      <c r="F80" s="643"/>
      <c r="G80" s="632">
        <f>'Optional Turbine Subcomponents'!D59</f>
        <v>0.4</v>
      </c>
      <c r="H80" s="670"/>
      <c r="I80" s="669"/>
    </row>
    <row r="81" spans="2:9" hidden="1" x14ac:dyDescent="0.25">
      <c r="B81" s="620" t="s">
        <v>303</v>
      </c>
      <c r="C81" s="640">
        <f>'Optional Turbine Subcomponents'!C60</f>
        <v>5408741.9515741728</v>
      </c>
      <c r="D81" s="644"/>
      <c r="E81" s="642"/>
      <c r="F81" s="643"/>
      <c r="G81" s="632">
        <f>'Optional Turbine Subcomponents'!D60</f>
        <v>0.4</v>
      </c>
      <c r="H81" s="670"/>
      <c r="I81" s="669"/>
    </row>
    <row r="82" spans="2:9" hidden="1" x14ac:dyDescent="0.25">
      <c r="B82" s="620" t="s">
        <v>304</v>
      </c>
      <c r="C82" s="640">
        <f>'Optional Turbine Subcomponents'!C61</f>
        <v>16674206.194480902</v>
      </c>
      <c r="D82" s="644"/>
      <c r="E82" s="642"/>
      <c r="F82" s="643"/>
      <c r="G82" s="632">
        <f>'Optional Turbine Subcomponents'!D61</f>
        <v>0.4</v>
      </c>
      <c r="H82" s="670"/>
      <c r="I82" s="669"/>
    </row>
    <row r="83" spans="2:9" hidden="1" x14ac:dyDescent="0.25">
      <c r="B83" s="620" t="s">
        <v>305</v>
      </c>
      <c r="C83" s="640">
        <f>'Optional Turbine Subcomponents'!C62</f>
        <v>9014816.9445672426</v>
      </c>
      <c r="D83" s="644"/>
      <c r="E83" s="642"/>
      <c r="F83" s="643"/>
      <c r="G83" s="632">
        <f>'Optional Turbine Subcomponents'!D62</f>
        <v>0.4</v>
      </c>
      <c r="H83" s="670"/>
      <c r="I83" s="669"/>
    </row>
    <row r="84" spans="2:9" x14ac:dyDescent="0.25">
      <c r="B84" s="621" t="s">
        <v>284</v>
      </c>
      <c r="C84" s="472">
        <f>'Project Costs - Step 2'!C33</f>
        <v>40370289.969428711</v>
      </c>
      <c r="D84" s="633"/>
      <c r="E84" s="624"/>
      <c r="F84" s="625"/>
      <c r="G84" s="682">
        <f>'Local Share - Step 3'!C23</f>
        <v>0</v>
      </c>
      <c r="H84" s="670"/>
      <c r="I84" s="669"/>
    </row>
    <row r="85" spans="2:9" x14ac:dyDescent="0.25">
      <c r="B85" s="617" t="s">
        <v>306</v>
      </c>
      <c r="C85" s="472">
        <f>C84+C62</f>
        <v>232200000.00000003</v>
      </c>
      <c r="D85" s="633"/>
      <c r="E85" s="624"/>
      <c r="F85" s="625"/>
      <c r="G85" s="636"/>
      <c r="H85" s="670"/>
      <c r="I85" s="669"/>
    </row>
    <row r="86" spans="2:9" hidden="1" x14ac:dyDescent="0.25">
      <c r="B86" s="646"/>
      <c r="C86" s="647"/>
      <c r="D86" s="633"/>
      <c r="E86" s="624"/>
      <c r="F86" s="625"/>
      <c r="G86" s="638"/>
      <c r="H86" s="670"/>
      <c r="I86" s="669"/>
    </row>
    <row r="87" spans="2:9" x14ac:dyDescent="0.25">
      <c r="B87" s="622" t="s">
        <v>156</v>
      </c>
      <c r="C87" s="624"/>
      <c r="D87" s="628"/>
      <c r="E87" s="648"/>
      <c r="F87" s="625"/>
      <c r="G87" s="625"/>
      <c r="H87" s="670"/>
      <c r="I87" s="669"/>
    </row>
    <row r="88" spans="2:9" x14ac:dyDescent="0.25">
      <c r="B88" s="621" t="s">
        <v>268</v>
      </c>
      <c r="C88" s="472">
        <f>IF('Optional Turbine Subcomponents'!C69="Yes",'Optional Turbine Subcomponents'!C85,'Project Costs - Step 2'!C35)</f>
        <v>140248988.41882631</v>
      </c>
      <c r="D88" s="629"/>
      <c r="E88" s="649"/>
      <c r="F88" s="625"/>
      <c r="G88" s="682">
        <f>'Local Share - Step 3'!C25</f>
        <v>0</v>
      </c>
      <c r="H88" s="670"/>
      <c r="I88" s="669"/>
    </row>
    <row r="89" spans="2:9" x14ac:dyDescent="0.25">
      <c r="B89" s="621" t="s">
        <v>307</v>
      </c>
      <c r="C89" s="650" t="str">
        <f>'Optional Turbine Subcomponents'!C69</f>
        <v>No</v>
      </c>
      <c r="D89" s="629"/>
      <c r="E89" s="649"/>
      <c r="F89" s="625"/>
      <c r="G89" s="631"/>
      <c r="H89" s="670"/>
      <c r="I89" s="669"/>
    </row>
    <row r="90" spans="2:9" hidden="1" x14ac:dyDescent="0.25">
      <c r="B90" s="651" t="s">
        <v>308</v>
      </c>
      <c r="C90" s="652">
        <f>'Optional Turbine Subcomponents'!C72</f>
        <v>602863.58861953544</v>
      </c>
      <c r="D90" s="644"/>
      <c r="E90" s="642"/>
      <c r="F90" s="643"/>
      <c r="G90" s="632">
        <f>'Optional Turbine Subcomponents'!D72</f>
        <v>0.4</v>
      </c>
      <c r="H90" s="670"/>
      <c r="I90" s="669"/>
    </row>
    <row r="91" spans="2:9" hidden="1" x14ac:dyDescent="0.25">
      <c r="B91" s="651" t="s">
        <v>309</v>
      </c>
      <c r="C91" s="652">
        <f>'Optional Turbine Subcomponents'!C73</f>
        <v>6028635.8861953551</v>
      </c>
      <c r="D91" s="644"/>
      <c r="E91" s="642"/>
      <c r="F91" s="643"/>
      <c r="G91" s="632">
        <f>'Optional Turbine Subcomponents'!D73</f>
        <v>0.4</v>
      </c>
      <c r="H91" s="670"/>
      <c r="I91" s="669"/>
    </row>
    <row r="92" spans="2:9" hidden="1" x14ac:dyDescent="0.25">
      <c r="B92" s="651" t="s">
        <v>310</v>
      </c>
      <c r="C92" s="652">
        <f>'Optional Turbine Subcomponents'!C74</f>
        <v>4822908.7089562835</v>
      </c>
      <c r="D92" s="644"/>
      <c r="E92" s="642"/>
      <c r="F92" s="643"/>
      <c r="G92" s="632">
        <f>'Optional Turbine Subcomponents'!D74</f>
        <v>0.4</v>
      </c>
      <c r="H92" s="670"/>
      <c r="I92" s="669"/>
    </row>
    <row r="93" spans="2:9" hidden="1" x14ac:dyDescent="0.25">
      <c r="B93" s="651" t="s">
        <v>311</v>
      </c>
      <c r="C93" s="652">
        <f>'Optional Turbine Subcomponents'!C75</f>
        <v>10851544.595151639</v>
      </c>
      <c r="D93" s="644"/>
      <c r="E93" s="642"/>
      <c r="F93" s="643"/>
      <c r="G93" s="632">
        <f>'Optional Turbine Subcomponents'!D75</f>
        <v>0.4</v>
      </c>
      <c r="H93" s="670"/>
      <c r="I93" s="669"/>
    </row>
    <row r="94" spans="2:9" hidden="1" x14ac:dyDescent="0.25">
      <c r="B94" s="651" t="s">
        <v>312</v>
      </c>
      <c r="C94" s="652">
        <f>'Optional Turbine Subcomponents'!C76</f>
        <v>602863.58861953544</v>
      </c>
      <c r="D94" s="644"/>
      <c r="E94" s="642"/>
      <c r="F94" s="643"/>
      <c r="G94" s="632">
        <f>'Optional Turbine Subcomponents'!D76</f>
        <v>0.4</v>
      </c>
      <c r="H94" s="670"/>
      <c r="I94" s="669"/>
    </row>
    <row r="95" spans="2:9" hidden="1" x14ac:dyDescent="0.25">
      <c r="B95" s="651" t="s">
        <v>313</v>
      </c>
      <c r="C95" s="652">
        <f>'Optional Turbine Subcomponents'!C77</f>
        <v>37377542.4944112</v>
      </c>
      <c r="D95" s="644"/>
      <c r="E95" s="642"/>
      <c r="F95" s="643"/>
      <c r="G95" s="632">
        <f>'Optional Turbine Subcomponents'!D77</f>
        <v>0.4</v>
      </c>
      <c r="H95" s="670"/>
      <c r="I95" s="669"/>
    </row>
    <row r="96" spans="2:9" hidden="1" x14ac:dyDescent="0.25">
      <c r="B96" s="651" t="s">
        <v>198</v>
      </c>
      <c r="C96" s="652">
        <f>'Optional Turbine Subcomponents'!C78</f>
        <v>39981314.77843637</v>
      </c>
      <c r="D96" s="644"/>
      <c r="E96" s="642"/>
      <c r="F96" s="643"/>
      <c r="G96" s="632">
        <f>'Optional Turbine Subcomponents'!D78</f>
        <v>0.4</v>
      </c>
      <c r="H96" s="670"/>
      <c r="I96" s="669"/>
    </row>
    <row r="97" spans="2:9" hidden="1" x14ac:dyDescent="0.25">
      <c r="B97" s="651" t="s">
        <v>301</v>
      </c>
      <c r="C97" s="652">
        <f>'Optional Turbine Subcomponents'!C79</f>
        <v>8781145.5993854292</v>
      </c>
      <c r="D97" s="644"/>
      <c r="E97" s="642"/>
      <c r="F97" s="643"/>
      <c r="G97" s="632">
        <f>'Optional Turbine Subcomponents'!D79</f>
        <v>0.4</v>
      </c>
      <c r="H97" s="670"/>
      <c r="I97" s="669"/>
    </row>
    <row r="98" spans="2:9" hidden="1" x14ac:dyDescent="0.25">
      <c r="B98" s="651" t="s">
        <v>302</v>
      </c>
      <c r="C98" s="652">
        <f>'Optional Turbine Subcomponents'!C80</f>
        <v>13908900.992606796</v>
      </c>
      <c r="D98" s="644"/>
      <c r="E98" s="642"/>
      <c r="F98" s="643"/>
      <c r="G98" s="632">
        <f>'Optional Turbine Subcomponents'!D80</f>
        <v>0.4</v>
      </c>
      <c r="H98" s="670"/>
      <c r="I98" s="669"/>
    </row>
    <row r="99" spans="2:9" hidden="1" x14ac:dyDescent="0.25">
      <c r="B99" s="651" t="s">
        <v>303</v>
      </c>
      <c r="C99" s="652">
        <f>'Optional Turbine Subcomponents'!C81</f>
        <v>3176389.7044690498</v>
      </c>
      <c r="D99" s="644"/>
      <c r="E99" s="642"/>
      <c r="F99" s="643"/>
      <c r="G99" s="632">
        <f>'Optional Turbine Subcomponents'!D81</f>
        <v>0.4</v>
      </c>
      <c r="H99" s="670"/>
      <c r="I99" s="669"/>
    </row>
    <row r="100" spans="2:9" hidden="1" x14ac:dyDescent="0.25">
      <c r="B100" s="651" t="s">
        <v>304</v>
      </c>
      <c r="C100" s="652">
        <f>'Optional Turbine Subcomponents'!C82</f>
        <v>6938189.1155637959</v>
      </c>
      <c r="D100" s="644"/>
      <c r="E100" s="642"/>
      <c r="F100" s="643"/>
      <c r="G100" s="632">
        <f>'Optional Turbine Subcomponents'!D82</f>
        <v>0.4</v>
      </c>
      <c r="H100" s="670"/>
      <c r="I100" s="669"/>
    </row>
    <row r="101" spans="2:9" hidden="1" x14ac:dyDescent="0.25">
      <c r="B101" s="651" t="s">
        <v>305</v>
      </c>
      <c r="C101" s="652">
        <f>'Optional Turbine Subcomponents'!C83</f>
        <v>7176689.3664113004</v>
      </c>
      <c r="D101" s="644"/>
      <c r="E101" s="642"/>
      <c r="F101" s="643"/>
      <c r="G101" s="632">
        <f>'Optional Turbine Subcomponents'!D83</f>
        <v>0.4</v>
      </c>
      <c r="H101" s="670"/>
      <c r="I101" s="669"/>
    </row>
    <row r="102" spans="2:9" x14ac:dyDescent="0.25">
      <c r="B102" s="621" t="s">
        <v>284</v>
      </c>
      <c r="C102" s="472">
        <f>'Project Costs - Step 2'!C36</f>
        <v>23551011.581173699</v>
      </c>
      <c r="D102" s="633"/>
      <c r="E102" s="624"/>
      <c r="F102" s="625"/>
      <c r="G102" s="682">
        <f>'Local Share - Step 3'!C26</f>
        <v>0</v>
      </c>
      <c r="H102" s="670"/>
      <c r="I102" s="669"/>
    </row>
    <row r="103" spans="2:9" x14ac:dyDescent="0.25">
      <c r="B103" s="653" t="s">
        <v>314</v>
      </c>
      <c r="C103" s="472">
        <f>C102+C88</f>
        <v>163800000</v>
      </c>
      <c r="D103" s="633"/>
      <c r="E103" s="624"/>
      <c r="F103" s="625"/>
      <c r="G103" s="636"/>
      <c r="H103" s="670"/>
      <c r="I103" s="669"/>
    </row>
    <row r="104" spans="2:9" x14ac:dyDescent="0.25">
      <c r="B104" s="654" t="s">
        <v>315</v>
      </c>
      <c r="C104" s="472">
        <f>C103+C85+C59</f>
        <v>1170900000</v>
      </c>
      <c r="D104" s="655"/>
      <c r="E104" s="655"/>
      <c r="F104" s="656"/>
      <c r="G104" s="657"/>
      <c r="H104" s="599"/>
      <c r="I104" s="669"/>
    </row>
    <row r="105" spans="2:9" x14ac:dyDescent="0.25">
      <c r="B105" s="658"/>
      <c r="C105" s="659"/>
      <c r="D105" s="659"/>
      <c r="E105" s="659"/>
      <c r="F105" s="659"/>
      <c r="G105" s="659"/>
      <c r="H105" s="659"/>
      <c r="I105" s="669"/>
    </row>
    <row r="106" spans="2:9" ht="15.75" x14ac:dyDescent="0.25">
      <c r="B106" s="59" t="s">
        <v>161</v>
      </c>
      <c r="C106" s="738"/>
      <c r="D106" s="738"/>
      <c r="E106" s="738"/>
      <c r="F106" s="738"/>
      <c r="G106" s="738"/>
      <c r="H106" s="739"/>
      <c r="I106" s="669"/>
    </row>
    <row r="107" spans="2:9" x14ac:dyDescent="0.25">
      <c r="B107" s="61" t="s">
        <v>316</v>
      </c>
      <c r="C107" s="66"/>
      <c r="D107" s="66"/>
      <c r="E107" s="66"/>
      <c r="F107" s="66"/>
      <c r="G107" s="66"/>
      <c r="H107" s="740"/>
      <c r="I107" s="669"/>
    </row>
    <row r="108" spans="2:9" x14ac:dyDescent="0.25">
      <c r="B108" s="687" t="str">
        <f>'Project Data - Step 1'!D53</f>
        <v>Monopile</v>
      </c>
      <c r="C108" s="472">
        <f>IF('Project Data - Step 1'!$D$53="Monopile",'Project Costs - Step 2'!C40,IF('Project Data - Step 1'!$D$53="Semisubmersible",'Project Costs - Step 2'!C49,'Project Costs - Step 2'!C46))</f>
        <v>363232239.15785801</v>
      </c>
      <c r="D108" s="64"/>
      <c r="E108" s="688"/>
      <c r="F108" s="677"/>
      <c r="G108" s="682">
        <f>IF('Project Data - Step 1'!D53="Monopile",'Local Share - Step 3'!C30,IF('Project Data - Step 1'!D53="Spar",'Local Share - Step 3'!C36,'Local Share - Step 3'!C39))</f>
        <v>0</v>
      </c>
      <c r="H108" s="689"/>
      <c r="I108" s="669"/>
    </row>
    <row r="109" spans="2:9" x14ac:dyDescent="0.25">
      <c r="B109" s="690" t="s">
        <v>268</v>
      </c>
      <c r="C109" s="472">
        <f>'Project Costs - Step 2'!C41</f>
        <v>311007045.80582887</v>
      </c>
      <c r="D109" s="691"/>
      <c r="E109" s="688"/>
      <c r="F109" s="677"/>
      <c r="G109" s="678"/>
      <c r="H109" s="689"/>
      <c r="I109" s="669"/>
    </row>
    <row r="110" spans="2:9" x14ac:dyDescent="0.25">
      <c r="B110" s="690" t="s">
        <v>284</v>
      </c>
      <c r="C110" s="472">
        <f>'Project Costs - Step 2'!C42</f>
        <v>52225193.352029115</v>
      </c>
      <c r="D110" s="691"/>
      <c r="E110" s="688"/>
      <c r="F110" s="677"/>
      <c r="G110" s="678"/>
      <c r="H110" s="689"/>
      <c r="I110" s="669"/>
    </row>
    <row r="111" spans="2:9" x14ac:dyDescent="0.25">
      <c r="B111" s="687" t="str">
        <f>IF(B108="Monopile","Scour","Mooring System")</f>
        <v>Scour</v>
      </c>
      <c r="C111" s="472">
        <f>IF('Project Data - Step 1'!$D$53="Monopile",'Project Costs - Step 2'!C43,'Project Costs - Step 2'!C52)</f>
        <v>13428000</v>
      </c>
      <c r="D111" s="691"/>
      <c r="E111" s="688"/>
      <c r="F111" s="677"/>
      <c r="G111" s="682">
        <f>IF('Project Data - Step 1'!D53="Monopile",'Local Share - Step 3'!C33,'Local Share - Step 3'!C42)</f>
        <v>0</v>
      </c>
      <c r="H111" s="689"/>
      <c r="I111" s="669"/>
    </row>
    <row r="112" spans="2:9" x14ac:dyDescent="0.25">
      <c r="B112" s="692" t="s">
        <v>268</v>
      </c>
      <c r="C112" s="472">
        <f>'Project Costs - Step 2'!C44</f>
        <v>11570449.604742739</v>
      </c>
      <c r="D112" s="691"/>
      <c r="E112" s="688"/>
      <c r="F112" s="677"/>
      <c r="G112" s="693"/>
      <c r="H112" s="689"/>
      <c r="I112" s="669"/>
    </row>
    <row r="113" spans="2:9" x14ac:dyDescent="0.25">
      <c r="B113" s="692" t="s">
        <v>284</v>
      </c>
      <c r="C113" s="472">
        <f>'Project Costs - Step 2'!C45</f>
        <v>1857550.3952572607</v>
      </c>
      <c r="D113" s="691"/>
      <c r="E113" s="688"/>
      <c r="F113" s="677"/>
      <c r="G113" s="693"/>
      <c r="H113" s="689"/>
      <c r="I113" s="669"/>
    </row>
    <row r="114" spans="2:9" x14ac:dyDescent="0.25">
      <c r="B114" s="694" t="s">
        <v>317</v>
      </c>
      <c r="C114" s="736">
        <f>C111+C108</f>
        <v>376660239.15785801</v>
      </c>
      <c r="D114" s="691"/>
      <c r="E114" s="688"/>
      <c r="F114" s="677"/>
      <c r="G114" s="693"/>
      <c r="H114" s="689"/>
      <c r="I114" s="669"/>
    </row>
    <row r="115" spans="2:9" x14ac:dyDescent="0.25">
      <c r="B115" s="61" t="s">
        <v>192</v>
      </c>
      <c r="C115" s="66"/>
      <c r="D115" s="66"/>
      <c r="E115" s="66"/>
      <c r="F115" s="66"/>
      <c r="G115" s="66"/>
      <c r="H115" s="740"/>
      <c r="I115" s="669"/>
    </row>
    <row r="116" spans="2:9" x14ac:dyDescent="0.25">
      <c r="B116" s="695" t="s">
        <v>194</v>
      </c>
      <c r="C116" s="737">
        <f>'Project Costs - Step 2'!C56</f>
        <v>45708306.855920002</v>
      </c>
      <c r="D116" s="691"/>
      <c r="E116" s="688"/>
      <c r="F116" s="677"/>
      <c r="G116" s="682">
        <f>'Local Share - Step 3'!C46</f>
        <v>0</v>
      </c>
      <c r="H116" s="696"/>
      <c r="I116" s="669"/>
    </row>
    <row r="117" spans="2:9" x14ac:dyDescent="0.25">
      <c r="B117" s="695" t="s">
        <v>196</v>
      </c>
      <c r="C117" s="472">
        <f>'Project Costs - Step 2'!C57</f>
        <v>39136409.028571934</v>
      </c>
      <c r="D117" s="688"/>
      <c r="E117" s="688"/>
      <c r="F117" s="677"/>
      <c r="G117" s="697"/>
      <c r="H117" s="696"/>
      <c r="I117" s="669"/>
    </row>
    <row r="118" spans="2:9" x14ac:dyDescent="0.25">
      <c r="B118" s="695" t="s">
        <v>150</v>
      </c>
      <c r="C118" s="472">
        <f>'Project Costs - Step 2'!C58</f>
        <v>6571897.8273480665</v>
      </c>
      <c r="D118" s="698"/>
      <c r="E118" s="688"/>
      <c r="F118" s="677"/>
      <c r="G118" s="697"/>
      <c r="H118" s="696"/>
      <c r="I118" s="669"/>
    </row>
    <row r="119" spans="2:9" x14ac:dyDescent="0.25">
      <c r="B119" s="695" t="s">
        <v>199</v>
      </c>
      <c r="C119" s="472">
        <f>'Project Costs - Step 2'!C59</f>
        <v>76557375</v>
      </c>
      <c r="D119" s="698"/>
      <c r="E119" s="688"/>
      <c r="F119" s="677"/>
      <c r="G119" s="682">
        <f>'Local Share - Step 3'!C49</f>
        <v>0</v>
      </c>
      <c r="H119" s="696"/>
      <c r="I119" s="669"/>
    </row>
    <row r="120" spans="2:9" x14ac:dyDescent="0.25">
      <c r="B120" s="695" t="s">
        <v>196</v>
      </c>
      <c r="C120" s="472">
        <f>'Project Costs - Step 2'!C60</f>
        <v>65550026.860505141</v>
      </c>
      <c r="D120" s="688"/>
      <c r="E120" s="688"/>
      <c r="F120" s="677"/>
      <c r="G120" s="697"/>
      <c r="H120" s="696"/>
      <c r="I120" s="669"/>
    </row>
    <row r="121" spans="2:9" x14ac:dyDescent="0.25">
      <c r="B121" s="695" t="s">
        <v>150</v>
      </c>
      <c r="C121" s="472">
        <f>'Project Costs - Step 2'!C61</f>
        <v>11007348.139494859</v>
      </c>
      <c r="D121" s="698"/>
      <c r="E121" s="688"/>
      <c r="F121" s="677"/>
      <c r="G121" s="697"/>
      <c r="H121" s="696"/>
      <c r="I121" s="669"/>
    </row>
    <row r="122" spans="2:9" x14ac:dyDescent="0.25">
      <c r="B122" s="695" t="s">
        <v>202</v>
      </c>
      <c r="C122" s="472">
        <f>'Project Costs - Step 2'!C62</f>
        <v>117087300</v>
      </c>
      <c r="D122" s="698"/>
      <c r="E122" s="688"/>
      <c r="F122" s="688"/>
      <c r="G122" s="682">
        <f>'Local Share - Step 3'!C52</f>
        <v>0</v>
      </c>
      <c r="H122" s="696"/>
      <c r="I122" s="669"/>
    </row>
    <row r="123" spans="2:9" x14ac:dyDescent="0.25">
      <c r="B123" s="679" t="s">
        <v>318</v>
      </c>
      <c r="C123" s="472">
        <f>'Project Costs - Step 2'!C63</f>
        <v>100548039.27389497</v>
      </c>
      <c r="D123" s="688"/>
      <c r="E123" s="688"/>
      <c r="F123" s="677"/>
      <c r="G123" s="680"/>
      <c r="H123" s="696"/>
      <c r="I123" s="669"/>
    </row>
    <row r="124" spans="2:9" x14ac:dyDescent="0.25">
      <c r="B124" s="679" t="s">
        <v>319</v>
      </c>
      <c r="C124" s="472">
        <f>'Project Costs - Step 2'!C64</f>
        <v>16539260.726105027</v>
      </c>
      <c r="D124" s="698"/>
      <c r="E124" s="688"/>
      <c r="F124" s="677"/>
      <c r="G124" s="680"/>
      <c r="H124" s="696"/>
      <c r="I124" s="669"/>
    </row>
    <row r="125" spans="2:9" x14ac:dyDescent="0.25">
      <c r="B125" s="699" t="s">
        <v>320</v>
      </c>
      <c r="C125" s="683">
        <f>C122+C119+C116</f>
        <v>239352981.85592002</v>
      </c>
      <c r="D125" s="698"/>
      <c r="E125" s="688"/>
      <c r="F125" s="677"/>
      <c r="G125" s="680"/>
      <c r="H125" s="696"/>
      <c r="I125" s="669"/>
    </row>
    <row r="126" spans="2:9" x14ac:dyDescent="0.25">
      <c r="B126" s="700" t="s">
        <v>206</v>
      </c>
      <c r="C126" s="701"/>
      <c r="D126" s="702"/>
      <c r="E126" s="703"/>
      <c r="F126" s="660"/>
      <c r="G126" s="661"/>
      <c r="H126" s="704"/>
      <c r="I126" s="669"/>
    </row>
    <row r="127" spans="2:9" x14ac:dyDescent="0.25">
      <c r="B127" s="687" t="s">
        <v>205</v>
      </c>
      <c r="C127" s="472">
        <f>'Project Costs - Step 2'!C66</f>
        <v>23642555.378794268</v>
      </c>
      <c r="D127" s="691"/>
      <c r="E127" s="688"/>
      <c r="F127" s="677"/>
      <c r="G127" s="677"/>
      <c r="H127" s="696"/>
      <c r="I127" s="669"/>
    </row>
    <row r="128" spans="2:9" x14ac:dyDescent="0.25">
      <c r="B128" s="695" t="s">
        <v>321</v>
      </c>
      <c r="C128" s="684">
        <f>'Project Costs - Step 2'!C67</f>
        <v>19683951.69649205</v>
      </c>
      <c r="D128" s="691"/>
      <c r="E128" s="688"/>
      <c r="F128" s="677"/>
      <c r="G128" s="682">
        <f>'Local Share - Step 3'!C57</f>
        <v>0</v>
      </c>
      <c r="H128" s="696"/>
      <c r="I128" s="669"/>
    </row>
    <row r="129" spans="2:9" x14ac:dyDescent="0.25">
      <c r="B129" s="695" t="s">
        <v>284</v>
      </c>
      <c r="C129" s="684">
        <f>'Project Costs - Step 2'!C68</f>
        <v>3958603.6823022175</v>
      </c>
      <c r="D129" s="691"/>
      <c r="E129" s="688"/>
      <c r="F129" s="677"/>
      <c r="G129" s="682">
        <f>'Local Share - Step 3'!C58</f>
        <v>0</v>
      </c>
      <c r="H129" s="696"/>
      <c r="I129" s="669"/>
    </row>
    <row r="130" spans="2:9" x14ac:dyDescent="0.25">
      <c r="B130" s="687" t="str">
        <f>IF('Project Data - Step 1'!D53="Monopile","Scour","Mooring System")</f>
        <v>Scour</v>
      </c>
      <c r="C130" s="472">
        <f>IF('Project Data - Step 1'!$D$53="Monopile",'Project Costs - Step 2'!C84,'Project Costs - Step 2'!C69)</f>
        <v>10430000</v>
      </c>
      <c r="D130" s="691"/>
      <c r="E130" s="688"/>
      <c r="F130" s="677"/>
      <c r="G130" s="678"/>
      <c r="H130" s="696"/>
      <c r="I130" s="669"/>
    </row>
    <row r="131" spans="2:9" x14ac:dyDescent="0.25">
      <c r="B131" s="695" t="s">
        <v>321</v>
      </c>
      <c r="C131" s="684">
        <f>IF('Project Data - Step 1'!$D$53="Monopile",'Project Costs - Step 2'!C85,'Project Costs - Step 2'!C70)</f>
        <v>8683647.4697889537</v>
      </c>
      <c r="D131" s="691"/>
      <c r="E131" s="688"/>
      <c r="F131" s="677"/>
      <c r="G131" s="682">
        <f>IF('Project Data - Step 1'!$D$53="Monopile",'Local Share - Step 3'!C75,'Local Share - Step 3'!C60)</f>
        <v>0</v>
      </c>
      <c r="H131" s="696"/>
      <c r="I131" s="669"/>
    </row>
    <row r="132" spans="2:9" x14ac:dyDescent="0.25">
      <c r="B132" s="695" t="s">
        <v>284</v>
      </c>
      <c r="C132" s="684">
        <f>IF('Project Data - Step 1'!$D$53="Monopile",'Project Costs - Step 2'!C86,'Project Costs - Step 2'!C71)</f>
        <v>1746352.5302110452</v>
      </c>
      <c r="D132" s="691"/>
      <c r="E132" s="688"/>
      <c r="F132" s="677"/>
      <c r="G132" s="682">
        <f>IF('Project Data - Step 1'!$D$53="Monopile",'Local Share - Step 3'!C76,'Local Share - Step 3'!C61)</f>
        <v>0</v>
      </c>
      <c r="H132" s="696"/>
      <c r="I132" s="669"/>
    </row>
    <row r="133" spans="2:9" x14ac:dyDescent="0.25">
      <c r="B133" s="687" t="s">
        <v>322</v>
      </c>
      <c r="C133" s="472">
        <f>'Project Costs - Step 2'!C72</f>
        <v>42802500</v>
      </c>
      <c r="D133" s="691"/>
      <c r="E133" s="688"/>
      <c r="F133" s="677"/>
      <c r="G133" s="678"/>
      <c r="H133" s="696"/>
      <c r="I133" s="669"/>
    </row>
    <row r="134" spans="2:9" x14ac:dyDescent="0.25">
      <c r="B134" s="695" t="s">
        <v>321</v>
      </c>
      <c r="C134" s="684">
        <f>'Project Costs - Step 2'!C73</f>
        <v>35635840.922880322</v>
      </c>
      <c r="D134" s="691"/>
      <c r="E134" s="688"/>
      <c r="F134" s="677"/>
      <c r="G134" s="682">
        <f>'Local Share - Step 3'!C63</f>
        <v>0</v>
      </c>
      <c r="H134" s="696"/>
      <c r="I134" s="669"/>
    </row>
    <row r="135" spans="2:9" x14ac:dyDescent="0.25">
      <c r="B135" s="695" t="s">
        <v>284</v>
      </c>
      <c r="C135" s="684">
        <f>'Project Costs - Step 2'!C74</f>
        <v>7166659.0771196801</v>
      </c>
      <c r="D135" s="691"/>
      <c r="E135" s="688"/>
      <c r="F135" s="677"/>
      <c r="G135" s="682">
        <f>'Local Share - Step 3'!C64</f>
        <v>0</v>
      </c>
      <c r="H135" s="696"/>
      <c r="I135" s="669"/>
    </row>
    <row r="136" spans="2:9" x14ac:dyDescent="0.25">
      <c r="B136" s="687" t="s">
        <v>215</v>
      </c>
      <c r="C136" s="472">
        <f>'Project Costs - Step 2'!C75</f>
        <v>14770982.093065798</v>
      </c>
      <c r="D136" s="691"/>
      <c r="E136" s="688"/>
      <c r="F136" s="688"/>
      <c r="G136" s="688"/>
      <c r="H136" s="696"/>
      <c r="I136" s="669"/>
    </row>
    <row r="137" spans="2:9" x14ac:dyDescent="0.25">
      <c r="B137" s="695" t="s">
        <v>321</v>
      </c>
      <c r="C137" s="684">
        <f>'Project Costs - Step 2'!C76</f>
        <v>12297794.945229989</v>
      </c>
      <c r="D137" s="691"/>
      <c r="E137" s="688"/>
      <c r="F137" s="677"/>
      <c r="G137" s="682">
        <f>'Local Share - Step 3'!C66</f>
        <v>0</v>
      </c>
      <c r="H137" s="696"/>
      <c r="I137" s="669"/>
    </row>
    <row r="138" spans="2:9" x14ac:dyDescent="0.25">
      <c r="B138" s="695" t="s">
        <v>284</v>
      </c>
      <c r="C138" s="684">
        <f>'Project Costs - Step 2'!C77</f>
        <v>2473187.1478358097</v>
      </c>
      <c r="D138" s="698"/>
      <c r="E138" s="688"/>
      <c r="F138" s="677"/>
      <c r="G138" s="682">
        <f>'Local Share - Step 3'!C67</f>
        <v>0</v>
      </c>
      <c r="H138" s="696"/>
      <c r="I138" s="669"/>
    </row>
    <row r="139" spans="2:9" x14ac:dyDescent="0.25">
      <c r="B139" s="687" t="s">
        <v>216</v>
      </c>
      <c r="C139" s="472">
        <f>'Project Costs - Step 2'!C78</f>
        <v>2540511.4130434259</v>
      </c>
      <c r="D139" s="698"/>
      <c r="E139" s="688"/>
      <c r="F139" s="688"/>
      <c r="G139" s="688"/>
      <c r="H139" s="696"/>
      <c r="I139" s="669"/>
    </row>
    <row r="140" spans="2:9" x14ac:dyDescent="0.25">
      <c r="B140" s="695" t="s">
        <v>321</v>
      </c>
      <c r="C140" s="684">
        <f>'Project Costs - Step 2'!C79</f>
        <v>2115139.5497453986</v>
      </c>
      <c r="D140" s="691"/>
      <c r="E140" s="688"/>
      <c r="F140" s="677"/>
      <c r="G140" s="682">
        <f>'Local Share - Step 3'!C69</f>
        <v>0</v>
      </c>
      <c r="H140" s="696"/>
      <c r="I140" s="669"/>
    </row>
    <row r="141" spans="2:9" x14ac:dyDescent="0.25">
      <c r="B141" s="695" t="s">
        <v>284</v>
      </c>
      <c r="C141" s="684">
        <f>'Project Costs - Step 2'!C80</f>
        <v>425371.86329802725</v>
      </c>
      <c r="D141" s="698"/>
      <c r="E141" s="688"/>
      <c r="F141" s="677"/>
      <c r="G141" s="682">
        <f>'Local Share - Step 3'!C70</f>
        <v>0</v>
      </c>
      <c r="H141" s="696"/>
      <c r="I141" s="669"/>
    </row>
    <row r="142" spans="2:9" x14ac:dyDescent="0.25">
      <c r="B142" s="687" t="s">
        <v>202</v>
      </c>
      <c r="C142" s="472">
        <f>'Project Costs - Step 2'!C81</f>
        <v>2486485.7440476194</v>
      </c>
      <c r="D142" s="698"/>
      <c r="E142" s="688"/>
      <c r="F142" s="688"/>
      <c r="G142" s="688"/>
      <c r="H142" s="696"/>
      <c r="I142" s="669"/>
    </row>
    <row r="143" spans="2:9" x14ac:dyDescent="0.25">
      <c r="B143" s="695" t="s">
        <v>321</v>
      </c>
      <c r="C143" s="684">
        <f>'Project Costs - Step 2'!C82</f>
        <v>2070159.6970244886</v>
      </c>
      <c r="D143" s="698"/>
      <c r="E143" s="688"/>
      <c r="F143" s="677"/>
      <c r="G143" s="682">
        <f>'Local Share - Step 3'!C72</f>
        <v>0</v>
      </c>
      <c r="H143" s="696"/>
      <c r="I143" s="669"/>
    </row>
    <row r="144" spans="2:9" x14ac:dyDescent="0.25">
      <c r="B144" s="695" t="s">
        <v>284</v>
      </c>
      <c r="C144" s="684">
        <f>'Project Costs - Step 2'!C83</f>
        <v>416326.0470231307</v>
      </c>
      <c r="D144" s="698"/>
      <c r="E144" s="688"/>
      <c r="F144" s="677"/>
      <c r="G144" s="682">
        <f>'Local Share - Step 3'!C73</f>
        <v>0</v>
      </c>
      <c r="H144" s="696"/>
      <c r="I144" s="669"/>
    </row>
    <row r="145" spans="2:9" x14ac:dyDescent="0.25">
      <c r="B145" s="705" t="s">
        <v>323</v>
      </c>
      <c r="C145" s="683">
        <f>C142+C139+C136+C133+C130+C127</f>
        <v>96673034.628951117</v>
      </c>
      <c r="D145" s="706"/>
      <c r="E145" s="706"/>
      <c r="F145" s="706"/>
      <c r="G145" s="706"/>
      <c r="H145" s="707"/>
      <c r="I145" s="669"/>
    </row>
    <row r="146" spans="2:9" x14ac:dyDescent="0.25">
      <c r="B146" s="700" t="s">
        <v>217</v>
      </c>
      <c r="C146" s="701"/>
      <c r="D146" s="702"/>
      <c r="E146" s="703"/>
      <c r="F146" s="660"/>
      <c r="G146" s="661"/>
      <c r="H146" s="704"/>
      <c r="I146" s="669"/>
    </row>
    <row r="147" spans="2:9" x14ac:dyDescent="0.25">
      <c r="B147" s="708" t="s">
        <v>205</v>
      </c>
      <c r="C147" s="472">
        <f>'Project Costs - Step 2'!C88</f>
        <v>8176275.9374590851</v>
      </c>
      <c r="D147" s="698"/>
      <c r="E147" s="688"/>
      <c r="F147" s="677"/>
      <c r="G147" s="682">
        <f>'Local Share - Step 3'!C78</f>
        <v>0</v>
      </c>
      <c r="H147" s="696"/>
      <c r="I147" s="669"/>
    </row>
    <row r="148" spans="2:9" x14ac:dyDescent="0.25">
      <c r="B148" s="708" t="str">
        <f>IF('Project Data - Step 1'!D53&lt;&gt;"Monopile","Mooring System","Scour")</f>
        <v>Scour</v>
      </c>
      <c r="C148" s="472">
        <f>IF('Project Data - Step 1'!D53="Monopile",'Project Costs - Step 2'!C94,'Project Costs - Step 2'!C89)</f>
        <v>5616438.3561643958</v>
      </c>
      <c r="D148" s="698"/>
      <c r="E148" s="688"/>
      <c r="F148" s="677"/>
      <c r="G148" s="682">
        <f>IF('Project Data - Step 1'!D53="Monopile",'Local Share - Step 3'!C84,'Local Share - Step 3'!C79)</f>
        <v>0</v>
      </c>
      <c r="H148" s="696"/>
      <c r="I148" s="669"/>
    </row>
    <row r="149" spans="2:9" x14ac:dyDescent="0.25">
      <c r="B149" s="708" t="s">
        <v>210</v>
      </c>
      <c r="C149" s="472">
        <f>'Project Costs - Step 2'!C90</f>
        <v>15175342.465753362</v>
      </c>
      <c r="D149" s="691"/>
      <c r="E149" s="688"/>
      <c r="F149" s="677"/>
      <c r="G149" s="682">
        <f>'Local Share - Step 3'!C80</f>
        <v>0</v>
      </c>
      <c r="H149" s="696"/>
      <c r="I149" s="669"/>
    </row>
    <row r="150" spans="2:9" x14ac:dyDescent="0.25">
      <c r="B150" s="708" t="s">
        <v>215</v>
      </c>
      <c r="C150" s="472">
        <f>'Project Costs - Step 2'!C91</f>
        <v>7995058.6811319487</v>
      </c>
      <c r="D150" s="698"/>
      <c r="E150" s="688"/>
      <c r="F150" s="677"/>
      <c r="G150" s="682">
        <f>'Local Share - Step 3'!C81</f>
        <v>0</v>
      </c>
      <c r="H150" s="696"/>
      <c r="I150" s="669"/>
    </row>
    <row r="151" spans="2:9" x14ac:dyDescent="0.25">
      <c r="B151" s="708" t="s">
        <v>216</v>
      </c>
      <c r="C151" s="472">
        <f>'Project Costs - Step 2'!C92</f>
        <v>1194800.774270399</v>
      </c>
      <c r="D151" s="698"/>
      <c r="E151" s="688"/>
      <c r="F151" s="677"/>
      <c r="G151" s="682">
        <f>'Local Share - Step 3'!C82</f>
        <v>0</v>
      </c>
      <c r="H151" s="696"/>
      <c r="I151" s="669"/>
    </row>
    <row r="152" spans="2:9" x14ac:dyDescent="0.25">
      <c r="B152" s="708" t="s">
        <v>202</v>
      </c>
      <c r="C152" s="472">
        <f>'Project Costs - Step 2'!C93</f>
        <v>170116.53620352253</v>
      </c>
      <c r="D152" s="698"/>
      <c r="E152" s="688"/>
      <c r="F152" s="677"/>
      <c r="G152" s="682">
        <f>'Local Share - Step 3'!C83</f>
        <v>0</v>
      </c>
      <c r="H152" s="696"/>
      <c r="I152" s="669"/>
    </row>
    <row r="153" spans="2:9" x14ac:dyDescent="0.25">
      <c r="B153" s="708" t="s">
        <v>324</v>
      </c>
      <c r="C153" s="683">
        <f>SUM(C147:C152)</f>
        <v>38328032.750982717</v>
      </c>
      <c r="D153" s="698"/>
      <c r="E153" s="688"/>
      <c r="F153" s="677"/>
      <c r="G153" s="677"/>
      <c r="H153" s="696"/>
      <c r="I153" s="669"/>
    </row>
    <row r="154" spans="2:9" x14ac:dyDescent="0.25">
      <c r="B154" s="700" t="s">
        <v>218</v>
      </c>
      <c r="C154" s="701"/>
      <c r="D154" s="702"/>
      <c r="E154" s="703"/>
      <c r="F154" s="660"/>
      <c r="G154" s="661"/>
      <c r="H154" s="704"/>
      <c r="I154" s="669"/>
    </row>
    <row r="155" spans="2:9" x14ac:dyDescent="0.25">
      <c r="B155" s="681" t="s">
        <v>219</v>
      </c>
      <c r="C155" s="472">
        <f>'Project Costs - Step 2'!C96</f>
        <v>45000000</v>
      </c>
      <c r="D155" s="691"/>
      <c r="E155" s="688"/>
      <c r="F155" s="677"/>
      <c r="G155" s="682">
        <f>'Local Share - Step 3'!C86</f>
        <v>0</v>
      </c>
      <c r="H155" s="696"/>
      <c r="I155" s="669"/>
    </row>
    <row r="156" spans="2:9" x14ac:dyDescent="0.25">
      <c r="B156" s="681" t="s">
        <v>220</v>
      </c>
      <c r="C156" s="472">
        <f>'Project Costs - Step 2'!C97</f>
        <v>0</v>
      </c>
      <c r="D156" s="691"/>
      <c r="E156" s="688"/>
      <c r="F156" s="677"/>
      <c r="G156" s="682">
        <f>'Local Share - Step 3'!C87</f>
        <v>0</v>
      </c>
      <c r="H156" s="696"/>
      <c r="I156" s="669"/>
    </row>
    <row r="157" spans="2:9" x14ac:dyDescent="0.25">
      <c r="B157" s="681" t="s">
        <v>221</v>
      </c>
      <c r="C157" s="472">
        <f>'Project Costs - Step 2'!C98</f>
        <v>1000000</v>
      </c>
      <c r="D157" s="691"/>
      <c r="E157" s="688"/>
      <c r="F157" s="677"/>
      <c r="G157" s="682">
        <f>'Local Share - Step 3'!C88</f>
        <v>0</v>
      </c>
      <c r="H157" s="696"/>
      <c r="I157" s="669"/>
    </row>
    <row r="158" spans="2:9" x14ac:dyDescent="0.25">
      <c r="B158" s="681" t="s">
        <v>222</v>
      </c>
      <c r="C158" s="472">
        <f>'Project Costs - Step 2'!C99</f>
        <v>250000</v>
      </c>
      <c r="D158" s="691"/>
      <c r="E158" s="688"/>
      <c r="F158" s="677"/>
      <c r="G158" s="682">
        <f>'Local Share - Step 3'!C89</f>
        <v>0</v>
      </c>
      <c r="H158" s="696"/>
      <c r="I158" s="669"/>
    </row>
    <row r="159" spans="2:9" x14ac:dyDescent="0.25">
      <c r="B159" s="681" t="s">
        <v>223</v>
      </c>
      <c r="C159" s="472">
        <f>'Project Costs - Step 2'!C100</f>
        <v>500000</v>
      </c>
      <c r="D159" s="691"/>
      <c r="E159" s="688"/>
      <c r="F159" s="677"/>
      <c r="G159" s="682">
        <f>'Local Share - Step 3'!C90</f>
        <v>0</v>
      </c>
      <c r="H159" s="696"/>
      <c r="I159" s="669"/>
    </row>
    <row r="160" spans="2:9" x14ac:dyDescent="0.25">
      <c r="B160" s="681" t="s">
        <v>224</v>
      </c>
      <c r="C160" s="472">
        <f>'Project Costs - Step 2'!C101</f>
        <v>50000000</v>
      </c>
      <c r="D160" s="691"/>
      <c r="E160" s="688"/>
      <c r="F160" s="677"/>
      <c r="G160" s="682">
        <f>'Local Share - Step 3'!C91</f>
        <v>0</v>
      </c>
      <c r="H160" s="696"/>
      <c r="I160" s="669"/>
    </row>
    <row r="161" spans="2:9" x14ac:dyDescent="0.25">
      <c r="B161" s="681" t="s">
        <v>225</v>
      </c>
      <c r="C161" s="472">
        <f>'Project Costs - Step 2'!C102</f>
        <v>160282537.9742884</v>
      </c>
      <c r="D161" s="691"/>
      <c r="E161" s="688"/>
      <c r="F161" s="677"/>
      <c r="G161" s="682">
        <f>'Local Share - Step 3'!C92</f>
        <v>0</v>
      </c>
      <c r="H161" s="696"/>
      <c r="I161" s="669"/>
    </row>
    <row r="162" spans="2:9" x14ac:dyDescent="0.25">
      <c r="B162" s="705" t="s">
        <v>325</v>
      </c>
      <c r="C162" s="683">
        <f>SUM(C155:C161)</f>
        <v>257032537.9742884</v>
      </c>
      <c r="D162" s="688"/>
      <c r="E162" s="688"/>
      <c r="F162" s="677"/>
      <c r="G162" s="677"/>
      <c r="H162" s="696"/>
      <c r="I162" s="669"/>
    </row>
    <row r="163" spans="2:9" x14ac:dyDescent="0.25">
      <c r="B163" s="700" t="s">
        <v>226</v>
      </c>
      <c r="C163" s="709"/>
      <c r="D163" s="703"/>
      <c r="E163" s="703"/>
      <c r="F163" s="660"/>
      <c r="G163" s="660"/>
      <c r="H163" s="704"/>
      <c r="I163" s="669"/>
    </row>
    <row r="164" spans="2:9" x14ac:dyDescent="0.25">
      <c r="B164" s="687" t="s">
        <v>227</v>
      </c>
      <c r="C164" s="472">
        <f>'Project Costs - Step 2'!C104</f>
        <v>63000000</v>
      </c>
      <c r="D164" s="688"/>
      <c r="E164" s="688"/>
      <c r="F164" s="677"/>
      <c r="G164" s="682">
        <f>'Local Share - Step 3'!C94</f>
        <v>0</v>
      </c>
      <c r="H164" s="696"/>
      <c r="I164" s="669"/>
    </row>
    <row r="165" spans="2:9" x14ac:dyDescent="0.25">
      <c r="B165" s="705" t="s">
        <v>326</v>
      </c>
      <c r="C165" s="472">
        <f>C164</f>
        <v>63000000</v>
      </c>
      <c r="D165" s="688"/>
      <c r="E165" s="688"/>
      <c r="F165" s="677"/>
      <c r="G165" s="677"/>
      <c r="H165" s="696"/>
      <c r="I165" s="669"/>
    </row>
    <row r="166" spans="2:9" x14ac:dyDescent="0.25">
      <c r="B166" s="705" t="s">
        <v>327</v>
      </c>
      <c r="C166" s="683">
        <f>C165+C162+C153+C145+C125+C114</f>
        <v>1071046826.3680003</v>
      </c>
      <c r="D166" s="688"/>
      <c r="E166" s="688"/>
      <c r="F166" s="677"/>
      <c r="G166" s="677"/>
      <c r="H166" s="696"/>
      <c r="I166" s="669"/>
    </row>
    <row r="167" spans="2:9" x14ac:dyDescent="0.25">
      <c r="B167" s="710" t="s">
        <v>229</v>
      </c>
      <c r="C167" s="711"/>
      <c r="D167" s="712"/>
      <c r="E167" s="712"/>
      <c r="F167" s="685"/>
      <c r="G167" s="685"/>
      <c r="H167" s="713"/>
      <c r="I167" s="669"/>
    </row>
    <row r="168" spans="2:9" x14ac:dyDescent="0.25">
      <c r="B168" s="714" t="s">
        <v>230</v>
      </c>
      <c r="C168" s="472">
        <f>'Project Costs - Step 2'!C107</f>
        <v>13200000</v>
      </c>
      <c r="D168" s="715"/>
      <c r="E168" s="715"/>
      <c r="F168" s="686"/>
      <c r="G168" s="682">
        <f>'Local Share - Step 3'!C97</f>
        <v>0</v>
      </c>
      <c r="H168" s="716"/>
      <c r="I168" s="669"/>
    </row>
    <row r="169" spans="2:9" x14ac:dyDescent="0.25">
      <c r="B169" s="714" t="s">
        <v>231</v>
      </c>
      <c r="C169" s="472">
        <f>'Project Costs - Step 2'!C108</f>
        <v>54900000</v>
      </c>
      <c r="D169" s="715"/>
      <c r="E169" s="715"/>
      <c r="F169" s="686"/>
      <c r="G169" s="682">
        <f>'Local Share - Step 3'!C98</f>
        <v>0</v>
      </c>
      <c r="H169" s="716"/>
      <c r="I169" s="669"/>
    </row>
    <row r="170" spans="2:9" x14ac:dyDescent="0.25">
      <c r="B170" s="714" t="s">
        <v>232</v>
      </c>
      <c r="C170" s="472">
        <f>'Project Costs - Step 2'!C109</f>
        <v>13200000</v>
      </c>
      <c r="D170" s="715"/>
      <c r="E170" s="715"/>
      <c r="F170" s="686"/>
      <c r="G170" s="682">
        <f>'Local Share - Step 3'!C99</f>
        <v>0</v>
      </c>
      <c r="H170" s="716"/>
      <c r="I170" s="669"/>
    </row>
    <row r="171" spans="2:9" x14ac:dyDescent="0.25">
      <c r="B171" s="714" t="s">
        <v>233</v>
      </c>
      <c r="C171" s="472">
        <f>'Project Costs - Step 2'!C110</f>
        <v>94800000</v>
      </c>
      <c r="D171" s="715"/>
      <c r="E171" s="715"/>
      <c r="F171" s="686"/>
      <c r="G171" s="682">
        <f>'Local Share - Step 3'!C100</f>
        <v>0</v>
      </c>
      <c r="H171" s="716"/>
      <c r="I171" s="669"/>
    </row>
    <row r="172" spans="2:9" x14ac:dyDescent="0.25">
      <c r="B172" s="714" t="s">
        <v>234</v>
      </c>
      <c r="C172" s="472">
        <f>'Project Costs - Step 2'!C111</f>
        <v>17400000</v>
      </c>
      <c r="D172" s="715"/>
      <c r="E172" s="715"/>
      <c r="F172" s="686"/>
      <c r="G172" s="682">
        <f>'Local Share - Step 3'!C101</f>
        <v>0</v>
      </c>
      <c r="H172" s="716"/>
      <c r="I172" s="669"/>
    </row>
    <row r="173" spans="2:9" x14ac:dyDescent="0.25">
      <c r="B173" s="717" t="s">
        <v>328</v>
      </c>
      <c r="C173" s="683">
        <f>SUM(C168:C172)</f>
        <v>193500000</v>
      </c>
      <c r="D173" s="715"/>
      <c r="E173" s="715"/>
      <c r="F173" s="686"/>
      <c r="G173" s="686"/>
      <c r="H173" s="716"/>
      <c r="I173" s="669"/>
    </row>
    <row r="174" spans="2:9" x14ac:dyDescent="0.25">
      <c r="B174" s="718" t="s">
        <v>329</v>
      </c>
      <c r="C174" s="472">
        <f>'Project Costs - Step 2'!C112</f>
        <v>0</v>
      </c>
      <c r="D174" s="719"/>
      <c r="E174" s="719"/>
      <c r="F174" s="662"/>
      <c r="G174" s="682">
        <f>'Local Share - Step 3'!C102</f>
        <v>0</v>
      </c>
      <c r="H174" s="720"/>
      <c r="I174" s="669"/>
    </row>
    <row r="175" spans="2:9" x14ac:dyDescent="0.25">
      <c r="B175" s="721" t="s">
        <v>330</v>
      </c>
      <c r="C175" s="683">
        <f>C173+C166+C104+C174</f>
        <v>2435446826.368</v>
      </c>
      <c r="D175" s="722"/>
      <c r="E175" s="723"/>
      <c r="F175" s="663"/>
      <c r="G175" s="724"/>
      <c r="H175" s="725"/>
      <c r="I175" s="669"/>
    </row>
    <row r="176" spans="2:9" x14ac:dyDescent="0.25">
      <c r="B176" s="721" t="s">
        <v>331</v>
      </c>
      <c r="C176" s="472">
        <f>'Project Costs - Step 2'!L56*('Model Scenario - Step 4'!C104+'Model Scenario - Step 4'!C109+'Model Scenario - Step 4'!C112+'Model Scenario - Step 4'!C117+'Model Scenario - Step 4'!C120+'Model Scenario - Step 4'!C123)</f>
        <v>16987119.705735438</v>
      </c>
      <c r="D176" s="618"/>
      <c r="E176" s="723"/>
      <c r="F176" s="663"/>
      <c r="G176" s="682">
        <v>0</v>
      </c>
      <c r="H176" s="725"/>
      <c r="I176" s="669"/>
    </row>
    <row r="177" spans="2:9" x14ac:dyDescent="0.25">
      <c r="B177" s="726" t="s">
        <v>332</v>
      </c>
      <c r="C177" s="683">
        <f>C175+C176</f>
        <v>2452433946.0737352</v>
      </c>
      <c r="D177" s="727"/>
      <c r="E177" s="728"/>
      <c r="F177" s="664"/>
      <c r="G177" s="729"/>
      <c r="H177" s="730"/>
      <c r="I177" s="669"/>
    </row>
    <row r="178" spans="2:9" x14ac:dyDescent="0.25">
      <c r="B178" s="731" t="s">
        <v>333</v>
      </c>
      <c r="C178" s="683">
        <f>(C177/'Project Data - Step 1'!D24)/1000</f>
        <v>2724.9266067485951</v>
      </c>
      <c r="D178" s="732"/>
      <c r="E178" s="733"/>
      <c r="F178" s="734"/>
      <c r="G178" s="734"/>
      <c r="H178" s="735"/>
      <c r="I178" s="669"/>
    </row>
    <row r="179" spans="2:9" x14ac:dyDescent="0.25">
      <c r="B179" s="665"/>
      <c r="C179" s="666"/>
      <c r="D179" s="666"/>
      <c r="E179" s="667"/>
      <c r="F179" s="668"/>
      <c r="G179" s="668"/>
      <c r="H179" s="675"/>
      <c r="I179" s="669"/>
    </row>
    <row r="180" spans="2:9" x14ac:dyDescent="0.25">
      <c r="B180" s="665"/>
      <c r="C180" s="666"/>
      <c r="D180" s="666"/>
      <c r="E180" s="667"/>
      <c r="F180" s="668"/>
      <c r="G180" s="668"/>
      <c r="H180" s="675"/>
      <c r="I180" s="669"/>
    </row>
    <row r="181" spans="2:9" ht="18" x14ac:dyDescent="0.25">
      <c r="B181" s="884" t="s">
        <v>334</v>
      </c>
      <c r="C181" s="887"/>
      <c r="D181" s="887"/>
      <c r="E181" s="887"/>
      <c r="F181" s="887"/>
      <c r="G181" s="887"/>
      <c r="H181" s="888"/>
      <c r="I181" s="669"/>
    </row>
    <row r="182" spans="2:9" x14ac:dyDescent="0.25">
      <c r="B182" s="46" t="s">
        <v>9</v>
      </c>
      <c r="C182" s="47" t="s">
        <v>335</v>
      </c>
      <c r="D182" s="47"/>
      <c r="E182" s="47"/>
      <c r="F182" s="47"/>
      <c r="G182" s="48" t="s">
        <v>265</v>
      </c>
      <c r="H182" s="754"/>
      <c r="I182" s="669"/>
    </row>
    <row r="183" spans="2:9" ht="15.75" x14ac:dyDescent="0.25">
      <c r="B183" s="32" t="s">
        <v>147</v>
      </c>
      <c r="C183" s="755"/>
      <c r="D183" s="751"/>
      <c r="E183" s="751"/>
      <c r="F183" s="751"/>
      <c r="G183" s="751"/>
      <c r="H183" s="752"/>
      <c r="I183" s="669"/>
    </row>
    <row r="184" spans="2:9" x14ac:dyDescent="0.25">
      <c r="B184" s="741" t="s">
        <v>149</v>
      </c>
      <c r="C184" s="742"/>
      <c r="D184" s="742"/>
      <c r="E184" s="743"/>
      <c r="F184" s="744"/>
      <c r="G184" s="744"/>
      <c r="H184" s="745"/>
      <c r="I184" s="669"/>
    </row>
    <row r="185" spans="2:9" x14ac:dyDescent="0.25">
      <c r="B185" s="307" t="s">
        <v>151</v>
      </c>
      <c r="C185" s="472">
        <f>'Project Costs - Step 2'!K30</f>
        <v>7212704.4000000004</v>
      </c>
      <c r="D185" s="742"/>
      <c r="E185" s="743"/>
      <c r="F185" s="744"/>
      <c r="G185" s="682">
        <f>'Local Share - Step 3'!C109</f>
        <v>0</v>
      </c>
      <c r="H185" s="745"/>
      <c r="I185" s="669"/>
    </row>
    <row r="186" spans="2:9" x14ac:dyDescent="0.25">
      <c r="B186" s="307" t="s">
        <v>153</v>
      </c>
      <c r="C186" s="472">
        <f>'Project Costs - Step 2'!K31</f>
        <v>21419546.400000002</v>
      </c>
      <c r="D186" s="742"/>
      <c r="E186" s="743"/>
      <c r="F186" s="744"/>
      <c r="G186" s="682">
        <f>'Local Share - Step 3'!C110</f>
        <v>0</v>
      </c>
      <c r="H186" s="745"/>
      <c r="I186" s="669"/>
    </row>
    <row r="187" spans="2:9" x14ac:dyDescent="0.25">
      <c r="B187" s="813" t="s">
        <v>154</v>
      </c>
      <c r="C187" s="472">
        <f>'Project Costs - Step 2'!K32</f>
        <v>44587627.200000003</v>
      </c>
      <c r="D187" s="742"/>
      <c r="E187" s="743"/>
      <c r="F187" s="744"/>
      <c r="G187" s="682">
        <f>'Local Share - Step 3'!C111</f>
        <v>0</v>
      </c>
      <c r="H187" s="745"/>
      <c r="I187" s="669"/>
    </row>
    <row r="188" spans="2:9" x14ac:dyDescent="0.25">
      <c r="B188" s="741" t="s">
        <v>155</v>
      </c>
      <c r="C188" s="472">
        <f>'Project Costs - Step 2'!K33</f>
        <v>546417</v>
      </c>
      <c r="D188" s="743"/>
      <c r="E188" s="743"/>
      <c r="F188" s="744"/>
      <c r="G188" s="682">
        <f>'Local Share - Step 3'!C112</f>
        <v>0</v>
      </c>
      <c r="H188" s="745"/>
      <c r="I188" s="669"/>
    </row>
    <row r="189" spans="2:9" x14ac:dyDescent="0.25">
      <c r="B189" s="746" t="s">
        <v>336</v>
      </c>
      <c r="C189" s="683">
        <f>SUM(C185:C188)</f>
        <v>73766295</v>
      </c>
      <c r="D189" s="743"/>
      <c r="E189" s="743"/>
      <c r="F189" s="743"/>
      <c r="G189" s="743"/>
      <c r="H189" s="745"/>
      <c r="I189" s="669"/>
    </row>
    <row r="190" spans="2:9" ht="15.75" x14ac:dyDescent="0.25">
      <c r="B190" s="32" t="s">
        <v>157</v>
      </c>
      <c r="C190" s="751"/>
      <c r="D190" s="751"/>
      <c r="E190" s="751"/>
      <c r="F190" s="751"/>
      <c r="G190" s="751"/>
      <c r="H190" s="752"/>
      <c r="I190" s="669"/>
    </row>
    <row r="191" spans="2:9" x14ac:dyDescent="0.25">
      <c r="B191" s="747" t="s">
        <v>158</v>
      </c>
      <c r="C191" s="472">
        <f>'Project Costs - Step 2'!K35</f>
        <v>3059935.2</v>
      </c>
      <c r="D191" s="743"/>
      <c r="E191" s="743"/>
      <c r="F191" s="744"/>
      <c r="G191" s="682">
        <f>'Local Share - Step 3'!C114</f>
        <v>0</v>
      </c>
      <c r="H191" s="745"/>
      <c r="I191" s="669"/>
    </row>
    <row r="192" spans="2:9" x14ac:dyDescent="0.25">
      <c r="B192" s="748" t="s">
        <v>159</v>
      </c>
      <c r="C192" s="472">
        <f>'Project Costs - Step 2'!K36</f>
        <v>1420684.2</v>
      </c>
      <c r="D192" s="743"/>
      <c r="E192" s="743"/>
      <c r="F192" s="744"/>
      <c r="G192" s="682">
        <f>'Local Share - Step 3'!C115</f>
        <v>0</v>
      </c>
      <c r="H192" s="745"/>
      <c r="I192" s="669"/>
    </row>
    <row r="193" spans="2:9" x14ac:dyDescent="0.25">
      <c r="B193" s="747"/>
      <c r="C193" s="749"/>
      <c r="D193" s="743"/>
      <c r="E193" s="743"/>
      <c r="F193" s="744"/>
      <c r="G193" s="744"/>
      <c r="H193" s="745"/>
      <c r="I193" s="669"/>
    </row>
    <row r="194" spans="2:9" x14ac:dyDescent="0.25">
      <c r="B194" s="748" t="s">
        <v>160</v>
      </c>
      <c r="C194" s="472">
        <f>'Project Costs - Step 2'!K37</f>
        <v>546417</v>
      </c>
      <c r="D194" s="743"/>
      <c r="E194" s="743"/>
      <c r="F194" s="744"/>
      <c r="G194" s="682">
        <f>'Local Share - Step 3'!C116</f>
        <v>0</v>
      </c>
      <c r="H194" s="745"/>
      <c r="I194" s="669"/>
    </row>
    <row r="195" spans="2:9" x14ac:dyDescent="0.25">
      <c r="B195" s="748" t="s">
        <v>162</v>
      </c>
      <c r="C195" s="472">
        <f>'Project Costs - Step 2'!K38</f>
        <v>22949514</v>
      </c>
      <c r="D195" s="743"/>
      <c r="E195" s="743"/>
      <c r="F195" s="744"/>
      <c r="G195" s="682">
        <f>'Local Share - Step 3'!C117</f>
        <v>0</v>
      </c>
      <c r="H195" s="745"/>
      <c r="I195" s="669"/>
    </row>
    <row r="196" spans="2:9" x14ac:dyDescent="0.25">
      <c r="B196" s="747" t="s">
        <v>241</v>
      </c>
      <c r="C196" s="472">
        <f>'Project Costs - Step 2'!K39</f>
        <v>5245603.2</v>
      </c>
      <c r="D196" s="743"/>
      <c r="E196" s="743"/>
      <c r="F196" s="744"/>
      <c r="G196" s="682">
        <f>'Local Share - Step 3'!C118</f>
        <v>0</v>
      </c>
      <c r="H196" s="745"/>
      <c r="I196" s="669"/>
    </row>
    <row r="197" spans="2:9" x14ac:dyDescent="0.25">
      <c r="B197" s="746" t="s">
        <v>337</v>
      </c>
      <c r="C197" s="683">
        <f>SUM(C191:C196)</f>
        <v>33222153.599999998</v>
      </c>
      <c r="D197" s="743"/>
      <c r="E197" s="743"/>
      <c r="F197" s="744"/>
      <c r="G197" s="744"/>
      <c r="H197" s="750"/>
      <c r="I197" s="669"/>
    </row>
    <row r="198" spans="2:9" x14ac:dyDescent="0.25">
      <c r="B198" s="746" t="s">
        <v>338</v>
      </c>
      <c r="C198" s="683">
        <f>'Project Costs - Step 2'!L57*('Model Scenario - Step 4'!C186)</f>
        <v>214195.46400000004</v>
      </c>
      <c r="D198" s="743"/>
      <c r="E198" s="743"/>
      <c r="F198" s="744"/>
      <c r="G198" s="682">
        <v>0</v>
      </c>
      <c r="H198" s="750"/>
      <c r="I198" s="669"/>
    </row>
    <row r="199" spans="2:9" ht="15.75" x14ac:dyDescent="0.25">
      <c r="B199" s="762" t="s">
        <v>339</v>
      </c>
      <c r="C199" s="753">
        <f>C198+C197+C189</f>
        <v>107202644.064</v>
      </c>
      <c r="D199" s="760"/>
      <c r="E199" s="756"/>
      <c r="F199" s="756"/>
      <c r="G199" s="756"/>
      <c r="H199" s="757"/>
      <c r="I199" s="669"/>
    </row>
    <row r="200" spans="2:9" ht="15.75" x14ac:dyDescent="0.25">
      <c r="B200" s="763" t="s">
        <v>340</v>
      </c>
      <c r="C200" s="753">
        <f>(C199/'Project Data - Step 1'!D24)/1000</f>
        <v>119.11404896000001</v>
      </c>
      <c r="D200" s="761"/>
      <c r="E200" s="758"/>
      <c r="F200" s="758"/>
      <c r="G200" s="758"/>
      <c r="H200" s="759"/>
      <c r="I200" s="669"/>
    </row>
    <row r="201" spans="2:9" x14ac:dyDescent="0.25">
      <c r="B201" s="675"/>
      <c r="C201" s="676"/>
      <c r="D201" s="675"/>
      <c r="E201" s="675"/>
      <c r="F201" s="675"/>
      <c r="G201" s="668"/>
      <c r="H201" s="675"/>
      <c r="I201" s="669"/>
    </row>
    <row r="202" spans="2:9" ht="18" x14ac:dyDescent="0.25">
      <c r="B202" s="884" t="s">
        <v>167</v>
      </c>
      <c r="C202" s="887"/>
      <c r="D202" s="887"/>
      <c r="E202" s="887"/>
      <c r="F202" s="887"/>
      <c r="G202" s="887"/>
      <c r="H202" s="888"/>
      <c r="I202" s="669"/>
    </row>
    <row r="203" spans="2:9" x14ac:dyDescent="0.25">
      <c r="B203" s="46"/>
      <c r="C203" s="47"/>
      <c r="D203" s="47" t="s">
        <v>341</v>
      </c>
      <c r="E203" s="47"/>
      <c r="F203" s="47"/>
      <c r="G203" s="47"/>
      <c r="H203" s="48"/>
      <c r="I203" s="669"/>
    </row>
    <row r="204" spans="2:9" ht="15.75" x14ac:dyDescent="0.25">
      <c r="B204" s="39" t="s">
        <v>170</v>
      </c>
      <c r="C204" s="317"/>
      <c r="D204" s="317"/>
      <c r="E204" s="317"/>
      <c r="F204" s="317"/>
      <c r="G204" s="317"/>
      <c r="H204" s="769"/>
      <c r="I204" s="669"/>
    </row>
    <row r="205" spans="2:9" x14ac:dyDescent="0.25">
      <c r="B205" s="78" t="s">
        <v>172</v>
      </c>
      <c r="C205" s="79"/>
      <c r="D205" s="766">
        <f>'Project Costs - Step 2'!L45</f>
        <v>0.7</v>
      </c>
      <c r="E205" s="79"/>
      <c r="F205" s="770"/>
      <c r="G205" s="682">
        <f>'Local Share - Step 3'!C123</f>
        <v>0</v>
      </c>
      <c r="H205" s="772"/>
      <c r="I205" s="669"/>
    </row>
    <row r="206" spans="2:9" x14ac:dyDescent="0.25">
      <c r="B206" s="78" t="s">
        <v>174</v>
      </c>
      <c r="C206" s="79"/>
      <c r="D206" s="767">
        <f>'Project Costs - Step 2'!L46</f>
        <v>0.05</v>
      </c>
      <c r="E206" s="79"/>
      <c r="F206" s="770"/>
      <c r="G206" s="771"/>
      <c r="H206" s="772"/>
      <c r="I206" s="669"/>
    </row>
    <row r="207" spans="2:9" x14ac:dyDescent="0.25">
      <c r="B207" s="78" t="s">
        <v>176</v>
      </c>
      <c r="C207" s="79"/>
      <c r="D207" s="768">
        <f>'Project Costs - Step 2'!L47</f>
        <v>15</v>
      </c>
      <c r="E207" s="79"/>
      <c r="F207" s="770"/>
      <c r="G207" s="771"/>
      <c r="H207" s="772"/>
      <c r="I207" s="669"/>
    </row>
    <row r="208" spans="2:9" x14ac:dyDescent="0.25">
      <c r="B208" s="78" t="s">
        <v>179</v>
      </c>
      <c r="C208" s="79"/>
      <c r="D208" s="767">
        <f>'Project Costs - Step 2'!L48</f>
        <v>0.03</v>
      </c>
      <c r="E208" s="79"/>
      <c r="F208" s="79"/>
      <c r="G208" s="682">
        <f>'Local Share - Step 3'!C124</f>
        <v>0</v>
      </c>
      <c r="H208" s="772"/>
      <c r="I208" s="669"/>
    </row>
    <row r="209" spans="2:9" ht="15.75" x14ac:dyDescent="0.25">
      <c r="B209" s="39" t="s">
        <v>181</v>
      </c>
      <c r="C209" s="317"/>
      <c r="D209" s="317"/>
      <c r="E209" s="317"/>
      <c r="F209" s="317"/>
      <c r="G209" s="317"/>
      <c r="H209" s="769"/>
      <c r="I209" s="669"/>
    </row>
    <row r="210" spans="2:9" x14ac:dyDescent="0.25">
      <c r="B210" s="78" t="s">
        <v>183</v>
      </c>
      <c r="C210" s="79"/>
      <c r="D210" s="766">
        <f>'Project Costs - Step 2'!L50</f>
        <v>0.3</v>
      </c>
      <c r="E210" s="79"/>
      <c r="F210" s="770"/>
      <c r="G210" s="771"/>
      <c r="H210" s="772"/>
      <c r="I210" s="669"/>
    </row>
    <row r="211" spans="2:9" x14ac:dyDescent="0.25">
      <c r="B211" s="78" t="s">
        <v>185</v>
      </c>
      <c r="C211" s="79"/>
      <c r="D211" s="767">
        <f>'Project Costs - Step 2'!L51</f>
        <v>0.1</v>
      </c>
      <c r="E211" s="79"/>
      <c r="F211" s="79"/>
      <c r="G211" s="771"/>
      <c r="H211" s="772"/>
      <c r="I211" s="669"/>
    </row>
    <row r="212" spans="2:9" x14ac:dyDescent="0.25">
      <c r="B212" s="78" t="s">
        <v>187</v>
      </c>
      <c r="C212" s="79"/>
      <c r="D212" s="768">
        <f>'Project Costs - Step 2'!L52</f>
        <v>5</v>
      </c>
      <c r="E212" s="79"/>
      <c r="F212" s="770"/>
      <c r="G212" s="771"/>
      <c r="H212" s="772"/>
      <c r="I212" s="669"/>
    </row>
    <row r="213" spans="2:9" x14ac:dyDescent="0.25">
      <c r="B213" s="78" t="s">
        <v>189</v>
      </c>
      <c r="C213" s="79"/>
      <c r="D213" s="766">
        <f>'Project Costs - Step 2'!L53</f>
        <v>0.5</v>
      </c>
      <c r="E213" s="79"/>
      <c r="F213" s="770"/>
      <c r="G213" s="682">
        <f>'Local Share - Step 3'!C126</f>
        <v>0</v>
      </c>
      <c r="H213" s="772"/>
      <c r="I213" s="669"/>
    </row>
    <row r="214" spans="2:9" x14ac:dyDescent="0.25">
      <c r="B214" s="78" t="s">
        <v>191</v>
      </c>
      <c r="C214" s="79"/>
      <c r="D214" s="766">
        <f>'Project Costs - Step 2'!L54</f>
        <v>0.5</v>
      </c>
      <c r="E214" s="79"/>
      <c r="F214" s="770"/>
      <c r="G214" s="764">
        <f>'Local Share - Step 3'!C127</f>
        <v>0</v>
      </c>
      <c r="H214" s="772"/>
      <c r="I214" s="669"/>
    </row>
    <row r="215" spans="2:9" ht="15.75" x14ac:dyDescent="0.25">
      <c r="B215" s="39" t="s">
        <v>342</v>
      </c>
      <c r="C215" s="317"/>
      <c r="D215" s="317"/>
      <c r="E215" s="317"/>
      <c r="F215" s="317"/>
      <c r="G215" s="317"/>
      <c r="H215" s="769"/>
      <c r="I215" s="669"/>
    </row>
    <row r="216" spans="2:9" x14ac:dyDescent="0.25">
      <c r="B216" s="78" t="s">
        <v>195</v>
      </c>
      <c r="C216" s="79"/>
      <c r="D216" s="767">
        <f>'Project Costs - Step 2'!L56</f>
        <v>0.01</v>
      </c>
      <c r="E216" s="79"/>
      <c r="F216" s="79"/>
      <c r="G216" s="764">
        <f>'Local Share - Step 3'!C129</f>
        <v>0</v>
      </c>
      <c r="H216" s="772"/>
      <c r="I216" s="669"/>
    </row>
    <row r="217" spans="2:9" x14ac:dyDescent="0.25">
      <c r="B217" s="78" t="s">
        <v>197</v>
      </c>
      <c r="C217" s="79"/>
      <c r="D217" s="767">
        <f>'Project Costs - Step 2'!L57</f>
        <v>0.01</v>
      </c>
      <c r="E217" s="774"/>
      <c r="F217" s="774"/>
      <c r="G217" s="764">
        <f>'Local Share - Step 3'!C130</f>
        <v>0</v>
      </c>
      <c r="H217" s="775"/>
      <c r="I217" s="669"/>
    </row>
    <row r="218" spans="2:9" x14ac:dyDescent="0.25">
      <c r="B218" s="78" t="s">
        <v>343</v>
      </c>
      <c r="C218" s="79"/>
      <c r="D218" s="773"/>
      <c r="E218" s="79"/>
      <c r="F218" s="79"/>
      <c r="G218" s="771"/>
      <c r="H218" s="772"/>
      <c r="I218" s="669"/>
    </row>
    <row r="219" spans="2:9" x14ac:dyDescent="0.25">
      <c r="B219" s="78"/>
      <c r="C219" s="79"/>
      <c r="D219" s="773"/>
      <c r="E219" s="776"/>
      <c r="F219" s="777"/>
      <c r="G219" s="771"/>
      <c r="H219" s="772"/>
      <c r="I219" s="669"/>
    </row>
    <row r="220" spans="2:9" x14ac:dyDescent="0.25">
      <c r="B220" s="84" t="s">
        <v>200</v>
      </c>
      <c r="C220" s="467"/>
      <c r="D220" s="765">
        <f>'Project Costs - Step 2'!L59</f>
        <v>20</v>
      </c>
      <c r="E220" s="778"/>
      <c r="F220" s="779"/>
      <c r="G220" s="780"/>
      <c r="H220" s="453"/>
      <c r="I220" s="669"/>
    </row>
    <row r="221" spans="2:9" x14ac:dyDescent="0.25">
      <c r="B221" s="669"/>
      <c r="C221" s="669"/>
      <c r="D221" s="669"/>
      <c r="E221" s="669"/>
      <c r="F221" s="669"/>
      <c r="G221" s="669"/>
      <c r="H221" s="669"/>
      <c r="I221" s="669"/>
    </row>
    <row r="222" spans="2:9" x14ac:dyDescent="0.25">
      <c r="B222" s="669"/>
      <c r="C222" s="669"/>
      <c r="D222" s="669"/>
      <c r="E222" s="669"/>
      <c r="F222" s="669"/>
      <c r="G222" s="669"/>
      <c r="H222" s="669"/>
      <c r="I222" s="669"/>
    </row>
    <row r="223" spans="2:9" ht="15.75" x14ac:dyDescent="0.25">
      <c r="B223" s="791" t="s">
        <v>344</v>
      </c>
      <c r="C223" s="792" t="s">
        <v>345</v>
      </c>
      <c r="D223" s="792"/>
      <c r="E223" s="792"/>
      <c r="F223" s="792"/>
      <c r="G223" s="792"/>
      <c r="H223" s="793"/>
      <c r="I223" s="669"/>
    </row>
    <row r="224" spans="2:9" x14ac:dyDescent="0.25">
      <c r="B224" s="781" t="s">
        <v>346</v>
      </c>
      <c r="C224" s="782" t="s">
        <v>347</v>
      </c>
      <c r="D224" s="783"/>
      <c r="E224" s="783"/>
      <c r="F224" s="784"/>
      <c r="G224" s="785"/>
      <c r="H224" s="786"/>
      <c r="I224" s="669"/>
    </row>
    <row r="225" spans="2:9" x14ac:dyDescent="0.25">
      <c r="B225" s="515" t="s">
        <v>205</v>
      </c>
      <c r="C225" s="472">
        <f>'Project Costs - Step 2'!K64</f>
        <v>99000</v>
      </c>
      <c r="D225" s="787"/>
      <c r="E225" s="787"/>
      <c r="F225" s="787"/>
      <c r="G225" s="787"/>
      <c r="H225" s="786"/>
      <c r="I225" s="669"/>
    </row>
    <row r="226" spans="2:9" x14ac:dyDescent="0.25">
      <c r="B226" s="515" t="s">
        <v>207</v>
      </c>
      <c r="C226" s="472">
        <f>'Project Costs - Step 2'!K65</f>
        <v>99000</v>
      </c>
      <c r="D226" s="787"/>
      <c r="E226" s="787"/>
      <c r="F226" s="787"/>
      <c r="G226" s="787"/>
      <c r="H226" s="786"/>
      <c r="I226" s="669"/>
    </row>
    <row r="227" spans="2:9" x14ac:dyDescent="0.25">
      <c r="B227" s="515" t="s">
        <v>208</v>
      </c>
      <c r="C227" s="472">
        <f>'Project Costs - Step 2'!K66</f>
        <v>60000</v>
      </c>
      <c r="D227" s="787"/>
      <c r="E227" s="787"/>
      <c r="F227" s="787"/>
      <c r="G227" s="787"/>
      <c r="H227" s="786"/>
      <c r="I227" s="669"/>
    </row>
    <row r="228" spans="2:9" x14ac:dyDescent="0.25">
      <c r="B228" s="515" t="s">
        <v>322</v>
      </c>
      <c r="C228" s="472">
        <f>'Project Costs - Step 2'!K67</f>
        <v>64000</v>
      </c>
      <c r="D228" s="787"/>
      <c r="E228" s="787"/>
      <c r="F228" s="787"/>
      <c r="G228" s="787"/>
      <c r="H228" s="786"/>
      <c r="I228" s="669"/>
    </row>
    <row r="229" spans="2:9" x14ac:dyDescent="0.25">
      <c r="B229" s="515" t="s">
        <v>211</v>
      </c>
      <c r="C229" s="472">
        <f>'Project Costs - Step 2'!K68</f>
        <v>99000</v>
      </c>
      <c r="D229" s="787"/>
      <c r="E229" s="787"/>
      <c r="F229" s="787"/>
      <c r="G229" s="787"/>
      <c r="H229" s="786"/>
      <c r="I229" s="669"/>
    </row>
    <row r="230" spans="2:9" x14ac:dyDescent="0.25">
      <c r="B230" s="515" t="s">
        <v>348</v>
      </c>
      <c r="C230" s="472">
        <f>'Project Costs - Step 2'!K69</f>
        <v>99000</v>
      </c>
      <c r="D230" s="787"/>
      <c r="E230" s="787"/>
      <c r="F230" s="787"/>
      <c r="G230" s="787"/>
      <c r="H230" s="786"/>
      <c r="I230" s="669"/>
    </row>
    <row r="231" spans="2:9" x14ac:dyDescent="0.25">
      <c r="B231" s="515"/>
      <c r="C231" s="787"/>
      <c r="D231" s="787"/>
      <c r="E231" s="787"/>
      <c r="F231" s="787"/>
      <c r="G231" s="787"/>
      <c r="H231" s="786"/>
      <c r="I231" s="669"/>
    </row>
    <row r="232" spans="2:9" x14ac:dyDescent="0.25">
      <c r="B232" s="788" t="s">
        <v>349</v>
      </c>
      <c r="C232" s="787"/>
      <c r="D232" s="787"/>
      <c r="E232" s="787"/>
      <c r="F232" s="787"/>
      <c r="G232" s="787"/>
      <c r="H232" s="786"/>
      <c r="I232" s="669"/>
    </row>
    <row r="233" spans="2:9" x14ac:dyDescent="0.25">
      <c r="B233" s="515" t="s">
        <v>213</v>
      </c>
      <c r="C233" s="472">
        <f>'Project Costs - Step 2'!K71</f>
        <v>100000</v>
      </c>
      <c r="D233" s="787"/>
      <c r="E233" s="787"/>
      <c r="F233" s="787"/>
      <c r="G233" s="787"/>
      <c r="H233" s="786"/>
      <c r="I233" s="669"/>
    </row>
    <row r="234" spans="2:9" x14ac:dyDescent="0.25">
      <c r="B234" s="517" t="s">
        <v>214</v>
      </c>
      <c r="C234" s="472">
        <f>'Project Costs - Step 2'!K72</f>
        <v>75000</v>
      </c>
      <c r="D234" s="789"/>
      <c r="E234" s="789"/>
      <c r="F234" s="789"/>
      <c r="G234" s="789"/>
      <c r="H234" s="790"/>
      <c r="I234" s="669"/>
    </row>
    <row r="235" spans="2:9" x14ac:dyDescent="0.25">
      <c r="B235" s="675"/>
      <c r="C235" s="675"/>
      <c r="D235" s="675"/>
      <c r="E235" s="675"/>
      <c r="F235" s="675"/>
      <c r="G235" s="675"/>
      <c r="H235" s="675"/>
      <c r="I235" s="669"/>
    </row>
    <row r="236" spans="2:9" x14ac:dyDescent="0.25">
      <c r="B236" s="675"/>
      <c r="C236" s="675"/>
      <c r="D236" s="675"/>
      <c r="E236" s="675"/>
      <c r="F236" s="675"/>
      <c r="G236" s="675"/>
      <c r="H236" s="675"/>
      <c r="I236" s="669"/>
    </row>
    <row r="237" spans="2:9" x14ac:dyDescent="0.25">
      <c r="B237" s="669"/>
      <c r="C237" s="669"/>
      <c r="D237" s="669"/>
      <c r="E237" s="669"/>
      <c r="F237" s="669"/>
      <c r="G237" s="669"/>
      <c r="H237" s="669"/>
      <c r="I237" s="669"/>
    </row>
    <row r="238" spans="2:9" x14ac:dyDescent="0.25">
      <c r="B238" s="669"/>
      <c r="C238" s="669"/>
      <c r="D238" s="669"/>
      <c r="E238" s="669"/>
      <c r="F238" s="669"/>
      <c r="G238" s="669"/>
      <c r="H238" s="669"/>
      <c r="I238" s="669"/>
    </row>
    <row r="239" spans="2:9" x14ac:dyDescent="0.25">
      <c r="B239" s="669"/>
      <c r="C239" s="669"/>
      <c r="D239" s="669"/>
      <c r="E239" s="669"/>
      <c r="F239" s="669"/>
      <c r="G239" s="669"/>
      <c r="H239" s="669"/>
      <c r="I239" s="669"/>
    </row>
  </sheetData>
  <mergeCells count="4">
    <mergeCell ref="B8:H9"/>
    <mergeCell ref="B38:H38"/>
    <mergeCell ref="B181:H181"/>
    <mergeCell ref="B202:H202"/>
  </mergeCells>
  <conditionalFormatting sqref="B112:B114 D175 D140 C146:D146 D149 D177 G104 G109:G110 G123:G126 C126:D126 G146 C154:D154 G154 D109:D114 G175 D116 D127:D137 D155:D161">
    <cfRule type="expression" dxfId="100" priority="160">
      <formula>#REF!="Simple"</formula>
    </cfRule>
  </conditionalFormatting>
  <conditionalFormatting sqref="G43">
    <cfRule type="expression" dxfId="99" priority="144">
      <formula>$E$42="No"</formula>
    </cfRule>
  </conditionalFormatting>
  <conditionalFormatting sqref="G63">
    <cfRule type="expression" dxfId="98" priority="143">
      <formula>$E$62="No"</formula>
    </cfRule>
  </conditionalFormatting>
  <conditionalFormatting sqref="C42">
    <cfRule type="cellIs" dxfId="97" priority="123" operator="equal">
      <formula>0</formula>
    </cfRule>
  </conditionalFormatting>
  <conditionalFormatting sqref="G42">
    <cfRule type="cellIs" dxfId="96" priority="122" operator="lessThan">
      <formula>0</formula>
    </cfRule>
  </conditionalFormatting>
  <conditionalFormatting sqref="C185:C188">
    <cfRule type="cellIs" dxfId="95" priority="68" operator="equal">
      <formula>0</formula>
    </cfRule>
  </conditionalFormatting>
  <conditionalFormatting sqref="C189">
    <cfRule type="cellIs" dxfId="94" priority="66" operator="equal">
      <formula>0</formula>
    </cfRule>
  </conditionalFormatting>
  <conditionalFormatting sqref="C177">
    <cfRule type="cellIs" dxfId="93" priority="72" operator="equal">
      <formula>0</formula>
    </cfRule>
  </conditionalFormatting>
  <conditionalFormatting sqref="C176">
    <cfRule type="cellIs" dxfId="92" priority="70" operator="equal">
      <formula>0</formula>
    </cfRule>
  </conditionalFormatting>
  <conditionalFormatting sqref="C178">
    <cfRule type="cellIs" dxfId="91" priority="56" operator="equal">
      <formula>0</formula>
    </cfRule>
  </conditionalFormatting>
  <conditionalFormatting sqref="C197:C200">
    <cfRule type="cellIs" dxfId="90" priority="65" operator="equal">
      <formula>0</formula>
    </cfRule>
  </conditionalFormatting>
  <conditionalFormatting sqref="C225:C230">
    <cfRule type="cellIs" dxfId="89" priority="58" operator="equal">
      <formula>0</formula>
    </cfRule>
  </conditionalFormatting>
  <conditionalFormatting sqref="C58:C59">
    <cfRule type="cellIs" dxfId="88" priority="111" operator="equal">
      <formula>0</formula>
    </cfRule>
  </conditionalFormatting>
  <conditionalFormatting sqref="C62">
    <cfRule type="cellIs" dxfId="87" priority="110" operator="equal">
      <formula>0</formula>
    </cfRule>
  </conditionalFormatting>
  <conditionalFormatting sqref="C84:C85">
    <cfRule type="cellIs" dxfId="86" priority="105" operator="equal">
      <formula>0</formula>
    </cfRule>
  </conditionalFormatting>
  <conditionalFormatting sqref="C233:C234">
    <cfRule type="cellIs" dxfId="85" priority="57" operator="equal">
      <formula>0</formula>
    </cfRule>
  </conditionalFormatting>
  <conditionalFormatting sqref="C88">
    <cfRule type="cellIs" dxfId="84" priority="104" operator="equal">
      <formula>0</formula>
    </cfRule>
  </conditionalFormatting>
  <conditionalFormatting sqref="C102:C104">
    <cfRule type="cellIs" dxfId="83" priority="103" operator="equal">
      <formula>0</formula>
    </cfRule>
  </conditionalFormatting>
  <conditionalFormatting sqref="C108:C114">
    <cfRule type="cellIs" dxfId="82" priority="101" operator="equal">
      <formula>0</formula>
    </cfRule>
  </conditionalFormatting>
  <conditionalFormatting sqref="C116:C125">
    <cfRule type="cellIs" dxfId="81" priority="98" operator="equal">
      <formula>0</formula>
    </cfRule>
  </conditionalFormatting>
  <conditionalFormatting sqref="C127:C144">
    <cfRule type="cellIs" dxfId="80" priority="94" operator="equal">
      <formula>0</formula>
    </cfRule>
  </conditionalFormatting>
  <conditionalFormatting sqref="C145">
    <cfRule type="cellIs" dxfId="79" priority="93" operator="equal">
      <formula>0</formula>
    </cfRule>
  </conditionalFormatting>
  <conditionalFormatting sqref="C147:C153">
    <cfRule type="cellIs" dxfId="78" priority="86" operator="equal">
      <formula>0</formula>
    </cfRule>
  </conditionalFormatting>
  <conditionalFormatting sqref="C155 C157:C161">
    <cfRule type="cellIs" dxfId="77" priority="85" operator="equal">
      <formula>0</formula>
    </cfRule>
  </conditionalFormatting>
  <conditionalFormatting sqref="C164:C166">
    <cfRule type="cellIs" dxfId="76" priority="84" operator="equal">
      <formula>0</formula>
    </cfRule>
  </conditionalFormatting>
  <conditionalFormatting sqref="C162">
    <cfRule type="cellIs" dxfId="75" priority="83" operator="equal">
      <formula>0</formula>
    </cfRule>
  </conditionalFormatting>
  <conditionalFormatting sqref="C194:C196">
    <cfRule type="cellIs" dxfId="74" priority="60" operator="equal">
      <formula>0</formula>
    </cfRule>
  </conditionalFormatting>
  <conditionalFormatting sqref="C168:C172">
    <cfRule type="cellIs" dxfId="73" priority="78" operator="equal">
      <formula>0</formula>
    </cfRule>
  </conditionalFormatting>
  <conditionalFormatting sqref="C173">
    <cfRule type="cellIs" dxfId="72" priority="77" operator="equal">
      <formula>0</formula>
    </cfRule>
  </conditionalFormatting>
  <conditionalFormatting sqref="C191:C192">
    <cfRule type="cellIs" dxfId="71" priority="61" operator="equal">
      <formula>0</formula>
    </cfRule>
  </conditionalFormatting>
  <conditionalFormatting sqref="C175">
    <cfRule type="cellIs" dxfId="70" priority="73" operator="equal">
      <formula>0</formula>
    </cfRule>
  </conditionalFormatting>
  <conditionalFormatting sqref="G58">
    <cfRule type="cellIs" dxfId="69" priority="55" operator="lessThan">
      <formula>0</formula>
    </cfRule>
  </conditionalFormatting>
  <conditionalFormatting sqref="G62">
    <cfRule type="cellIs" dxfId="68" priority="54" operator="lessThan">
      <formula>0</formula>
    </cfRule>
  </conditionalFormatting>
  <conditionalFormatting sqref="G84">
    <cfRule type="cellIs" dxfId="67" priority="53" operator="lessThan">
      <formula>0</formula>
    </cfRule>
  </conditionalFormatting>
  <conditionalFormatting sqref="G88">
    <cfRule type="cellIs" dxfId="66" priority="52" operator="lessThan">
      <formula>0</formula>
    </cfRule>
  </conditionalFormatting>
  <conditionalFormatting sqref="G102">
    <cfRule type="cellIs" dxfId="65" priority="51" operator="lessThan">
      <formula>0</formula>
    </cfRule>
  </conditionalFormatting>
  <conditionalFormatting sqref="G108">
    <cfRule type="cellIs" dxfId="64" priority="50" operator="lessThan">
      <formula>0</formula>
    </cfRule>
  </conditionalFormatting>
  <conditionalFormatting sqref="G111">
    <cfRule type="cellIs" dxfId="63" priority="49" operator="lessThan">
      <formula>0</formula>
    </cfRule>
  </conditionalFormatting>
  <conditionalFormatting sqref="G116">
    <cfRule type="cellIs" dxfId="62" priority="48" operator="lessThan">
      <formula>0</formula>
    </cfRule>
  </conditionalFormatting>
  <conditionalFormatting sqref="G119">
    <cfRule type="cellIs" dxfId="61" priority="47" operator="lessThan">
      <formula>0</formula>
    </cfRule>
  </conditionalFormatting>
  <conditionalFormatting sqref="G122">
    <cfRule type="cellIs" dxfId="60" priority="46" operator="lessThan">
      <formula>0</formula>
    </cfRule>
  </conditionalFormatting>
  <conditionalFormatting sqref="G128">
    <cfRule type="cellIs" dxfId="59" priority="45" operator="lessThan">
      <formula>0</formula>
    </cfRule>
  </conditionalFormatting>
  <conditionalFormatting sqref="G129">
    <cfRule type="cellIs" dxfId="58" priority="44" operator="lessThan">
      <formula>0</formula>
    </cfRule>
  </conditionalFormatting>
  <conditionalFormatting sqref="G131">
    <cfRule type="cellIs" dxfId="57" priority="43" operator="lessThan">
      <formula>0</formula>
    </cfRule>
  </conditionalFormatting>
  <conditionalFormatting sqref="G132">
    <cfRule type="cellIs" dxfId="56" priority="42" operator="lessThan">
      <formula>0</formula>
    </cfRule>
  </conditionalFormatting>
  <conditionalFormatting sqref="G134">
    <cfRule type="cellIs" dxfId="55" priority="41" operator="lessThan">
      <formula>0</formula>
    </cfRule>
  </conditionalFormatting>
  <conditionalFormatting sqref="G135">
    <cfRule type="cellIs" dxfId="54" priority="40" operator="lessThan">
      <formula>0</formula>
    </cfRule>
  </conditionalFormatting>
  <conditionalFormatting sqref="G137">
    <cfRule type="cellIs" dxfId="53" priority="39" operator="lessThan">
      <formula>0</formula>
    </cfRule>
  </conditionalFormatting>
  <conditionalFormatting sqref="G138">
    <cfRule type="cellIs" dxfId="52" priority="38" operator="lessThan">
      <formula>0</formula>
    </cfRule>
  </conditionalFormatting>
  <conditionalFormatting sqref="G140">
    <cfRule type="cellIs" dxfId="51" priority="37" operator="lessThan">
      <formula>0</formula>
    </cfRule>
  </conditionalFormatting>
  <conditionalFormatting sqref="G141">
    <cfRule type="cellIs" dxfId="50" priority="36" operator="lessThan">
      <formula>0</formula>
    </cfRule>
  </conditionalFormatting>
  <conditionalFormatting sqref="G143">
    <cfRule type="cellIs" dxfId="49" priority="35" operator="lessThan">
      <formula>0</formula>
    </cfRule>
  </conditionalFormatting>
  <conditionalFormatting sqref="G144">
    <cfRule type="cellIs" dxfId="48" priority="34" operator="lessThan">
      <formula>0</formula>
    </cfRule>
  </conditionalFormatting>
  <conditionalFormatting sqref="G147">
    <cfRule type="cellIs" dxfId="47" priority="33" operator="lessThan">
      <formula>0</formula>
    </cfRule>
  </conditionalFormatting>
  <conditionalFormatting sqref="G148">
    <cfRule type="cellIs" dxfId="46" priority="32" operator="lessThan">
      <formula>0</formula>
    </cfRule>
  </conditionalFormatting>
  <conditionalFormatting sqref="G149">
    <cfRule type="cellIs" dxfId="45" priority="31" operator="lessThan">
      <formula>0</formula>
    </cfRule>
  </conditionalFormatting>
  <conditionalFormatting sqref="G150">
    <cfRule type="cellIs" dxfId="44" priority="30" operator="lessThan">
      <formula>0</formula>
    </cfRule>
  </conditionalFormatting>
  <conditionalFormatting sqref="G151">
    <cfRule type="cellIs" dxfId="43" priority="29" operator="lessThan">
      <formula>0</formula>
    </cfRule>
  </conditionalFormatting>
  <conditionalFormatting sqref="G152">
    <cfRule type="cellIs" dxfId="42" priority="28" operator="lessThan">
      <formula>0</formula>
    </cfRule>
  </conditionalFormatting>
  <conditionalFormatting sqref="G155">
    <cfRule type="cellIs" dxfId="41" priority="27" operator="lessThan">
      <formula>0</formula>
    </cfRule>
  </conditionalFormatting>
  <conditionalFormatting sqref="G156">
    <cfRule type="cellIs" dxfId="40" priority="26" operator="lessThan">
      <formula>0</formula>
    </cfRule>
  </conditionalFormatting>
  <conditionalFormatting sqref="G157">
    <cfRule type="cellIs" dxfId="39" priority="25" operator="lessThan">
      <formula>0</formula>
    </cfRule>
  </conditionalFormatting>
  <conditionalFormatting sqref="G158">
    <cfRule type="cellIs" dxfId="38" priority="24" operator="lessThan">
      <formula>0</formula>
    </cfRule>
  </conditionalFormatting>
  <conditionalFormatting sqref="G159">
    <cfRule type="cellIs" dxfId="37" priority="23" operator="lessThan">
      <formula>0</formula>
    </cfRule>
  </conditionalFormatting>
  <conditionalFormatting sqref="G160">
    <cfRule type="cellIs" dxfId="36" priority="22" operator="lessThan">
      <formula>0</formula>
    </cfRule>
  </conditionalFormatting>
  <conditionalFormatting sqref="G161">
    <cfRule type="cellIs" dxfId="35" priority="21" operator="lessThan">
      <formula>0</formula>
    </cfRule>
  </conditionalFormatting>
  <conditionalFormatting sqref="G164">
    <cfRule type="cellIs" dxfId="34" priority="20" operator="lessThan">
      <formula>0</formula>
    </cfRule>
  </conditionalFormatting>
  <conditionalFormatting sqref="G168">
    <cfRule type="cellIs" dxfId="33" priority="19" operator="lessThan">
      <formula>0</formula>
    </cfRule>
  </conditionalFormatting>
  <conditionalFormatting sqref="G169">
    <cfRule type="cellIs" dxfId="32" priority="18" operator="lessThan">
      <formula>0</formula>
    </cfRule>
  </conditionalFormatting>
  <conditionalFormatting sqref="G170">
    <cfRule type="cellIs" dxfId="31" priority="17" operator="lessThan">
      <formula>0</formula>
    </cfRule>
  </conditionalFormatting>
  <conditionalFormatting sqref="G171">
    <cfRule type="cellIs" dxfId="30" priority="16" operator="lessThan">
      <formula>0</formula>
    </cfRule>
  </conditionalFormatting>
  <conditionalFormatting sqref="G172">
    <cfRule type="cellIs" dxfId="29" priority="15" operator="lessThan">
      <formula>0</formula>
    </cfRule>
  </conditionalFormatting>
  <conditionalFormatting sqref="G176">
    <cfRule type="cellIs" dxfId="28" priority="14" operator="lessThan">
      <formula>0</formula>
    </cfRule>
  </conditionalFormatting>
  <conditionalFormatting sqref="G185">
    <cfRule type="cellIs" dxfId="27" priority="13" operator="lessThan">
      <formula>0</formula>
    </cfRule>
  </conditionalFormatting>
  <conditionalFormatting sqref="G186">
    <cfRule type="cellIs" dxfId="26" priority="12" operator="lessThan">
      <formula>0</formula>
    </cfRule>
  </conditionalFormatting>
  <conditionalFormatting sqref="G187">
    <cfRule type="cellIs" dxfId="25" priority="11" operator="lessThan">
      <formula>0</formula>
    </cfRule>
  </conditionalFormatting>
  <conditionalFormatting sqref="G188">
    <cfRule type="cellIs" dxfId="24" priority="10" operator="lessThan">
      <formula>0</formula>
    </cfRule>
  </conditionalFormatting>
  <conditionalFormatting sqref="G191">
    <cfRule type="cellIs" dxfId="23" priority="9" operator="lessThan">
      <formula>0</formula>
    </cfRule>
  </conditionalFormatting>
  <conditionalFormatting sqref="G192">
    <cfRule type="cellIs" dxfId="22" priority="8" operator="lessThan">
      <formula>0</formula>
    </cfRule>
  </conditionalFormatting>
  <conditionalFormatting sqref="G194">
    <cfRule type="cellIs" dxfId="21" priority="7" operator="lessThan">
      <formula>0</formula>
    </cfRule>
  </conditionalFormatting>
  <conditionalFormatting sqref="G195">
    <cfRule type="cellIs" dxfId="20" priority="6" operator="lessThan">
      <formula>0</formula>
    </cfRule>
  </conditionalFormatting>
  <conditionalFormatting sqref="G196">
    <cfRule type="cellIs" dxfId="19" priority="5" operator="lessThan">
      <formula>0</formula>
    </cfRule>
  </conditionalFormatting>
  <conditionalFormatting sqref="G198">
    <cfRule type="cellIs" dxfId="18" priority="4" operator="lessThan">
      <formula>0</formula>
    </cfRule>
  </conditionalFormatting>
  <conditionalFormatting sqref="G205">
    <cfRule type="cellIs" dxfId="17" priority="3" operator="lessThan">
      <formula>0</formula>
    </cfRule>
  </conditionalFormatting>
  <conditionalFormatting sqref="G208">
    <cfRule type="cellIs" dxfId="16" priority="2" operator="lessThan">
      <formula>0</formula>
    </cfRule>
  </conditionalFormatting>
  <conditionalFormatting sqref="G213">
    <cfRule type="cellIs" dxfId="15" priority="1" operator="lessThan">
      <formula>0</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36" id="{A02B87B1-B609-7E42-BDF9-8E1C2C030C54}">
            <xm:f>'Optional Turbine Subcomponents'!$C$17="Yes"</xm:f>
            <x14:dxf>
              <font>
                <color theme="1"/>
              </font>
              <fill>
                <patternFill>
                  <bgColor theme="9" tint="0.79998168889431442"/>
                </patternFill>
              </fill>
            </x14:dxf>
          </x14:cfRule>
          <xm:sqref>C44:C57</xm:sqref>
        </x14:conditionalFormatting>
        <x14:conditionalFormatting xmlns:xm="http://schemas.microsoft.com/office/excel/2006/main">
          <x14:cfRule type="expression" priority="135" id="{ED968AFB-E79A-E24B-A874-C7EB46214EE7}">
            <xm:f>'Optional Turbine Subcomponents'!$C$17="Yes"</xm:f>
            <x14:dxf>
              <font>
                <b val="0"/>
                <i val="0"/>
                <color theme="1"/>
              </font>
              <fill>
                <patternFill>
                  <bgColor theme="9" tint="0.39994506668294322"/>
                </patternFill>
              </fill>
            </x14:dxf>
          </x14:cfRule>
          <xm:sqref>B44:B57</xm:sqref>
        </x14:conditionalFormatting>
        <x14:conditionalFormatting xmlns:xm="http://schemas.microsoft.com/office/excel/2006/main">
          <x14:cfRule type="expression" priority="134" id="{5E66BAB4-5DED-6D49-B3C2-A2EA62E68BB0}">
            <xm:f>'Optional Turbine Subcomponents'!$C$17="Yes"</xm:f>
            <x14:dxf>
              <font>
                <color theme="1"/>
              </font>
              <fill>
                <patternFill>
                  <bgColor theme="9" tint="0.79998168889431442"/>
                </patternFill>
              </fill>
            </x14:dxf>
          </x14:cfRule>
          <xm:sqref>G44:G57</xm:sqref>
        </x14:conditionalFormatting>
        <x14:conditionalFormatting xmlns:xm="http://schemas.microsoft.com/office/excel/2006/main">
          <x14:cfRule type="expression" priority="132" id="{6643321D-BF08-C648-8B1F-8502D54894E5}">
            <xm:f>'Optional Turbine Subcomponents'!$C$40="Yes"</xm:f>
            <x14:dxf>
              <font>
                <b val="0"/>
                <i val="0"/>
                <color theme="1"/>
              </font>
              <fill>
                <patternFill>
                  <bgColor theme="9" tint="0.39994506668294322"/>
                </patternFill>
              </fill>
            </x14:dxf>
          </x14:cfRule>
          <xm:sqref>B64:B83</xm:sqref>
        </x14:conditionalFormatting>
        <x14:conditionalFormatting xmlns:xm="http://schemas.microsoft.com/office/excel/2006/main">
          <x14:cfRule type="expression" priority="130" id="{F3F82C0D-E9BE-D548-9E58-3CB4C31FF04A}">
            <xm:f>'Optional Turbine Subcomponents'!$C$40="Yes"</xm:f>
            <x14:dxf>
              <font>
                <b val="0"/>
                <i val="0"/>
                <color theme="1"/>
              </font>
              <fill>
                <patternFill>
                  <bgColor theme="9" tint="0.79998168889431442"/>
                </patternFill>
              </fill>
            </x14:dxf>
          </x14:cfRule>
          <xm:sqref>C64:C83</xm:sqref>
        </x14:conditionalFormatting>
        <x14:conditionalFormatting xmlns:xm="http://schemas.microsoft.com/office/excel/2006/main">
          <x14:cfRule type="expression" priority="129" id="{2076544D-CF26-684B-8FF0-10DD60333122}">
            <xm:f>'Optional Turbine Subcomponents'!$C$40="Yes"</xm:f>
            <x14:dxf>
              <font>
                <b val="0"/>
                <i val="0"/>
                <color theme="1"/>
              </font>
              <fill>
                <patternFill>
                  <bgColor theme="9" tint="0.79998168889431442"/>
                </patternFill>
              </fill>
            </x14:dxf>
          </x14:cfRule>
          <xm:sqref>G64:G83</xm:sqref>
        </x14:conditionalFormatting>
        <x14:conditionalFormatting xmlns:xm="http://schemas.microsoft.com/office/excel/2006/main">
          <x14:cfRule type="expression" priority="127" id="{423F1038-621C-7349-886F-AB6512237ACE}">
            <xm:f>'Optional Turbine Subcomponents'!$C$69="Yes"</xm:f>
            <x14:dxf>
              <font>
                <b val="0"/>
                <i val="0"/>
                <color theme="1"/>
              </font>
              <fill>
                <patternFill>
                  <bgColor theme="9" tint="0.39994506668294322"/>
                </patternFill>
              </fill>
            </x14:dxf>
          </x14:cfRule>
          <xm:sqref>B90:B101</xm:sqref>
        </x14:conditionalFormatting>
        <x14:conditionalFormatting xmlns:xm="http://schemas.microsoft.com/office/excel/2006/main">
          <x14:cfRule type="expression" priority="126" id="{8DE4C6C6-BF31-B642-B086-8DAB9372E6D1}">
            <xm:f>'Optional Turbine Subcomponents'!$C$69="Yes"</xm:f>
            <x14:dxf>
              <font>
                <b val="0"/>
                <i val="0"/>
                <color theme="1"/>
              </font>
              <fill>
                <patternFill>
                  <bgColor theme="9" tint="0.79998168889431442"/>
                </patternFill>
              </fill>
            </x14:dxf>
          </x14:cfRule>
          <xm:sqref>C90:C101</xm:sqref>
        </x14:conditionalFormatting>
        <x14:conditionalFormatting xmlns:xm="http://schemas.microsoft.com/office/excel/2006/main">
          <x14:cfRule type="expression" priority="125" id="{2DCF7B10-B945-4641-B1D0-B9DAA5D48BDA}">
            <xm:f>'Optional Turbine Subcomponents'!$C$69="Yes"</xm:f>
            <x14:dxf>
              <font>
                <b val="0"/>
                <i val="0"/>
                <color theme="1"/>
              </font>
              <fill>
                <patternFill>
                  <bgColor theme="9" tint="0.79998168889431442"/>
                </patternFill>
              </fill>
            </x14:dxf>
          </x14:cfRule>
          <xm:sqref>G90:G101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CA36C-5A41-40EE-A29E-60663DBD5F96}">
  <sheetPr codeName="Sheet8">
    <tabColor theme="5"/>
  </sheetPr>
  <dimension ref="A1:X62"/>
  <sheetViews>
    <sheetView showGridLines="0" zoomScaleNormal="100" workbookViewId="0">
      <selection activeCell="D19" sqref="D19"/>
    </sheetView>
  </sheetViews>
  <sheetFormatPr defaultColWidth="8.85546875" defaultRowHeight="15" x14ac:dyDescent="0.25"/>
  <cols>
    <col min="2" max="2" width="33.85546875" customWidth="1"/>
    <col min="3" max="3" width="36.42578125" customWidth="1"/>
    <col min="4" max="7" width="15.28515625" customWidth="1"/>
    <col min="10" max="10" width="12.140625" bestFit="1" customWidth="1"/>
  </cols>
  <sheetData>
    <row r="1" spans="1:24" ht="40.5" customHeight="1" x14ac:dyDescent="0.25">
      <c r="A1" s="850" t="s">
        <v>0</v>
      </c>
      <c r="B1" s="4"/>
      <c r="C1" s="4"/>
      <c r="D1" s="4"/>
      <c r="E1" s="4"/>
      <c r="F1" s="4"/>
      <c r="G1" s="4"/>
      <c r="H1" s="4"/>
      <c r="I1" s="4"/>
      <c r="J1" s="4"/>
      <c r="K1" s="4"/>
      <c r="L1" s="4"/>
      <c r="M1" s="4"/>
      <c r="N1" s="4"/>
      <c r="O1" s="4"/>
      <c r="P1" s="4"/>
      <c r="Q1" s="4"/>
      <c r="R1" s="4"/>
      <c r="S1" s="4"/>
      <c r="T1" s="4"/>
      <c r="U1" s="4"/>
      <c r="V1" s="4"/>
      <c r="W1" s="4"/>
      <c r="X1" s="4"/>
    </row>
    <row r="2" spans="1:24" ht="30.75" customHeight="1" x14ac:dyDescent="0.25">
      <c r="A2" s="851" t="s">
        <v>1</v>
      </c>
      <c r="B2" s="5"/>
      <c r="C2" s="5"/>
      <c r="D2" s="5"/>
      <c r="E2" s="5"/>
      <c r="F2" s="5"/>
      <c r="G2" s="5"/>
      <c r="H2" s="5"/>
      <c r="I2" s="5"/>
      <c r="J2" s="5"/>
      <c r="K2" s="5"/>
      <c r="L2" s="5"/>
      <c r="M2" s="5"/>
      <c r="N2" s="5"/>
      <c r="O2" s="5"/>
      <c r="P2" s="5"/>
      <c r="Q2" s="5"/>
      <c r="R2" s="5"/>
      <c r="S2" s="5"/>
      <c r="T2" s="5"/>
      <c r="U2" s="5"/>
      <c r="V2" s="5"/>
      <c r="W2" s="5"/>
      <c r="X2" s="5"/>
    </row>
    <row r="3" spans="1:24" ht="20.25" customHeight="1" x14ac:dyDescent="0.25">
      <c r="A3" s="852" t="s">
        <v>2</v>
      </c>
      <c r="B3" s="7"/>
      <c r="C3" s="7"/>
      <c r="D3" s="7"/>
      <c r="E3" s="7"/>
      <c r="F3" s="7"/>
      <c r="G3" s="7"/>
      <c r="H3" s="7"/>
      <c r="I3" s="7"/>
      <c r="J3" s="7"/>
      <c r="K3" s="7"/>
      <c r="L3" s="7"/>
      <c r="M3" s="7"/>
      <c r="N3" s="7"/>
      <c r="O3" s="7"/>
      <c r="P3" s="7"/>
      <c r="Q3" s="7"/>
      <c r="R3" s="7"/>
      <c r="S3" s="7"/>
      <c r="T3" s="7"/>
      <c r="U3" s="7"/>
      <c r="V3" s="7"/>
      <c r="W3" s="7"/>
      <c r="X3" s="7"/>
    </row>
    <row r="4" spans="1:24" ht="15" customHeight="1" x14ac:dyDescent="0.25">
      <c r="A4" s="171"/>
    </row>
    <row r="5" spans="1:24" ht="27" customHeight="1" x14ac:dyDescent="0.25">
      <c r="B5" s="11" t="s">
        <v>350</v>
      </c>
      <c r="C5" s="12"/>
      <c r="D5" s="12"/>
      <c r="E5" s="12"/>
      <c r="F5" s="13"/>
    </row>
    <row r="6" spans="1:24" ht="15" customHeight="1" x14ac:dyDescent="0.35">
      <c r="B6" s="172"/>
    </row>
    <row r="7" spans="1:24" x14ac:dyDescent="0.25">
      <c r="B7" s="538" t="s">
        <v>351</v>
      </c>
    </row>
    <row r="8" spans="1:24" x14ac:dyDescent="0.25">
      <c r="B8" s="875" t="s">
        <v>352</v>
      </c>
      <c r="C8" s="876"/>
      <c r="D8" s="876"/>
      <c r="E8" s="876"/>
      <c r="F8" s="877"/>
      <c r="G8" s="539"/>
    </row>
    <row r="9" spans="1:24" ht="60" customHeight="1" x14ac:dyDescent="0.25">
      <c r="B9" s="878"/>
      <c r="C9" s="879"/>
      <c r="D9" s="879"/>
      <c r="E9" s="879"/>
      <c r="F9" s="880"/>
    </row>
    <row r="10" spans="1:24" ht="15" customHeight="1" x14ac:dyDescent="0.25">
      <c r="B10" s="540"/>
      <c r="C10" s="540"/>
      <c r="D10" s="540"/>
      <c r="E10" s="540"/>
      <c r="F10" s="540"/>
    </row>
    <row r="11" spans="1:24" ht="15.75" x14ac:dyDescent="0.25">
      <c r="A11" s="541"/>
      <c r="B11" s="542" t="s">
        <v>251</v>
      </c>
      <c r="C11" s="103"/>
      <c r="D11" s="541"/>
      <c r="E11" s="538"/>
      <c r="F11" s="538"/>
      <c r="G11" s="538"/>
    </row>
    <row r="12" spans="1:24" x14ac:dyDescent="0.25">
      <c r="A12" s="541"/>
      <c r="B12" s="20" t="s">
        <v>252</v>
      </c>
      <c r="C12" s="543"/>
      <c r="D12" s="541"/>
      <c r="E12" s="538"/>
      <c r="F12" s="538"/>
      <c r="G12" s="538"/>
    </row>
    <row r="13" spans="1:24" x14ac:dyDescent="0.25">
      <c r="A13" s="544"/>
      <c r="B13" s="545" t="s">
        <v>14</v>
      </c>
      <c r="C13" s="587" t="str">
        <f>'Project Data - Step 1'!D18</f>
        <v>Project</v>
      </c>
      <c r="D13" s="547"/>
      <c r="E13" s="544"/>
      <c r="F13" s="544"/>
      <c r="G13" s="544"/>
    </row>
    <row r="14" spans="1:24" x14ac:dyDescent="0.25">
      <c r="A14" s="544"/>
      <c r="B14" s="545" t="s">
        <v>16</v>
      </c>
      <c r="C14" s="611" t="str">
        <f>nothing</f>
        <v>United States</v>
      </c>
      <c r="D14" s="547"/>
      <c r="E14" s="544"/>
      <c r="F14" s="544"/>
      <c r="G14" s="544"/>
    </row>
    <row r="15" spans="1:24" x14ac:dyDescent="0.25">
      <c r="A15" s="544"/>
      <c r="B15" s="545" t="s">
        <v>20</v>
      </c>
      <c r="C15" s="546" t="str">
        <f>'Project Data - Step 1'!D20</f>
        <v>United States</v>
      </c>
      <c r="D15" s="547"/>
      <c r="E15" s="544"/>
      <c r="F15" s="544"/>
      <c r="G15" s="544"/>
    </row>
    <row r="16" spans="1:24" x14ac:dyDescent="0.25">
      <c r="A16" s="544"/>
      <c r="B16" s="545" t="s">
        <v>106</v>
      </c>
      <c r="C16" s="546" t="str">
        <f>'Project Data - Step 1'!D91</f>
        <v>Port Name</v>
      </c>
      <c r="D16" s="547"/>
      <c r="E16" s="544"/>
      <c r="F16" s="544"/>
      <c r="G16" s="544"/>
    </row>
    <row r="17" spans="1:7" x14ac:dyDescent="0.25">
      <c r="A17" s="544"/>
      <c r="B17" s="545" t="s">
        <v>253</v>
      </c>
      <c r="C17" s="546">
        <f>'Project Data - Step 1'!D21</f>
        <v>2024</v>
      </c>
      <c r="D17" s="547"/>
      <c r="E17" s="544"/>
      <c r="F17" s="544"/>
      <c r="G17" s="544"/>
    </row>
    <row r="18" spans="1:7" x14ac:dyDescent="0.25">
      <c r="A18" s="544"/>
      <c r="B18" s="545" t="s">
        <v>254</v>
      </c>
      <c r="C18" s="546">
        <f>'Project Data - Step 1'!D24</f>
        <v>900</v>
      </c>
      <c r="D18" s="547"/>
      <c r="E18" s="544"/>
      <c r="F18" s="544"/>
      <c r="G18" s="544"/>
    </row>
    <row r="19" spans="1:7" x14ac:dyDescent="0.25">
      <c r="A19" s="544"/>
      <c r="B19" s="545" t="s">
        <v>30</v>
      </c>
      <c r="C19" s="588">
        <f>'Project Data - Step 1'!D25</f>
        <v>75</v>
      </c>
      <c r="D19" s="547"/>
      <c r="E19" s="544"/>
      <c r="F19" s="544"/>
      <c r="G19" s="544"/>
    </row>
    <row r="20" spans="1:7" x14ac:dyDescent="0.25">
      <c r="A20" s="544"/>
      <c r="B20" s="545" t="s">
        <v>66</v>
      </c>
      <c r="C20" s="546" t="str">
        <f>'Project Data - Step 1'!D53</f>
        <v>Monopile</v>
      </c>
      <c r="D20" s="547"/>
      <c r="E20" s="544"/>
      <c r="F20" s="544"/>
      <c r="G20" s="544"/>
    </row>
    <row r="21" spans="1:7" x14ac:dyDescent="0.25">
      <c r="A21" s="544"/>
      <c r="B21" s="545" t="s">
        <v>69</v>
      </c>
      <c r="C21" s="546" t="str">
        <f>'Project Data - Step 1'!D54</f>
        <v>Fixed-Bottom</v>
      </c>
      <c r="D21" s="547"/>
      <c r="E21" s="544"/>
      <c r="F21" s="544"/>
      <c r="G21" s="544"/>
    </row>
    <row r="22" spans="1:7" x14ac:dyDescent="0.25">
      <c r="A22" s="544"/>
      <c r="B22" s="20" t="s">
        <v>255</v>
      </c>
      <c r="C22" s="543"/>
      <c r="D22" s="541"/>
      <c r="E22" s="538"/>
      <c r="F22" s="538"/>
      <c r="G22" s="538"/>
    </row>
    <row r="23" spans="1:7" ht="15.75" x14ac:dyDescent="0.25">
      <c r="A23" s="548"/>
      <c r="B23" s="545" t="s">
        <v>256</v>
      </c>
      <c r="C23" s="549">
        <f>'Model Scenario - Step 4'!C178</f>
        <v>2724.9266067485951</v>
      </c>
      <c r="D23" s="547"/>
      <c r="E23" s="544"/>
      <c r="F23" s="544"/>
      <c r="G23" s="544"/>
    </row>
    <row r="24" spans="1:7" x14ac:dyDescent="0.25">
      <c r="B24" s="545" t="s">
        <v>353</v>
      </c>
      <c r="C24" s="549">
        <f>'Model Scenario - Step 4'!C177</f>
        <v>2452433946.0737352</v>
      </c>
      <c r="D24" s="547"/>
      <c r="E24" s="544"/>
      <c r="F24" s="544"/>
      <c r="G24" s="544"/>
    </row>
    <row r="25" spans="1:7" x14ac:dyDescent="0.25">
      <c r="B25" s="545" t="s">
        <v>257</v>
      </c>
      <c r="C25" s="549">
        <f>'General-Calculations'!F146</f>
        <v>0</v>
      </c>
      <c r="D25" s="547"/>
      <c r="E25" s="544"/>
      <c r="F25" s="544"/>
      <c r="G25" s="544"/>
    </row>
    <row r="26" spans="1:7" x14ac:dyDescent="0.25">
      <c r="B26" s="545" t="s">
        <v>258</v>
      </c>
      <c r="C26" s="550">
        <f>C25/C24</f>
        <v>0</v>
      </c>
      <c r="D26" s="547"/>
      <c r="E26" s="544"/>
      <c r="F26" s="544"/>
      <c r="G26" s="544"/>
    </row>
    <row r="27" spans="1:7" x14ac:dyDescent="0.25">
      <c r="B27" s="20" t="s">
        <v>259</v>
      </c>
      <c r="C27" s="543"/>
      <c r="D27" s="541"/>
      <c r="E27" s="538"/>
      <c r="F27" s="538"/>
      <c r="G27" s="538"/>
    </row>
    <row r="28" spans="1:7" x14ac:dyDescent="0.25">
      <c r="B28" s="545" t="s">
        <v>260</v>
      </c>
      <c r="C28" s="549">
        <f>'Model Scenario - Step 4'!C200</f>
        <v>119.11404896000001</v>
      </c>
      <c r="D28" s="415"/>
    </row>
    <row r="29" spans="1:7" ht="15.75" x14ac:dyDescent="0.25">
      <c r="A29" s="548"/>
      <c r="B29" s="545" t="s">
        <v>354</v>
      </c>
      <c r="C29" s="549">
        <f>'Model Scenario - Step 4'!C199</f>
        <v>107202644.064</v>
      </c>
      <c r="D29" s="415"/>
    </row>
    <row r="30" spans="1:7" x14ac:dyDescent="0.25">
      <c r="B30" s="545" t="s">
        <v>257</v>
      </c>
      <c r="C30" s="549">
        <f>'General-Calculations'!F169</f>
        <v>0</v>
      </c>
      <c r="D30" s="415"/>
    </row>
    <row r="31" spans="1:7" x14ac:dyDescent="0.25">
      <c r="B31" s="167" t="s">
        <v>262</v>
      </c>
      <c r="C31" s="551">
        <f>C30/C29</f>
        <v>0</v>
      </c>
      <c r="D31" s="415"/>
    </row>
    <row r="33" spans="1:10" ht="27.75" customHeight="1" x14ac:dyDescent="0.25">
      <c r="B33" s="895" t="s">
        <v>355</v>
      </c>
      <c r="C33" s="896"/>
      <c r="D33" s="896"/>
      <c r="E33" s="896"/>
      <c r="F33" s="896"/>
      <c r="G33" s="897"/>
    </row>
    <row r="34" spans="1:10" ht="18" x14ac:dyDescent="0.25">
      <c r="B34" s="898" t="s">
        <v>356</v>
      </c>
      <c r="C34" s="899"/>
      <c r="D34" s="899"/>
      <c r="E34" s="899"/>
      <c r="F34" s="899"/>
      <c r="G34" s="900"/>
    </row>
    <row r="35" spans="1:10" ht="18.75" customHeight="1" x14ac:dyDescent="0.35">
      <c r="A35" s="552"/>
      <c r="B35" s="553"/>
      <c r="C35" s="554"/>
      <c r="D35" s="555" t="s">
        <v>357</v>
      </c>
      <c r="E35" s="555" t="s">
        <v>358</v>
      </c>
      <c r="F35" s="555" t="s">
        <v>359</v>
      </c>
      <c r="G35" s="556" t="s">
        <v>360</v>
      </c>
    </row>
    <row r="36" spans="1:10" ht="17.25" customHeight="1" x14ac:dyDescent="0.35">
      <c r="A36" s="552"/>
      <c r="B36" s="557"/>
      <c r="C36" s="558"/>
      <c r="D36" s="559" t="s">
        <v>361</v>
      </c>
      <c r="E36" s="559" t="str">
        <f>"($ millions, "&amp;'[5]Project Data - Step 1'!D21&amp;")"</f>
        <v>($ millions, 2019)</v>
      </c>
      <c r="F36" s="604" t="str">
        <f>"($ millions, "&amp;'[5]Project Data - Step 1'!D21&amp;")"</f>
        <v>($ millions, 2019)</v>
      </c>
      <c r="G36" s="605" t="str">
        <f>"($ millions, "&amp;'[5]Project Data - Step 1'!D21&amp;")"</f>
        <v>($ millions, 2019)</v>
      </c>
    </row>
    <row r="37" spans="1:10" x14ac:dyDescent="0.25">
      <c r="A37" s="54"/>
      <c r="B37" s="560" t="s">
        <v>362</v>
      </c>
      <c r="C37" s="189" t="s">
        <v>205</v>
      </c>
      <c r="D37" s="561">
        <f>'General-Calculations'!K47</f>
        <v>0</v>
      </c>
      <c r="E37" s="562">
        <f>'General-Calculations'!L47</f>
        <v>0</v>
      </c>
      <c r="F37" s="608">
        <f>'General-Calculations'!L47</f>
        <v>0</v>
      </c>
      <c r="G37" s="609">
        <f>'General-Calculations'!L47</f>
        <v>0</v>
      </c>
    </row>
    <row r="38" spans="1:10" x14ac:dyDescent="0.25">
      <c r="B38" s="563" t="s">
        <v>363</v>
      </c>
      <c r="C38" s="189" t="str">
        <f>IF('[5]Project Data - Step 1'!D52="Monopile","Scour Protection","Mooring")</f>
        <v>Scour Protection</v>
      </c>
      <c r="D38" s="561">
        <f>'General-Calculations'!K48</f>
        <v>0</v>
      </c>
      <c r="E38" s="562">
        <f>'General-Calculations'!L48</f>
        <v>0</v>
      </c>
      <c r="F38" s="562">
        <f>'General-Calculations'!L48</f>
        <v>0</v>
      </c>
      <c r="G38" s="569">
        <f>'General-Calculations'!L48</f>
        <v>0</v>
      </c>
    </row>
    <row r="39" spans="1:10" x14ac:dyDescent="0.25">
      <c r="B39" s="560"/>
      <c r="C39" s="189" t="s">
        <v>322</v>
      </c>
      <c r="D39" s="561">
        <f>'General-Calculations'!K49</f>
        <v>0</v>
      </c>
      <c r="E39" s="562">
        <f>'General-Calculations'!L49</f>
        <v>0</v>
      </c>
      <c r="F39" s="562">
        <f>'General-Calculations'!L49</f>
        <v>0</v>
      </c>
      <c r="G39" s="569">
        <f>'General-Calculations'!L49</f>
        <v>0</v>
      </c>
    </row>
    <row r="40" spans="1:10" x14ac:dyDescent="0.25">
      <c r="B40" s="560"/>
      <c r="C40" s="189" t="s">
        <v>364</v>
      </c>
      <c r="D40" s="561">
        <f>'General-Calculations'!K50</f>
        <v>0</v>
      </c>
      <c r="E40" s="562">
        <f>'General-Calculations'!L50</f>
        <v>0</v>
      </c>
      <c r="F40" s="562">
        <f>'General-Calculations'!L50</f>
        <v>0</v>
      </c>
      <c r="G40" s="569">
        <f>'General-Calculations'!L50</f>
        <v>0</v>
      </c>
    </row>
    <row r="41" spans="1:10" x14ac:dyDescent="0.25">
      <c r="B41" s="560"/>
      <c r="C41" s="189" t="s">
        <v>198</v>
      </c>
      <c r="D41" s="561">
        <f>'General-Calculations'!K51</f>
        <v>0</v>
      </c>
      <c r="E41" s="562">
        <f>'General-Calculations'!L51</f>
        <v>0</v>
      </c>
      <c r="F41" s="606">
        <f>'General-Calculations'!L51</f>
        <v>0</v>
      </c>
      <c r="G41" s="607">
        <f>'General-Calculations'!L51</f>
        <v>0</v>
      </c>
    </row>
    <row r="42" spans="1:10" x14ac:dyDescent="0.25">
      <c r="B42" s="564"/>
      <c r="C42" s="565" t="s">
        <v>365</v>
      </c>
      <c r="D42" s="566">
        <f>SUM(D37:D41)</f>
        <v>0</v>
      </c>
      <c r="E42" s="567">
        <f>SUM(E37:E41)</f>
        <v>0</v>
      </c>
      <c r="F42" s="567">
        <f t="shared" ref="F42:G42" si="0">SUM(F37:F41)</f>
        <v>0</v>
      </c>
      <c r="G42" s="570">
        <f t="shared" si="0"/>
        <v>0</v>
      </c>
    </row>
    <row r="43" spans="1:10" x14ac:dyDescent="0.25">
      <c r="B43" s="560" t="s">
        <v>366</v>
      </c>
      <c r="C43" s="189" t="s">
        <v>367</v>
      </c>
      <c r="D43" s="561">
        <f>'Multiplier-Calculations'!E123</f>
        <v>0</v>
      </c>
      <c r="E43" s="562">
        <f>'Multiplier-Calculations'!F123</f>
        <v>0</v>
      </c>
      <c r="F43" s="562">
        <f>'Multiplier-Calculations'!G123</f>
        <v>0</v>
      </c>
      <c r="G43" s="569">
        <f>'Multiplier-Calculations'!H123</f>
        <v>0</v>
      </c>
    </row>
    <row r="44" spans="1:10" x14ac:dyDescent="0.25">
      <c r="B44" s="560" t="s">
        <v>368</v>
      </c>
      <c r="C44" s="189" t="s">
        <v>152</v>
      </c>
      <c r="D44" s="561">
        <f>'Multiplier-Calculations'!E124</f>
        <v>0</v>
      </c>
      <c r="E44" s="562">
        <f>'Multiplier-Calculations'!F124</f>
        <v>0</v>
      </c>
      <c r="F44" s="562">
        <f>'Multiplier-Calculations'!G124</f>
        <v>0</v>
      </c>
      <c r="G44" s="569">
        <f>'Multiplier-Calculations'!H124</f>
        <v>0</v>
      </c>
      <c r="J44" s="226"/>
    </row>
    <row r="45" spans="1:10" x14ac:dyDescent="0.25">
      <c r="B45" s="560" t="s">
        <v>369</v>
      </c>
      <c r="C45" s="189" t="s">
        <v>370</v>
      </c>
      <c r="D45" s="561">
        <f>'Multiplier-Calculations'!E125</f>
        <v>0</v>
      </c>
      <c r="E45" s="562">
        <f>'Multiplier-Calculations'!F125</f>
        <v>0</v>
      </c>
      <c r="F45" s="562">
        <f>'Multiplier-Calculations'!G125</f>
        <v>0</v>
      </c>
      <c r="G45" s="569">
        <f>'Multiplier-Calculations'!H125</f>
        <v>0</v>
      </c>
    </row>
    <row r="46" spans="1:10" x14ac:dyDescent="0.25">
      <c r="B46" s="563"/>
      <c r="C46" s="189" t="s">
        <v>205</v>
      </c>
      <c r="D46" s="561">
        <f>'Multiplier-Calculations'!E126</f>
        <v>0</v>
      </c>
      <c r="E46" s="562">
        <f>'Multiplier-Calculations'!F126</f>
        <v>0</v>
      </c>
      <c r="F46" s="562">
        <f>'Multiplier-Calculations'!G126</f>
        <v>0</v>
      </c>
      <c r="G46" s="569">
        <f>'Multiplier-Calculations'!H126</f>
        <v>0</v>
      </c>
    </row>
    <row r="47" spans="1:10" x14ac:dyDescent="0.25">
      <c r="B47" s="560"/>
      <c r="C47" s="189" t="s">
        <v>371</v>
      </c>
      <c r="D47" s="561">
        <f>'Multiplier-Calculations'!E127</f>
        <v>0</v>
      </c>
      <c r="E47" s="562">
        <f>'Multiplier-Calculations'!F127</f>
        <v>0</v>
      </c>
      <c r="F47" s="562">
        <f>'Multiplier-Calculations'!G127</f>
        <v>0</v>
      </c>
      <c r="G47" s="569">
        <f>'Multiplier-Calculations'!H127</f>
        <v>0</v>
      </c>
    </row>
    <row r="48" spans="1:10" x14ac:dyDescent="0.25">
      <c r="B48" s="560"/>
      <c r="C48" s="189" t="s">
        <v>372</v>
      </c>
      <c r="D48" s="561">
        <f>'Multiplier-Calculations'!E128</f>
        <v>0</v>
      </c>
      <c r="E48" s="562">
        <f>'Multiplier-Calculations'!F128</f>
        <v>0</v>
      </c>
      <c r="F48" s="562">
        <f>'Multiplier-Calculations'!G128</f>
        <v>0</v>
      </c>
      <c r="G48" s="569">
        <f>'Multiplier-Calculations'!H128</f>
        <v>0</v>
      </c>
    </row>
    <row r="49" spans="1:10" x14ac:dyDescent="0.25">
      <c r="B49" s="560"/>
      <c r="C49" s="189" t="s">
        <v>225</v>
      </c>
      <c r="D49" s="561">
        <f>'Multiplier-Calculations'!E129</f>
        <v>0</v>
      </c>
      <c r="E49" s="562">
        <f>'Multiplier-Calculations'!F129</f>
        <v>0</v>
      </c>
      <c r="F49" s="562">
        <f>'Multiplier-Calculations'!G129</f>
        <v>0</v>
      </c>
      <c r="G49" s="562">
        <f>'Multiplier-Calculations'!H129</f>
        <v>0</v>
      </c>
    </row>
    <row r="50" spans="1:10" x14ac:dyDescent="0.25">
      <c r="B50" s="560"/>
      <c r="C50" s="189" t="s">
        <v>217</v>
      </c>
      <c r="D50" s="590">
        <f>'Multiplier-Calculations'!E130</f>
        <v>0</v>
      </c>
      <c r="E50" s="562">
        <f>'Multiplier-Calculations'!F130</f>
        <v>0</v>
      </c>
      <c r="F50" s="562">
        <f>'Multiplier-Calculations'!G130</f>
        <v>0</v>
      </c>
      <c r="G50" s="569">
        <f>'Multiplier-Calculations'!H130</f>
        <v>0</v>
      </c>
    </row>
    <row r="51" spans="1:10" x14ac:dyDescent="0.25">
      <c r="B51" s="560"/>
      <c r="C51" s="189" t="s">
        <v>373</v>
      </c>
      <c r="D51" s="561">
        <f>'Multiplier-Calculations'!E131</f>
        <v>0</v>
      </c>
      <c r="E51" s="562">
        <f>'Multiplier-Calculations'!F131</f>
        <v>0</v>
      </c>
      <c r="F51" s="562">
        <f>'Multiplier-Calculations'!G131</f>
        <v>0</v>
      </c>
      <c r="G51" s="569">
        <f>'Multiplier-Calculations'!H131</f>
        <v>0</v>
      </c>
    </row>
    <row r="52" spans="1:10" x14ac:dyDescent="0.25">
      <c r="B52" s="564"/>
      <c r="C52" s="565" t="s">
        <v>365</v>
      </c>
      <c r="D52" s="566">
        <f>SUM(D43:D51)</f>
        <v>0</v>
      </c>
      <c r="E52" s="567">
        <f>SUM(E43:E51)</f>
        <v>0</v>
      </c>
      <c r="F52" s="567">
        <f>SUM(F43:F51)</f>
        <v>0</v>
      </c>
      <c r="G52" s="570">
        <f>SUM(G43:G51)</f>
        <v>0</v>
      </c>
    </row>
    <row r="53" spans="1:10" x14ac:dyDescent="0.25">
      <c r="B53" s="571" t="s">
        <v>374</v>
      </c>
      <c r="C53" s="568"/>
      <c r="D53" s="566">
        <f>'Multiplier-Calculations'!E133</f>
        <v>0</v>
      </c>
      <c r="E53" s="567">
        <f>'Multiplier-Calculations'!F133</f>
        <v>0</v>
      </c>
      <c r="F53" s="567">
        <f>'Multiplier-Calculations'!G133</f>
        <v>0</v>
      </c>
      <c r="G53" s="570">
        <f>'Multiplier-Calculations'!H133</f>
        <v>0</v>
      </c>
      <c r="J53" s="226"/>
    </row>
    <row r="54" spans="1:10" x14ac:dyDescent="0.25">
      <c r="B54" s="572"/>
      <c r="C54" s="573" t="s">
        <v>375</v>
      </c>
      <c r="D54" s="574">
        <f>D53+D42+D52</f>
        <v>0</v>
      </c>
      <c r="E54" s="575">
        <f>E53+E42+E52</f>
        <v>0</v>
      </c>
      <c r="F54" s="575">
        <f>F53+F42+F52</f>
        <v>0</v>
      </c>
      <c r="G54" s="576">
        <f>G53+G42+G52</f>
        <v>0</v>
      </c>
      <c r="J54" s="226"/>
    </row>
    <row r="56" spans="1:10" ht="18.75" customHeight="1" x14ac:dyDescent="0.25">
      <c r="B56" s="901" t="s">
        <v>376</v>
      </c>
      <c r="C56" s="902"/>
      <c r="D56" s="902"/>
      <c r="E56" s="902"/>
      <c r="F56" s="902"/>
      <c r="G56" s="903"/>
    </row>
    <row r="57" spans="1:10" ht="17.25" customHeight="1" x14ac:dyDescent="0.25">
      <c r="A57" s="54"/>
      <c r="B57" s="553"/>
      <c r="C57" s="554"/>
      <c r="D57" s="555" t="s">
        <v>357</v>
      </c>
      <c r="E57" s="555" t="s">
        <v>358</v>
      </c>
      <c r="F57" s="555" t="s">
        <v>359</v>
      </c>
      <c r="G57" s="556" t="s">
        <v>360</v>
      </c>
    </row>
    <row r="58" spans="1:10" x14ac:dyDescent="0.25">
      <c r="B58" s="557"/>
      <c r="C58" s="558"/>
      <c r="D58" s="559" t="s">
        <v>361</v>
      </c>
      <c r="E58" s="559" t="str">
        <f>"($ millions, "&amp;'[5]Project Data - Step 1'!D21&amp;")"</f>
        <v>($ millions, 2019)</v>
      </c>
      <c r="F58" s="559" t="str">
        <f>"($ millions, "&amp;'[5]Project Data - Step 1'!D21&amp;")"</f>
        <v>($ millions, 2019)</v>
      </c>
      <c r="G58" s="559" t="str">
        <f>"($ millions, "&amp;'[5]Project Data - Step 1'!D21&amp;")"</f>
        <v>($ millions, 2019)</v>
      </c>
    </row>
    <row r="59" spans="1:10" x14ac:dyDescent="0.25">
      <c r="B59" s="577" t="s">
        <v>377</v>
      </c>
      <c r="C59" s="578"/>
      <c r="D59" s="579">
        <f>'General-Calculations'!K109</f>
        <v>0</v>
      </c>
      <c r="E59" s="580">
        <f>'General-Calculations'!L109</f>
        <v>0</v>
      </c>
      <c r="F59" s="580">
        <f>'General-Calculations'!L109</f>
        <v>0</v>
      </c>
      <c r="G59" s="610">
        <f>'General-Calculations'!L109</f>
        <v>0</v>
      </c>
    </row>
    <row r="60" spans="1:10" x14ac:dyDescent="0.25">
      <c r="B60" s="577" t="s">
        <v>378</v>
      </c>
      <c r="C60" s="578"/>
      <c r="D60" s="579">
        <f>'Multiplier-Calculations'!D228</f>
        <v>0</v>
      </c>
      <c r="E60" s="580">
        <f>'Multiplier-Calculations'!E228</f>
        <v>0</v>
      </c>
      <c r="F60" s="580">
        <f>'Multiplier-Calculations'!F228</f>
        <v>0</v>
      </c>
      <c r="G60" s="581">
        <f>'Multiplier-Calculations'!G228</f>
        <v>0</v>
      </c>
    </row>
    <row r="61" spans="1:10" x14ac:dyDescent="0.25">
      <c r="B61" s="577" t="s">
        <v>374</v>
      </c>
      <c r="C61" s="578"/>
      <c r="D61" s="579">
        <f>'Multiplier-Calculations'!D229</f>
        <v>0</v>
      </c>
      <c r="E61" s="580">
        <f>'Multiplier-Calculations'!E229</f>
        <v>0</v>
      </c>
      <c r="F61" s="580">
        <f>'Multiplier-Calculations'!F229</f>
        <v>0</v>
      </c>
      <c r="G61" s="581">
        <f>'Multiplier-Calculations'!G229</f>
        <v>0</v>
      </c>
    </row>
    <row r="62" spans="1:10" x14ac:dyDescent="0.25">
      <c r="B62" s="582"/>
      <c r="C62" s="583" t="s">
        <v>375</v>
      </c>
      <c r="D62" s="584">
        <f>SUM(D59:D61)</f>
        <v>0</v>
      </c>
      <c r="E62" s="585">
        <f>SUM(E59:E61)</f>
        <v>0</v>
      </c>
      <c r="F62" s="585">
        <f t="shared" ref="F62:G62" si="1">SUM(F59:F61)</f>
        <v>0</v>
      </c>
      <c r="G62" s="586">
        <f t="shared" si="1"/>
        <v>0</v>
      </c>
    </row>
  </sheetData>
  <mergeCells count="4">
    <mergeCell ref="B8:F9"/>
    <mergeCell ref="B33:G33"/>
    <mergeCell ref="B34:G34"/>
    <mergeCell ref="B56:G5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A5CD8-E371-453E-98B4-56FD673BFD13}">
  <sheetPr codeName="Sheet10">
    <tabColor theme="7" tint="0.39997558519241921"/>
  </sheetPr>
  <dimension ref="A1:K401"/>
  <sheetViews>
    <sheetView showGridLines="0" zoomScaleNormal="100" workbookViewId="0">
      <selection activeCell="I15" sqref="I15"/>
    </sheetView>
  </sheetViews>
  <sheetFormatPr defaultColWidth="8.85546875" defaultRowHeight="15" x14ac:dyDescent="0.25"/>
  <cols>
    <col min="2" max="2" width="21" customWidth="1"/>
    <col min="4" max="4" width="48.28515625" customWidth="1"/>
    <col min="5" max="5" width="15.7109375" customWidth="1"/>
    <col min="7" max="7" width="19.85546875" customWidth="1"/>
  </cols>
  <sheetData>
    <row r="1" spans="1:11" ht="25.5" x14ac:dyDescent="0.25">
      <c r="A1" s="907" t="s">
        <v>0</v>
      </c>
      <c r="B1" s="907"/>
      <c r="C1" s="907"/>
      <c r="D1" s="907"/>
      <c r="E1" s="907"/>
      <c r="F1" s="907"/>
      <c r="G1" s="907"/>
      <c r="H1" s="907"/>
      <c r="I1" s="907"/>
      <c r="J1" s="907"/>
      <c r="K1" s="907"/>
    </row>
    <row r="2" spans="1:11" ht="24" x14ac:dyDescent="0.25">
      <c r="A2" s="908" t="s">
        <v>1</v>
      </c>
      <c r="B2" s="908"/>
      <c r="C2" s="908"/>
      <c r="D2" s="908"/>
      <c r="E2" s="908"/>
      <c r="F2" s="908"/>
      <c r="G2" s="908"/>
      <c r="H2" s="908"/>
      <c r="I2" s="908"/>
      <c r="J2" s="908"/>
      <c r="K2" s="851"/>
    </row>
    <row r="3" spans="1:11" x14ac:dyDescent="0.25">
      <c r="A3" s="909" t="s">
        <v>2</v>
      </c>
      <c r="B3" s="909"/>
      <c r="C3" s="909"/>
      <c r="D3" s="909"/>
      <c r="E3" s="909"/>
      <c r="F3" s="909"/>
      <c r="G3" s="909"/>
      <c r="H3" s="909"/>
      <c r="I3" s="909"/>
      <c r="J3" s="909"/>
      <c r="K3" s="909"/>
    </row>
    <row r="4" spans="1:11" ht="21" x14ac:dyDescent="0.25">
      <c r="B4" s="171"/>
    </row>
    <row r="5" spans="1:11" ht="20.25" x14ac:dyDescent="0.25">
      <c r="B5" s="853" t="s">
        <v>396</v>
      </c>
      <c r="C5" s="854"/>
      <c r="D5" s="854"/>
      <c r="E5" s="854"/>
      <c r="F5" s="854"/>
      <c r="G5" s="854"/>
      <c r="H5" s="844"/>
      <c r="I5" s="845"/>
      <c r="J5" s="845"/>
    </row>
    <row r="7" spans="1:11" x14ac:dyDescent="0.25">
      <c r="B7" s="538" t="s">
        <v>351</v>
      </c>
    </row>
    <row r="8" spans="1:11" ht="30.75" customHeight="1" x14ac:dyDescent="0.25">
      <c r="B8" s="904" t="s">
        <v>1066</v>
      </c>
      <c r="C8" s="905"/>
      <c r="D8" s="905"/>
      <c r="E8" s="905"/>
      <c r="F8" s="905"/>
      <c r="G8" s="906"/>
      <c r="H8" s="846"/>
      <c r="I8" s="846"/>
      <c r="J8" s="846"/>
    </row>
    <row r="10" spans="1:11" x14ac:dyDescent="0.25">
      <c r="B10" s="832"/>
      <c r="C10" s="833"/>
      <c r="D10" s="833"/>
      <c r="E10" s="833"/>
      <c r="F10" s="833"/>
      <c r="G10" s="834"/>
    </row>
    <row r="11" spans="1:11" x14ac:dyDescent="0.25">
      <c r="B11" s="835"/>
      <c r="C11" s="601"/>
      <c r="D11" s="601"/>
      <c r="E11" s="601"/>
      <c r="F11" s="601"/>
      <c r="G11" s="836"/>
    </row>
    <row r="12" spans="1:11" x14ac:dyDescent="0.25">
      <c r="B12" s="835" t="s">
        <v>397</v>
      </c>
      <c r="C12" s="857">
        <v>0</v>
      </c>
      <c r="D12" s="601"/>
      <c r="E12" s="601"/>
      <c r="F12" s="601"/>
      <c r="G12" s="836"/>
    </row>
    <row r="13" spans="1:11" x14ac:dyDescent="0.25">
      <c r="B13" s="835" t="s">
        <v>398</v>
      </c>
      <c r="C13" s="857">
        <v>0</v>
      </c>
      <c r="D13" s="601"/>
      <c r="E13" s="601"/>
      <c r="F13" s="601"/>
      <c r="G13" s="836"/>
    </row>
    <row r="14" spans="1:11" x14ac:dyDescent="0.25">
      <c r="B14" s="835"/>
      <c r="C14" s="601"/>
      <c r="D14" s="601"/>
      <c r="E14" s="601"/>
      <c r="F14" s="601"/>
      <c r="G14" s="836"/>
    </row>
    <row r="15" spans="1:11" x14ac:dyDescent="0.25">
      <c r="B15" s="837" t="s">
        <v>399</v>
      </c>
      <c r="C15" s="602"/>
      <c r="D15" s="602"/>
      <c r="E15" s="602"/>
      <c r="F15" s="602"/>
      <c r="G15" s="838"/>
    </row>
    <row r="16" spans="1:11" x14ac:dyDescent="0.25">
      <c r="B16" s="839"/>
      <c r="C16" s="601"/>
      <c r="D16" s="601" t="s">
        <v>400</v>
      </c>
      <c r="E16" s="856">
        <v>0</v>
      </c>
      <c r="F16" s="601"/>
      <c r="G16" s="836"/>
    </row>
    <row r="17" spans="2:7" x14ac:dyDescent="0.25">
      <c r="B17" s="839"/>
      <c r="C17" s="601"/>
      <c r="D17" s="601" t="s">
        <v>401</v>
      </c>
      <c r="E17" s="856">
        <v>0</v>
      </c>
      <c r="F17" s="601"/>
      <c r="G17" s="836"/>
    </row>
    <row r="18" spans="2:7" x14ac:dyDescent="0.25">
      <c r="B18" s="839"/>
      <c r="C18" s="601"/>
      <c r="D18" s="601" t="s">
        <v>402</v>
      </c>
      <c r="E18" s="856">
        <v>0</v>
      </c>
      <c r="F18" s="601"/>
      <c r="G18" s="836"/>
    </row>
    <row r="19" spans="2:7" x14ac:dyDescent="0.25">
      <c r="B19" s="839"/>
      <c r="C19" s="601"/>
      <c r="D19" s="601" t="s">
        <v>403</v>
      </c>
      <c r="E19" s="856">
        <v>0</v>
      </c>
      <c r="F19" s="601"/>
      <c r="G19" s="836"/>
    </row>
    <row r="20" spans="2:7" x14ac:dyDescent="0.25">
      <c r="B20" s="839"/>
      <c r="C20" s="601"/>
      <c r="D20" s="601" t="s">
        <v>404</v>
      </c>
      <c r="E20" s="856">
        <v>0</v>
      </c>
      <c r="F20" s="601"/>
      <c r="G20" s="836"/>
    </row>
    <row r="21" spans="2:7" x14ac:dyDescent="0.25">
      <c r="B21" s="839"/>
      <c r="C21" s="601"/>
      <c r="D21" s="601" t="s">
        <v>405</v>
      </c>
      <c r="E21" s="856">
        <v>0</v>
      </c>
      <c r="F21" s="601"/>
      <c r="G21" s="836"/>
    </row>
    <row r="22" spans="2:7" x14ac:dyDescent="0.25">
      <c r="B22" s="839"/>
      <c r="C22" s="601"/>
      <c r="D22" s="601" t="s">
        <v>406</v>
      </c>
      <c r="E22" s="856">
        <v>0</v>
      </c>
      <c r="F22" s="601"/>
      <c r="G22" s="836"/>
    </row>
    <row r="23" spans="2:7" x14ac:dyDescent="0.25">
      <c r="B23" s="839"/>
      <c r="C23" s="601"/>
      <c r="D23" s="601" t="s">
        <v>407</v>
      </c>
      <c r="E23" s="856">
        <v>0</v>
      </c>
      <c r="F23" s="601"/>
      <c r="G23" s="836"/>
    </row>
    <row r="24" spans="2:7" x14ac:dyDescent="0.25">
      <c r="B24" s="839"/>
      <c r="C24" s="601"/>
      <c r="D24" s="601" t="s">
        <v>408</v>
      </c>
      <c r="E24" s="856">
        <v>0</v>
      </c>
      <c r="F24" s="601"/>
      <c r="G24" s="836"/>
    </row>
    <row r="25" spans="2:7" x14ac:dyDescent="0.25">
      <c r="B25" s="839"/>
      <c r="C25" s="601"/>
      <c r="D25" s="601" t="s">
        <v>409</v>
      </c>
      <c r="E25" s="856">
        <v>0</v>
      </c>
      <c r="F25" s="601"/>
      <c r="G25" s="836"/>
    </row>
    <row r="26" spans="2:7" x14ac:dyDescent="0.25">
      <c r="B26" s="839"/>
      <c r="C26" s="601"/>
      <c r="D26" s="601" t="s">
        <v>410</v>
      </c>
      <c r="E26" s="856">
        <v>0</v>
      </c>
      <c r="F26" s="601"/>
      <c r="G26" s="836"/>
    </row>
    <row r="27" spans="2:7" x14ac:dyDescent="0.25">
      <c r="B27" s="839"/>
      <c r="C27" s="601"/>
      <c r="D27" s="601" t="s">
        <v>411</v>
      </c>
      <c r="E27" s="856">
        <v>0</v>
      </c>
      <c r="F27" s="601"/>
      <c r="G27" s="836"/>
    </row>
    <row r="28" spans="2:7" x14ac:dyDescent="0.25">
      <c r="B28" s="839"/>
      <c r="C28" s="601"/>
      <c r="D28" s="601" t="s">
        <v>412</v>
      </c>
      <c r="E28" s="856">
        <v>0</v>
      </c>
      <c r="F28" s="601"/>
      <c r="G28" s="836"/>
    </row>
    <row r="29" spans="2:7" x14ac:dyDescent="0.25">
      <c r="B29" s="839"/>
      <c r="C29" s="601"/>
      <c r="D29" s="601" t="s">
        <v>413</v>
      </c>
      <c r="E29" s="856">
        <v>0</v>
      </c>
      <c r="F29" s="601"/>
      <c r="G29" s="836"/>
    </row>
    <row r="30" spans="2:7" x14ac:dyDescent="0.25">
      <c r="B30" s="839"/>
      <c r="C30" s="601"/>
      <c r="D30" s="601" t="s">
        <v>414</v>
      </c>
      <c r="E30" s="856">
        <v>0</v>
      </c>
      <c r="F30" s="601"/>
      <c r="G30" s="836"/>
    </row>
    <row r="31" spans="2:7" x14ac:dyDescent="0.25">
      <c r="B31" s="839"/>
      <c r="C31" s="601"/>
      <c r="D31" s="601" t="s">
        <v>415</v>
      </c>
      <c r="E31" s="856">
        <v>0</v>
      </c>
      <c r="F31" s="601"/>
      <c r="G31" s="836"/>
    </row>
    <row r="32" spans="2:7" x14ac:dyDescent="0.25">
      <c r="B32" s="839"/>
      <c r="C32" s="601"/>
      <c r="D32" s="601" t="s">
        <v>416</v>
      </c>
      <c r="E32" s="856">
        <v>0</v>
      </c>
      <c r="F32" s="601"/>
      <c r="G32" s="836"/>
    </row>
    <row r="33" spans="2:7" x14ac:dyDescent="0.25">
      <c r="B33" s="839"/>
      <c r="C33" s="601"/>
      <c r="D33" s="601" t="s">
        <v>417</v>
      </c>
      <c r="E33" s="856">
        <v>0</v>
      </c>
      <c r="F33" s="601"/>
      <c r="G33" s="836"/>
    </row>
    <row r="34" spans="2:7" x14ac:dyDescent="0.25">
      <c r="B34" s="839"/>
      <c r="C34" s="601"/>
      <c r="D34" s="601" t="s">
        <v>418</v>
      </c>
      <c r="E34" s="856">
        <v>0</v>
      </c>
      <c r="F34" s="601"/>
      <c r="G34" s="836"/>
    </row>
    <row r="35" spans="2:7" x14ac:dyDescent="0.25">
      <c r="B35" s="839"/>
      <c r="C35" s="601"/>
      <c r="D35" s="601" t="s">
        <v>419</v>
      </c>
      <c r="E35" s="856">
        <v>0</v>
      </c>
      <c r="F35" s="601"/>
      <c r="G35" s="836"/>
    </row>
    <row r="36" spans="2:7" x14ac:dyDescent="0.25">
      <c r="B36" s="839"/>
      <c r="C36" s="601"/>
      <c r="D36" s="601" t="s">
        <v>420</v>
      </c>
      <c r="E36" s="856">
        <v>0</v>
      </c>
      <c r="F36" s="601"/>
      <c r="G36" s="836"/>
    </row>
    <row r="37" spans="2:7" x14ac:dyDescent="0.25">
      <c r="B37" s="839"/>
      <c r="C37" s="601"/>
      <c r="D37" s="601" t="s">
        <v>421</v>
      </c>
      <c r="E37" s="856">
        <v>0</v>
      </c>
      <c r="F37" s="601"/>
      <c r="G37" s="836"/>
    </row>
    <row r="38" spans="2:7" x14ac:dyDescent="0.25">
      <c r="B38" s="839"/>
      <c r="C38" s="601"/>
      <c r="D38" s="601" t="s">
        <v>422</v>
      </c>
      <c r="E38" s="856">
        <v>0</v>
      </c>
      <c r="F38" s="601"/>
      <c r="G38" s="836"/>
    </row>
    <row r="39" spans="2:7" x14ac:dyDescent="0.25">
      <c r="B39" s="839"/>
      <c r="C39" s="601"/>
      <c r="D39" s="601" t="s">
        <v>423</v>
      </c>
      <c r="E39" s="856">
        <v>0</v>
      </c>
      <c r="F39" s="601"/>
      <c r="G39" s="836"/>
    </row>
    <row r="40" spans="2:7" x14ac:dyDescent="0.25">
      <c r="B40" s="839"/>
      <c r="C40" s="601"/>
      <c r="D40" s="601" t="s">
        <v>424</v>
      </c>
      <c r="E40" s="856">
        <v>0</v>
      </c>
      <c r="F40" s="601"/>
      <c r="G40" s="836"/>
    </row>
    <row r="41" spans="2:7" x14ac:dyDescent="0.25">
      <c r="B41" s="839"/>
      <c r="C41" s="601"/>
      <c r="D41" s="601" t="s">
        <v>425</v>
      </c>
      <c r="E41" s="856">
        <v>0</v>
      </c>
      <c r="F41" s="601"/>
      <c r="G41" s="836"/>
    </row>
    <row r="42" spans="2:7" x14ac:dyDescent="0.25">
      <c r="B42" s="839"/>
      <c r="C42" s="601"/>
      <c r="D42" s="601" t="s">
        <v>426</v>
      </c>
      <c r="E42" s="857">
        <v>0</v>
      </c>
      <c r="F42" s="601"/>
      <c r="G42" s="836"/>
    </row>
    <row r="43" spans="2:7" x14ac:dyDescent="0.25">
      <c r="B43" s="839"/>
      <c r="C43" s="601"/>
      <c r="D43" s="601"/>
      <c r="E43" s="601"/>
      <c r="F43" s="601"/>
      <c r="G43" s="836"/>
    </row>
    <row r="44" spans="2:7" x14ac:dyDescent="0.25">
      <c r="B44" s="839" t="s">
        <v>427</v>
      </c>
      <c r="C44" s="601"/>
      <c r="D44" s="601"/>
      <c r="E44" s="601"/>
      <c r="F44" s="601"/>
      <c r="G44" s="836"/>
    </row>
    <row r="45" spans="2:7" x14ac:dyDescent="0.25">
      <c r="B45" s="839"/>
      <c r="C45" s="601"/>
      <c r="D45" s="601" t="s">
        <v>400</v>
      </c>
      <c r="E45" s="856">
        <v>0</v>
      </c>
      <c r="F45" s="601"/>
      <c r="G45" s="836"/>
    </row>
    <row r="46" spans="2:7" x14ac:dyDescent="0.25">
      <c r="B46" s="839"/>
      <c r="C46" s="601"/>
      <c r="D46" s="601" t="s">
        <v>401</v>
      </c>
      <c r="E46" s="856">
        <v>0</v>
      </c>
      <c r="F46" s="601"/>
      <c r="G46" s="836"/>
    </row>
    <row r="47" spans="2:7" x14ac:dyDescent="0.25">
      <c r="B47" s="839"/>
      <c r="C47" s="601"/>
      <c r="D47" s="601" t="s">
        <v>402</v>
      </c>
      <c r="E47" s="856">
        <v>0</v>
      </c>
      <c r="F47" s="601"/>
      <c r="G47" s="836"/>
    </row>
    <row r="48" spans="2:7" x14ac:dyDescent="0.25">
      <c r="B48" s="839"/>
      <c r="C48" s="601"/>
      <c r="D48" s="601" t="s">
        <v>403</v>
      </c>
      <c r="E48" s="856">
        <v>0</v>
      </c>
      <c r="F48" s="601"/>
      <c r="G48" s="836"/>
    </row>
    <row r="49" spans="2:7" x14ac:dyDescent="0.25">
      <c r="B49" s="839"/>
      <c r="C49" s="601"/>
      <c r="D49" s="601" t="s">
        <v>404</v>
      </c>
      <c r="E49" s="856">
        <v>0</v>
      </c>
      <c r="F49" s="601"/>
      <c r="G49" s="836"/>
    </row>
    <row r="50" spans="2:7" x14ac:dyDescent="0.25">
      <c r="B50" s="839"/>
      <c r="C50" s="601"/>
      <c r="D50" s="601" t="s">
        <v>405</v>
      </c>
      <c r="E50" s="856">
        <v>0</v>
      </c>
      <c r="F50" s="601"/>
      <c r="G50" s="836"/>
    </row>
    <row r="51" spans="2:7" x14ac:dyDescent="0.25">
      <c r="B51" s="839"/>
      <c r="C51" s="601"/>
      <c r="D51" s="601" t="s">
        <v>406</v>
      </c>
      <c r="E51" s="856">
        <v>0</v>
      </c>
      <c r="F51" s="601"/>
      <c r="G51" s="836"/>
    </row>
    <row r="52" spans="2:7" x14ac:dyDescent="0.25">
      <c r="B52" s="839"/>
      <c r="C52" s="601"/>
      <c r="D52" s="601" t="s">
        <v>407</v>
      </c>
      <c r="E52" s="856">
        <v>0</v>
      </c>
      <c r="F52" s="601"/>
      <c r="G52" s="836"/>
    </row>
    <row r="53" spans="2:7" x14ac:dyDescent="0.25">
      <c r="B53" s="839"/>
      <c r="C53" s="601"/>
      <c r="D53" s="601" t="s">
        <v>408</v>
      </c>
      <c r="E53" s="856">
        <v>0</v>
      </c>
      <c r="F53" s="601"/>
      <c r="G53" s="836"/>
    </row>
    <row r="54" spans="2:7" x14ac:dyDescent="0.25">
      <c r="B54" s="839"/>
      <c r="C54" s="601"/>
      <c r="D54" s="601" t="s">
        <v>409</v>
      </c>
      <c r="E54" s="856">
        <v>0</v>
      </c>
      <c r="F54" s="601"/>
      <c r="G54" s="836"/>
    </row>
    <row r="55" spans="2:7" x14ac:dyDescent="0.25">
      <c r="B55" s="839"/>
      <c r="C55" s="601"/>
      <c r="D55" s="601" t="s">
        <v>410</v>
      </c>
      <c r="E55" s="856">
        <v>0</v>
      </c>
      <c r="F55" s="601"/>
      <c r="G55" s="836"/>
    </row>
    <row r="56" spans="2:7" x14ac:dyDescent="0.25">
      <c r="B56" s="839"/>
      <c r="C56" s="601"/>
      <c r="D56" s="601" t="s">
        <v>411</v>
      </c>
      <c r="E56" s="856">
        <v>0</v>
      </c>
      <c r="F56" s="601"/>
      <c r="G56" s="836"/>
    </row>
    <row r="57" spans="2:7" x14ac:dyDescent="0.25">
      <c r="B57" s="839"/>
      <c r="C57" s="601"/>
      <c r="D57" s="601" t="s">
        <v>412</v>
      </c>
      <c r="E57" s="856">
        <v>0</v>
      </c>
      <c r="F57" s="601"/>
      <c r="G57" s="836"/>
    </row>
    <row r="58" spans="2:7" x14ac:dyDescent="0.25">
      <c r="B58" s="839"/>
      <c r="C58" s="601"/>
      <c r="D58" s="601" t="s">
        <v>413</v>
      </c>
      <c r="E58" s="856">
        <v>0</v>
      </c>
      <c r="F58" s="601"/>
      <c r="G58" s="836"/>
    </row>
    <row r="59" spans="2:7" x14ac:dyDescent="0.25">
      <c r="B59" s="839"/>
      <c r="C59" s="601"/>
      <c r="D59" s="601" t="s">
        <v>414</v>
      </c>
      <c r="E59" s="856">
        <v>0</v>
      </c>
      <c r="F59" s="601"/>
      <c r="G59" s="836"/>
    </row>
    <row r="60" spans="2:7" x14ac:dyDescent="0.25">
      <c r="B60" s="839"/>
      <c r="C60" s="601"/>
      <c r="D60" s="601" t="s">
        <v>415</v>
      </c>
      <c r="E60" s="856">
        <v>0</v>
      </c>
      <c r="F60" s="601"/>
      <c r="G60" s="836"/>
    </row>
    <row r="61" spans="2:7" x14ac:dyDescent="0.25">
      <c r="B61" s="839"/>
      <c r="C61" s="601"/>
      <c r="D61" s="601" t="s">
        <v>416</v>
      </c>
      <c r="E61" s="856">
        <v>0</v>
      </c>
      <c r="F61" s="601"/>
      <c r="G61" s="836"/>
    </row>
    <row r="62" spans="2:7" x14ac:dyDescent="0.25">
      <c r="B62" s="839"/>
      <c r="C62" s="601"/>
      <c r="D62" s="601" t="s">
        <v>417</v>
      </c>
      <c r="E62" s="856">
        <v>0</v>
      </c>
      <c r="F62" s="601"/>
      <c r="G62" s="836"/>
    </row>
    <row r="63" spans="2:7" x14ac:dyDescent="0.25">
      <c r="B63" s="839"/>
      <c r="C63" s="601"/>
      <c r="D63" s="601" t="s">
        <v>418</v>
      </c>
      <c r="E63" s="856">
        <v>0</v>
      </c>
      <c r="F63" s="601"/>
      <c r="G63" s="836"/>
    </row>
    <row r="64" spans="2:7" x14ac:dyDescent="0.25">
      <c r="B64" s="839"/>
      <c r="C64" s="601"/>
      <c r="D64" s="601" t="s">
        <v>419</v>
      </c>
      <c r="E64" s="856">
        <v>0</v>
      </c>
      <c r="F64" s="601"/>
      <c r="G64" s="836"/>
    </row>
    <row r="65" spans="2:7" x14ac:dyDescent="0.25">
      <c r="B65" s="839"/>
      <c r="C65" s="601"/>
      <c r="D65" s="601" t="s">
        <v>420</v>
      </c>
      <c r="E65" s="856">
        <v>0</v>
      </c>
      <c r="F65" s="601"/>
      <c r="G65" s="836"/>
    </row>
    <row r="66" spans="2:7" x14ac:dyDescent="0.25">
      <c r="B66" s="839"/>
      <c r="C66" s="601"/>
      <c r="D66" s="601" t="s">
        <v>421</v>
      </c>
      <c r="E66" s="856">
        <v>0</v>
      </c>
      <c r="F66" s="601"/>
      <c r="G66" s="836"/>
    </row>
    <row r="67" spans="2:7" x14ac:dyDescent="0.25">
      <c r="B67" s="839"/>
      <c r="C67" s="601"/>
      <c r="D67" s="601" t="s">
        <v>422</v>
      </c>
      <c r="E67" s="856">
        <v>0</v>
      </c>
      <c r="F67" s="601"/>
      <c r="G67" s="836"/>
    </row>
    <row r="68" spans="2:7" x14ac:dyDescent="0.25">
      <c r="B68" s="839"/>
      <c r="C68" s="601"/>
      <c r="D68" s="601" t="s">
        <v>423</v>
      </c>
      <c r="E68" s="856">
        <v>0</v>
      </c>
      <c r="F68" s="601"/>
      <c r="G68" s="836"/>
    </row>
    <row r="69" spans="2:7" x14ac:dyDescent="0.25">
      <c r="B69" s="839"/>
      <c r="C69" s="601"/>
      <c r="D69" s="601" t="s">
        <v>424</v>
      </c>
      <c r="E69" s="856">
        <v>0</v>
      </c>
      <c r="F69" s="601"/>
      <c r="G69" s="836"/>
    </row>
    <row r="70" spans="2:7" x14ac:dyDescent="0.25">
      <c r="B70" s="839"/>
      <c r="C70" s="601"/>
      <c r="D70" s="601" t="s">
        <v>425</v>
      </c>
      <c r="E70" s="856">
        <v>0</v>
      </c>
      <c r="F70" s="601"/>
      <c r="G70" s="836"/>
    </row>
    <row r="71" spans="2:7" x14ac:dyDescent="0.25">
      <c r="B71" s="839"/>
      <c r="C71" s="601"/>
      <c r="D71" s="601" t="s">
        <v>426</v>
      </c>
      <c r="E71" s="857">
        <v>0</v>
      </c>
      <c r="F71" s="601"/>
      <c r="G71" s="836"/>
    </row>
    <row r="72" spans="2:7" x14ac:dyDescent="0.25">
      <c r="B72" s="839"/>
      <c r="C72" s="601"/>
      <c r="D72" s="601"/>
      <c r="E72" s="601"/>
      <c r="F72" s="601"/>
      <c r="G72" s="836"/>
    </row>
    <row r="73" spans="2:7" x14ac:dyDescent="0.25">
      <c r="B73" s="839" t="s">
        <v>428</v>
      </c>
      <c r="C73" s="601"/>
      <c r="D73" s="601"/>
      <c r="E73" s="601"/>
      <c r="F73" s="601"/>
      <c r="G73" s="836"/>
    </row>
    <row r="74" spans="2:7" x14ac:dyDescent="0.25">
      <c r="B74" s="839"/>
      <c r="C74" s="601"/>
      <c r="D74" s="601" t="s">
        <v>400</v>
      </c>
      <c r="E74" s="856">
        <v>0</v>
      </c>
      <c r="F74" s="601"/>
      <c r="G74" s="836"/>
    </row>
    <row r="75" spans="2:7" x14ac:dyDescent="0.25">
      <c r="B75" s="839"/>
      <c r="C75" s="601"/>
      <c r="D75" s="601" t="s">
        <v>401</v>
      </c>
      <c r="E75" s="856">
        <v>0</v>
      </c>
      <c r="F75" s="601"/>
      <c r="G75" s="836"/>
    </row>
    <row r="76" spans="2:7" x14ac:dyDescent="0.25">
      <c r="B76" s="839"/>
      <c r="C76" s="601"/>
      <c r="D76" s="601" t="s">
        <v>402</v>
      </c>
      <c r="E76" s="856">
        <v>0</v>
      </c>
      <c r="F76" s="601"/>
      <c r="G76" s="836"/>
    </row>
    <row r="77" spans="2:7" x14ac:dyDescent="0.25">
      <c r="B77" s="839"/>
      <c r="C77" s="601"/>
      <c r="D77" s="601" t="s">
        <v>403</v>
      </c>
      <c r="E77" s="856">
        <v>0</v>
      </c>
      <c r="F77" s="601"/>
      <c r="G77" s="836"/>
    </row>
    <row r="78" spans="2:7" x14ac:dyDescent="0.25">
      <c r="B78" s="839"/>
      <c r="C78" s="601"/>
      <c r="D78" s="601" t="s">
        <v>404</v>
      </c>
      <c r="E78" s="856">
        <v>0</v>
      </c>
      <c r="F78" s="601"/>
      <c r="G78" s="836"/>
    </row>
    <row r="79" spans="2:7" x14ac:dyDescent="0.25">
      <c r="B79" s="839"/>
      <c r="C79" s="601"/>
      <c r="D79" s="601" t="s">
        <v>405</v>
      </c>
      <c r="E79" s="856">
        <v>0</v>
      </c>
      <c r="F79" s="601"/>
      <c r="G79" s="836"/>
    </row>
    <row r="80" spans="2:7" x14ac:dyDescent="0.25">
      <c r="B80" s="839"/>
      <c r="C80" s="601"/>
      <c r="D80" s="601" t="s">
        <v>406</v>
      </c>
      <c r="E80" s="856">
        <v>0</v>
      </c>
      <c r="F80" s="601"/>
      <c r="G80" s="836"/>
    </row>
    <row r="81" spans="2:7" x14ac:dyDescent="0.25">
      <c r="B81" s="839"/>
      <c r="C81" s="601"/>
      <c r="D81" s="601" t="s">
        <v>407</v>
      </c>
      <c r="E81" s="856">
        <v>0</v>
      </c>
      <c r="F81" s="601"/>
      <c r="G81" s="836"/>
    </row>
    <row r="82" spans="2:7" x14ac:dyDescent="0.25">
      <c r="B82" s="839"/>
      <c r="C82" s="601"/>
      <c r="D82" s="601" t="s">
        <v>408</v>
      </c>
      <c r="E82" s="856">
        <v>0</v>
      </c>
      <c r="F82" s="601"/>
      <c r="G82" s="836"/>
    </row>
    <row r="83" spans="2:7" x14ac:dyDescent="0.25">
      <c r="B83" s="839"/>
      <c r="C83" s="601"/>
      <c r="D83" s="601" t="s">
        <v>409</v>
      </c>
      <c r="E83" s="856">
        <v>0</v>
      </c>
      <c r="F83" s="601"/>
      <c r="G83" s="836"/>
    </row>
    <row r="84" spans="2:7" x14ac:dyDescent="0.25">
      <c r="B84" s="839"/>
      <c r="C84" s="601"/>
      <c r="D84" s="601" t="s">
        <v>410</v>
      </c>
      <c r="E84" s="856">
        <v>0</v>
      </c>
      <c r="F84" s="601"/>
      <c r="G84" s="836"/>
    </row>
    <row r="85" spans="2:7" x14ac:dyDescent="0.25">
      <c r="B85" s="839"/>
      <c r="C85" s="601"/>
      <c r="D85" s="601" t="s">
        <v>411</v>
      </c>
      <c r="E85" s="856">
        <v>0</v>
      </c>
      <c r="F85" s="601"/>
      <c r="G85" s="836"/>
    </row>
    <row r="86" spans="2:7" x14ac:dyDescent="0.25">
      <c r="B86" s="839"/>
      <c r="C86" s="601"/>
      <c r="D86" s="601" t="s">
        <v>412</v>
      </c>
      <c r="E86" s="856">
        <v>0</v>
      </c>
      <c r="F86" s="601"/>
      <c r="G86" s="836"/>
    </row>
    <row r="87" spans="2:7" x14ac:dyDescent="0.25">
      <c r="B87" s="839"/>
      <c r="C87" s="601"/>
      <c r="D87" s="601" t="s">
        <v>413</v>
      </c>
      <c r="E87" s="856">
        <v>0</v>
      </c>
      <c r="F87" s="601"/>
      <c r="G87" s="836"/>
    </row>
    <row r="88" spans="2:7" x14ac:dyDescent="0.25">
      <c r="B88" s="839"/>
      <c r="C88" s="601"/>
      <c r="D88" s="601" t="s">
        <v>414</v>
      </c>
      <c r="E88" s="856">
        <v>0</v>
      </c>
      <c r="F88" s="601"/>
      <c r="G88" s="836"/>
    </row>
    <row r="89" spans="2:7" x14ac:dyDescent="0.25">
      <c r="B89" s="839"/>
      <c r="C89" s="601"/>
      <c r="D89" s="601" t="s">
        <v>415</v>
      </c>
      <c r="E89" s="856">
        <v>0</v>
      </c>
      <c r="F89" s="601"/>
      <c r="G89" s="836"/>
    </row>
    <row r="90" spans="2:7" x14ac:dyDescent="0.25">
      <c r="B90" s="839"/>
      <c r="C90" s="601"/>
      <c r="D90" s="601" t="s">
        <v>416</v>
      </c>
      <c r="E90" s="856">
        <v>0</v>
      </c>
      <c r="F90" s="601"/>
      <c r="G90" s="836"/>
    </row>
    <row r="91" spans="2:7" x14ac:dyDescent="0.25">
      <c r="B91" s="839"/>
      <c r="C91" s="601"/>
      <c r="D91" s="601" t="s">
        <v>417</v>
      </c>
      <c r="E91" s="856">
        <v>0</v>
      </c>
      <c r="F91" s="601"/>
      <c r="G91" s="836"/>
    </row>
    <row r="92" spans="2:7" x14ac:dyDescent="0.25">
      <c r="B92" s="839"/>
      <c r="C92" s="601"/>
      <c r="D92" s="601" t="s">
        <v>418</v>
      </c>
      <c r="E92" s="856">
        <v>0</v>
      </c>
      <c r="F92" s="601"/>
      <c r="G92" s="836"/>
    </row>
    <row r="93" spans="2:7" x14ac:dyDescent="0.25">
      <c r="B93" s="839"/>
      <c r="C93" s="601"/>
      <c r="D93" s="601" t="s">
        <v>419</v>
      </c>
      <c r="E93" s="856">
        <v>0</v>
      </c>
      <c r="F93" s="601"/>
      <c r="G93" s="836"/>
    </row>
    <row r="94" spans="2:7" x14ac:dyDescent="0.25">
      <c r="B94" s="839"/>
      <c r="C94" s="601"/>
      <c r="D94" s="601" t="s">
        <v>420</v>
      </c>
      <c r="E94" s="856">
        <v>0</v>
      </c>
      <c r="F94" s="601"/>
      <c r="G94" s="836"/>
    </row>
    <row r="95" spans="2:7" x14ac:dyDescent="0.25">
      <c r="B95" s="839"/>
      <c r="C95" s="601"/>
      <c r="D95" s="601" t="s">
        <v>421</v>
      </c>
      <c r="E95" s="856">
        <v>0</v>
      </c>
      <c r="F95" s="601"/>
      <c r="G95" s="836"/>
    </row>
    <row r="96" spans="2:7" x14ac:dyDescent="0.25">
      <c r="B96" s="839"/>
      <c r="C96" s="601"/>
      <c r="D96" s="601" t="s">
        <v>422</v>
      </c>
      <c r="E96" s="856">
        <v>0</v>
      </c>
      <c r="F96" s="601"/>
      <c r="G96" s="836"/>
    </row>
    <row r="97" spans="2:7" x14ac:dyDescent="0.25">
      <c r="B97" s="839"/>
      <c r="C97" s="601"/>
      <c r="D97" s="601" t="s">
        <v>423</v>
      </c>
      <c r="E97" s="856">
        <v>0</v>
      </c>
      <c r="F97" s="601"/>
      <c r="G97" s="836"/>
    </row>
    <row r="98" spans="2:7" x14ac:dyDescent="0.25">
      <c r="B98" s="839"/>
      <c r="C98" s="601"/>
      <c r="D98" s="601" t="s">
        <v>424</v>
      </c>
      <c r="E98" s="856">
        <v>0</v>
      </c>
      <c r="F98" s="601"/>
      <c r="G98" s="836"/>
    </row>
    <row r="99" spans="2:7" x14ac:dyDescent="0.25">
      <c r="B99" s="839"/>
      <c r="C99" s="601"/>
      <c r="D99" s="601" t="s">
        <v>425</v>
      </c>
      <c r="E99" s="856">
        <v>0</v>
      </c>
      <c r="F99" s="601"/>
      <c r="G99" s="836"/>
    </row>
    <row r="100" spans="2:7" x14ac:dyDescent="0.25">
      <c r="B100" s="839"/>
      <c r="C100" s="601"/>
      <c r="D100" s="601" t="s">
        <v>426</v>
      </c>
      <c r="E100" s="857">
        <v>0</v>
      </c>
      <c r="F100" s="601"/>
      <c r="G100" s="836"/>
    </row>
    <row r="101" spans="2:7" x14ac:dyDescent="0.25">
      <c r="B101" s="839"/>
      <c r="C101" s="601"/>
      <c r="D101" s="601"/>
      <c r="E101" s="601"/>
      <c r="F101" s="601"/>
      <c r="G101" s="836"/>
    </row>
    <row r="102" spans="2:7" x14ac:dyDescent="0.25">
      <c r="B102" s="839" t="s">
        <v>429</v>
      </c>
      <c r="C102" s="601"/>
      <c r="D102" s="601"/>
      <c r="E102" s="601"/>
      <c r="F102" s="601"/>
      <c r="G102" s="836"/>
    </row>
    <row r="103" spans="2:7" x14ac:dyDescent="0.25">
      <c r="B103" s="839"/>
      <c r="C103" s="601"/>
      <c r="D103" s="601" t="s">
        <v>400</v>
      </c>
      <c r="E103" s="856">
        <v>0</v>
      </c>
      <c r="F103" s="601"/>
      <c r="G103" s="836"/>
    </row>
    <row r="104" spans="2:7" x14ac:dyDescent="0.25">
      <c r="B104" s="839"/>
      <c r="C104" s="601"/>
      <c r="D104" s="601" t="s">
        <v>401</v>
      </c>
      <c r="E104" s="856">
        <v>0</v>
      </c>
      <c r="F104" s="601"/>
      <c r="G104" s="836"/>
    </row>
    <row r="105" spans="2:7" x14ac:dyDescent="0.25">
      <c r="B105" s="839"/>
      <c r="C105" s="601"/>
      <c r="D105" s="601" t="s">
        <v>402</v>
      </c>
      <c r="E105" s="856">
        <v>0</v>
      </c>
      <c r="F105" s="601"/>
      <c r="G105" s="836"/>
    </row>
    <row r="106" spans="2:7" x14ac:dyDescent="0.25">
      <c r="B106" s="839"/>
      <c r="C106" s="601"/>
      <c r="D106" s="601" t="s">
        <v>403</v>
      </c>
      <c r="E106" s="856">
        <v>0</v>
      </c>
      <c r="F106" s="601"/>
      <c r="G106" s="836"/>
    </row>
    <row r="107" spans="2:7" x14ac:dyDescent="0.25">
      <c r="B107" s="839"/>
      <c r="C107" s="601"/>
      <c r="D107" s="601" t="s">
        <v>404</v>
      </c>
      <c r="E107" s="856">
        <v>0</v>
      </c>
      <c r="F107" s="601"/>
      <c r="G107" s="836"/>
    </row>
    <row r="108" spans="2:7" x14ac:dyDescent="0.25">
      <c r="B108" s="839"/>
      <c r="C108" s="601"/>
      <c r="D108" s="601" t="s">
        <v>405</v>
      </c>
      <c r="E108" s="856">
        <v>0</v>
      </c>
      <c r="F108" s="601"/>
      <c r="G108" s="836"/>
    </row>
    <row r="109" spans="2:7" x14ac:dyDescent="0.25">
      <c r="B109" s="839"/>
      <c r="C109" s="601"/>
      <c r="D109" s="601" t="s">
        <v>406</v>
      </c>
      <c r="E109" s="856">
        <v>0</v>
      </c>
      <c r="F109" s="601"/>
      <c r="G109" s="836"/>
    </row>
    <row r="110" spans="2:7" x14ac:dyDescent="0.25">
      <c r="B110" s="839"/>
      <c r="C110" s="601"/>
      <c r="D110" s="601" t="s">
        <v>407</v>
      </c>
      <c r="E110" s="856">
        <v>0</v>
      </c>
      <c r="F110" s="601"/>
      <c r="G110" s="836"/>
    </row>
    <row r="111" spans="2:7" x14ac:dyDescent="0.25">
      <c r="B111" s="839"/>
      <c r="C111" s="601"/>
      <c r="D111" s="601" t="s">
        <v>408</v>
      </c>
      <c r="E111" s="856">
        <v>0</v>
      </c>
      <c r="F111" s="601"/>
      <c r="G111" s="836"/>
    </row>
    <row r="112" spans="2:7" x14ac:dyDescent="0.25">
      <c r="B112" s="839"/>
      <c r="C112" s="601"/>
      <c r="D112" s="601" t="s">
        <v>409</v>
      </c>
      <c r="E112" s="856">
        <v>0</v>
      </c>
      <c r="F112" s="601"/>
      <c r="G112" s="836"/>
    </row>
    <row r="113" spans="2:7" x14ac:dyDescent="0.25">
      <c r="B113" s="839"/>
      <c r="C113" s="601"/>
      <c r="D113" s="601" t="s">
        <v>410</v>
      </c>
      <c r="E113" s="856">
        <v>0</v>
      </c>
      <c r="F113" s="601"/>
      <c r="G113" s="836"/>
    </row>
    <row r="114" spans="2:7" x14ac:dyDescent="0.25">
      <c r="B114" s="839"/>
      <c r="C114" s="601"/>
      <c r="D114" s="601" t="s">
        <v>411</v>
      </c>
      <c r="E114" s="856">
        <v>0</v>
      </c>
      <c r="F114" s="601"/>
      <c r="G114" s="836"/>
    </row>
    <row r="115" spans="2:7" x14ac:dyDescent="0.25">
      <c r="B115" s="839"/>
      <c r="C115" s="601"/>
      <c r="D115" s="601" t="s">
        <v>412</v>
      </c>
      <c r="E115" s="856">
        <v>0</v>
      </c>
      <c r="F115" s="601"/>
      <c r="G115" s="836"/>
    </row>
    <row r="116" spans="2:7" x14ac:dyDescent="0.25">
      <c r="B116" s="839"/>
      <c r="C116" s="601"/>
      <c r="D116" s="601" t="s">
        <v>413</v>
      </c>
      <c r="E116" s="856">
        <v>0</v>
      </c>
      <c r="F116" s="601"/>
      <c r="G116" s="836"/>
    </row>
    <row r="117" spans="2:7" x14ac:dyDescent="0.25">
      <c r="B117" s="839"/>
      <c r="C117" s="601"/>
      <c r="D117" s="601" t="s">
        <v>414</v>
      </c>
      <c r="E117" s="856">
        <v>0</v>
      </c>
      <c r="F117" s="601"/>
      <c r="G117" s="836"/>
    </row>
    <row r="118" spans="2:7" x14ac:dyDescent="0.25">
      <c r="B118" s="839"/>
      <c r="C118" s="601"/>
      <c r="D118" s="601" t="s">
        <v>415</v>
      </c>
      <c r="E118" s="856">
        <v>0</v>
      </c>
      <c r="F118" s="601"/>
      <c r="G118" s="836"/>
    </row>
    <row r="119" spans="2:7" x14ac:dyDescent="0.25">
      <c r="B119" s="839"/>
      <c r="C119" s="601"/>
      <c r="D119" s="601" t="s">
        <v>416</v>
      </c>
      <c r="E119" s="856">
        <v>0</v>
      </c>
      <c r="F119" s="601"/>
      <c r="G119" s="836"/>
    </row>
    <row r="120" spans="2:7" x14ac:dyDescent="0.25">
      <c r="B120" s="839"/>
      <c r="C120" s="601"/>
      <c r="D120" s="601" t="s">
        <v>417</v>
      </c>
      <c r="E120" s="856">
        <v>0</v>
      </c>
      <c r="F120" s="601"/>
      <c r="G120" s="836"/>
    </row>
    <row r="121" spans="2:7" x14ac:dyDescent="0.25">
      <c r="B121" s="839"/>
      <c r="C121" s="601"/>
      <c r="D121" s="601" t="s">
        <v>418</v>
      </c>
      <c r="E121" s="856">
        <v>0</v>
      </c>
      <c r="F121" s="601"/>
      <c r="G121" s="836"/>
    </row>
    <row r="122" spans="2:7" x14ac:dyDescent="0.25">
      <c r="B122" s="839"/>
      <c r="C122" s="601"/>
      <c r="D122" s="601" t="s">
        <v>419</v>
      </c>
      <c r="E122" s="856">
        <v>0</v>
      </c>
      <c r="F122" s="601"/>
      <c r="G122" s="836"/>
    </row>
    <row r="123" spans="2:7" x14ac:dyDescent="0.25">
      <c r="B123" s="839"/>
      <c r="C123" s="601"/>
      <c r="D123" s="601" t="s">
        <v>420</v>
      </c>
      <c r="E123" s="856">
        <v>0</v>
      </c>
      <c r="F123" s="601"/>
      <c r="G123" s="836"/>
    </row>
    <row r="124" spans="2:7" x14ac:dyDescent="0.25">
      <c r="B124" s="839"/>
      <c r="C124" s="601"/>
      <c r="D124" s="601" t="s">
        <v>421</v>
      </c>
      <c r="E124" s="856">
        <v>0</v>
      </c>
      <c r="F124" s="601"/>
      <c r="G124" s="836"/>
    </row>
    <row r="125" spans="2:7" x14ac:dyDescent="0.25">
      <c r="B125" s="839"/>
      <c r="C125" s="601"/>
      <c r="D125" s="601" t="s">
        <v>422</v>
      </c>
      <c r="E125" s="856">
        <v>0</v>
      </c>
      <c r="F125" s="601"/>
      <c r="G125" s="836"/>
    </row>
    <row r="126" spans="2:7" x14ac:dyDescent="0.25">
      <c r="B126" s="839"/>
      <c r="C126" s="601"/>
      <c r="D126" s="601" t="s">
        <v>423</v>
      </c>
      <c r="E126" s="856">
        <v>0</v>
      </c>
      <c r="F126" s="601"/>
      <c r="G126" s="836"/>
    </row>
    <row r="127" spans="2:7" x14ac:dyDescent="0.25">
      <c r="B127" s="839"/>
      <c r="C127" s="601"/>
      <c r="D127" s="601" t="s">
        <v>424</v>
      </c>
      <c r="E127" s="856">
        <v>0</v>
      </c>
      <c r="F127" s="601"/>
      <c r="G127" s="836"/>
    </row>
    <row r="128" spans="2:7" x14ac:dyDescent="0.25">
      <c r="B128" s="839"/>
      <c r="C128" s="601"/>
      <c r="D128" s="601" t="s">
        <v>425</v>
      </c>
      <c r="E128" s="856">
        <v>0</v>
      </c>
      <c r="F128" s="601"/>
      <c r="G128" s="836"/>
    </row>
    <row r="129" spans="2:7" x14ac:dyDescent="0.25">
      <c r="B129" s="839"/>
      <c r="C129" s="601"/>
      <c r="D129" s="601" t="s">
        <v>426</v>
      </c>
      <c r="E129" s="857">
        <v>0</v>
      </c>
      <c r="F129" s="601"/>
      <c r="G129" s="836"/>
    </row>
    <row r="130" spans="2:7" x14ac:dyDescent="0.25">
      <c r="B130" s="839"/>
      <c r="C130" s="601"/>
      <c r="D130" s="601"/>
      <c r="E130" s="601"/>
      <c r="F130" s="601"/>
      <c r="G130" s="836"/>
    </row>
    <row r="131" spans="2:7" x14ac:dyDescent="0.25">
      <c r="B131" s="839" t="s">
        <v>430</v>
      </c>
      <c r="C131" s="601"/>
      <c r="D131" s="601"/>
      <c r="E131" s="601"/>
      <c r="F131" s="601"/>
      <c r="G131" s="836"/>
    </row>
    <row r="132" spans="2:7" x14ac:dyDescent="0.25">
      <c r="B132" s="839"/>
      <c r="C132" s="601"/>
      <c r="D132" s="601" t="s">
        <v>400</v>
      </c>
      <c r="E132" s="856">
        <v>0</v>
      </c>
      <c r="F132" s="601"/>
      <c r="G132" s="836"/>
    </row>
    <row r="133" spans="2:7" x14ac:dyDescent="0.25">
      <c r="B133" s="839"/>
      <c r="C133" s="601"/>
      <c r="D133" s="601" t="s">
        <v>401</v>
      </c>
      <c r="E133" s="856">
        <v>0</v>
      </c>
      <c r="F133" s="601"/>
      <c r="G133" s="836"/>
    </row>
    <row r="134" spans="2:7" x14ac:dyDescent="0.25">
      <c r="B134" s="839"/>
      <c r="C134" s="601"/>
      <c r="D134" s="601" t="s">
        <v>402</v>
      </c>
      <c r="E134" s="856">
        <v>0</v>
      </c>
      <c r="F134" s="601"/>
      <c r="G134" s="836"/>
    </row>
    <row r="135" spans="2:7" x14ac:dyDescent="0.25">
      <c r="B135" s="839"/>
      <c r="C135" s="601"/>
      <c r="D135" s="601" t="s">
        <v>403</v>
      </c>
      <c r="E135" s="856">
        <v>0</v>
      </c>
      <c r="F135" s="601"/>
      <c r="G135" s="836"/>
    </row>
    <row r="136" spans="2:7" x14ac:dyDescent="0.25">
      <c r="B136" s="839"/>
      <c r="C136" s="601"/>
      <c r="D136" s="601" t="s">
        <v>404</v>
      </c>
      <c r="E136" s="856">
        <v>0</v>
      </c>
      <c r="F136" s="601"/>
      <c r="G136" s="836"/>
    </row>
    <row r="137" spans="2:7" x14ac:dyDescent="0.25">
      <c r="B137" s="839"/>
      <c r="C137" s="601"/>
      <c r="D137" s="601" t="s">
        <v>405</v>
      </c>
      <c r="E137" s="856">
        <v>0</v>
      </c>
      <c r="F137" s="601"/>
      <c r="G137" s="836"/>
    </row>
    <row r="138" spans="2:7" x14ac:dyDescent="0.25">
      <c r="B138" s="839"/>
      <c r="C138" s="601"/>
      <c r="D138" s="601" t="s">
        <v>406</v>
      </c>
      <c r="E138" s="856">
        <v>0</v>
      </c>
      <c r="F138" s="601"/>
      <c r="G138" s="836"/>
    </row>
    <row r="139" spans="2:7" x14ac:dyDescent="0.25">
      <c r="B139" s="839"/>
      <c r="C139" s="601"/>
      <c r="D139" s="601" t="s">
        <v>407</v>
      </c>
      <c r="E139" s="856">
        <v>0</v>
      </c>
      <c r="F139" s="601"/>
      <c r="G139" s="836"/>
    </row>
    <row r="140" spans="2:7" x14ac:dyDescent="0.25">
      <c r="B140" s="839"/>
      <c r="C140" s="601"/>
      <c r="D140" s="601" t="s">
        <v>408</v>
      </c>
      <c r="E140" s="856">
        <v>0</v>
      </c>
      <c r="F140" s="601"/>
      <c r="G140" s="836"/>
    </row>
    <row r="141" spans="2:7" x14ac:dyDescent="0.25">
      <c r="B141" s="839"/>
      <c r="C141" s="601"/>
      <c r="D141" s="601" t="s">
        <v>409</v>
      </c>
      <c r="E141" s="856">
        <v>0</v>
      </c>
      <c r="F141" s="601"/>
      <c r="G141" s="836"/>
    </row>
    <row r="142" spans="2:7" x14ac:dyDescent="0.25">
      <c r="B142" s="839"/>
      <c r="C142" s="601"/>
      <c r="D142" s="601" t="s">
        <v>410</v>
      </c>
      <c r="E142" s="856">
        <v>0</v>
      </c>
      <c r="F142" s="601"/>
      <c r="G142" s="836"/>
    </row>
    <row r="143" spans="2:7" x14ac:dyDescent="0.25">
      <c r="B143" s="839"/>
      <c r="C143" s="601"/>
      <c r="D143" s="601" t="s">
        <v>411</v>
      </c>
      <c r="E143" s="856">
        <v>0</v>
      </c>
      <c r="F143" s="601"/>
      <c r="G143" s="836"/>
    </row>
    <row r="144" spans="2:7" x14ac:dyDescent="0.25">
      <c r="B144" s="839"/>
      <c r="C144" s="601"/>
      <c r="D144" s="601" t="s">
        <v>412</v>
      </c>
      <c r="E144" s="856">
        <v>0</v>
      </c>
      <c r="F144" s="601"/>
      <c r="G144" s="836"/>
    </row>
    <row r="145" spans="2:7" x14ac:dyDescent="0.25">
      <c r="B145" s="839"/>
      <c r="C145" s="601"/>
      <c r="D145" s="601" t="s">
        <v>413</v>
      </c>
      <c r="E145" s="856">
        <v>0</v>
      </c>
      <c r="F145" s="601"/>
      <c r="G145" s="836"/>
    </row>
    <row r="146" spans="2:7" x14ac:dyDescent="0.25">
      <c r="B146" s="839"/>
      <c r="C146" s="601"/>
      <c r="D146" s="601" t="s">
        <v>414</v>
      </c>
      <c r="E146" s="856">
        <v>0</v>
      </c>
      <c r="F146" s="601"/>
      <c r="G146" s="836"/>
    </row>
    <row r="147" spans="2:7" x14ac:dyDescent="0.25">
      <c r="B147" s="839"/>
      <c r="C147" s="601"/>
      <c r="D147" s="601" t="s">
        <v>415</v>
      </c>
      <c r="E147" s="856">
        <v>0</v>
      </c>
      <c r="F147" s="601"/>
      <c r="G147" s="836"/>
    </row>
    <row r="148" spans="2:7" x14ac:dyDescent="0.25">
      <c r="B148" s="839"/>
      <c r="C148" s="601"/>
      <c r="D148" s="601" t="s">
        <v>416</v>
      </c>
      <c r="E148" s="856">
        <v>0</v>
      </c>
      <c r="F148" s="601"/>
      <c r="G148" s="836"/>
    </row>
    <row r="149" spans="2:7" x14ac:dyDescent="0.25">
      <c r="B149" s="839"/>
      <c r="C149" s="601"/>
      <c r="D149" s="601" t="s">
        <v>417</v>
      </c>
      <c r="E149" s="856">
        <v>0</v>
      </c>
      <c r="F149" s="601"/>
      <c r="G149" s="836"/>
    </row>
    <row r="150" spans="2:7" x14ac:dyDescent="0.25">
      <c r="B150" s="839"/>
      <c r="C150" s="601"/>
      <c r="D150" s="601" t="s">
        <v>418</v>
      </c>
      <c r="E150" s="856">
        <v>0</v>
      </c>
      <c r="F150" s="601"/>
      <c r="G150" s="836"/>
    </row>
    <row r="151" spans="2:7" x14ac:dyDescent="0.25">
      <c r="B151" s="839"/>
      <c r="C151" s="601"/>
      <c r="D151" s="601" t="s">
        <v>419</v>
      </c>
      <c r="E151" s="856">
        <v>0</v>
      </c>
      <c r="F151" s="601"/>
      <c r="G151" s="836"/>
    </row>
    <row r="152" spans="2:7" x14ac:dyDescent="0.25">
      <c r="B152" s="839"/>
      <c r="C152" s="601"/>
      <c r="D152" s="601" t="s">
        <v>420</v>
      </c>
      <c r="E152" s="856">
        <v>0</v>
      </c>
      <c r="F152" s="601"/>
      <c r="G152" s="836"/>
    </row>
    <row r="153" spans="2:7" x14ac:dyDescent="0.25">
      <c r="B153" s="839"/>
      <c r="C153" s="601"/>
      <c r="D153" s="601" t="s">
        <v>421</v>
      </c>
      <c r="E153" s="856">
        <v>0</v>
      </c>
      <c r="F153" s="601"/>
      <c r="G153" s="836"/>
    </row>
    <row r="154" spans="2:7" x14ac:dyDescent="0.25">
      <c r="B154" s="839"/>
      <c r="C154" s="601"/>
      <c r="D154" s="601" t="s">
        <v>422</v>
      </c>
      <c r="E154" s="856">
        <v>0</v>
      </c>
      <c r="F154" s="601"/>
      <c r="G154" s="836"/>
    </row>
    <row r="155" spans="2:7" x14ac:dyDescent="0.25">
      <c r="B155" s="839"/>
      <c r="C155" s="601"/>
      <c r="D155" s="601" t="s">
        <v>423</v>
      </c>
      <c r="E155" s="856">
        <v>0</v>
      </c>
      <c r="F155" s="601"/>
      <c r="G155" s="836"/>
    </row>
    <row r="156" spans="2:7" x14ac:dyDescent="0.25">
      <c r="B156" s="839"/>
      <c r="C156" s="601"/>
      <c r="D156" s="601" t="s">
        <v>424</v>
      </c>
      <c r="E156" s="856">
        <v>0</v>
      </c>
      <c r="F156" s="601"/>
      <c r="G156" s="836"/>
    </row>
    <row r="157" spans="2:7" x14ac:dyDescent="0.25">
      <c r="B157" s="839"/>
      <c r="C157" s="601"/>
      <c r="D157" s="601" t="s">
        <v>425</v>
      </c>
      <c r="E157" s="856">
        <v>0</v>
      </c>
      <c r="F157" s="601"/>
      <c r="G157" s="836"/>
    </row>
    <row r="158" spans="2:7" x14ac:dyDescent="0.25">
      <c r="B158" s="839"/>
      <c r="C158" s="601"/>
      <c r="D158" s="601" t="s">
        <v>426</v>
      </c>
      <c r="E158" s="857">
        <v>0</v>
      </c>
      <c r="F158" s="601"/>
      <c r="G158" s="836"/>
    </row>
    <row r="159" spans="2:7" x14ac:dyDescent="0.25">
      <c r="B159" s="839"/>
      <c r="C159" s="601"/>
      <c r="D159" s="601"/>
      <c r="E159" s="601"/>
      <c r="F159" s="601"/>
      <c r="G159" s="836"/>
    </row>
    <row r="160" spans="2:7" x14ac:dyDescent="0.25">
      <c r="B160" s="839" t="s">
        <v>431</v>
      </c>
      <c r="C160" s="601"/>
      <c r="D160" s="601"/>
      <c r="E160" s="601"/>
      <c r="F160" s="601"/>
      <c r="G160" s="836"/>
    </row>
    <row r="161" spans="2:7" x14ac:dyDescent="0.25">
      <c r="B161" s="839"/>
      <c r="C161" s="601"/>
      <c r="D161" s="601" t="s">
        <v>400</v>
      </c>
      <c r="E161" s="856">
        <v>0</v>
      </c>
      <c r="F161" s="601"/>
      <c r="G161" s="836"/>
    </row>
    <row r="162" spans="2:7" x14ac:dyDescent="0.25">
      <c r="B162" s="839"/>
      <c r="C162" s="601"/>
      <c r="D162" s="601" t="s">
        <v>401</v>
      </c>
      <c r="E162" s="856">
        <v>0</v>
      </c>
      <c r="F162" s="601"/>
      <c r="G162" s="836"/>
    </row>
    <row r="163" spans="2:7" x14ac:dyDescent="0.25">
      <c r="B163" s="839"/>
      <c r="C163" s="601"/>
      <c r="D163" s="601" t="s">
        <v>402</v>
      </c>
      <c r="E163" s="856">
        <v>0</v>
      </c>
      <c r="F163" s="601"/>
      <c r="G163" s="836"/>
    </row>
    <row r="164" spans="2:7" x14ac:dyDescent="0.25">
      <c r="B164" s="839"/>
      <c r="C164" s="601"/>
      <c r="D164" s="601" t="s">
        <v>403</v>
      </c>
      <c r="E164" s="856">
        <v>0</v>
      </c>
      <c r="F164" s="601"/>
      <c r="G164" s="836"/>
    </row>
    <row r="165" spans="2:7" x14ac:dyDescent="0.25">
      <c r="B165" s="839"/>
      <c r="C165" s="601"/>
      <c r="D165" s="601" t="s">
        <v>404</v>
      </c>
      <c r="E165" s="856">
        <v>0</v>
      </c>
      <c r="F165" s="601"/>
      <c r="G165" s="836"/>
    </row>
    <row r="166" spans="2:7" x14ac:dyDescent="0.25">
      <c r="B166" s="839"/>
      <c r="C166" s="601"/>
      <c r="D166" s="601" t="s">
        <v>405</v>
      </c>
      <c r="E166" s="856">
        <v>0</v>
      </c>
      <c r="F166" s="601"/>
      <c r="G166" s="836"/>
    </row>
    <row r="167" spans="2:7" x14ac:dyDescent="0.25">
      <c r="B167" s="839"/>
      <c r="C167" s="601"/>
      <c r="D167" s="601" t="s">
        <v>406</v>
      </c>
      <c r="E167" s="856">
        <v>0</v>
      </c>
      <c r="F167" s="601"/>
      <c r="G167" s="836"/>
    </row>
    <row r="168" spans="2:7" x14ac:dyDescent="0.25">
      <c r="B168" s="839"/>
      <c r="C168" s="601"/>
      <c r="D168" s="601" t="s">
        <v>407</v>
      </c>
      <c r="E168" s="856">
        <v>0</v>
      </c>
      <c r="F168" s="601"/>
      <c r="G168" s="836"/>
    </row>
    <row r="169" spans="2:7" x14ac:dyDescent="0.25">
      <c r="B169" s="839"/>
      <c r="C169" s="601"/>
      <c r="D169" s="601" t="s">
        <v>408</v>
      </c>
      <c r="E169" s="856">
        <v>0</v>
      </c>
      <c r="F169" s="601"/>
      <c r="G169" s="836"/>
    </row>
    <row r="170" spans="2:7" x14ac:dyDescent="0.25">
      <c r="B170" s="839"/>
      <c r="C170" s="601"/>
      <c r="D170" s="601" t="s">
        <v>409</v>
      </c>
      <c r="E170" s="856">
        <v>0</v>
      </c>
      <c r="F170" s="601"/>
      <c r="G170" s="836"/>
    </row>
    <row r="171" spans="2:7" x14ac:dyDescent="0.25">
      <c r="B171" s="839"/>
      <c r="C171" s="601"/>
      <c r="D171" s="601" t="s">
        <v>410</v>
      </c>
      <c r="E171" s="856">
        <v>0</v>
      </c>
      <c r="F171" s="601"/>
      <c r="G171" s="836"/>
    </row>
    <row r="172" spans="2:7" x14ac:dyDescent="0.25">
      <c r="B172" s="839"/>
      <c r="C172" s="601"/>
      <c r="D172" s="601" t="s">
        <v>411</v>
      </c>
      <c r="E172" s="856">
        <v>0</v>
      </c>
      <c r="F172" s="601"/>
      <c r="G172" s="836"/>
    </row>
    <row r="173" spans="2:7" x14ac:dyDescent="0.25">
      <c r="B173" s="839"/>
      <c r="C173" s="601"/>
      <c r="D173" s="601" t="s">
        <v>412</v>
      </c>
      <c r="E173" s="856">
        <v>0</v>
      </c>
      <c r="F173" s="601"/>
      <c r="G173" s="836"/>
    </row>
    <row r="174" spans="2:7" x14ac:dyDescent="0.25">
      <c r="B174" s="839"/>
      <c r="C174" s="601"/>
      <c r="D174" s="601" t="s">
        <v>413</v>
      </c>
      <c r="E174" s="856">
        <v>0</v>
      </c>
      <c r="F174" s="601"/>
      <c r="G174" s="836"/>
    </row>
    <row r="175" spans="2:7" x14ac:dyDescent="0.25">
      <c r="B175" s="839"/>
      <c r="C175" s="601"/>
      <c r="D175" s="601" t="s">
        <v>414</v>
      </c>
      <c r="E175" s="856">
        <v>0</v>
      </c>
      <c r="F175" s="601"/>
      <c r="G175" s="836"/>
    </row>
    <row r="176" spans="2:7" x14ac:dyDescent="0.25">
      <c r="B176" s="839"/>
      <c r="C176" s="601"/>
      <c r="D176" s="601" t="s">
        <v>415</v>
      </c>
      <c r="E176" s="856">
        <v>0</v>
      </c>
      <c r="F176" s="601"/>
      <c r="G176" s="836"/>
    </row>
    <row r="177" spans="2:7" x14ac:dyDescent="0.25">
      <c r="B177" s="839"/>
      <c r="C177" s="601"/>
      <c r="D177" s="601" t="s">
        <v>416</v>
      </c>
      <c r="E177" s="856">
        <v>0</v>
      </c>
      <c r="F177" s="601"/>
      <c r="G177" s="836"/>
    </row>
    <row r="178" spans="2:7" x14ac:dyDescent="0.25">
      <c r="B178" s="839"/>
      <c r="C178" s="601"/>
      <c r="D178" s="601" t="s">
        <v>417</v>
      </c>
      <c r="E178" s="856">
        <v>0</v>
      </c>
      <c r="F178" s="601"/>
      <c r="G178" s="836"/>
    </row>
    <row r="179" spans="2:7" x14ac:dyDescent="0.25">
      <c r="B179" s="839"/>
      <c r="C179" s="601"/>
      <c r="D179" s="601" t="s">
        <v>418</v>
      </c>
      <c r="E179" s="856">
        <v>0</v>
      </c>
      <c r="F179" s="601"/>
      <c r="G179" s="836"/>
    </row>
    <row r="180" spans="2:7" x14ac:dyDescent="0.25">
      <c r="B180" s="839"/>
      <c r="C180" s="601"/>
      <c r="D180" s="601" t="s">
        <v>419</v>
      </c>
      <c r="E180" s="856">
        <v>0</v>
      </c>
      <c r="F180" s="601"/>
      <c r="G180" s="836"/>
    </row>
    <row r="181" spans="2:7" x14ac:dyDescent="0.25">
      <c r="B181" s="839"/>
      <c r="C181" s="601"/>
      <c r="D181" s="601" t="s">
        <v>420</v>
      </c>
      <c r="E181" s="856">
        <v>0</v>
      </c>
      <c r="F181" s="601"/>
      <c r="G181" s="836"/>
    </row>
    <row r="182" spans="2:7" x14ac:dyDescent="0.25">
      <c r="B182" s="839"/>
      <c r="C182" s="601"/>
      <c r="D182" s="601" t="s">
        <v>421</v>
      </c>
      <c r="E182" s="856">
        <v>0</v>
      </c>
      <c r="F182" s="601"/>
      <c r="G182" s="836"/>
    </row>
    <row r="183" spans="2:7" x14ac:dyDescent="0.25">
      <c r="B183" s="839"/>
      <c r="C183" s="601"/>
      <c r="D183" s="601" t="s">
        <v>422</v>
      </c>
      <c r="E183" s="856">
        <v>0</v>
      </c>
      <c r="F183" s="601"/>
      <c r="G183" s="836"/>
    </row>
    <row r="184" spans="2:7" x14ac:dyDescent="0.25">
      <c r="B184" s="839"/>
      <c r="C184" s="601"/>
      <c r="D184" s="601" t="s">
        <v>423</v>
      </c>
      <c r="E184" s="856">
        <v>0</v>
      </c>
      <c r="F184" s="601"/>
      <c r="G184" s="836"/>
    </row>
    <row r="185" spans="2:7" x14ac:dyDescent="0.25">
      <c r="B185" s="839"/>
      <c r="C185" s="601"/>
      <c r="D185" s="601" t="s">
        <v>424</v>
      </c>
      <c r="E185" s="856">
        <v>0</v>
      </c>
      <c r="F185" s="601"/>
      <c r="G185" s="836"/>
    </row>
    <row r="186" spans="2:7" x14ac:dyDescent="0.25">
      <c r="B186" s="839"/>
      <c r="C186" s="601"/>
      <c r="D186" s="601" t="s">
        <v>425</v>
      </c>
      <c r="E186" s="856">
        <v>0</v>
      </c>
      <c r="F186" s="601"/>
      <c r="G186" s="836"/>
    </row>
    <row r="187" spans="2:7" x14ac:dyDescent="0.25">
      <c r="B187" s="839"/>
      <c r="C187" s="601"/>
      <c r="D187" s="601" t="s">
        <v>426</v>
      </c>
      <c r="E187" s="857">
        <v>0</v>
      </c>
      <c r="F187" s="601"/>
      <c r="G187" s="836"/>
    </row>
    <row r="188" spans="2:7" x14ac:dyDescent="0.25">
      <c r="B188" s="839"/>
      <c r="C188" s="601"/>
      <c r="D188" s="601"/>
      <c r="E188" s="601"/>
      <c r="F188" s="601"/>
      <c r="G188" s="836"/>
    </row>
    <row r="189" spans="2:7" x14ac:dyDescent="0.25">
      <c r="B189" s="839" t="s">
        <v>432</v>
      </c>
      <c r="C189" s="601"/>
      <c r="D189" s="601"/>
      <c r="E189" s="601"/>
      <c r="F189" s="601"/>
      <c r="G189" s="836"/>
    </row>
    <row r="190" spans="2:7" x14ac:dyDescent="0.25">
      <c r="B190" s="839"/>
      <c r="C190" s="601"/>
      <c r="D190" s="601" t="s">
        <v>400</v>
      </c>
      <c r="E190" s="856">
        <v>0</v>
      </c>
      <c r="F190" s="601"/>
      <c r="G190" s="836"/>
    </row>
    <row r="191" spans="2:7" x14ac:dyDescent="0.25">
      <c r="B191" s="839"/>
      <c r="C191" s="601"/>
      <c r="D191" s="601" t="s">
        <v>401</v>
      </c>
      <c r="E191" s="856">
        <v>0</v>
      </c>
      <c r="F191" s="601"/>
      <c r="G191" s="836"/>
    </row>
    <row r="192" spans="2:7" x14ac:dyDescent="0.25">
      <c r="B192" s="839"/>
      <c r="C192" s="601"/>
      <c r="D192" s="601" t="s">
        <v>402</v>
      </c>
      <c r="E192" s="856">
        <v>0</v>
      </c>
      <c r="F192" s="601"/>
      <c r="G192" s="836"/>
    </row>
    <row r="193" spans="2:7" x14ac:dyDescent="0.25">
      <c r="B193" s="839"/>
      <c r="C193" s="601"/>
      <c r="D193" s="601" t="s">
        <v>403</v>
      </c>
      <c r="E193" s="856">
        <v>0</v>
      </c>
      <c r="F193" s="601"/>
      <c r="G193" s="836"/>
    </row>
    <row r="194" spans="2:7" x14ac:dyDescent="0.25">
      <c r="B194" s="839"/>
      <c r="C194" s="601"/>
      <c r="D194" s="601" t="s">
        <v>404</v>
      </c>
      <c r="E194" s="856">
        <v>0</v>
      </c>
      <c r="F194" s="601"/>
      <c r="G194" s="836"/>
    </row>
    <row r="195" spans="2:7" x14ac:dyDescent="0.25">
      <c r="B195" s="839"/>
      <c r="C195" s="601"/>
      <c r="D195" s="601" t="s">
        <v>405</v>
      </c>
      <c r="E195" s="856">
        <v>0</v>
      </c>
      <c r="F195" s="601"/>
      <c r="G195" s="836"/>
    </row>
    <row r="196" spans="2:7" x14ac:dyDescent="0.25">
      <c r="B196" s="839"/>
      <c r="C196" s="601"/>
      <c r="D196" s="601" t="s">
        <v>406</v>
      </c>
      <c r="E196" s="856">
        <v>0</v>
      </c>
      <c r="F196" s="601"/>
      <c r="G196" s="836"/>
    </row>
    <row r="197" spans="2:7" x14ac:dyDescent="0.25">
      <c r="B197" s="839"/>
      <c r="C197" s="601"/>
      <c r="D197" s="601" t="s">
        <v>407</v>
      </c>
      <c r="E197" s="856">
        <v>0</v>
      </c>
      <c r="F197" s="601"/>
      <c r="G197" s="836"/>
    </row>
    <row r="198" spans="2:7" x14ac:dyDescent="0.25">
      <c r="B198" s="839"/>
      <c r="C198" s="601"/>
      <c r="D198" s="601" t="s">
        <v>408</v>
      </c>
      <c r="E198" s="856">
        <v>0</v>
      </c>
      <c r="F198" s="601"/>
      <c r="G198" s="836"/>
    </row>
    <row r="199" spans="2:7" x14ac:dyDescent="0.25">
      <c r="B199" s="839"/>
      <c r="C199" s="601"/>
      <c r="D199" s="601" t="s">
        <v>409</v>
      </c>
      <c r="E199" s="856">
        <v>0</v>
      </c>
      <c r="F199" s="601"/>
      <c r="G199" s="836"/>
    </row>
    <row r="200" spans="2:7" x14ac:dyDescent="0.25">
      <c r="B200" s="839"/>
      <c r="C200" s="601"/>
      <c r="D200" s="601" t="s">
        <v>410</v>
      </c>
      <c r="E200" s="856">
        <v>0</v>
      </c>
      <c r="F200" s="601"/>
      <c r="G200" s="836"/>
    </row>
    <row r="201" spans="2:7" x14ac:dyDescent="0.25">
      <c r="B201" s="839"/>
      <c r="C201" s="601"/>
      <c r="D201" s="601" t="s">
        <v>411</v>
      </c>
      <c r="E201" s="856">
        <v>0</v>
      </c>
      <c r="F201" s="601"/>
      <c r="G201" s="836"/>
    </row>
    <row r="202" spans="2:7" x14ac:dyDescent="0.25">
      <c r="B202" s="839"/>
      <c r="C202" s="601"/>
      <c r="D202" s="601" t="s">
        <v>412</v>
      </c>
      <c r="E202" s="856">
        <v>0</v>
      </c>
      <c r="F202" s="601"/>
      <c r="G202" s="836"/>
    </row>
    <row r="203" spans="2:7" x14ac:dyDescent="0.25">
      <c r="B203" s="839"/>
      <c r="C203" s="601"/>
      <c r="D203" s="601" t="s">
        <v>413</v>
      </c>
      <c r="E203" s="856">
        <v>0</v>
      </c>
      <c r="F203" s="601"/>
      <c r="G203" s="836"/>
    </row>
    <row r="204" spans="2:7" x14ac:dyDescent="0.25">
      <c r="B204" s="839"/>
      <c r="C204" s="601"/>
      <c r="D204" s="601" t="s">
        <v>414</v>
      </c>
      <c r="E204" s="856">
        <v>0</v>
      </c>
      <c r="F204" s="601"/>
      <c r="G204" s="836"/>
    </row>
    <row r="205" spans="2:7" x14ac:dyDescent="0.25">
      <c r="B205" s="839"/>
      <c r="C205" s="601"/>
      <c r="D205" s="601" t="s">
        <v>415</v>
      </c>
      <c r="E205" s="856">
        <v>0</v>
      </c>
      <c r="F205" s="601"/>
      <c r="G205" s="836"/>
    </row>
    <row r="206" spans="2:7" x14ac:dyDescent="0.25">
      <c r="B206" s="839"/>
      <c r="C206" s="601"/>
      <c r="D206" s="601" t="s">
        <v>416</v>
      </c>
      <c r="E206" s="856">
        <v>0</v>
      </c>
      <c r="F206" s="601"/>
      <c r="G206" s="836"/>
    </row>
    <row r="207" spans="2:7" x14ac:dyDescent="0.25">
      <c r="B207" s="839"/>
      <c r="C207" s="601"/>
      <c r="D207" s="601" t="s">
        <v>417</v>
      </c>
      <c r="E207" s="856">
        <v>0</v>
      </c>
      <c r="F207" s="601"/>
      <c r="G207" s="836"/>
    </row>
    <row r="208" spans="2:7" x14ac:dyDescent="0.25">
      <c r="B208" s="839"/>
      <c r="C208" s="601"/>
      <c r="D208" s="601" t="s">
        <v>418</v>
      </c>
      <c r="E208" s="856">
        <v>0</v>
      </c>
      <c r="F208" s="601"/>
      <c r="G208" s="836"/>
    </row>
    <row r="209" spans="2:7" x14ac:dyDescent="0.25">
      <c r="B209" s="839"/>
      <c r="C209" s="601"/>
      <c r="D209" s="601" t="s">
        <v>419</v>
      </c>
      <c r="E209" s="856">
        <v>0</v>
      </c>
      <c r="F209" s="601"/>
      <c r="G209" s="836"/>
    </row>
    <row r="210" spans="2:7" x14ac:dyDescent="0.25">
      <c r="B210" s="839"/>
      <c r="C210" s="601"/>
      <c r="D210" s="601" t="s">
        <v>420</v>
      </c>
      <c r="E210" s="856">
        <v>0</v>
      </c>
      <c r="F210" s="601"/>
      <c r="G210" s="836"/>
    </row>
    <row r="211" spans="2:7" x14ac:dyDescent="0.25">
      <c r="B211" s="839"/>
      <c r="C211" s="601"/>
      <c r="D211" s="601" t="s">
        <v>421</v>
      </c>
      <c r="E211" s="856">
        <v>0</v>
      </c>
      <c r="F211" s="601"/>
      <c r="G211" s="836"/>
    </row>
    <row r="212" spans="2:7" x14ac:dyDescent="0.25">
      <c r="B212" s="839"/>
      <c r="C212" s="601"/>
      <c r="D212" s="601" t="s">
        <v>422</v>
      </c>
      <c r="E212" s="856">
        <v>0</v>
      </c>
      <c r="F212" s="601"/>
      <c r="G212" s="836"/>
    </row>
    <row r="213" spans="2:7" x14ac:dyDescent="0.25">
      <c r="B213" s="839"/>
      <c r="C213" s="601"/>
      <c r="D213" s="601" t="s">
        <v>423</v>
      </c>
      <c r="E213" s="856">
        <v>0</v>
      </c>
      <c r="F213" s="601"/>
      <c r="G213" s="836"/>
    </row>
    <row r="214" spans="2:7" x14ac:dyDescent="0.25">
      <c r="B214" s="839"/>
      <c r="C214" s="601"/>
      <c r="D214" s="601" t="s">
        <v>424</v>
      </c>
      <c r="E214" s="856">
        <v>0</v>
      </c>
      <c r="F214" s="601"/>
      <c r="G214" s="836"/>
    </row>
    <row r="215" spans="2:7" x14ac:dyDescent="0.25">
      <c r="B215" s="839"/>
      <c r="C215" s="601"/>
      <c r="D215" s="601" t="s">
        <v>425</v>
      </c>
      <c r="E215" s="856">
        <v>0</v>
      </c>
      <c r="F215" s="601"/>
      <c r="G215" s="836"/>
    </row>
    <row r="216" spans="2:7" x14ac:dyDescent="0.25">
      <c r="B216" s="839"/>
      <c r="C216" s="601"/>
      <c r="D216" s="601" t="s">
        <v>426</v>
      </c>
      <c r="E216" s="857">
        <v>0</v>
      </c>
      <c r="F216" s="601"/>
      <c r="G216" s="836"/>
    </row>
    <row r="217" spans="2:7" x14ac:dyDescent="0.25">
      <c r="B217" s="839"/>
      <c r="C217" s="601"/>
      <c r="D217" s="601"/>
      <c r="E217" s="601"/>
      <c r="F217" s="601"/>
      <c r="G217" s="836"/>
    </row>
    <row r="218" spans="2:7" x14ac:dyDescent="0.25">
      <c r="B218" s="839" t="s">
        <v>433</v>
      </c>
      <c r="C218" s="601"/>
      <c r="D218" s="601"/>
      <c r="E218" s="601"/>
      <c r="F218" s="601"/>
      <c r="G218" s="836"/>
    </row>
    <row r="219" spans="2:7" x14ac:dyDescent="0.25">
      <c r="B219" s="839"/>
      <c r="C219" s="601"/>
      <c r="D219" s="601" t="s">
        <v>400</v>
      </c>
      <c r="E219" s="856">
        <v>0</v>
      </c>
      <c r="F219" s="601"/>
      <c r="G219" s="836"/>
    </row>
    <row r="220" spans="2:7" x14ac:dyDescent="0.25">
      <c r="B220" s="839"/>
      <c r="C220" s="601"/>
      <c r="D220" s="601" t="s">
        <v>401</v>
      </c>
      <c r="E220" s="856">
        <v>0</v>
      </c>
      <c r="F220" s="601"/>
      <c r="G220" s="836"/>
    </row>
    <row r="221" spans="2:7" x14ac:dyDescent="0.25">
      <c r="B221" s="839"/>
      <c r="C221" s="601"/>
      <c r="D221" s="601" t="s">
        <v>402</v>
      </c>
      <c r="E221" s="856">
        <v>0</v>
      </c>
      <c r="F221" s="601"/>
      <c r="G221" s="836"/>
    </row>
    <row r="222" spans="2:7" x14ac:dyDescent="0.25">
      <c r="B222" s="839"/>
      <c r="C222" s="601"/>
      <c r="D222" s="601" t="s">
        <v>403</v>
      </c>
      <c r="E222" s="856">
        <v>0</v>
      </c>
      <c r="F222" s="601"/>
      <c r="G222" s="836"/>
    </row>
    <row r="223" spans="2:7" x14ac:dyDescent="0.25">
      <c r="B223" s="839"/>
      <c r="C223" s="601"/>
      <c r="D223" s="601" t="s">
        <v>404</v>
      </c>
      <c r="E223" s="856">
        <v>0</v>
      </c>
      <c r="F223" s="601"/>
      <c r="G223" s="836"/>
    </row>
    <row r="224" spans="2:7" x14ac:dyDescent="0.25">
      <c r="B224" s="839"/>
      <c r="C224" s="601"/>
      <c r="D224" s="601" t="s">
        <v>405</v>
      </c>
      <c r="E224" s="856">
        <v>0</v>
      </c>
      <c r="F224" s="601"/>
      <c r="G224" s="836"/>
    </row>
    <row r="225" spans="2:7" x14ac:dyDescent="0.25">
      <c r="B225" s="839"/>
      <c r="C225" s="601"/>
      <c r="D225" s="601" t="s">
        <v>406</v>
      </c>
      <c r="E225" s="856">
        <v>0</v>
      </c>
      <c r="F225" s="601"/>
      <c r="G225" s="836"/>
    </row>
    <row r="226" spans="2:7" x14ac:dyDescent="0.25">
      <c r="B226" s="839"/>
      <c r="C226" s="601"/>
      <c r="D226" s="601" t="s">
        <v>407</v>
      </c>
      <c r="E226" s="856">
        <v>0</v>
      </c>
      <c r="F226" s="601"/>
      <c r="G226" s="836"/>
    </row>
    <row r="227" spans="2:7" x14ac:dyDescent="0.25">
      <c r="B227" s="839"/>
      <c r="C227" s="601"/>
      <c r="D227" s="601" t="s">
        <v>408</v>
      </c>
      <c r="E227" s="856">
        <v>0</v>
      </c>
      <c r="F227" s="601"/>
      <c r="G227" s="836"/>
    </row>
    <row r="228" spans="2:7" x14ac:dyDescent="0.25">
      <c r="B228" s="839"/>
      <c r="C228" s="601"/>
      <c r="D228" s="601" t="s">
        <v>409</v>
      </c>
      <c r="E228" s="856">
        <v>0</v>
      </c>
      <c r="F228" s="601"/>
      <c r="G228" s="836"/>
    </row>
    <row r="229" spans="2:7" x14ac:dyDescent="0.25">
      <c r="B229" s="839"/>
      <c r="C229" s="601"/>
      <c r="D229" s="601" t="s">
        <v>410</v>
      </c>
      <c r="E229" s="856">
        <v>0</v>
      </c>
      <c r="F229" s="601"/>
      <c r="G229" s="836"/>
    </row>
    <row r="230" spans="2:7" x14ac:dyDescent="0.25">
      <c r="B230" s="839"/>
      <c r="C230" s="601"/>
      <c r="D230" s="601" t="s">
        <v>411</v>
      </c>
      <c r="E230" s="856">
        <v>0</v>
      </c>
      <c r="F230" s="601"/>
      <c r="G230" s="836"/>
    </row>
    <row r="231" spans="2:7" x14ac:dyDescent="0.25">
      <c r="B231" s="839"/>
      <c r="C231" s="601"/>
      <c r="D231" s="601" t="s">
        <v>412</v>
      </c>
      <c r="E231" s="856">
        <v>0</v>
      </c>
      <c r="F231" s="601"/>
      <c r="G231" s="836"/>
    </row>
    <row r="232" spans="2:7" x14ac:dyDescent="0.25">
      <c r="B232" s="839"/>
      <c r="C232" s="601"/>
      <c r="D232" s="601" t="s">
        <v>413</v>
      </c>
      <c r="E232" s="856">
        <v>0</v>
      </c>
      <c r="F232" s="601"/>
      <c r="G232" s="836"/>
    </row>
    <row r="233" spans="2:7" x14ac:dyDescent="0.25">
      <c r="B233" s="839"/>
      <c r="C233" s="601"/>
      <c r="D233" s="601" t="s">
        <v>414</v>
      </c>
      <c r="E233" s="856">
        <v>0</v>
      </c>
      <c r="F233" s="601"/>
      <c r="G233" s="836"/>
    </row>
    <row r="234" spans="2:7" x14ac:dyDescent="0.25">
      <c r="B234" s="839"/>
      <c r="C234" s="601"/>
      <c r="D234" s="601" t="s">
        <v>415</v>
      </c>
      <c r="E234" s="856">
        <v>0</v>
      </c>
      <c r="F234" s="601"/>
      <c r="G234" s="836"/>
    </row>
    <row r="235" spans="2:7" x14ac:dyDescent="0.25">
      <c r="B235" s="839"/>
      <c r="C235" s="601"/>
      <c r="D235" s="601" t="s">
        <v>416</v>
      </c>
      <c r="E235" s="856">
        <v>0</v>
      </c>
      <c r="F235" s="601"/>
      <c r="G235" s="836"/>
    </row>
    <row r="236" spans="2:7" x14ac:dyDescent="0.25">
      <c r="B236" s="839"/>
      <c r="C236" s="601"/>
      <c r="D236" s="601" t="s">
        <v>417</v>
      </c>
      <c r="E236" s="856">
        <v>0</v>
      </c>
      <c r="F236" s="601"/>
      <c r="G236" s="836"/>
    </row>
    <row r="237" spans="2:7" x14ac:dyDescent="0.25">
      <c r="B237" s="839"/>
      <c r="C237" s="601"/>
      <c r="D237" s="601" t="s">
        <v>418</v>
      </c>
      <c r="E237" s="856">
        <v>0</v>
      </c>
      <c r="F237" s="601"/>
      <c r="G237" s="836"/>
    </row>
    <row r="238" spans="2:7" x14ac:dyDescent="0.25">
      <c r="B238" s="839"/>
      <c r="C238" s="601"/>
      <c r="D238" s="601" t="s">
        <v>419</v>
      </c>
      <c r="E238" s="856">
        <v>0</v>
      </c>
      <c r="F238" s="601"/>
      <c r="G238" s="836"/>
    </row>
    <row r="239" spans="2:7" x14ac:dyDescent="0.25">
      <c r="B239" s="839"/>
      <c r="C239" s="601"/>
      <c r="D239" s="601" t="s">
        <v>420</v>
      </c>
      <c r="E239" s="856">
        <v>0</v>
      </c>
      <c r="F239" s="601"/>
      <c r="G239" s="836"/>
    </row>
    <row r="240" spans="2:7" x14ac:dyDescent="0.25">
      <c r="B240" s="839"/>
      <c r="C240" s="601"/>
      <c r="D240" s="601" t="s">
        <v>421</v>
      </c>
      <c r="E240" s="856">
        <v>0</v>
      </c>
      <c r="F240" s="601"/>
      <c r="G240" s="836"/>
    </row>
    <row r="241" spans="2:7" x14ac:dyDescent="0.25">
      <c r="B241" s="839"/>
      <c r="C241" s="601"/>
      <c r="D241" s="601" t="s">
        <v>422</v>
      </c>
      <c r="E241" s="856">
        <v>0</v>
      </c>
      <c r="F241" s="601"/>
      <c r="G241" s="836"/>
    </row>
    <row r="242" spans="2:7" x14ac:dyDescent="0.25">
      <c r="B242" s="839"/>
      <c r="C242" s="601"/>
      <c r="D242" s="601" t="s">
        <v>423</v>
      </c>
      <c r="E242" s="856">
        <v>0</v>
      </c>
      <c r="F242" s="601"/>
      <c r="G242" s="836"/>
    </row>
    <row r="243" spans="2:7" x14ac:dyDescent="0.25">
      <c r="B243" s="839"/>
      <c r="C243" s="601"/>
      <c r="D243" s="601" t="s">
        <v>424</v>
      </c>
      <c r="E243" s="856">
        <v>0</v>
      </c>
      <c r="F243" s="601"/>
      <c r="G243" s="836"/>
    </row>
    <row r="244" spans="2:7" x14ac:dyDescent="0.25">
      <c r="B244" s="839"/>
      <c r="C244" s="601"/>
      <c r="D244" s="601" t="s">
        <v>425</v>
      </c>
      <c r="E244" s="856">
        <v>0</v>
      </c>
      <c r="F244" s="601"/>
      <c r="G244" s="836"/>
    </row>
    <row r="245" spans="2:7" x14ac:dyDescent="0.25">
      <c r="B245" s="839"/>
      <c r="C245" s="601"/>
      <c r="D245" s="601" t="s">
        <v>426</v>
      </c>
      <c r="E245" s="857">
        <v>0</v>
      </c>
      <c r="F245" s="601"/>
      <c r="G245" s="836"/>
    </row>
    <row r="246" spans="2:7" x14ac:dyDescent="0.25">
      <c r="B246" s="839"/>
      <c r="C246" s="601"/>
      <c r="D246" s="601"/>
      <c r="E246" s="601"/>
      <c r="F246" s="601"/>
      <c r="G246" s="836"/>
    </row>
    <row r="247" spans="2:7" x14ac:dyDescent="0.25">
      <c r="B247" s="839" t="s">
        <v>434</v>
      </c>
      <c r="C247" s="601"/>
      <c r="D247" s="601"/>
      <c r="E247" s="601"/>
      <c r="F247" s="601"/>
      <c r="G247" s="836"/>
    </row>
    <row r="248" spans="2:7" x14ac:dyDescent="0.25">
      <c r="B248" s="839"/>
      <c r="C248" s="601"/>
      <c r="D248" s="601" t="s">
        <v>400</v>
      </c>
      <c r="E248" s="856">
        <v>0</v>
      </c>
      <c r="F248" s="601"/>
      <c r="G248" s="836"/>
    </row>
    <row r="249" spans="2:7" x14ac:dyDescent="0.25">
      <c r="B249" s="839"/>
      <c r="C249" s="601"/>
      <c r="D249" s="601" t="s">
        <v>401</v>
      </c>
      <c r="E249" s="856">
        <v>0</v>
      </c>
      <c r="F249" s="601"/>
      <c r="G249" s="836"/>
    </row>
    <row r="250" spans="2:7" x14ac:dyDescent="0.25">
      <c r="B250" s="839"/>
      <c r="C250" s="601"/>
      <c r="D250" s="601" t="s">
        <v>402</v>
      </c>
      <c r="E250" s="856">
        <v>0</v>
      </c>
      <c r="F250" s="601"/>
      <c r="G250" s="836"/>
    </row>
    <row r="251" spans="2:7" x14ac:dyDescent="0.25">
      <c r="B251" s="839"/>
      <c r="C251" s="601"/>
      <c r="D251" s="601" t="s">
        <v>403</v>
      </c>
      <c r="E251" s="856">
        <v>0</v>
      </c>
      <c r="F251" s="601"/>
      <c r="G251" s="836"/>
    </row>
    <row r="252" spans="2:7" x14ac:dyDescent="0.25">
      <c r="B252" s="839"/>
      <c r="C252" s="601"/>
      <c r="D252" s="601" t="s">
        <v>404</v>
      </c>
      <c r="E252" s="856">
        <v>0</v>
      </c>
      <c r="F252" s="601"/>
      <c r="G252" s="836"/>
    </row>
    <row r="253" spans="2:7" x14ac:dyDescent="0.25">
      <c r="B253" s="839"/>
      <c r="C253" s="601"/>
      <c r="D253" s="601" t="s">
        <v>405</v>
      </c>
      <c r="E253" s="856">
        <v>0</v>
      </c>
      <c r="F253" s="601"/>
      <c r="G253" s="836"/>
    </row>
    <row r="254" spans="2:7" x14ac:dyDescent="0.25">
      <c r="B254" s="839"/>
      <c r="C254" s="601"/>
      <c r="D254" s="601" t="s">
        <v>406</v>
      </c>
      <c r="E254" s="856">
        <v>0</v>
      </c>
      <c r="F254" s="601"/>
      <c r="G254" s="836"/>
    </row>
    <row r="255" spans="2:7" x14ac:dyDescent="0.25">
      <c r="B255" s="839"/>
      <c r="C255" s="601"/>
      <c r="D255" s="601" t="s">
        <v>407</v>
      </c>
      <c r="E255" s="856">
        <v>0</v>
      </c>
      <c r="F255" s="601"/>
      <c r="G255" s="836"/>
    </row>
    <row r="256" spans="2:7" x14ac:dyDescent="0.25">
      <c r="B256" s="839"/>
      <c r="C256" s="601"/>
      <c r="D256" s="601" t="s">
        <v>408</v>
      </c>
      <c r="E256" s="856">
        <v>0</v>
      </c>
      <c r="F256" s="601"/>
      <c r="G256" s="836"/>
    </row>
    <row r="257" spans="2:7" x14ac:dyDescent="0.25">
      <c r="B257" s="839"/>
      <c r="C257" s="601"/>
      <c r="D257" s="601" t="s">
        <v>409</v>
      </c>
      <c r="E257" s="856">
        <v>0</v>
      </c>
      <c r="F257" s="601"/>
      <c r="G257" s="836"/>
    </row>
    <row r="258" spans="2:7" x14ac:dyDescent="0.25">
      <c r="B258" s="839"/>
      <c r="C258" s="601"/>
      <c r="D258" s="601" t="s">
        <v>410</v>
      </c>
      <c r="E258" s="856">
        <v>0</v>
      </c>
      <c r="F258" s="601"/>
      <c r="G258" s="836"/>
    </row>
    <row r="259" spans="2:7" x14ac:dyDescent="0.25">
      <c r="B259" s="839"/>
      <c r="C259" s="601"/>
      <c r="D259" s="601" t="s">
        <v>411</v>
      </c>
      <c r="E259" s="856">
        <v>0</v>
      </c>
      <c r="F259" s="601"/>
      <c r="G259" s="836"/>
    </row>
    <row r="260" spans="2:7" x14ac:dyDescent="0.25">
      <c r="B260" s="839"/>
      <c r="C260" s="601"/>
      <c r="D260" s="601" t="s">
        <v>412</v>
      </c>
      <c r="E260" s="856">
        <v>0</v>
      </c>
      <c r="F260" s="601"/>
      <c r="G260" s="836"/>
    </row>
    <row r="261" spans="2:7" x14ac:dyDescent="0.25">
      <c r="B261" s="839"/>
      <c r="C261" s="601"/>
      <c r="D261" s="601" t="s">
        <v>413</v>
      </c>
      <c r="E261" s="856">
        <v>0</v>
      </c>
      <c r="F261" s="601"/>
      <c r="G261" s="836"/>
    </row>
    <row r="262" spans="2:7" x14ac:dyDescent="0.25">
      <c r="B262" s="839"/>
      <c r="C262" s="601"/>
      <c r="D262" s="601" t="s">
        <v>414</v>
      </c>
      <c r="E262" s="856">
        <v>0</v>
      </c>
      <c r="F262" s="601"/>
      <c r="G262" s="836"/>
    </row>
    <row r="263" spans="2:7" x14ac:dyDescent="0.25">
      <c r="B263" s="839"/>
      <c r="C263" s="601"/>
      <c r="D263" s="601" t="s">
        <v>415</v>
      </c>
      <c r="E263" s="856">
        <v>0</v>
      </c>
      <c r="F263" s="601"/>
      <c r="G263" s="836"/>
    </row>
    <row r="264" spans="2:7" x14ac:dyDescent="0.25">
      <c r="B264" s="839"/>
      <c r="C264" s="601"/>
      <c r="D264" s="601" t="s">
        <v>416</v>
      </c>
      <c r="E264" s="856">
        <v>0</v>
      </c>
      <c r="F264" s="601"/>
      <c r="G264" s="836"/>
    </row>
    <row r="265" spans="2:7" x14ac:dyDescent="0.25">
      <c r="B265" s="839"/>
      <c r="C265" s="601"/>
      <c r="D265" s="601" t="s">
        <v>417</v>
      </c>
      <c r="E265" s="856">
        <v>0</v>
      </c>
      <c r="F265" s="601"/>
      <c r="G265" s="836"/>
    </row>
    <row r="266" spans="2:7" x14ac:dyDescent="0.25">
      <c r="B266" s="839"/>
      <c r="C266" s="601"/>
      <c r="D266" s="601" t="s">
        <v>418</v>
      </c>
      <c r="E266" s="856">
        <v>0</v>
      </c>
      <c r="F266" s="601"/>
      <c r="G266" s="836"/>
    </row>
    <row r="267" spans="2:7" x14ac:dyDescent="0.25">
      <c r="B267" s="839"/>
      <c r="C267" s="601"/>
      <c r="D267" s="601" t="s">
        <v>419</v>
      </c>
      <c r="E267" s="856">
        <v>0</v>
      </c>
      <c r="F267" s="601"/>
      <c r="G267" s="836"/>
    </row>
    <row r="268" spans="2:7" x14ac:dyDescent="0.25">
      <c r="B268" s="839"/>
      <c r="C268" s="601"/>
      <c r="D268" s="601" t="s">
        <v>420</v>
      </c>
      <c r="E268" s="856">
        <v>0</v>
      </c>
      <c r="F268" s="601"/>
      <c r="G268" s="836"/>
    </row>
    <row r="269" spans="2:7" x14ac:dyDescent="0.25">
      <c r="B269" s="839"/>
      <c r="C269" s="601"/>
      <c r="D269" s="601" t="s">
        <v>421</v>
      </c>
      <c r="E269" s="856">
        <v>0</v>
      </c>
      <c r="F269" s="601"/>
      <c r="G269" s="836"/>
    </row>
    <row r="270" spans="2:7" x14ac:dyDescent="0.25">
      <c r="B270" s="839"/>
      <c r="C270" s="601"/>
      <c r="D270" s="601" t="s">
        <v>422</v>
      </c>
      <c r="E270" s="856">
        <v>0</v>
      </c>
      <c r="F270" s="601"/>
      <c r="G270" s="836"/>
    </row>
    <row r="271" spans="2:7" x14ac:dyDescent="0.25">
      <c r="B271" s="839"/>
      <c r="C271" s="601"/>
      <c r="D271" s="601" t="s">
        <v>423</v>
      </c>
      <c r="E271" s="856">
        <v>0</v>
      </c>
      <c r="F271" s="601"/>
      <c r="G271" s="836"/>
    </row>
    <row r="272" spans="2:7" x14ac:dyDescent="0.25">
      <c r="B272" s="839"/>
      <c r="C272" s="601"/>
      <c r="D272" s="601" t="s">
        <v>424</v>
      </c>
      <c r="E272" s="856">
        <v>0</v>
      </c>
      <c r="F272" s="601"/>
      <c r="G272" s="836"/>
    </row>
    <row r="273" spans="2:7" x14ac:dyDescent="0.25">
      <c r="B273" s="839"/>
      <c r="C273" s="601"/>
      <c r="D273" s="601" t="s">
        <v>425</v>
      </c>
      <c r="E273" s="856">
        <v>0</v>
      </c>
      <c r="F273" s="601"/>
      <c r="G273" s="836"/>
    </row>
    <row r="274" spans="2:7" x14ac:dyDescent="0.25">
      <c r="B274" s="839"/>
      <c r="C274" s="601"/>
      <c r="D274" s="601" t="s">
        <v>426</v>
      </c>
      <c r="E274" s="857">
        <v>0</v>
      </c>
      <c r="F274" s="601"/>
      <c r="G274" s="836"/>
    </row>
    <row r="275" spans="2:7" x14ac:dyDescent="0.25">
      <c r="B275" s="839"/>
      <c r="C275" s="601"/>
      <c r="D275" s="601"/>
      <c r="E275" s="601"/>
      <c r="F275" s="601"/>
      <c r="G275" s="836"/>
    </row>
    <row r="276" spans="2:7" x14ac:dyDescent="0.25">
      <c r="B276" s="839" t="s">
        <v>435</v>
      </c>
      <c r="C276" s="601"/>
      <c r="D276" s="601"/>
      <c r="E276" s="601"/>
      <c r="F276" s="601"/>
      <c r="G276" s="836"/>
    </row>
    <row r="277" spans="2:7" x14ac:dyDescent="0.25">
      <c r="B277" s="839"/>
      <c r="C277" s="601"/>
      <c r="D277" s="601" t="s">
        <v>400</v>
      </c>
      <c r="E277" s="856">
        <v>0</v>
      </c>
      <c r="F277" s="601"/>
      <c r="G277" s="836"/>
    </row>
    <row r="278" spans="2:7" x14ac:dyDescent="0.25">
      <c r="B278" s="839"/>
      <c r="C278" s="601"/>
      <c r="D278" s="601" t="s">
        <v>401</v>
      </c>
      <c r="E278" s="856">
        <v>0</v>
      </c>
      <c r="F278" s="601"/>
      <c r="G278" s="836"/>
    </row>
    <row r="279" spans="2:7" x14ac:dyDescent="0.25">
      <c r="B279" s="839"/>
      <c r="C279" s="601"/>
      <c r="D279" s="601" t="s">
        <v>402</v>
      </c>
      <c r="E279" s="856">
        <v>0</v>
      </c>
      <c r="F279" s="601"/>
      <c r="G279" s="836"/>
    </row>
    <row r="280" spans="2:7" x14ac:dyDescent="0.25">
      <c r="B280" s="839"/>
      <c r="C280" s="601"/>
      <c r="D280" s="601" t="s">
        <v>403</v>
      </c>
      <c r="E280" s="856">
        <v>0</v>
      </c>
      <c r="F280" s="601"/>
      <c r="G280" s="836"/>
    </row>
    <row r="281" spans="2:7" x14ac:dyDescent="0.25">
      <c r="B281" s="839"/>
      <c r="C281" s="601"/>
      <c r="D281" s="601" t="s">
        <v>404</v>
      </c>
      <c r="E281" s="856">
        <v>0</v>
      </c>
      <c r="F281" s="601"/>
      <c r="G281" s="836"/>
    </row>
    <row r="282" spans="2:7" x14ac:dyDescent="0.25">
      <c r="B282" s="839"/>
      <c r="C282" s="601"/>
      <c r="D282" s="601" t="s">
        <v>405</v>
      </c>
      <c r="E282" s="856">
        <v>0</v>
      </c>
      <c r="F282" s="601"/>
      <c r="G282" s="836"/>
    </row>
    <row r="283" spans="2:7" x14ac:dyDescent="0.25">
      <c r="B283" s="839"/>
      <c r="C283" s="601"/>
      <c r="D283" s="601" t="s">
        <v>406</v>
      </c>
      <c r="E283" s="856">
        <v>0</v>
      </c>
      <c r="F283" s="601"/>
      <c r="G283" s="836"/>
    </row>
    <row r="284" spans="2:7" x14ac:dyDescent="0.25">
      <c r="B284" s="839"/>
      <c r="C284" s="601"/>
      <c r="D284" s="601" t="s">
        <v>407</v>
      </c>
      <c r="E284" s="856">
        <v>0</v>
      </c>
      <c r="F284" s="601"/>
      <c r="G284" s="836"/>
    </row>
    <row r="285" spans="2:7" x14ac:dyDescent="0.25">
      <c r="B285" s="839"/>
      <c r="C285" s="601"/>
      <c r="D285" s="601" t="s">
        <v>408</v>
      </c>
      <c r="E285" s="856">
        <v>0</v>
      </c>
      <c r="F285" s="601"/>
      <c r="G285" s="836"/>
    </row>
    <row r="286" spans="2:7" x14ac:dyDescent="0.25">
      <c r="B286" s="839"/>
      <c r="C286" s="601"/>
      <c r="D286" s="601" t="s">
        <v>409</v>
      </c>
      <c r="E286" s="856">
        <v>0</v>
      </c>
      <c r="F286" s="601"/>
      <c r="G286" s="836"/>
    </row>
    <row r="287" spans="2:7" x14ac:dyDescent="0.25">
      <c r="B287" s="839"/>
      <c r="C287" s="601"/>
      <c r="D287" s="601" t="s">
        <v>410</v>
      </c>
      <c r="E287" s="856">
        <v>0</v>
      </c>
      <c r="F287" s="601"/>
      <c r="G287" s="836"/>
    </row>
    <row r="288" spans="2:7" x14ac:dyDescent="0.25">
      <c r="B288" s="839"/>
      <c r="C288" s="601"/>
      <c r="D288" s="601" t="s">
        <v>411</v>
      </c>
      <c r="E288" s="856">
        <v>0</v>
      </c>
      <c r="F288" s="601"/>
      <c r="G288" s="836"/>
    </row>
    <row r="289" spans="2:7" x14ac:dyDescent="0.25">
      <c r="B289" s="839"/>
      <c r="C289" s="601"/>
      <c r="D289" s="601" t="s">
        <v>412</v>
      </c>
      <c r="E289" s="856">
        <v>0</v>
      </c>
      <c r="F289" s="601"/>
      <c r="G289" s="836"/>
    </row>
    <row r="290" spans="2:7" x14ac:dyDescent="0.25">
      <c r="B290" s="839"/>
      <c r="C290" s="601"/>
      <c r="D290" s="601" t="s">
        <v>413</v>
      </c>
      <c r="E290" s="856">
        <v>0</v>
      </c>
      <c r="F290" s="601"/>
      <c r="G290" s="836"/>
    </row>
    <row r="291" spans="2:7" x14ac:dyDescent="0.25">
      <c r="B291" s="839"/>
      <c r="C291" s="601"/>
      <c r="D291" s="601" t="s">
        <v>414</v>
      </c>
      <c r="E291" s="856">
        <v>0</v>
      </c>
      <c r="F291" s="601"/>
      <c r="G291" s="836"/>
    </row>
    <row r="292" spans="2:7" x14ac:dyDescent="0.25">
      <c r="B292" s="839"/>
      <c r="C292" s="601"/>
      <c r="D292" s="601" t="s">
        <v>415</v>
      </c>
      <c r="E292" s="856">
        <v>0</v>
      </c>
      <c r="F292" s="601"/>
      <c r="G292" s="836"/>
    </row>
    <row r="293" spans="2:7" x14ac:dyDescent="0.25">
      <c r="B293" s="839"/>
      <c r="C293" s="601"/>
      <c r="D293" s="601" t="s">
        <v>416</v>
      </c>
      <c r="E293" s="856">
        <v>0</v>
      </c>
      <c r="F293" s="601"/>
      <c r="G293" s="836"/>
    </row>
    <row r="294" spans="2:7" x14ac:dyDescent="0.25">
      <c r="B294" s="839"/>
      <c r="C294" s="601"/>
      <c r="D294" s="601" t="s">
        <v>417</v>
      </c>
      <c r="E294" s="856">
        <v>0</v>
      </c>
      <c r="F294" s="601"/>
      <c r="G294" s="836"/>
    </row>
    <row r="295" spans="2:7" x14ac:dyDescent="0.25">
      <c r="B295" s="839"/>
      <c r="C295" s="601"/>
      <c r="D295" s="601" t="s">
        <v>418</v>
      </c>
      <c r="E295" s="856">
        <v>0</v>
      </c>
      <c r="F295" s="601"/>
      <c r="G295" s="836"/>
    </row>
    <row r="296" spans="2:7" x14ac:dyDescent="0.25">
      <c r="B296" s="839"/>
      <c r="C296" s="601"/>
      <c r="D296" s="601" t="s">
        <v>419</v>
      </c>
      <c r="E296" s="856">
        <v>0</v>
      </c>
      <c r="F296" s="601"/>
      <c r="G296" s="836"/>
    </row>
    <row r="297" spans="2:7" x14ac:dyDescent="0.25">
      <c r="B297" s="839"/>
      <c r="C297" s="601"/>
      <c r="D297" s="601" t="s">
        <v>420</v>
      </c>
      <c r="E297" s="856">
        <v>0</v>
      </c>
      <c r="F297" s="601"/>
      <c r="G297" s="836"/>
    </row>
    <row r="298" spans="2:7" x14ac:dyDescent="0.25">
      <c r="B298" s="839"/>
      <c r="C298" s="601"/>
      <c r="D298" s="601" t="s">
        <v>421</v>
      </c>
      <c r="E298" s="856">
        <v>0</v>
      </c>
      <c r="F298" s="601"/>
      <c r="G298" s="836"/>
    </row>
    <row r="299" spans="2:7" x14ac:dyDescent="0.25">
      <c r="B299" s="839"/>
      <c r="C299" s="601"/>
      <c r="D299" s="601" t="s">
        <v>422</v>
      </c>
      <c r="E299" s="856">
        <v>0</v>
      </c>
      <c r="F299" s="601"/>
      <c r="G299" s="836"/>
    </row>
    <row r="300" spans="2:7" x14ac:dyDescent="0.25">
      <c r="B300" s="839"/>
      <c r="C300" s="601"/>
      <c r="D300" s="601" t="s">
        <v>423</v>
      </c>
      <c r="E300" s="856">
        <v>0</v>
      </c>
      <c r="F300" s="601"/>
      <c r="G300" s="836"/>
    </row>
    <row r="301" spans="2:7" x14ac:dyDescent="0.25">
      <c r="B301" s="839"/>
      <c r="C301" s="601"/>
      <c r="D301" s="601" t="s">
        <v>424</v>
      </c>
      <c r="E301" s="856">
        <v>0</v>
      </c>
      <c r="F301" s="601"/>
      <c r="G301" s="836"/>
    </row>
    <row r="302" spans="2:7" x14ac:dyDescent="0.25">
      <c r="B302" s="839"/>
      <c r="C302" s="601"/>
      <c r="D302" s="601" t="s">
        <v>425</v>
      </c>
      <c r="E302" s="856">
        <v>0</v>
      </c>
      <c r="F302" s="601"/>
      <c r="G302" s="836"/>
    </row>
    <row r="303" spans="2:7" x14ac:dyDescent="0.25">
      <c r="B303" s="839"/>
      <c r="C303" s="601"/>
      <c r="D303" s="601" t="s">
        <v>426</v>
      </c>
      <c r="E303" s="857">
        <v>0</v>
      </c>
      <c r="F303" s="601"/>
      <c r="G303" s="836"/>
    </row>
    <row r="304" spans="2:7" x14ac:dyDescent="0.25">
      <c r="B304" s="839"/>
      <c r="C304" s="601"/>
      <c r="D304" s="601"/>
      <c r="E304" s="601"/>
      <c r="F304" s="601"/>
      <c r="G304" s="836"/>
    </row>
    <row r="305" spans="2:7" x14ac:dyDescent="0.25">
      <c r="B305" s="839" t="s">
        <v>436</v>
      </c>
      <c r="C305" s="601"/>
      <c r="D305" s="601"/>
      <c r="E305" s="601"/>
      <c r="F305" s="601"/>
      <c r="G305" s="836"/>
    </row>
    <row r="306" spans="2:7" x14ac:dyDescent="0.25">
      <c r="B306" s="839"/>
      <c r="C306" s="601"/>
      <c r="D306" s="601" t="s">
        <v>400</v>
      </c>
      <c r="E306" s="856">
        <v>0</v>
      </c>
      <c r="F306" s="601"/>
      <c r="G306" s="836"/>
    </row>
    <row r="307" spans="2:7" x14ac:dyDescent="0.25">
      <c r="B307" s="839"/>
      <c r="C307" s="601"/>
      <c r="D307" s="601" t="s">
        <v>401</v>
      </c>
      <c r="E307" s="856">
        <v>0</v>
      </c>
      <c r="F307" s="601"/>
      <c r="G307" s="836"/>
    </row>
    <row r="308" spans="2:7" x14ac:dyDescent="0.25">
      <c r="B308" s="839"/>
      <c r="C308" s="601"/>
      <c r="D308" s="601" t="s">
        <v>402</v>
      </c>
      <c r="E308" s="856">
        <v>0</v>
      </c>
      <c r="F308" s="601"/>
      <c r="G308" s="836"/>
    </row>
    <row r="309" spans="2:7" x14ac:dyDescent="0.25">
      <c r="B309" s="839"/>
      <c r="C309" s="601"/>
      <c r="D309" s="601" t="s">
        <v>403</v>
      </c>
      <c r="E309" s="856">
        <v>0</v>
      </c>
      <c r="F309" s="601"/>
      <c r="G309" s="836"/>
    </row>
    <row r="310" spans="2:7" x14ac:dyDescent="0.25">
      <c r="B310" s="839"/>
      <c r="C310" s="601"/>
      <c r="D310" s="601" t="s">
        <v>404</v>
      </c>
      <c r="E310" s="856">
        <v>0</v>
      </c>
      <c r="F310" s="601"/>
      <c r="G310" s="836"/>
    </row>
    <row r="311" spans="2:7" x14ac:dyDescent="0.25">
      <c r="B311" s="839"/>
      <c r="C311" s="601"/>
      <c r="D311" s="601" t="s">
        <v>405</v>
      </c>
      <c r="E311" s="856">
        <v>0</v>
      </c>
      <c r="F311" s="601"/>
      <c r="G311" s="836"/>
    </row>
    <row r="312" spans="2:7" x14ac:dyDescent="0.25">
      <c r="B312" s="839"/>
      <c r="C312" s="601"/>
      <c r="D312" s="601" t="s">
        <v>406</v>
      </c>
      <c r="E312" s="856">
        <v>0</v>
      </c>
      <c r="F312" s="601"/>
      <c r="G312" s="836"/>
    </row>
    <row r="313" spans="2:7" x14ac:dyDescent="0.25">
      <c r="B313" s="839"/>
      <c r="C313" s="601"/>
      <c r="D313" s="601" t="s">
        <v>407</v>
      </c>
      <c r="E313" s="856">
        <v>0</v>
      </c>
      <c r="F313" s="601"/>
      <c r="G313" s="836"/>
    </row>
    <row r="314" spans="2:7" x14ac:dyDescent="0.25">
      <c r="B314" s="839"/>
      <c r="C314" s="601"/>
      <c r="D314" s="601" t="s">
        <v>408</v>
      </c>
      <c r="E314" s="856">
        <v>0</v>
      </c>
      <c r="F314" s="601"/>
      <c r="G314" s="836"/>
    </row>
    <row r="315" spans="2:7" x14ac:dyDescent="0.25">
      <c r="B315" s="839"/>
      <c r="C315" s="601"/>
      <c r="D315" s="601" t="s">
        <v>409</v>
      </c>
      <c r="E315" s="856">
        <v>0</v>
      </c>
      <c r="F315" s="601"/>
      <c r="G315" s="836"/>
    </row>
    <row r="316" spans="2:7" x14ac:dyDescent="0.25">
      <c r="B316" s="839"/>
      <c r="C316" s="601"/>
      <c r="D316" s="601" t="s">
        <v>410</v>
      </c>
      <c r="E316" s="856">
        <v>0</v>
      </c>
      <c r="F316" s="601"/>
      <c r="G316" s="836"/>
    </row>
    <row r="317" spans="2:7" x14ac:dyDescent="0.25">
      <c r="B317" s="839"/>
      <c r="C317" s="601"/>
      <c r="D317" s="601" t="s">
        <v>411</v>
      </c>
      <c r="E317" s="856">
        <v>0</v>
      </c>
      <c r="F317" s="601"/>
      <c r="G317" s="836"/>
    </row>
    <row r="318" spans="2:7" x14ac:dyDescent="0.25">
      <c r="B318" s="839"/>
      <c r="C318" s="601"/>
      <c r="D318" s="601" t="s">
        <v>412</v>
      </c>
      <c r="E318" s="856">
        <v>0</v>
      </c>
      <c r="F318" s="601"/>
      <c r="G318" s="836"/>
    </row>
    <row r="319" spans="2:7" x14ac:dyDescent="0.25">
      <c r="B319" s="839"/>
      <c r="C319" s="601"/>
      <c r="D319" s="601" t="s">
        <v>413</v>
      </c>
      <c r="E319" s="856">
        <v>0</v>
      </c>
      <c r="F319" s="601"/>
      <c r="G319" s="836"/>
    </row>
    <row r="320" spans="2:7" x14ac:dyDescent="0.25">
      <c r="B320" s="839"/>
      <c r="C320" s="601"/>
      <c r="D320" s="601" t="s">
        <v>414</v>
      </c>
      <c r="E320" s="856">
        <v>0</v>
      </c>
      <c r="F320" s="601"/>
      <c r="G320" s="836"/>
    </row>
    <row r="321" spans="2:7" x14ac:dyDescent="0.25">
      <c r="B321" s="839"/>
      <c r="C321" s="601"/>
      <c r="D321" s="601" t="s">
        <v>415</v>
      </c>
      <c r="E321" s="856">
        <v>0</v>
      </c>
      <c r="F321" s="601"/>
      <c r="G321" s="836"/>
    </row>
    <row r="322" spans="2:7" x14ac:dyDescent="0.25">
      <c r="B322" s="839"/>
      <c r="C322" s="601"/>
      <c r="D322" s="601" t="s">
        <v>416</v>
      </c>
      <c r="E322" s="856">
        <v>0</v>
      </c>
      <c r="F322" s="601"/>
      <c r="G322" s="836"/>
    </row>
    <row r="323" spans="2:7" x14ac:dyDescent="0.25">
      <c r="B323" s="839"/>
      <c r="C323" s="601"/>
      <c r="D323" s="601" t="s">
        <v>417</v>
      </c>
      <c r="E323" s="856">
        <v>0</v>
      </c>
      <c r="F323" s="601"/>
      <c r="G323" s="836"/>
    </row>
    <row r="324" spans="2:7" x14ac:dyDescent="0.25">
      <c r="B324" s="839"/>
      <c r="C324" s="601"/>
      <c r="D324" s="601" t="s">
        <v>418</v>
      </c>
      <c r="E324" s="856">
        <v>0</v>
      </c>
      <c r="F324" s="601"/>
      <c r="G324" s="836"/>
    </row>
    <row r="325" spans="2:7" x14ac:dyDescent="0.25">
      <c r="B325" s="839"/>
      <c r="C325" s="601"/>
      <c r="D325" s="601" t="s">
        <v>419</v>
      </c>
      <c r="E325" s="856">
        <v>0</v>
      </c>
      <c r="F325" s="601"/>
      <c r="G325" s="836"/>
    </row>
    <row r="326" spans="2:7" x14ac:dyDescent="0.25">
      <c r="B326" s="839"/>
      <c r="C326" s="601"/>
      <c r="D326" s="601" t="s">
        <v>420</v>
      </c>
      <c r="E326" s="856">
        <v>0</v>
      </c>
      <c r="F326" s="601"/>
      <c r="G326" s="836"/>
    </row>
    <row r="327" spans="2:7" x14ac:dyDescent="0.25">
      <c r="B327" s="839"/>
      <c r="C327" s="601"/>
      <c r="D327" s="601" t="s">
        <v>421</v>
      </c>
      <c r="E327" s="856">
        <v>0</v>
      </c>
      <c r="F327" s="601"/>
      <c r="G327" s="836"/>
    </row>
    <row r="328" spans="2:7" x14ac:dyDescent="0.25">
      <c r="B328" s="839"/>
      <c r="C328" s="601"/>
      <c r="D328" s="601" t="s">
        <v>422</v>
      </c>
      <c r="E328" s="856">
        <v>0</v>
      </c>
      <c r="F328" s="601"/>
      <c r="G328" s="836"/>
    </row>
    <row r="329" spans="2:7" x14ac:dyDescent="0.25">
      <c r="B329" s="839"/>
      <c r="C329" s="601"/>
      <c r="D329" s="601" t="s">
        <v>423</v>
      </c>
      <c r="E329" s="856">
        <v>0</v>
      </c>
      <c r="F329" s="601"/>
      <c r="G329" s="836"/>
    </row>
    <row r="330" spans="2:7" x14ac:dyDescent="0.25">
      <c r="B330" s="839"/>
      <c r="C330" s="601"/>
      <c r="D330" s="601" t="s">
        <v>424</v>
      </c>
      <c r="E330" s="856">
        <v>0</v>
      </c>
      <c r="F330" s="601"/>
      <c r="G330" s="836"/>
    </row>
    <row r="331" spans="2:7" x14ac:dyDescent="0.25">
      <c r="B331" s="839"/>
      <c r="C331" s="601"/>
      <c r="D331" s="601" t="s">
        <v>425</v>
      </c>
      <c r="E331" s="856">
        <v>0</v>
      </c>
      <c r="F331" s="601"/>
      <c r="G331" s="836"/>
    </row>
    <row r="332" spans="2:7" x14ac:dyDescent="0.25">
      <c r="B332" s="839"/>
      <c r="C332" s="601"/>
      <c r="D332" s="601" t="s">
        <v>426</v>
      </c>
      <c r="E332" s="857">
        <v>0</v>
      </c>
      <c r="F332" s="601"/>
      <c r="G332" s="836"/>
    </row>
    <row r="333" spans="2:7" x14ac:dyDescent="0.25">
      <c r="B333" s="839"/>
      <c r="C333" s="601"/>
      <c r="D333" s="601"/>
      <c r="E333" s="601"/>
      <c r="F333" s="601"/>
      <c r="G333" s="836"/>
    </row>
    <row r="334" spans="2:7" x14ac:dyDescent="0.25">
      <c r="B334" s="839" t="s">
        <v>437</v>
      </c>
      <c r="C334" s="601"/>
      <c r="D334" s="601"/>
      <c r="E334" s="601"/>
      <c r="F334" s="601"/>
      <c r="G334" s="836"/>
    </row>
    <row r="335" spans="2:7" x14ac:dyDescent="0.25">
      <c r="B335" s="839"/>
      <c r="C335" s="601"/>
      <c r="D335" s="601" t="s">
        <v>400</v>
      </c>
      <c r="E335" s="856">
        <v>0</v>
      </c>
      <c r="F335" s="601"/>
      <c r="G335" s="836"/>
    </row>
    <row r="336" spans="2:7" x14ac:dyDescent="0.25">
      <c r="B336" s="839"/>
      <c r="C336" s="601"/>
      <c r="D336" s="601" t="s">
        <v>401</v>
      </c>
      <c r="E336" s="856">
        <v>0</v>
      </c>
      <c r="F336" s="601"/>
      <c r="G336" s="836"/>
    </row>
    <row r="337" spans="2:7" x14ac:dyDescent="0.25">
      <c r="B337" s="839"/>
      <c r="C337" s="601"/>
      <c r="D337" s="601" t="s">
        <v>402</v>
      </c>
      <c r="E337" s="856">
        <v>0</v>
      </c>
      <c r="F337" s="601"/>
      <c r="G337" s="836"/>
    </row>
    <row r="338" spans="2:7" x14ac:dyDescent="0.25">
      <c r="B338" s="839"/>
      <c r="C338" s="601"/>
      <c r="D338" s="601" t="s">
        <v>403</v>
      </c>
      <c r="E338" s="856">
        <v>0</v>
      </c>
      <c r="F338" s="601"/>
      <c r="G338" s="836"/>
    </row>
    <row r="339" spans="2:7" x14ac:dyDescent="0.25">
      <c r="B339" s="839"/>
      <c r="C339" s="601"/>
      <c r="D339" s="601" t="s">
        <v>404</v>
      </c>
      <c r="E339" s="856">
        <v>0</v>
      </c>
      <c r="F339" s="601"/>
      <c r="G339" s="836"/>
    </row>
    <row r="340" spans="2:7" x14ac:dyDescent="0.25">
      <c r="B340" s="839"/>
      <c r="C340" s="601"/>
      <c r="D340" s="601" t="s">
        <v>405</v>
      </c>
      <c r="E340" s="856">
        <v>0</v>
      </c>
      <c r="F340" s="601"/>
      <c r="G340" s="836"/>
    </row>
    <row r="341" spans="2:7" x14ac:dyDescent="0.25">
      <c r="B341" s="839"/>
      <c r="C341" s="601"/>
      <c r="D341" s="601" t="s">
        <v>406</v>
      </c>
      <c r="E341" s="856">
        <v>0</v>
      </c>
      <c r="F341" s="601"/>
      <c r="G341" s="836"/>
    </row>
    <row r="342" spans="2:7" x14ac:dyDescent="0.25">
      <c r="B342" s="839"/>
      <c r="C342" s="601"/>
      <c r="D342" s="601" t="s">
        <v>407</v>
      </c>
      <c r="E342" s="856">
        <v>0</v>
      </c>
      <c r="F342" s="601"/>
      <c r="G342" s="836"/>
    </row>
    <row r="343" spans="2:7" x14ac:dyDescent="0.25">
      <c r="B343" s="839"/>
      <c r="C343" s="601"/>
      <c r="D343" s="601" t="s">
        <v>408</v>
      </c>
      <c r="E343" s="856">
        <v>0</v>
      </c>
      <c r="F343" s="601"/>
      <c r="G343" s="836"/>
    </row>
    <row r="344" spans="2:7" x14ac:dyDescent="0.25">
      <c r="B344" s="839"/>
      <c r="C344" s="601"/>
      <c r="D344" s="601" t="s">
        <v>409</v>
      </c>
      <c r="E344" s="856">
        <v>0</v>
      </c>
      <c r="F344" s="601"/>
      <c r="G344" s="836"/>
    </row>
    <row r="345" spans="2:7" x14ac:dyDescent="0.25">
      <c r="B345" s="839"/>
      <c r="C345" s="601"/>
      <c r="D345" s="601" t="s">
        <v>410</v>
      </c>
      <c r="E345" s="856">
        <v>0</v>
      </c>
      <c r="F345" s="601"/>
      <c r="G345" s="836"/>
    </row>
    <row r="346" spans="2:7" x14ac:dyDescent="0.25">
      <c r="B346" s="839"/>
      <c r="C346" s="601"/>
      <c r="D346" s="601" t="s">
        <v>411</v>
      </c>
      <c r="E346" s="856">
        <v>0</v>
      </c>
      <c r="F346" s="601"/>
      <c r="G346" s="836"/>
    </row>
    <row r="347" spans="2:7" x14ac:dyDescent="0.25">
      <c r="B347" s="839"/>
      <c r="C347" s="601"/>
      <c r="D347" s="601" t="s">
        <v>412</v>
      </c>
      <c r="E347" s="856">
        <v>0</v>
      </c>
      <c r="F347" s="601"/>
      <c r="G347" s="836"/>
    </row>
    <row r="348" spans="2:7" x14ac:dyDescent="0.25">
      <c r="B348" s="839"/>
      <c r="C348" s="601"/>
      <c r="D348" s="601" t="s">
        <v>413</v>
      </c>
      <c r="E348" s="856">
        <v>0</v>
      </c>
      <c r="F348" s="601"/>
      <c r="G348" s="836"/>
    </row>
    <row r="349" spans="2:7" x14ac:dyDescent="0.25">
      <c r="B349" s="839"/>
      <c r="C349" s="601"/>
      <c r="D349" s="601" t="s">
        <v>414</v>
      </c>
      <c r="E349" s="856">
        <v>0</v>
      </c>
      <c r="F349" s="601"/>
      <c r="G349" s="836"/>
    </row>
    <row r="350" spans="2:7" x14ac:dyDescent="0.25">
      <c r="B350" s="839"/>
      <c r="C350" s="601"/>
      <c r="D350" s="601" t="s">
        <v>415</v>
      </c>
      <c r="E350" s="856">
        <v>0</v>
      </c>
      <c r="F350" s="601"/>
      <c r="G350" s="836"/>
    </row>
    <row r="351" spans="2:7" x14ac:dyDescent="0.25">
      <c r="B351" s="839"/>
      <c r="C351" s="601"/>
      <c r="D351" s="601" t="s">
        <v>416</v>
      </c>
      <c r="E351" s="856">
        <v>0</v>
      </c>
      <c r="F351" s="601"/>
      <c r="G351" s="836"/>
    </row>
    <row r="352" spans="2:7" x14ac:dyDescent="0.25">
      <c r="B352" s="839"/>
      <c r="C352" s="601"/>
      <c r="D352" s="601" t="s">
        <v>417</v>
      </c>
      <c r="E352" s="856">
        <v>0</v>
      </c>
      <c r="F352" s="601"/>
      <c r="G352" s="836"/>
    </row>
    <row r="353" spans="2:7" x14ac:dyDescent="0.25">
      <c r="B353" s="839"/>
      <c r="C353" s="601"/>
      <c r="D353" s="601" t="s">
        <v>418</v>
      </c>
      <c r="E353" s="856">
        <v>0</v>
      </c>
      <c r="F353" s="601"/>
      <c r="G353" s="836"/>
    </row>
    <row r="354" spans="2:7" x14ac:dyDescent="0.25">
      <c r="B354" s="839"/>
      <c r="C354" s="601"/>
      <c r="D354" s="601" t="s">
        <v>419</v>
      </c>
      <c r="E354" s="856">
        <v>0</v>
      </c>
      <c r="F354" s="601"/>
      <c r="G354" s="836"/>
    </row>
    <row r="355" spans="2:7" x14ac:dyDescent="0.25">
      <c r="B355" s="839"/>
      <c r="C355" s="601"/>
      <c r="D355" s="601" t="s">
        <v>420</v>
      </c>
      <c r="E355" s="856">
        <v>0</v>
      </c>
      <c r="F355" s="601"/>
      <c r="G355" s="836"/>
    </row>
    <row r="356" spans="2:7" x14ac:dyDescent="0.25">
      <c r="B356" s="839"/>
      <c r="C356" s="601"/>
      <c r="D356" s="601" t="s">
        <v>421</v>
      </c>
      <c r="E356" s="856">
        <v>0</v>
      </c>
      <c r="F356" s="601"/>
      <c r="G356" s="836"/>
    </row>
    <row r="357" spans="2:7" x14ac:dyDescent="0.25">
      <c r="B357" s="839"/>
      <c r="C357" s="601"/>
      <c r="D357" s="601" t="s">
        <v>422</v>
      </c>
      <c r="E357" s="856">
        <v>0</v>
      </c>
      <c r="F357" s="601"/>
      <c r="G357" s="836"/>
    </row>
    <row r="358" spans="2:7" x14ac:dyDescent="0.25">
      <c r="B358" s="839"/>
      <c r="C358" s="601"/>
      <c r="D358" s="601" t="s">
        <v>423</v>
      </c>
      <c r="E358" s="856">
        <v>0</v>
      </c>
      <c r="F358" s="601"/>
      <c r="G358" s="836"/>
    </row>
    <row r="359" spans="2:7" x14ac:dyDescent="0.25">
      <c r="B359" s="839"/>
      <c r="C359" s="601"/>
      <c r="D359" s="601" t="s">
        <v>424</v>
      </c>
      <c r="E359" s="856">
        <v>0</v>
      </c>
      <c r="F359" s="601"/>
      <c r="G359" s="836"/>
    </row>
    <row r="360" spans="2:7" x14ac:dyDescent="0.25">
      <c r="B360" s="839"/>
      <c r="C360" s="601"/>
      <c r="D360" s="601" t="s">
        <v>425</v>
      </c>
      <c r="E360" s="856">
        <v>0</v>
      </c>
      <c r="F360" s="601"/>
      <c r="G360" s="836"/>
    </row>
    <row r="361" spans="2:7" x14ac:dyDescent="0.25">
      <c r="B361" s="839"/>
      <c r="C361" s="601"/>
      <c r="D361" s="601" t="s">
        <v>426</v>
      </c>
      <c r="E361" s="857">
        <v>0</v>
      </c>
      <c r="F361" s="601"/>
      <c r="G361" s="836"/>
    </row>
    <row r="362" spans="2:7" x14ac:dyDescent="0.25">
      <c r="B362" s="839"/>
      <c r="C362" s="601"/>
      <c r="D362" s="601"/>
      <c r="E362" s="601"/>
      <c r="F362" s="601"/>
      <c r="G362" s="836"/>
    </row>
    <row r="363" spans="2:7" x14ac:dyDescent="0.25">
      <c r="B363" s="839" t="s">
        <v>438</v>
      </c>
      <c r="C363" s="601"/>
      <c r="D363" s="601"/>
      <c r="E363" s="601"/>
      <c r="F363" s="601"/>
      <c r="G363" s="836"/>
    </row>
    <row r="364" spans="2:7" x14ac:dyDescent="0.25">
      <c r="B364" s="839"/>
      <c r="C364" s="601"/>
      <c r="D364" s="601" t="s">
        <v>400</v>
      </c>
      <c r="E364" s="856">
        <v>0</v>
      </c>
      <c r="F364" s="601"/>
      <c r="G364" s="836"/>
    </row>
    <row r="365" spans="2:7" x14ac:dyDescent="0.25">
      <c r="B365" s="839"/>
      <c r="C365" s="601"/>
      <c r="D365" s="601" t="s">
        <v>401</v>
      </c>
      <c r="E365" s="856">
        <v>0</v>
      </c>
      <c r="F365" s="601"/>
      <c r="G365" s="836"/>
    </row>
    <row r="366" spans="2:7" x14ac:dyDescent="0.25">
      <c r="B366" s="839"/>
      <c r="C366" s="601"/>
      <c r="D366" s="601" t="s">
        <v>402</v>
      </c>
      <c r="E366" s="856">
        <v>0</v>
      </c>
      <c r="F366" s="601"/>
      <c r="G366" s="836"/>
    </row>
    <row r="367" spans="2:7" x14ac:dyDescent="0.25">
      <c r="B367" s="839"/>
      <c r="C367" s="601"/>
      <c r="D367" s="601" t="s">
        <v>403</v>
      </c>
      <c r="E367" s="856">
        <v>0</v>
      </c>
      <c r="F367" s="601"/>
      <c r="G367" s="836"/>
    </row>
    <row r="368" spans="2:7" x14ac:dyDescent="0.25">
      <c r="B368" s="839"/>
      <c r="C368" s="601"/>
      <c r="D368" s="601" t="s">
        <v>404</v>
      </c>
      <c r="E368" s="856">
        <v>0</v>
      </c>
      <c r="F368" s="601"/>
      <c r="G368" s="836"/>
    </row>
    <row r="369" spans="2:7" x14ac:dyDescent="0.25">
      <c r="B369" s="839"/>
      <c r="C369" s="601"/>
      <c r="D369" s="601" t="s">
        <v>405</v>
      </c>
      <c r="E369" s="856">
        <v>0</v>
      </c>
      <c r="F369" s="601"/>
      <c r="G369" s="836"/>
    </row>
    <row r="370" spans="2:7" x14ac:dyDescent="0.25">
      <c r="B370" s="839"/>
      <c r="C370" s="601"/>
      <c r="D370" s="601" t="s">
        <v>406</v>
      </c>
      <c r="E370" s="856">
        <v>0</v>
      </c>
      <c r="F370" s="601"/>
      <c r="G370" s="836"/>
    </row>
    <row r="371" spans="2:7" x14ac:dyDescent="0.25">
      <c r="B371" s="839"/>
      <c r="C371" s="601"/>
      <c r="D371" s="601" t="s">
        <v>407</v>
      </c>
      <c r="E371" s="856">
        <v>0</v>
      </c>
      <c r="F371" s="601"/>
      <c r="G371" s="836"/>
    </row>
    <row r="372" spans="2:7" x14ac:dyDescent="0.25">
      <c r="B372" s="839"/>
      <c r="C372" s="601"/>
      <c r="D372" s="601" t="s">
        <v>408</v>
      </c>
      <c r="E372" s="856">
        <v>0</v>
      </c>
      <c r="F372" s="601"/>
      <c r="G372" s="836"/>
    </row>
    <row r="373" spans="2:7" x14ac:dyDescent="0.25">
      <c r="B373" s="839"/>
      <c r="C373" s="601"/>
      <c r="D373" s="601" t="s">
        <v>409</v>
      </c>
      <c r="E373" s="856">
        <v>0</v>
      </c>
      <c r="F373" s="601"/>
      <c r="G373" s="836"/>
    </row>
    <row r="374" spans="2:7" x14ac:dyDescent="0.25">
      <c r="B374" s="839"/>
      <c r="C374" s="601"/>
      <c r="D374" s="601" t="s">
        <v>410</v>
      </c>
      <c r="E374" s="856">
        <v>0</v>
      </c>
      <c r="F374" s="601"/>
      <c r="G374" s="836"/>
    </row>
    <row r="375" spans="2:7" x14ac:dyDescent="0.25">
      <c r="B375" s="839"/>
      <c r="C375" s="601"/>
      <c r="D375" s="601" t="s">
        <v>411</v>
      </c>
      <c r="E375" s="856">
        <v>0</v>
      </c>
      <c r="F375" s="601"/>
      <c r="G375" s="836"/>
    </row>
    <row r="376" spans="2:7" x14ac:dyDescent="0.25">
      <c r="B376" s="839"/>
      <c r="C376" s="601"/>
      <c r="D376" s="601" t="s">
        <v>412</v>
      </c>
      <c r="E376" s="856">
        <v>0</v>
      </c>
      <c r="F376" s="601"/>
      <c r="G376" s="836"/>
    </row>
    <row r="377" spans="2:7" x14ac:dyDescent="0.25">
      <c r="B377" s="839"/>
      <c r="C377" s="601"/>
      <c r="D377" s="601" t="s">
        <v>413</v>
      </c>
      <c r="E377" s="856">
        <v>0</v>
      </c>
      <c r="F377" s="601"/>
      <c r="G377" s="836"/>
    </row>
    <row r="378" spans="2:7" x14ac:dyDescent="0.25">
      <c r="B378" s="839"/>
      <c r="C378" s="601"/>
      <c r="D378" s="601" t="s">
        <v>414</v>
      </c>
      <c r="E378" s="856">
        <v>0</v>
      </c>
      <c r="F378" s="601"/>
      <c r="G378" s="836"/>
    </row>
    <row r="379" spans="2:7" x14ac:dyDescent="0.25">
      <c r="B379" s="839"/>
      <c r="C379" s="601"/>
      <c r="D379" s="601" t="s">
        <v>415</v>
      </c>
      <c r="E379" s="856">
        <v>0</v>
      </c>
      <c r="F379" s="601"/>
      <c r="G379" s="836"/>
    </row>
    <row r="380" spans="2:7" x14ac:dyDescent="0.25">
      <c r="B380" s="839"/>
      <c r="C380" s="601"/>
      <c r="D380" s="601" t="s">
        <v>416</v>
      </c>
      <c r="E380" s="856">
        <v>0</v>
      </c>
      <c r="F380" s="601"/>
      <c r="G380" s="836"/>
    </row>
    <row r="381" spans="2:7" x14ac:dyDescent="0.25">
      <c r="B381" s="839"/>
      <c r="C381" s="601"/>
      <c r="D381" s="601" t="s">
        <v>417</v>
      </c>
      <c r="E381" s="856">
        <v>0</v>
      </c>
      <c r="F381" s="601"/>
      <c r="G381" s="836"/>
    </row>
    <row r="382" spans="2:7" x14ac:dyDescent="0.25">
      <c r="B382" s="839"/>
      <c r="C382" s="601"/>
      <c r="D382" s="601" t="s">
        <v>418</v>
      </c>
      <c r="E382" s="856">
        <v>0</v>
      </c>
      <c r="F382" s="601"/>
      <c r="G382" s="836"/>
    </row>
    <row r="383" spans="2:7" x14ac:dyDescent="0.25">
      <c r="B383" s="839"/>
      <c r="C383" s="601"/>
      <c r="D383" s="601" t="s">
        <v>419</v>
      </c>
      <c r="E383" s="856">
        <v>0</v>
      </c>
      <c r="F383" s="601"/>
      <c r="G383" s="836"/>
    </row>
    <row r="384" spans="2:7" x14ac:dyDescent="0.25">
      <c r="B384" s="839"/>
      <c r="C384" s="601"/>
      <c r="D384" s="601" t="s">
        <v>420</v>
      </c>
      <c r="E384" s="856">
        <v>0</v>
      </c>
      <c r="F384" s="601"/>
      <c r="G384" s="836"/>
    </row>
    <row r="385" spans="2:7" x14ac:dyDescent="0.25">
      <c r="B385" s="839"/>
      <c r="C385" s="601"/>
      <c r="D385" s="601" t="s">
        <v>421</v>
      </c>
      <c r="E385" s="856">
        <v>0</v>
      </c>
      <c r="F385" s="601"/>
      <c r="G385" s="836"/>
    </row>
    <row r="386" spans="2:7" x14ac:dyDescent="0.25">
      <c r="B386" s="839"/>
      <c r="C386" s="601"/>
      <c r="D386" s="601" t="s">
        <v>422</v>
      </c>
      <c r="E386" s="856">
        <v>0</v>
      </c>
      <c r="F386" s="601"/>
      <c r="G386" s="836"/>
    </row>
    <row r="387" spans="2:7" x14ac:dyDescent="0.25">
      <c r="B387" s="839"/>
      <c r="C387" s="601"/>
      <c r="D387" s="601" t="s">
        <v>423</v>
      </c>
      <c r="E387" s="856">
        <v>0</v>
      </c>
      <c r="F387" s="601"/>
      <c r="G387" s="836"/>
    </row>
    <row r="388" spans="2:7" x14ac:dyDescent="0.25">
      <c r="B388" s="839"/>
      <c r="C388" s="601"/>
      <c r="D388" s="601" t="s">
        <v>424</v>
      </c>
      <c r="E388" s="856">
        <v>0</v>
      </c>
      <c r="F388" s="601"/>
      <c r="G388" s="836"/>
    </row>
    <row r="389" spans="2:7" x14ac:dyDescent="0.25">
      <c r="B389" s="839"/>
      <c r="C389" s="601"/>
      <c r="D389" s="601" t="s">
        <v>425</v>
      </c>
      <c r="E389" s="856">
        <v>0</v>
      </c>
      <c r="F389" s="601"/>
      <c r="G389" s="836"/>
    </row>
    <row r="390" spans="2:7" x14ac:dyDescent="0.25">
      <c r="B390" s="839"/>
      <c r="C390" s="601"/>
      <c r="D390" s="601" t="s">
        <v>426</v>
      </c>
      <c r="E390" s="857">
        <v>0</v>
      </c>
      <c r="F390" s="601"/>
      <c r="G390" s="836"/>
    </row>
    <row r="391" spans="2:7" x14ac:dyDescent="0.25">
      <c r="B391" s="839"/>
      <c r="C391" s="601"/>
      <c r="D391" s="601"/>
      <c r="E391" s="601"/>
      <c r="F391" s="601"/>
      <c r="G391" s="836"/>
    </row>
    <row r="392" spans="2:7" x14ac:dyDescent="0.25">
      <c r="B392" s="839"/>
      <c r="C392" s="601"/>
      <c r="D392" s="601"/>
      <c r="E392" s="601"/>
      <c r="F392" s="601"/>
      <c r="G392" s="836"/>
    </row>
    <row r="393" spans="2:7" x14ac:dyDescent="0.25">
      <c r="B393" s="839" t="s">
        <v>439</v>
      </c>
      <c r="C393" s="601"/>
      <c r="D393" s="601"/>
      <c r="E393" s="601"/>
      <c r="F393" s="601"/>
      <c r="G393" s="836"/>
    </row>
    <row r="394" spans="2:7" x14ac:dyDescent="0.25">
      <c r="B394" s="839"/>
      <c r="C394" s="601"/>
      <c r="D394" s="601" t="s">
        <v>440</v>
      </c>
      <c r="E394" s="601"/>
      <c r="F394" s="601"/>
      <c r="G394" s="836"/>
    </row>
    <row r="395" spans="2:7" x14ac:dyDescent="0.25">
      <c r="B395" s="839"/>
      <c r="C395" s="601"/>
      <c r="D395" s="601" t="s">
        <v>441</v>
      </c>
      <c r="E395" s="856">
        <v>0</v>
      </c>
      <c r="F395" s="601"/>
      <c r="G395" s="836"/>
    </row>
    <row r="396" spans="2:7" x14ac:dyDescent="0.25">
      <c r="B396" s="839"/>
      <c r="C396" s="601"/>
      <c r="D396" s="601" t="s">
        <v>442</v>
      </c>
      <c r="E396" s="856">
        <v>0</v>
      </c>
      <c r="F396" s="601"/>
      <c r="G396" s="836"/>
    </row>
    <row r="397" spans="2:7" x14ac:dyDescent="0.25">
      <c r="B397" s="839"/>
      <c r="C397" s="840"/>
      <c r="D397" s="601" t="s">
        <v>443</v>
      </c>
      <c r="E397" s="856">
        <v>0</v>
      </c>
      <c r="F397" s="601"/>
      <c r="G397" s="836"/>
    </row>
    <row r="398" spans="2:7" x14ac:dyDescent="0.25">
      <c r="B398" s="839"/>
      <c r="C398" s="840"/>
      <c r="D398" s="601" t="s">
        <v>444</v>
      </c>
      <c r="E398" s="856">
        <v>0</v>
      </c>
      <c r="F398" s="601"/>
      <c r="G398" s="836"/>
    </row>
    <row r="399" spans="2:7" x14ac:dyDescent="0.25">
      <c r="B399" s="839"/>
      <c r="C399" s="840"/>
      <c r="D399" s="601" t="s">
        <v>445</v>
      </c>
      <c r="E399" s="856">
        <v>0</v>
      </c>
      <c r="F399" s="601"/>
      <c r="G399" s="836"/>
    </row>
    <row r="400" spans="2:7" x14ac:dyDescent="0.25">
      <c r="B400" s="839"/>
      <c r="C400" s="601"/>
      <c r="D400" s="601" t="s">
        <v>446</v>
      </c>
      <c r="E400" s="857">
        <v>0</v>
      </c>
      <c r="F400" s="601"/>
      <c r="G400" s="836"/>
    </row>
    <row r="401" spans="2:7" x14ac:dyDescent="0.25">
      <c r="B401" s="841"/>
      <c r="C401" s="842"/>
      <c r="D401" s="842"/>
      <c r="E401" s="842"/>
      <c r="F401" s="842"/>
      <c r="G401" s="843"/>
    </row>
  </sheetData>
  <sheetProtection algorithmName="SHA-512" hashValue="MdVvNLX/PzvgYAMGKLkIUKFi7sBDo5OqSmx3Q6bTRYb+le0wtlhaolKbcqYtxvTsqLIqMysG6JkVn6qC8rnILQ==" saltValue="txPnhLOTxx9k57U/toco5w==" spinCount="100000" sheet="1" objects="1" scenarios="1"/>
  <mergeCells count="4">
    <mergeCell ref="B8:G8"/>
    <mergeCell ref="A1:K1"/>
    <mergeCell ref="A2:J2"/>
    <mergeCell ref="A3:K3"/>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3F745-03F5-ED4A-8EE8-815694F9BD73}">
  <sheetPr codeName="Sheet5">
    <tabColor theme="7" tint="0.39997558519241921"/>
  </sheetPr>
  <dimension ref="A1:J88"/>
  <sheetViews>
    <sheetView showGridLines="0" zoomScaleNormal="100" workbookViewId="0">
      <selection activeCell="G14" sqref="G14"/>
    </sheetView>
  </sheetViews>
  <sheetFormatPr defaultColWidth="11.42578125" defaultRowHeight="15" x14ac:dyDescent="0.25"/>
  <cols>
    <col min="2" max="2" width="54.28515625" customWidth="1"/>
    <col min="3" max="3" width="15.7109375" bestFit="1" customWidth="1"/>
    <col min="7" max="7" width="37.28515625" customWidth="1"/>
    <col min="12" max="12" width="37.28515625" customWidth="1"/>
  </cols>
  <sheetData>
    <row r="1" spans="1:8" ht="25.5" x14ac:dyDescent="0.25">
      <c r="A1" s="850" t="s">
        <v>0</v>
      </c>
      <c r="B1" s="4"/>
      <c r="C1" s="4"/>
      <c r="D1" s="4"/>
      <c r="E1" s="4"/>
      <c r="F1" s="4"/>
      <c r="G1" s="4"/>
      <c r="H1" s="4"/>
    </row>
    <row r="2" spans="1:8" ht="24" x14ac:dyDescent="0.25">
      <c r="A2" s="851" t="s">
        <v>1</v>
      </c>
      <c r="B2" s="5"/>
      <c r="C2" s="5"/>
      <c r="D2" s="5"/>
      <c r="E2" s="5"/>
      <c r="F2" s="5"/>
      <c r="G2" s="5"/>
      <c r="H2" s="5"/>
    </row>
    <row r="3" spans="1:8" x14ac:dyDescent="0.25">
      <c r="A3" s="852" t="s">
        <v>2</v>
      </c>
      <c r="B3" s="7"/>
      <c r="C3" s="7"/>
      <c r="D3" s="7"/>
      <c r="E3" s="7"/>
      <c r="F3" s="7"/>
      <c r="G3" s="7"/>
      <c r="H3" s="7"/>
    </row>
    <row r="4" spans="1:8" ht="21" x14ac:dyDescent="0.25">
      <c r="A4" s="6"/>
      <c r="B4" s="1"/>
      <c r="C4" s="1"/>
      <c r="D4" s="1"/>
      <c r="E4" s="1"/>
      <c r="F4" s="1"/>
      <c r="G4" s="1"/>
      <c r="H4" s="1"/>
    </row>
    <row r="5" spans="1:8" ht="20.25" x14ac:dyDescent="0.25">
      <c r="A5" s="1"/>
      <c r="B5" s="11" t="s">
        <v>379</v>
      </c>
      <c r="C5" s="12"/>
      <c r="D5" s="12"/>
      <c r="E5" s="12"/>
      <c r="F5" s="12"/>
      <c r="G5" s="12"/>
      <c r="H5" s="13"/>
    </row>
    <row r="6" spans="1:8" ht="23.25" x14ac:dyDescent="0.35">
      <c r="A6" s="1"/>
      <c r="B6" s="8"/>
      <c r="C6" s="1"/>
      <c r="D6" s="1"/>
      <c r="E6" s="1"/>
      <c r="F6" s="1"/>
      <c r="G6" s="1"/>
      <c r="H6" s="1"/>
    </row>
    <row r="7" spans="1:8" x14ac:dyDescent="0.25">
      <c r="A7" s="1"/>
      <c r="B7" s="9" t="s">
        <v>380</v>
      </c>
      <c r="C7" s="1"/>
      <c r="D7" s="1"/>
      <c r="E7" s="1"/>
      <c r="F7" s="1"/>
      <c r="G7" s="1"/>
      <c r="H7" s="1"/>
    </row>
    <row r="8" spans="1:8" ht="15" customHeight="1" x14ac:dyDescent="0.25">
      <c r="A8" s="1"/>
      <c r="B8" s="875" t="s">
        <v>1067</v>
      </c>
      <c r="C8" s="876"/>
      <c r="D8" s="876"/>
      <c r="E8" s="876"/>
      <c r="F8" s="876"/>
      <c r="G8" s="876"/>
      <c r="H8" s="877"/>
    </row>
    <row r="9" spans="1:8" ht="19.5" customHeight="1" x14ac:dyDescent="0.25">
      <c r="A9" s="1"/>
      <c r="B9" s="878"/>
      <c r="C9" s="879"/>
      <c r="D9" s="879"/>
      <c r="E9" s="879"/>
      <c r="F9" s="879"/>
      <c r="G9" s="879"/>
      <c r="H9" s="880"/>
    </row>
    <row r="16" spans="1:8" x14ac:dyDescent="0.25">
      <c r="B16" s="814" t="s">
        <v>381</v>
      </c>
      <c r="C16" s="815"/>
      <c r="D16" s="815"/>
      <c r="E16" s="816"/>
    </row>
    <row r="17" spans="2:5" x14ac:dyDescent="0.25">
      <c r="B17" s="817" t="s">
        <v>382</v>
      </c>
      <c r="C17" s="818" t="s">
        <v>383</v>
      </c>
      <c r="D17" s="819"/>
      <c r="E17" s="820"/>
    </row>
    <row r="18" spans="2:5" x14ac:dyDescent="0.25">
      <c r="B18" s="817" t="s">
        <v>384</v>
      </c>
      <c r="C18" s="821">
        <f>'Project Costs - Step 2'!C29</f>
        <v>688989069.96061444</v>
      </c>
      <c r="D18" s="819"/>
      <c r="E18" s="820"/>
    </row>
    <row r="19" spans="2:5" x14ac:dyDescent="0.25">
      <c r="B19" s="817"/>
      <c r="C19" s="819" t="s">
        <v>385</v>
      </c>
      <c r="D19" s="819" t="s">
        <v>239</v>
      </c>
      <c r="E19" s="822"/>
    </row>
    <row r="20" spans="2:5" x14ac:dyDescent="0.25">
      <c r="B20" s="817" t="s">
        <v>270</v>
      </c>
      <c r="C20" s="823">
        <f>'General-Calculations'!AP19</f>
        <v>36454448.146064252</v>
      </c>
      <c r="D20" s="824">
        <f>'Default Local'!$D$6</f>
        <v>0.2</v>
      </c>
      <c r="E20" s="822"/>
    </row>
    <row r="21" spans="2:5" x14ac:dyDescent="0.25">
      <c r="B21" s="817" t="s">
        <v>271</v>
      </c>
      <c r="C21" s="823">
        <f>'General-Calculations'!AP20</f>
        <v>36454448.146064252</v>
      </c>
      <c r="D21" s="824">
        <f>'Default Local'!$D$6</f>
        <v>0.2</v>
      </c>
      <c r="E21" s="822"/>
    </row>
    <row r="22" spans="2:5" x14ac:dyDescent="0.25">
      <c r="B22" s="817" t="s">
        <v>272</v>
      </c>
      <c r="C22" s="823">
        <f>'General-Calculations'!AP21</f>
        <v>127590568.5112249</v>
      </c>
      <c r="D22" s="824">
        <f>'Default Local'!$D$6</f>
        <v>0.2</v>
      </c>
      <c r="E22" s="822"/>
    </row>
    <row r="23" spans="2:5" x14ac:dyDescent="0.25">
      <c r="B23" s="817" t="s">
        <v>273</v>
      </c>
      <c r="C23" s="823">
        <f>'General-Calculations'!AP22</f>
        <v>182272240.73032123</v>
      </c>
      <c r="D23" s="824">
        <f>'Default Local'!$D$6</f>
        <v>0.2</v>
      </c>
      <c r="E23" s="822"/>
    </row>
    <row r="24" spans="2:5" x14ac:dyDescent="0.25">
      <c r="B24" s="817" t="s">
        <v>274</v>
      </c>
      <c r="C24" s="823">
        <f>'General-Calculations'!AP23</f>
        <v>127590568.5112249</v>
      </c>
      <c r="D24" s="824">
        <f>'Default Local'!$D$6</f>
        <v>0.2</v>
      </c>
      <c r="E24" s="822"/>
    </row>
    <row r="25" spans="2:5" x14ac:dyDescent="0.25">
      <c r="B25" s="817" t="s">
        <v>275</v>
      </c>
      <c r="C25" s="823">
        <f>'General-Calculations'!AP24</f>
        <v>45568060.182580307</v>
      </c>
      <c r="D25" s="824">
        <f>'Default Local'!$D$6</f>
        <v>0.2</v>
      </c>
      <c r="E25" s="822"/>
    </row>
    <row r="26" spans="2:5" x14ac:dyDescent="0.25">
      <c r="B26" s="817" t="s">
        <v>276</v>
      </c>
      <c r="C26" s="823">
        <f>'General-Calculations'!AP25</f>
        <v>30986280.924154609</v>
      </c>
      <c r="D26" s="824">
        <f>'Default Local'!$D$6</f>
        <v>0.2</v>
      </c>
      <c r="E26" s="822"/>
    </row>
    <row r="27" spans="2:5" x14ac:dyDescent="0.25">
      <c r="B27" s="817" t="s">
        <v>277</v>
      </c>
      <c r="C27" s="823">
        <f>'General-Calculations'!AP26</f>
        <v>12759056.851122487</v>
      </c>
      <c r="D27" s="824">
        <f>'Default Local'!$D$6</f>
        <v>0.2</v>
      </c>
      <c r="E27" s="822"/>
    </row>
    <row r="28" spans="2:5" x14ac:dyDescent="0.25">
      <c r="B28" s="817" t="s">
        <v>278</v>
      </c>
      <c r="C28" s="823">
        <f>'General-Calculations'!AP27</f>
        <v>12759056.851122487</v>
      </c>
      <c r="D28" s="824">
        <f>'Default Local'!$D$6</f>
        <v>0.2</v>
      </c>
      <c r="E28" s="822"/>
    </row>
    <row r="29" spans="2:5" x14ac:dyDescent="0.25">
      <c r="B29" s="817" t="s">
        <v>279</v>
      </c>
      <c r="C29" s="823">
        <f>'General-Calculations'!AP28</f>
        <v>18227224.073032126</v>
      </c>
      <c r="D29" s="824">
        <f>'Default Local'!$D$6</f>
        <v>0.2</v>
      </c>
      <c r="E29" s="822"/>
    </row>
    <row r="30" spans="2:5" x14ac:dyDescent="0.25">
      <c r="B30" s="817" t="s">
        <v>280</v>
      </c>
      <c r="C30" s="823">
        <f>'General-Calculations'!AP29</f>
        <v>45568060.182580307</v>
      </c>
      <c r="D30" s="824">
        <f>'Default Local'!$D$6</f>
        <v>0.2</v>
      </c>
      <c r="E30" s="822"/>
    </row>
    <row r="31" spans="2:5" x14ac:dyDescent="0.25">
      <c r="B31" s="817" t="s">
        <v>281</v>
      </c>
      <c r="C31" s="823">
        <f>'General-Calculations'!AP30</f>
        <v>12759056.851122487</v>
      </c>
      <c r="D31" s="824">
        <f>'Default Local'!$D$6</f>
        <v>0.2</v>
      </c>
      <c r="E31" s="822"/>
    </row>
    <row r="32" spans="2:5" x14ac:dyDescent="0.25">
      <c r="B32" s="817" t="s">
        <v>282</v>
      </c>
      <c r="C32" s="823">
        <f>'General-Calculations'!AP31</f>
        <v>0</v>
      </c>
      <c r="D32" s="824">
        <f>'Default Local'!$D$6</f>
        <v>0.2</v>
      </c>
      <c r="E32" s="822"/>
    </row>
    <row r="33" spans="2:10" x14ac:dyDescent="0.25">
      <c r="B33" s="817" t="s">
        <v>283</v>
      </c>
      <c r="C33" s="823">
        <f>'General-Calculations'!AP32</f>
        <v>0</v>
      </c>
      <c r="D33" s="824">
        <f>'Default Local'!$D$6</f>
        <v>0.2</v>
      </c>
      <c r="E33" s="822"/>
    </row>
    <row r="34" spans="2:10" x14ac:dyDescent="0.25">
      <c r="B34" s="817"/>
      <c r="C34" s="819"/>
      <c r="D34" s="819"/>
      <c r="E34" s="820"/>
    </row>
    <row r="35" spans="2:10" x14ac:dyDescent="0.25">
      <c r="B35" s="817" t="s">
        <v>386</v>
      </c>
      <c r="C35" s="825" t="str">
        <f>IF(C17="Yes",SUM(C20:C33),"n/a")</f>
        <v>n/a</v>
      </c>
      <c r="D35" s="819"/>
      <c r="E35" s="820"/>
    </row>
    <row r="36" spans="2:10" x14ac:dyDescent="0.25">
      <c r="B36" s="817"/>
      <c r="C36" s="819" t="str">
        <f>IF(C17="Yes",IF(C35&lt;&gt;C18,"Your sum of nacelle subcomponents does not equal the value in Project Costs - Step 2. JEDI will use sum on this sheet.",""),"")</f>
        <v/>
      </c>
      <c r="D36" s="819"/>
      <c r="E36" s="820"/>
    </row>
    <row r="37" spans="2:10" x14ac:dyDescent="0.25">
      <c r="B37" s="817"/>
      <c r="C37" s="819"/>
      <c r="D37" s="819"/>
      <c r="E37" s="820"/>
    </row>
    <row r="38" spans="2:10" x14ac:dyDescent="0.25">
      <c r="B38" s="817"/>
      <c r="C38" s="819"/>
      <c r="D38" s="819"/>
      <c r="E38" s="820"/>
    </row>
    <row r="39" spans="2:10" x14ac:dyDescent="0.25">
      <c r="B39" s="826" t="s">
        <v>387</v>
      </c>
      <c r="C39" s="827"/>
      <c r="D39" s="827"/>
      <c r="E39" s="670"/>
      <c r="J39" s="54"/>
    </row>
    <row r="40" spans="2:10" x14ac:dyDescent="0.25">
      <c r="B40" s="817" t="s">
        <v>388</v>
      </c>
      <c r="C40" s="818" t="s">
        <v>383</v>
      </c>
      <c r="D40" s="819"/>
      <c r="E40" s="820"/>
    </row>
    <row r="41" spans="2:10" x14ac:dyDescent="0.25">
      <c r="B41" s="817" t="s">
        <v>389</v>
      </c>
      <c r="C41" s="821">
        <f>'Project Costs - Step 2'!C32</f>
        <v>191829710.03057131</v>
      </c>
      <c r="D41" s="819"/>
      <c r="E41" s="820"/>
      <c r="G41" s="264"/>
    </row>
    <row r="42" spans="2:10" x14ac:dyDescent="0.25">
      <c r="B42" s="817"/>
      <c r="C42" s="819" t="s">
        <v>385</v>
      </c>
      <c r="D42" s="819" t="s">
        <v>239</v>
      </c>
      <c r="E42" s="820"/>
    </row>
    <row r="43" spans="2:10" x14ac:dyDescent="0.25">
      <c r="B43" s="828" t="s">
        <v>287</v>
      </c>
      <c r="C43" s="823">
        <f>'General-Calculations'!AP36</f>
        <v>191694.49424391973</v>
      </c>
      <c r="D43" s="824">
        <f>'Default Local'!$D$9</f>
        <v>0.4</v>
      </c>
      <c r="E43" s="820"/>
    </row>
    <row r="44" spans="2:10" x14ac:dyDescent="0.25">
      <c r="B44" s="828" t="s">
        <v>390</v>
      </c>
      <c r="C44" s="823">
        <f>'General-Calculations'!AP37</f>
        <v>186217.50869409347</v>
      </c>
      <c r="D44" s="824">
        <f>'Default Local'!$D$9</f>
        <v>0.4</v>
      </c>
      <c r="E44" s="820"/>
    </row>
    <row r="45" spans="2:10" x14ac:dyDescent="0.25">
      <c r="B45" s="828" t="s">
        <v>289</v>
      </c>
      <c r="C45" s="823">
        <f>'General-Calculations'!AP38</f>
        <v>186217.50869409347</v>
      </c>
      <c r="D45" s="824">
        <f>'Default Local'!$D$9</f>
        <v>0.4</v>
      </c>
      <c r="E45" s="820"/>
    </row>
    <row r="46" spans="2:10" x14ac:dyDescent="0.25">
      <c r="B46" s="828" t="s">
        <v>290</v>
      </c>
      <c r="C46" s="823">
        <f>'General-Calculations'!AP39</f>
        <v>553175.54053245415</v>
      </c>
      <c r="D46" s="824">
        <f>'Default Local'!$D$9</f>
        <v>0.4</v>
      </c>
      <c r="E46" s="820"/>
    </row>
    <row r="47" spans="2:10" x14ac:dyDescent="0.25">
      <c r="B47" s="828" t="s">
        <v>291</v>
      </c>
      <c r="C47" s="823">
        <f>'General-Calculations'!AP40</f>
        <v>553175.54053245415</v>
      </c>
      <c r="D47" s="824">
        <f>'Default Local'!$D$9</f>
        <v>0.4</v>
      </c>
      <c r="E47" s="820"/>
    </row>
    <row r="48" spans="2:10" x14ac:dyDescent="0.25">
      <c r="B48" s="828" t="s">
        <v>292</v>
      </c>
      <c r="C48" s="823">
        <f>'General-Calculations'!AP41</f>
        <v>2875417.4136587959</v>
      </c>
      <c r="D48" s="824">
        <f>'Default Local'!$D$9</f>
        <v>0.4</v>
      </c>
      <c r="E48" s="820"/>
    </row>
    <row r="49" spans="2:5" x14ac:dyDescent="0.25">
      <c r="B49" s="828" t="s">
        <v>293</v>
      </c>
      <c r="C49" s="823">
        <f>'General-Calculations'!AP42</f>
        <v>8817946.7352203093</v>
      </c>
      <c r="D49" s="824">
        <f>'Default Local'!$D$9</f>
        <v>0.4</v>
      </c>
      <c r="E49" s="820"/>
    </row>
    <row r="50" spans="2:5" x14ac:dyDescent="0.25">
      <c r="B50" s="828" t="s">
        <v>294</v>
      </c>
      <c r="C50" s="823">
        <f>'General-Calculations'!AP43</f>
        <v>5241475.1711837482</v>
      </c>
      <c r="D50" s="824">
        <f>'Default Local'!$D$9</f>
        <v>0.4</v>
      </c>
      <c r="E50" s="820"/>
    </row>
    <row r="51" spans="2:5" x14ac:dyDescent="0.25">
      <c r="B51" s="828" t="s">
        <v>295</v>
      </c>
      <c r="C51" s="823">
        <f>'General-Calculations'!AP44</f>
        <v>5685111.0007196777</v>
      </c>
      <c r="D51" s="824">
        <f>'Default Local'!$D$9</f>
        <v>0.4</v>
      </c>
      <c r="E51" s="820"/>
    </row>
    <row r="52" spans="2:5" x14ac:dyDescent="0.25">
      <c r="B52" s="828" t="s">
        <v>296</v>
      </c>
      <c r="C52" s="823">
        <f>'General-Calculations'!AP45</f>
        <v>1478786.0984530952</v>
      </c>
      <c r="D52" s="824">
        <f>'Default Local'!$D$9</f>
        <v>0.4</v>
      </c>
      <c r="E52" s="820"/>
    </row>
    <row r="53" spans="2:5" x14ac:dyDescent="0.25">
      <c r="B53" s="828" t="s">
        <v>297</v>
      </c>
      <c r="C53" s="823">
        <f>'General-Calculations'!AP46</f>
        <v>1259706.6764600442</v>
      </c>
      <c r="D53" s="824">
        <f>'Default Local'!$D$9</f>
        <v>0.4</v>
      </c>
      <c r="E53" s="820"/>
    </row>
    <row r="54" spans="2:5" x14ac:dyDescent="0.25">
      <c r="B54" s="828" t="s">
        <v>298</v>
      </c>
      <c r="C54" s="823">
        <f>'General-Calculations'!AP47</f>
        <v>1078966.1533157767</v>
      </c>
      <c r="D54" s="824">
        <f>'Default Local'!$D$9</f>
        <v>0.4</v>
      </c>
      <c r="E54" s="820"/>
    </row>
    <row r="55" spans="2:5" x14ac:dyDescent="0.25">
      <c r="B55" s="828" t="s">
        <v>299</v>
      </c>
      <c r="C55" s="823">
        <f>'General-Calculations'!AP48</f>
        <v>17301797.351901218</v>
      </c>
      <c r="D55" s="824">
        <f>'Default Local'!$D$9</f>
        <v>0.4</v>
      </c>
      <c r="E55" s="820"/>
    </row>
    <row r="56" spans="2:5" x14ac:dyDescent="0.25">
      <c r="B56" s="828" t="s">
        <v>300</v>
      </c>
      <c r="C56" s="823">
        <f>'General-Calculations'!AP49</f>
        <v>9628540.5965945981</v>
      </c>
      <c r="D56" s="824">
        <f>'Default Local'!$D$9</f>
        <v>0.4</v>
      </c>
      <c r="E56" s="820"/>
    </row>
    <row r="57" spans="2:5" x14ac:dyDescent="0.25">
      <c r="B57" s="828" t="s">
        <v>198</v>
      </c>
      <c r="C57" s="823">
        <f>'General-Calculations'!AP50</f>
        <v>68395741.120183513</v>
      </c>
      <c r="D57" s="824">
        <f>'Default Local'!$D$9</f>
        <v>0.4</v>
      </c>
      <c r="E57" s="820"/>
    </row>
    <row r="58" spans="2:5" x14ac:dyDescent="0.25">
      <c r="B58" s="828" t="s">
        <v>301</v>
      </c>
      <c r="C58" s="823">
        <f>'General-Calculations'!AP51</f>
        <v>23775565.3437526</v>
      </c>
      <c r="D58" s="824">
        <f>'Default Local'!$D$9</f>
        <v>0.4</v>
      </c>
      <c r="E58" s="820"/>
    </row>
    <row r="59" spans="2:5" x14ac:dyDescent="0.25">
      <c r="B59" s="828" t="s">
        <v>302</v>
      </c>
      <c r="C59" s="823">
        <f>'General-Calculations'!AP52</f>
        <v>13522410.685808579</v>
      </c>
      <c r="D59" s="824">
        <f>'Default Local'!$D$9</f>
        <v>0.4</v>
      </c>
      <c r="E59" s="820"/>
    </row>
    <row r="60" spans="2:5" x14ac:dyDescent="0.25">
      <c r="B60" s="828" t="s">
        <v>303</v>
      </c>
      <c r="C60" s="823">
        <f>'General-Calculations'!AP53</f>
        <v>5408741.9515741728</v>
      </c>
      <c r="D60" s="824">
        <f>'Default Local'!$D$9</f>
        <v>0.4</v>
      </c>
      <c r="E60" s="820"/>
    </row>
    <row r="61" spans="2:5" x14ac:dyDescent="0.25">
      <c r="B61" s="828" t="s">
        <v>304</v>
      </c>
      <c r="C61" s="823">
        <f>'General-Calculations'!AP54</f>
        <v>16674206.194480902</v>
      </c>
      <c r="D61" s="824">
        <f>'Default Local'!$D$9</f>
        <v>0.4</v>
      </c>
      <c r="E61" s="820"/>
    </row>
    <row r="62" spans="2:5" x14ac:dyDescent="0.25">
      <c r="B62" s="828" t="s">
        <v>305</v>
      </c>
      <c r="C62" s="823">
        <f>'General-Calculations'!AP55</f>
        <v>9014816.9445672426</v>
      </c>
      <c r="D62" s="824">
        <f>'Default Local'!$D$9</f>
        <v>0.4</v>
      </c>
      <c r="E62" s="820"/>
    </row>
    <row r="63" spans="2:5" x14ac:dyDescent="0.25">
      <c r="B63" s="817"/>
      <c r="C63" s="819"/>
      <c r="D63" s="819"/>
      <c r="E63" s="820"/>
    </row>
    <row r="64" spans="2:5" x14ac:dyDescent="0.25">
      <c r="B64" s="828" t="s">
        <v>391</v>
      </c>
      <c r="C64" s="825" t="str">
        <f>IF(C40="Yes",SUM(C43:C62),"n/a")</f>
        <v>n/a</v>
      </c>
      <c r="D64" s="819"/>
      <c r="E64" s="820"/>
    </row>
    <row r="65" spans="2:5" x14ac:dyDescent="0.25">
      <c r="B65" s="817"/>
      <c r="C65" s="819"/>
      <c r="D65" s="819"/>
      <c r="E65" s="820"/>
    </row>
    <row r="66" spans="2:5" x14ac:dyDescent="0.25">
      <c r="B66" s="817"/>
      <c r="C66" s="819"/>
      <c r="D66" s="819"/>
      <c r="E66" s="820"/>
    </row>
    <row r="67" spans="2:5" x14ac:dyDescent="0.25">
      <c r="B67" s="817"/>
      <c r="C67" s="819"/>
      <c r="D67" s="819"/>
      <c r="E67" s="820"/>
    </row>
    <row r="68" spans="2:5" x14ac:dyDescent="0.25">
      <c r="B68" s="826" t="s">
        <v>392</v>
      </c>
      <c r="C68" s="827"/>
      <c r="D68" s="827"/>
      <c r="E68" s="670"/>
    </row>
    <row r="69" spans="2:5" x14ac:dyDescent="0.25">
      <c r="B69" s="817" t="s">
        <v>393</v>
      </c>
      <c r="C69" s="818" t="s">
        <v>383</v>
      </c>
      <c r="D69" s="819"/>
      <c r="E69" s="820"/>
    </row>
    <row r="70" spans="2:5" x14ac:dyDescent="0.25">
      <c r="B70" s="817" t="s">
        <v>394</v>
      </c>
      <c r="C70" s="821">
        <f>'Project Costs - Step 2'!C35</f>
        <v>140248988.41882631</v>
      </c>
      <c r="D70" s="819"/>
      <c r="E70" s="820"/>
    </row>
    <row r="71" spans="2:5" x14ac:dyDescent="0.25">
      <c r="B71" s="817"/>
      <c r="C71" s="819" t="s">
        <v>385</v>
      </c>
      <c r="D71" s="819" t="s">
        <v>239</v>
      </c>
      <c r="E71" s="820"/>
    </row>
    <row r="72" spans="2:5" x14ac:dyDescent="0.25">
      <c r="B72" s="817" t="s">
        <v>308</v>
      </c>
      <c r="C72" s="823">
        <f>'General-Calculations'!AP59</f>
        <v>602863.58861953544</v>
      </c>
      <c r="D72" s="824">
        <f>'Default Local'!$D$9</f>
        <v>0.4</v>
      </c>
      <c r="E72" s="820"/>
    </row>
    <row r="73" spans="2:5" x14ac:dyDescent="0.25">
      <c r="B73" s="817" t="s">
        <v>309</v>
      </c>
      <c r="C73" s="823">
        <f>'General-Calculations'!AP60</f>
        <v>6028635.8861953551</v>
      </c>
      <c r="D73" s="824">
        <f>'Default Local'!$D$9</f>
        <v>0.4</v>
      </c>
      <c r="E73" s="820"/>
    </row>
    <row r="74" spans="2:5" x14ac:dyDescent="0.25">
      <c r="B74" s="817" t="s">
        <v>310</v>
      </c>
      <c r="C74" s="823">
        <f>'General-Calculations'!AP61</f>
        <v>4822908.7089562835</v>
      </c>
      <c r="D74" s="824">
        <f>'Default Local'!$D$9</f>
        <v>0.4</v>
      </c>
      <c r="E74" s="820"/>
    </row>
    <row r="75" spans="2:5" x14ac:dyDescent="0.25">
      <c r="B75" s="817" t="s">
        <v>311</v>
      </c>
      <c r="C75" s="823">
        <f>'General-Calculations'!AP62</f>
        <v>10851544.595151639</v>
      </c>
      <c r="D75" s="824">
        <f>'Default Local'!$D$9</f>
        <v>0.4</v>
      </c>
      <c r="E75" s="820"/>
    </row>
    <row r="76" spans="2:5" x14ac:dyDescent="0.25">
      <c r="B76" s="817" t="s">
        <v>312</v>
      </c>
      <c r="C76" s="823">
        <f>'General-Calculations'!AP63</f>
        <v>602863.58861953544</v>
      </c>
      <c r="D76" s="824">
        <f>'Default Local'!$D$9</f>
        <v>0.4</v>
      </c>
      <c r="E76" s="820"/>
    </row>
    <row r="77" spans="2:5" x14ac:dyDescent="0.25">
      <c r="B77" s="817" t="s">
        <v>313</v>
      </c>
      <c r="C77" s="823">
        <f>'General-Calculations'!AP64</f>
        <v>37377542.4944112</v>
      </c>
      <c r="D77" s="824">
        <f>'Default Local'!$D$9</f>
        <v>0.4</v>
      </c>
      <c r="E77" s="820"/>
    </row>
    <row r="78" spans="2:5" x14ac:dyDescent="0.25">
      <c r="B78" s="817" t="s">
        <v>198</v>
      </c>
      <c r="C78" s="823">
        <f>'General-Calculations'!AP65</f>
        <v>39981314.77843637</v>
      </c>
      <c r="D78" s="824">
        <f>'Default Local'!$D$9</f>
        <v>0.4</v>
      </c>
      <c r="E78" s="820"/>
    </row>
    <row r="79" spans="2:5" x14ac:dyDescent="0.25">
      <c r="B79" s="817" t="s">
        <v>301</v>
      </c>
      <c r="C79" s="823">
        <f>'General-Calculations'!AP66</f>
        <v>8781145.5993854292</v>
      </c>
      <c r="D79" s="824">
        <f>'Default Local'!$D$9</f>
        <v>0.4</v>
      </c>
      <c r="E79" s="820"/>
    </row>
    <row r="80" spans="2:5" x14ac:dyDescent="0.25">
      <c r="B80" s="817" t="s">
        <v>302</v>
      </c>
      <c r="C80" s="823">
        <f>'General-Calculations'!AP67</f>
        <v>13908900.992606796</v>
      </c>
      <c r="D80" s="824">
        <f>'Default Local'!$D$9</f>
        <v>0.4</v>
      </c>
      <c r="E80" s="820"/>
    </row>
    <row r="81" spans="2:5" x14ac:dyDescent="0.25">
      <c r="B81" s="817" t="s">
        <v>303</v>
      </c>
      <c r="C81" s="823">
        <f>'General-Calculations'!AP68</f>
        <v>3176389.7044690498</v>
      </c>
      <c r="D81" s="824">
        <f>'Default Local'!$D$9</f>
        <v>0.4</v>
      </c>
      <c r="E81" s="820"/>
    </row>
    <row r="82" spans="2:5" x14ac:dyDescent="0.25">
      <c r="B82" s="817" t="s">
        <v>304</v>
      </c>
      <c r="C82" s="823">
        <f>'General-Calculations'!AP69</f>
        <v>6938189.1155637959</v>
      </c>
      <c r="D82" s="824">
        <f>'Default Local'!$D$9</f>
        <v>0.4</v>
      </c>
      <c r="E82" s="820"/>
    </row>
    <row r="83" spans="2:5" x14ac:dyDescent="0.25">
      <c r="B83" s="817" t="s">
        <v>305</v>
      </c>
      <c r="C83" s="823">
        <f>'General-Calculations'!AP70</f>
        <v>7176689.3664113004</v>
      </c>
      <c r="D83" s="824">
        <f>'Default Local'!$D$9</f>
        <v>0.4</v>
      </c>
      <c r="E83" s="820"/>
    </row>
    <row r="84" spans="2:5" x14ac:dyDescent="0.25">
      <c r="B84" s="817"/>
      <c r="C84" s="819"/>
      <c r="D84" s="819"/>
      <c r="E84" s="820"/>
    </row>
    <row r="85" spans="2:5" x14ac:dyDescent="0.25">
      <c r="B85" s="817" t="s">
        <v>395</v>
      </c>
      <c r="C85" s="825" t="str">
        <f>IF(C69="Yes",SUM(C72:C83),"n/a")</f>
        <v>n/a</v>
      </c>
      <c r="D85" s="819"/>
      <c r="E85" s="820"/>
    </row>
    <row r="86" spans="2:5" x14ac:dyDescent="0.25">
      <c r="B86" s="817"/>
      <c r="C86" s="819"/>
      <c r="D86" s="819"/>
      <c r="E86" s="820"/>
    </row>
    <row r="87" spans="2:5" x14ac:dyDescent="0.25">
      <c r="B87" s="817"/>
      <c r="C87" s="819"/>
      <c r="D87" s="819"/>
      <c r="E87" s="820"/>
    </row>
    <row r="88" spans="2:5" x14ac:dyDescent="0.25">
      <c r="B88" s="829"/>
      <c r="C88" s="830"/>
      <c r="D88" s="830"/>
      <c r="E88" s="831"/>
    </row>
  </sheetData>
  <sheetProtection algorithmName="SHA-512" hashValue="zRmAvVaBDmCze16IeZ+xZYKupT05wCbR2/zm3AcfHtUlcY5eGbWi7slAKGiZrSVq8+bbJghJx9vmusTGJW9gTA==" saltValue="MNgfRlU9BUTMp3V3giXdnA==" spinCount="100000" sheet="1" objects="1" scenarios="1"/>
  <mergeCells count="1">
    <mergeCell ref="B8:H9"/>
  </mergeCells>
  <conditionalFormatting sqref="C20:D33">
    <cfRule type="expression" dxfId="5" priority="3">
      <formula>$C$17="Yes"</formula>
    </cfRule>
  </conditionalFormatting>
  <conditionalFormatting sqref="C43:D62">
    <cfRule type="expression" dxfId="4" priority="2">
      <formula>$C$40="Yes"</formula>
    </cfRule>
  </conditionalFormatting>
  <conditionalFormatting sqref="C72:D83">
    <cfRule type="expression" dxfId="3" priority="1">
      <formula>$C$69="Yes"</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op_nacelle_subs">
                <anchor moveWithCells="1" sizeWithCells="1">
                  <from>
                    <xdr:col>5</xdr:col>
                    <xdr:colOff>371475</xdr:colOff>
                    <xdr:row>19</xdr:row>
                    <xdr:rowOff>152400</xdr:rowOff>
                  </from>
                  <to>
                    <xdr:col>6</xdr:col>
                    <xdr:colOff>1847850</xdr:colOff>
                    <xdr:row>23</xdr:row>
                    <xdr:rowOff>85725</xdr:rowOff>
                  </to>
                </anchor>
              </controlPr>
            </control>
          </mc:Choice>
        </mc:AlternateContent>
        <mc:AlternateContent xmlns:mc="http://schemas.openxmlformats.org/markup-compatibility/2006">
          <mc:Choice Requires="x14">
            <control shapeId="7170" r:id="rId5" name="Button 2">
              <controlPr defaultSize="0" print="0" autoFill="0" autoPict="0" macro="[0]!pop_blades_subs">
                <anchor moveWithCells="1" sizeWithCells="1">
                  <from>
                    <xdr:col>5</xdr:col>
                    <xdr:colOff>523875</xdr:colOff>
                    <xdr:row>41</xdr:row>
                    <xdr:rowOff>38100</xdr:rowOff>
                  </from>
                  <to>
                    <xdr:col>6</xdr:col>
                    <xdr:colOff>1752600</xdr:colOff>
                    <xdr:row>44</xdr:row>
                    <xdr:rowOff>104775</xdr:rowOff>
                  </to>
                </anchor>
              </controlPr>
            </control>
          </mc:Choice>
        </mc:AlternateContent>
        <mc:AlternateContent xmlns:mc="http://schemas.openxmlformats.org/markup-compatibility/2006">
          <mc:Choice Requires="x14">
            <control shapeId="7171" r:id="rId6" name="Button 3">
              <controlPr defaultSize="0" print="0" autoFill="0" autoPict="0" macro="[0]!pop_tower_subs">
                <anchor moveWithCells="1" sizeWithCells="1">
                  <from>
                    <xdr:col>5</xdr:col>
                    <xdr:colOff>504825</xdr:colOff>
                    <xdr:row>71</xdr:row>
                    <xdr:rowOff>161925</xdr:rowOff>
                  </from>
                  <to>
                    <xdr:col>6</xdr:col>
                    <xdr:colOff>1857375</xdr:colOff>
                    <xdr:row>75</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2F61FCA-54E3-834C-B8A3-4F941662C3D7}">
          <x14:formula1>
            <xm:f>'General-Calculations'!$B$173:$B$174</xm:f>
          </x14:formula1>
          <xm:sqref>C17 C40 C69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F0FDF-C4D2-6540-B08E-2CC47A3ED10B}">
  <sheetPr codeName="Sheet18">
    <tabColor theme="0" tint="-0.249977111117893"/>
  </sheetPr>
  <dimension ref="A1:BE219"/>
  <sheetViews>
    <sheetView showGridLines="0" zoomScaleNormal="100" workbookViewId="0">
      <selection activeCell="C98" sqref="C98"/>
    </sheetView>
  </sheetViews>
  <sheetFormatPr defaultColWidth="8.85546875" defaultRowHeight="15" x14ac:dyDescent="0.25"/>
  <cols>
    <col min="2" max="2" width="31.28515625" customWidth="1"/>
    <col min="3" max="3" width="24.42578125" customWidth="1"/>
    <col min="6" max="6" width="33.42578125" bestFit="1" customWidth="1"/>
    <col min="10" max="10" width="19.7109375" customWidth="1"/>
    <col min="11" max="11" width="17.42578125" customWidth="1"/>
    <col min="12" max="12" width="14.7109375" bestFit="1" customWidth="1"/>
    <col min="15" max="15" width="16.7109375" customWidth="1"/>
    <col min="16" max="16" width="12.42578125" bestFit="1" customWidth="1"/>
    <col min="22" max="22" width="26.85546875" customWidth="1"/>
    <col min="23" max="23" width="12.140625" bestFit="1" customWidth="1"/>
    <col min="24" max="24" width="14.140625" bestFit="1" customWidth="1"/>
    <col min="25" max="25" width="11.7109375" bestFit="1" customWidth="1"/>
    <col min="26" max="26" width="38" customWidth="1"/>
    <col min="28" max="29" width="14.140625" bestFit="1" customWidth="1"/>
    <col min="30" max="30" width="13.140625" bestFit="1" customWidth="1"/>
    <col min="31" max="31" width="12" bestFit="1" customWidth="1"/>
    <col min="33" max="33" width="14.140625" bestFit="1" customWidth="1"/>
    <col min="34" max="34" width="13.140625" bestFit="1" customWidth="1"/>
    <col min="35" max="35" width="15.140625" bestFit="1" customWidth="1"/>
    <col min="41" max="41" width="22.28515625" bestFit="1" customWidth="1"/>
    <col min="42" max="42" width="13.140625" bestFit="1" customWidth="1"/>
    <col min="44" max="44" width="11.140625" bestFit="1" customWidth="1"/>
    <col min="49" max="49" width="20.140625" bestFit="1" customWidth="1"/>
    <col min="51" max="51" width="15.7109375" bestFit="1" customWidth="1"/>
    <col min="114" max="114" width="12" bestFit="1" customWidth="1"/>
    <col min="118" max="118" width="11" bestFit="1" customWidth="1"/>
    <col min="133" max="133" width="12" bestFit="1" customWidth="1"/>
    <col min="150" max="150" width="18.28515625" customWidth="1"/>
    <col min="154" max="156" width="12" bestFit="1" customWidth="1"/>
    <col min="162" max="162" width="22.28515625" customWidth="1"/>
  </cols>
  <sheetData>
    <row r="1" spans="1:39" ht="40.5" customHeight="1" x14ac:dyDescent="0.25">
      <c r="A1" s="850" t="s">
        <v>0</v>
      </c>
      <c r="B1" s="850"/>
      <c r="C1" s="850"/>
      <c r="D1" s="850"/>
      <c r="E1" s="850"/>
      <c r="F1" s="850"/>
      <c r="G1" s="850"/>
      <c r="H1" s="850"/>
      <c r="I1" s="850"/>
      <c r="J1" s="850"/>
      <c r="K1" s="850"/>
      <c r="L1" s="850"/>
      <c r="M1" s="850"/>
      <c r="N1" s="850"/>
      <c r="O1" s="850"/>
      <c r="P1" s="850"/>
      <c r="Q1" s="850"/>
      <c r="R1" s="850"/>
      <c r="S1" s="850"/>
      <c r="T1" s="850"/>
      <c r="U1" s="850"/>
      <c r="V1" s="850"/>
      <c r="W1" s="850"/>
      <c r="X1" s="850"/>
      <c r="Y1" s="850"/>
      <c r="Z1" s="850"/>
      <c r="AA1" s="850"/>
      <c r="AB1" s="850"/>
      <c r="AC1" s="850"/>
      <c r="AD1" s="850"/>
      <c r="AE1" s="850"/>
      <c r="AF1" s="850"/>
      <c r="AG1" s="850"/>
      <c r="AH1" s="850"/>
      <c r="AI1" s="850"/>
      <c r="AJ1" s="850"/>
    </row>
    <row r="2" spans="1:39" ht="30.75" customHeight="1" x14ac:dyDescent="0.25">
      <c r="A2" s="851" t="s">
        <v>1</v>
      </c>
      <c r="B2" s="851"/>
      <c r="C2" s="851"/>
      <c r="D2" s="851"/>
      <c r="E2" s="851"/>
      <c r="F2" s="851"/>
      <c r="G2" s="851"/>
      <c r="H2" s="851"/>
      <c r="I2" s="851"/>
      <c r="J2" s="851"/>
      <c r="K2" s="851"/>
      <c r="L2" s="851"/>
      <c r="M2" s="851"/>
      <c r="N2" s="851"/>
      <c r="O2" s="851"/>
      <c r="P2" s="851"/>
      <c r="Q2" s="851"/>
      <c r="R2" s="851"/>
      <c r="S2" s="851"/>
      <c r="T2" s="851"/>
      <c r="U2" s="851"/>
      <c r="V2" s="851"/>
      <c r="W2" s="851"/>
      <c r="X2" s="851"/>
      <c r="Y2" s="851"/>
      <c r="Z2" s="851"/>
      <c r="AA2" s="851"/>
      <c r="AB2" s="851"/>
      <c r="AC2" s="851"/>
      <c r="AD2" s="851"/>
      <c r="AE2" s="851"/>
      <c r="AF2" s="851"/>
      <c r="AG2" s="851"/>
      <c r="AH2" s="851"/>
      <c r="AI2" s="851"/>
      <c r="AJ2" s="851"/>
    </row>
    <row r="3" spans="1:39" ht="20.25" customHeight="1" x14ac:dyDescent="0.25">
      <c r="A3" s="852" t="s">
        <v>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row>
    <row r="4" spans="1:39" ht="15" customHeight="1" x14ac:dyDescent="0.25">
      <c r="A4" s="171"/>
    </row>
    <row r="5" spans="1:39" ht="27" customHeight="1" x14ac:dyDescent="0.25">
      <c r="B5" s="910" t="s">
        <v>447</v>
      </c>
      <c r="C5" s="911"/>
      <c r="D5" s="911"/>
      <c r="E5" s="911"/>
      <c r="F5" s="911"/>
      <c r="G5" s="911"/>
      <c r="H5" s="911"/>
      <c r="I5" s="911"/>
      <c r="J5" s="912"/>
    </row>
    <row r="6" spans="1:39" ht="15" customHeight="1" x14ac:dyDescent="0.35">
      <c r="B6" s="172"/>
    </row>
    <row r="7" spans="1:39" x14ac:dyDescent="0.25">
      <c r="B7" s="173" t="s">
        <v>448</v>
      </c>
    </row>
    <row r="8" spans="1:39" ht="81.75" customHeight="1" x14ac:dyDescent="0.25">
      <c r="B8" s="913" t="s">
        <v>449</v>
      </c>
      <c r="C8" s="914"/>
      <c r="D8" s="914"/>
      <c r="E8" s="914"/>
      <c r="F8" s="914"/>
      <c r="G8" s="914"/>
      <c r="H8" s="914"/>
      <c r="I8" s="914"/>
      <c r="J8" s="915"/>
    </row>
    <row r="10" spans="1:39" x14ac:dyDescent="0.25">
      <c r="B10" s="54" t="s">
        <v>450</v>
      </c>
    </row>
    <row r="11" spans="1:39" ht="110.25" customHeight="1" x14ac:dyDescent="0.25">
      <c r="B11" s="904" t="s">
        <v>451</v>
      </c>
      <c r="C11" s="905"/>
      <c r="D11" s="905"/>
      <c r="E11" s="905"/>
      <c r="F11" s="905"/>
      <c r="G11" s="905"/>
      <c r="H11" s="905"/>
      <c r="I11" s="905"/>
      <c r="J11" s="906"/>
    </row>
    <row r="14" spans="1:39" x14ac:dyDescent="0.25">
      <c r="B14" s="427" t="s">
        <v>452</v>
      </c>
      <c r="V14" t="s">
        <v>453</v>
      </c>
      <c r="W14" s="202">
        <f>X55*'Model Scenario - Step 4'!C177</f>
        <v>1716703762.2516146</v>
      </c>
      <c r="AA14" t="s">
        <v>454</v>
      </c>
      <c r="AB14" s="202">
        <f>X64*X60*'Model Scenario - Step 4'!C177</f>
        <v>367865091.91106027</v>
      </c>
      <c r="AF14" t="s">
        <v>455</v>
      </c>
      <c r="AG14" s="202">
        <f>X60*X63*'Model Scenario - Step 4'!C177</f>
        <v>367865091.91106027</v>
      </c>
    </row>
    <row r="15" spans="1:39" x14ac:dyDescent="0.25">
      <c r="C15" s="178" t="s">
        <v>456</v>
      </c>
      <c r="D15" s="181" t="s">
        <v>457</v>
      </c>
      <c r="E15" s="178"/>
      <c r="F15" s="181" t="s">
        <v>458</v>
      </c>
      <c r="G15" s="54" t="s">
        <v>459</v>
      </c>
      <c r="I15" t="s">
        <v>460</v>
      </c>
      <c r="K15" t="s">
        <v>461</v>
      </c>
      <c r="V15" s="203" t="s">
        <v>462</v>
      </c>
      <c r="W15" s="177"/>
      <c r="X15" s="177"/>
      <c r="Y15" s="177"/>
      <c r="Z15" s="177"/>
      <c r="AA15" s="203" t="s">
        <v>463</v>
      </c>
      <c r="AB15" s="177"/>
      <c r="AC15" s="177"/>
      <c r="AD15" s="177"/>
      <c r="AE15" s="177"/>
      <c r="AF15" s="203" t="s">
        <v>464</v>
      </c>
      <c r="AG15" s="177"/>
      <c r="AH15" s="177"/>
      <c r="AI15" s="177"/>
      <c r="AM15" s="54" t="s">
        <v>465</v>
      </c>
    </row>
    <row r="16" spans="1:39" ht="15.75" x14ac:dyDescent="0.25">
      <c r="B16" s="204" t="s">
        <v>144</v>
      </c>
      <c r="C16" s="205"/>
      <c r="P16" s="206"/>
      <c r="Q16" s="207"/>
      <c r="V16" s="177" t="s">
        <v>466</v>
      </c>
      <c r="W16" s="177" t="s">
        <v>467</v>
      </c>
      <c r="X16" s="177" t="s">
        <v>468</v>
      </c>
      <c r="Y16" s="177" t="s">
        <v>469</v>
      </c>
      <c r="Z16" s="177"/>
      <c r="AA16" s="177" t="s">
        <v>466</v>
      </c>
      <c r="AB16" s="177" t="s">
        <v>467</v>
      </c>
      <c r="AC16" s="177" t="s">
        <v>468</v>
      </c>
      <c r="AD16" s="177" t="s">
        <v>469</v>
      </c>
      <c r="AE16" s="177"/>
      <c r="AF16" s="177" t="s">
        <v>466</v>
      </c>
      <c r="AG16" s="177" t="s">
        <v>467</v>
      </c>
      <c r="AH16" s="177" t="s">
        <v>468</v>
      </c>
      <c r="AI16" s="177" t="s">
        <v>469</v>
      </c>
    </row>
    <row r="17" spans="1:57" x14ac:dyDescent="0.25">
      <c r="B17" s="208" t="s">
        <v>470</v>
      </c>
      <c r="C17" s="271"/>
      <c r="D17" s="350"/>
      <c r="E17" s="350"/>
      <c r="F17" s="350"/>
      <c r="G17" s="350"/>
      <c r="I17" t="s">
        <v>471</v>
      </c>
      <c r="P17" s="210"/>
      <c r="Q17" s="210"/>
      <c r="V17" s="177">
        <v>1</v>
      </c>
      <c r="W17" s="211">
        <f>IF(V17&lt;=$X$57,-IPMT($X$56,V17,$X$57,$W$14),0)</f>
        <v>85835188.112580732</v>
      </c>
      <c r="X17" s="212">
        <f>IF(V17&lt;=$X$57,-PPMT($X$56,V17,$X$57,$W$14),0)</f>
        <v>79555979.490136191</v>
      </c>
      <c r="Y17" s="211">
        <f>SUM(W17:X17)</f>
        <v>165391167.60271692</v>
      </c>
      <c r="AA17" s="177">
        <v>1</v>
      </c>
      <c r="AB17" s="212">
        <f>IF(AA17&lt;=$X$62,-IPMT($X$61,AA17,$X$62,$AB$14),0)</f>
        <v>36786509.191106029</v>
      </c>
      <c r="AC17" s="212">
        <f>IF(AA17&lt;=$X$62,-PPMT($X$61,AA17,$X$62,$AB$14),0)</f>
        <v>60255375.32735914</v>
      </c>
      <c r="AD17" s="212">
        <f>SUM(AB17:AC17)</f>
        <v>97041884.518465161</v>
      </c>
      <c r="AF17" s="177">
        <v>1</v>
      </c>
      <c r="AG17" s="212">
        <f>IF(AA17&lt;=$X$62,-IPMT($X$61,AA17,$X$62,$AB$14),0)</f>
        <v>36786509.191106029</v>
      </c>
      <c r="AH17">
        <f>IF(AA17&lt;=$X$62,-PPMT($X$61,AA17,$X$62,$AB$14),0)</f>
        <v>60255375.32735914</v>
      </c>
      <c r="AI17" s="212">
        <f>SUM(AG17:AH17)</f>
        <v>97041884.518465161</v>
      </c>
      <c r="AO17" t="s">
        <v>472</v>
      </c>
      <c r="AP17" s="54" t="s">
        <v>473</v>
      </c>
      <c r="AR17" s="54" t="s">
        <v>474</v>
      </c>
      <c r="AS17" s="54" t="s">
        <v>475</v>
      </c>
    </row>
    <row r="18" spans="1:57" x14ac:dyDescent="0.25">
      <c r="A18" s="351">
        <f>SUM(A19:A31)</f>
        <v>0.75979899497487458</v>
      </c>
      <c r="B18" s="213" t="s">
        <v>476</v>
      </c>
      <c r="C18" s="271">
        <f>'Model Scenario - Step 4'!C42</f>
        <v>688989069.96061444</v>
      </c>
      <c r="D18" s="214"/>
      <c r="F18" s="225"/>
      <c r="P18" s="215"/>
      <c r="Q18" s="210"/>
      <c r="V18" s="177">
        <v>2</v>
      </c>
      <c r="W18" s="211">
        <f t="shared" ref="W18:W46" si="0">IF(V18&lt;=$X$57,-IPMT($X$56,V18,$X$57,$W$14),0)</f>
        <v>81857389.138073921</v>
      </c>
      <c r="X18" s="212">
        <f t="shared" ref="X18:X46" si="1">IF(V18&lt;=$X$57,-PPMT($X$56,V18,$X$57,$W$14),0)</f>
        <v>83533778.464643002</v>
      </c>
      <c r="Y18" s="211">
        <f t="shared" ref="Y18:Y46" si="2">SUM(W18:X18)</f>
        <v>165391167.60271692</v>
      </c>
      <c r="AA18" s="177">
        <v>2</v>
      </c>
      <c r="AB18" s="212">
        <f t="shared" ref="AB18:AB46" si="3">IF(AA18&lt;=$X$62,-IPMT($X$61,AA18,$X$62,$AB$14),0)</f>
        <v>30760971.658370122</v>
      </c>
      <c r="AC18" s="212">
        <f t="shared" ref="AC18:AC46" si="4">IF(AA18&lt;=$X$62,-PPMT($X$61,AA18,$X$62,$AB$14),0)</f>
        <v>66280912.860095061</v>
      </c>
      <c r="AD18" s="212">
        <f t="shared" ref="AD18:AD46" si="5">SUM(AB18:AC18)</f>
        <v>97041884.518465191</v>
      </c>
      <c r="AF18" s="177">
        <v>2</v>
      </c>
      <c r="AG18" s="212">
        <f t="shared" ref="AG18:AG46" si="6">IF(AA18&lt;=$X$62,-IPMT($X$61,AA18,$X$62,$AB$14),0)</f>
        <v>30760971.658370122</v>
      </c>
      <c r="AH18">
        <f t="shared" ref="AH18:AH46" si="7">IF(AA18&lt;=$X$62,-PPMT($X$61,AA18,$X$62,$AB$14),0)</f>
        <v>66280912.860095061</v>
      </c>
      <c r="AI18" s="212">
        <f t="shared" ref="AI18:AI46" si="8">SUM(AG18:AH18)</f>
        <v>97041884.518465191</v>
      </c>
      <c r="AN18" s="213" t="s">
        <v>477</v>
      </c>
      <c r="AP18" s="227">
        <f>'Project Costs - Step 2'!C29</f>
        <v>688989069.96061444</v>
      </c>
      <c r="AQ18" s="221" t="s">
        <v>478</v>
      </c>
      <c r="AS18" s="221"/>
      <c r="AW18" s="214"/>
      <c r="AX18" t="s">
        <v>479</v>
      </c>
      <c r="AY18" t="s">
        <v>480</v>
      </c>
      <c r="BA18" t="s">
        <v>481</v>
      </c>
      <c r="BB18" t="s">
        <v>482</v>
      </c>
      <c r="BC18" t="s">
        <v>483</v>
      </c>
      <c r="BD18" t="s">
        <v>484</v>
      </c>
    </row>
    <row r="19" spans="1:57" x14ac:dyDescent="0.25">
      <c r="A19" s="214">
        <v>4.0201005025125636E-2</v>
      </c>
      <c r="B19" t="s">
        <v>270</v>
      </c>
      <c r="C19" s="227">
        <f>IF('Optional Turbine Subcomponents'!$C$17="Yes",'Optional Turbine Subcomponents'!C20,'General-Calculations'!AP19)</f>
        <v>36454448.146064252</v>
      </c>
      <c r="D19" s="214">
        <f>IF('Optional Turbine Subcomponents'!$C$17="Yes",'Optional Turbine Subcomponents'!D20,'Model Scenario - Step 4'!$G$42)</f>
        <v>0</v>
      </c>
      <c r="F19" s="225">
        <f>C19*D19</f>
        <v>0</v>
      </c>
      <c r="K19" s="54" t="s">
        <v>485</v>
      </c>
      <c r="P19" s="216"/>
      <c r="Q19" s="210"/>
      <c r="V19" s="177">
        <v>3</v>
      </c>
      <c r="W19" s="211">
        <f t="shared" si="0"/>
        <v>77680700.214841768</v>
      </c>
      <c r="X19" s="212">
        <f t="shared" si="1"/>
        <v>87710467.387875155</v>
      </c>
      <c r="Y19" s="211">
        <f t="shared" si="2"/>
        <v>165391167.60271692</v>
      </c>
      <c r="AA19" s="177">
        <v>3</v>
      </c>
      <c r="AB19" s="212">
        <f t="shared" si="3"/>
        <v>24132880.372360606</v>
      </c>
      <c r="AC19" s="212">
        <f t="shared" si="4"/>
        <v>72909004.146104559</v>
      </c>
      <c r="AD19" s="212">
        <f t="shared" si="5"/>
        <v>97041884.518465161</v>
      </c>
      <c r="AF19" s="177">
        <v>3</v>
      </c>
      <c r="AG19" s="212">
        <f t="shared" si="6"/>
        <v>24132880.372360606</v>
      </c>
      <c r="AH19">
        <f t="shared" si="7"/>
        <v>72909004.146104559</v>
      </c>
      <c r="AI19" s="212">
        <f t="shared" si="8"/>
        <v>97041884.518465161</v>
      </c>
      <c r="AM19" s="214">
        <v>4.0201005025125636E-2</v>
      </c>
      <c r="AN19" t="s">
        <v>270</v>
      </c>
      <c r="AO19" s="352">
        <f>AM19/SUM($AM$19:$AM$32)</f>
        <v>5.2910052910052907E-2</v>
      </c>
      <c r="AP19" s="227">
        <f>$AP$18*AO19</f>
        <v>36454448.146064252</v>
      </c>
      <c r="AQ19" s="221" t="s">
        <v>486</v>
      </c>
      <c r="AR19">
        <f>'Optional Turbine Subcomponents'!C20</f>
        <v>36454448.146064252</v>
      </c>
      <c r="AW19" t="s">
        <v>367</v>
      </c>
      <c r="AX19" s="227">
        <f>AP18</f>
        <v>688989069.96061444</v>
      </c>
      <c r="AY19" s="352">
        <f>IF($AX$22&gt;0,AX19/$AX$22,0)</f>
        <v>0.67477310642514499</v>
      </c>
      <c r="BA19" s="214">
        <f>(AO23+AO24+AO25)*AY19</f>
        <v>0.19993277227411699</v>
      </c>
      <c r="BB19" s="214">
        <f>(AO21+AO22+AO26)*AY19</f>
        <v>0.31596518475463131</v>
      </c>
      <c r="BC19" s="214">
        <f>(AO19+AO29)*AY19</f>
        <v>8.0330131717279152E-2</v>
      </c>
      <c r="BD19" s="214">
        <f>(AO20+AO28+AO30+AO31+AO32+AO27)*AY19</f>
        <v>7.8545017679117396E-2</v>
      </c>
      <c r="BE19" s="214"/>
    </row>
    <row r="20" spans="1:57" x14ac:dyDescent="0.25">
      <c r="A20" s="214">
        <v>4.0201005025125636E-2</v>
      </c>
      <c r="B20" t="s">
        <v>271</v>
      </c>
      <c r="C20" s="227">
        <f>IF('Optional Turbine Subcomponents'!$C$17="Yes",'Optional Turbine Subcomponents'!C21,'General-Calculations'!AP20)</f>
        <v>36454448.146064252</v>
      </c>
      <c r="D20" s="214">
        <f>IF('Optional Turbine Subcomponents'!$C$17="Yes",'Optional Turbine Subcomponents'!D21,'Model Scenario - Step 4'!$G$42)</f>
        <v>0</v>
      </c>
      <c r="F20" s="225">
        <f t="shared" ref="F20:F33" si="9">C20*D20</f>
        <v>0</v>
      </c>
      <c r="J20" t="s">
        <v>205</v>
      </c>
      <c r="K20" s="226">
        <f>F98</f>
        <v>0</v>
      </c>
      <c r="P20" s="215"/>
      <c r="Q20" s="210"/>
      <c r="V20" s="177">
        <v>4</v>
      </c>
      <c r="W20" s="211">
        <f t="shared" si="0"/>
        <v>73295176.845448002</v>
      </c>
      <c r="X20" s="212">
        <f t="shared" si="1"/>
        <v>92095990.757268921</v>
      </c>
      <c r="Y20" s="211">
        <f t="shared" si="2"/>
        <v>165391167.60271692</v>
      </c>
      <c r="AA20" s="177">
        <v>4</v>
      </c>
      <c r="AB20" s="212">
        <f t="shared" si="3"/>
        <v>16841979.957750153</v>
      </c>
      <c r="AC20" s="212">
        <f t="shared" si="4"/>
        <v>80199904.56071502</v>
      </c>
      <c r="AD20" s="212">
        <f t="shared" si="5"/>
        <v>97041884.518465176</v>
      </c>
      <c r="AF20" s="177">
        <v>4</v>
      </c>
      <c r="AG20" s="212">
        <f t="shared" si="6"/>
        <v>16841979.957750153</v>
      </c>
      <c r="AH20">
        <f t="shared" si="7"/>
        <v>80199904.56071502</v>
      </c>
      <c r="AI20" s="212">
        <f t="shared" si="8"/>
        <v>97041884.518465176</v>
      </c>
      <c r="AM20" s="214">
        <v>4.0201005025125636E-2</v>
      </c>
      <c r="AN20" t="s">
        <v>271</v>
      </c>
      <c r="AO20" s="352">
        <f t="shared" ref="AO20:AO32" si="10">AM20/SUM($AM$19:$AM$32)</f>
        <v>5.2910052910052907E-2</v>
      </c>
      <c r="AP20" s="227">
        <f t="shared" ref="AP20:AP32" si="11">$AP$18*AO20</f>
        <v>36454448.146064252</v>
      </c>
      <c r="AQ20" s="221" t="s">
        <v>486</v>
      </c>
      <c r="AR20">
        <f>'Optional Turbine Subcomponents'!C21</f>
        <v>36454448.146064252</v>
      </c>
      <c r="AW20" t="s">
        <v>487</v>
      </c>
      <c r="AX20" s="227">
        <f>AP35</f>
        <v>191829710.03057131</v>
      </c>
      <c r="AY20" s="352">
        <f t="shared" ref="AY20:AY21" si="12">IF($AX$22&gt;0,AX20/$AX$22,0)</f>
        <v>0.18787167313026146</v>
      </c>
    </row>
    <row r="21" spans="1:57" x14ac:dyDescent="0.25">
      <c r="A21" s="214">
        <v>0.14070351758793972</v>
      </c>
      <c r="B21" t="s">
        <v>272</v>
      </c>
      <c r="C21" s="227">
        <f>IF('Optional Turbine Subcomponents'!$C$17="Yes",'Optional Turbine Subcomponents'!C22,'General-Calculations'!AP21)</f>
        <v>127590568.5112249</v>
      </c>
      <c r="D21" s="214">
        <f>IF('Optional Turbine Subcomponents'!$C$17="Yes",'Optional Turbine Subcomponents'!D22,'Model Scenario - Step 4'!$G$42)</f>
        <v>0</v>
      </c>
      <c r="F21" s="225">
        <f t="shared" si="9"/>
        <v>0</v>
      </c>
      <c r="J21" t="s">
        <v>207</v>
      </c>
      <c r="K21" s="226">
        <f>IF('Project Data - Step 1'!D53="Monopile",'General-Calculations'!F101,0)</f>
        <v>0</v>
      </c>
      <c r="P21" s="215"/>
      <c r="Q21" s="210"/>
      <c r="V21" s="177">
        <v>5</v>
      </c>
      <c r="W21" s="211">
        <f t="shared" si="0"/>
        <v>68690377.307584569</v>
      </c>
      <c r="X21" s="212">
        <f t="shared" si="1"/>
        <v>96700790.295132354</v>
      </c>
      <c r="Y21" s="211">
        <f t="shared" si="2"/>
        <v>165391167.60271692</v>
      </c>
      <c r="AA21" s="177">
        <v>5</v>
      </c>
      <c r="AB21" s="212">
        <f t="shared" si="3"/>
        <v>8821989.5016786512</v>
      </c>
      <c r="AC21" s="212">
        <f t="shared" si="4"/>
        <v>88219895.016786516</v>
      </c>
      <c r="AD21" s="212">
        <f t="shared" si="5"/>
        <v>97041884.518465161</v>
      </c>
      <c r="AF21" s="177">
        <v>5</v>
      </c>
      <c r="AG21" s="212">
        <f t="shared" si="6"/>
        <v>8821989.5016786512</v>
      </c>
      <c r="AH21">
        <f t="shared" si="7"/>
        <v>88219895.016786516</v>
      </c>
      <c r="AI21" s="212">
        <f t="shared" si="8"/>
        <v>97041884.518465161</v>
      </c>
      <c r="AM21" s="214">
        <v>0.14070351758793972</v>
      </c>
      <c r="AN21" t="s">
        <v>272</v>
      </c>
      <c r="AO21" s="352">
        <f t="shared" si="10"/>
        <v>0.18518518518518517</v>
      </c>
      <c r="AP21" s="227">
        <f t="shared" si="11"/>
        <v>127590568.5112249</v>
      </c>
      <c r="AQ21" s="221" t="s">
        <v>486</v>
      </c>
      <c r="AR21">
        <f>'Optional Turbine Subcomponents'!C22</f>
        <v>127590568.5112249</v>
      </c>
      <c r="AW21" t="s">
        <v>370</v>
      </c>
      <c r="AX21" s="227">
        <f>AP58</f>
        <v>140248988.41882631</v>
      </c>
      <c r="AY21" s="352">
        <f t="shared" si="12"/>
        <v>0.13735522044459345</v>
      </c>
    </row>
    <row r="22" spans="1:57" x14ac:dyDescent="0.25">
      <c r="A22" s="214">
        <v>0.20100502512562812</v>
      </c>
      <c r="B22" t="s">
        <v>273</v>
      </c>
      <c r="C22" s="227">
        <f>IF('Optional Turbine Subcomponents'!$C$17="Yes",'Optional Turbine Subcomponents'!C23,'General-Calculations'!AP22)</f>
        <v>182272240.73032123</v>
      </c>
      <c r="D22" s="214">
        <f>IF('Optional Turbine Subcomponents'!$C$17="Yes",'Optional Turbine Subcomponents'!D23,'Model Scenario - Step 4'!$G$42)</f>
        <v>0</v>
      </c>
      <c r="F22" s="225">
        <f t="shared" si="9"/>
        <v>0</v>
      </c>
      <c r="J22" t="s">
        <v>208</v>
      </c>
      <c r="K22" s="226">
        <f>IF('Project Data - Step 1'!D53="Monopile",0,'General-Calculations'!F101)</f>
        <v>0</v>
      </c>
      <c r="P22" s="215"/>
      <c r="Q22" s="210"/>
      <c r="V22" s="177">
        <v>6</v>
      </c>
      <c r="W22" s="211">
        <f t="shared" si="0"/>
        <v>63855337.792827964</v>
      </c>
      <c r="X22" s="212">
        <f t="shared" si="1"/>
        <v>101535829.80988897</v>
      </c>
      <c r="Y22" s="211">
        <f t="shared" si="2"/>
        <v>165391167.60271692</v>
      </c>
      <c r="AA22" s="177">
        <v>6</v>
      </c>
      <c r="AB22" s="212">
        <f t="shared" si="3"/>
        <v>0</v>
      </c>
      <c r="AC22" s="212">
        <f t="shared" si="4"/>
        <v>0</v>
      </c>
      <c r="AD22" s="212">
        <f t="shared" si="5"/>
        <v>0</v>
      </c>
      <c r="AF22" s="177">
        <v>6</v>
      </c>
      <c r="AG22" s="212">
        <f t="shared" si="6"/>
        <v>0</v>
      </c>
      <c r="AH22">
        <f t="shared" si="7"/>
        <v>0</v>
      </c>
      <c r="AI22" s="212">
        <f t="shared" si="8"/>
        <v>0</v>
      </c>
      <c r="AM22" s="214">
        <v>0.20100502512562812</v>
      </c>
      <c r="AN22" t="s">
        <v>273</v>
      </c>
      <c r="AO22" s="352">
        <f t="shared" si="10"/>
        <v>0.26455026455026448</v>
      </c>
      <c r="AP22" s="227">
        <f t="shared" si="11"/>
        <v>182272240.73032123</v>
      </c>
      <c r="AQ22" s="221" t="s">
        <v>486</v>
      </c>
      <c r="AR22">
        <f>'Optional Turbine Subcomponents'!C23</f>
        <v>182272240.73032123</v>
      </c>
      <c r="AW22" t="s">
        <v>375</v>
      </c>
      <c r="AX22" s="227">
        <f>SUM(AX19:AX21)</f>
        <v>1021067768.4100121</v>
      </c>
      <c r="AY22" s="225"/>
    </row>
    <row r="23" spans="1:57" x14ac:dyDescent="0.25">
      <c r="A23" s="214">
        <v>0.14070351758793972</v>
      </c>
      <c r="B23" t="s">
        <v>274</v>
      </c>
      <c r="C23" s="227">
        <f>IF('Optional Turbine Subcomponents'!$C$17="Yes",'Optional Turbine Subcomponents'!C24,'General-Calculations'!AP23)</f>
        <v>127590568.5112249</v>
      </c>
      <c r="D23" s="214">
        <f>IF('Optional Turbine Subcomponents'!$C$17="Yes",'Optional Turbine Subcomponents'!D24,'Model Scenario - Step 4'!$G$42)</f>
        <v>0</v>
      </c>
      <c r="F23" s="225">
        <f t="shared" si="9"/>
        <v>0</v>
      </c>
      <c r="J23" t="s">
        <v>322</v>
      </c>
      <c r="K23" s="226">
        <f>F104</f>
        <v>0</v>
      </c>
      <c r="P23" s="215"/>
      <c r="Q23" s="210"/>
      <c r="V23" s="177">
        <v>7</v>
      </c>
      <c r="W23" s="211">
        <f t="shared" si="0"/>
        <v>58778546.302333504</v>
      </c>
      <c r="X23" s="212">
        <f t="shared" si="1"/>
        <v>106612621.30038342</v>
      </c>
      <c r="Y23" s="211">
        <f t="shared" si="2"/>
        <v>165391167.60271692</v>
      </c>
      <c r="AA23" s="177">
        <v>7</v>
      </c>
      <c r="AB23" s="212">
        <f t="shared" si="3"/>
        <v>0</v>
      </c>
      <c r="AC23" s="212">
        <f t="shared" si="4"/>
        <v>0</v>
      </c>
      <c r="AD23" s="212">
        <f t="shared" si="5"/>
        <v>0</v>
      </c>
      <c r="AF23" s="177">
        <v>7</v>
      </c>
      <c r="AG23" s="212">
        <f t="shared" si="6"/>
        <v>0</v>
      </c>
      <c r="AH23">
        <f t="shared" si="7"/>
        <v>0</v>
      </c>
      <c r="AI23" s="212">
        <f t="shared" si="8"/>
        <v>0</v>
      </c>
      <c r="AM23" s="214">
        <v>0.14070351758793972</v>
      </c>
      <c r="AN23" t="s">
        <v>274</v>
      </c>
      <c r="AO23" s="352">
        <f t="shared" si="10"/>
        <v>0.18518518518518517</v>
      </c>
      <c r="AP23" s="227">
        <f t="shared" si="11"/>
        <v>127590568.5112249</v>
      </c>
      <c r="AQ23" s="221" t="s">
        <v>486</v>
      </c>
      <c r="AR23">
        <f>'Optional Turbine Subcomponents'!C24</f>
        <v>127590568.5112249</v>
      </c>
      <c r="AW23" s="353"/>
      <c r="AY23" s="225"/>
    </row>
    <row r="24" spans="1:57" x14ac:dyDescent="0.25">
      <c r="A24" s="214">
        <v>5.0251256281407031E-2</v>
      </c>
      <c r="B24" t="s">
        <v>275</v>
      </c>
      <c r="C24" s="227">
        <f>IF('Optional Turbine Subcomponents'!$C$17="Yes",'Optional Turbine Subcomponents'!C25,'General-Calculations'!AP24)</f>
        <v>45568060.182580307</v>
      </c>
      <c r="D24" s="214">
        <f>IF('Optional Turbine Subcomponents'!$C$17="Yes",'Optional Turbine Subcomponents'!D25,'Model Scenario - Step 4'!$G$42)</f>
        <v>0</v>
      </c>
      <c r="F24" s="225">
        <f t="shared" si="9"/>
        <v>0</v>
      </c>
      <c r="J24" t="s">
        <v>211</v>
      </c>
      <c r="K24" s="226">
        <f>F107+F110</f>
        <v>0</v>
      </c>
      <c r="P24" s="215"/>
      <c r="Q24" s="210"/>
      <c r="V24" s="177">
        <v>8</v>
      </c>
      <c r="W24" s="211">
        <f t="shared" si="0"/>
        <v>53447915.237314329</v>
      </c>
      <c r="X24" s="212">
        <f t="shared" si="1"/>
        <v>111943252.36540258</v>
      </c>
      <c r="Y24" s="211">
        <f t="shared" si="2"/>
        <v>165391167.60271692</v>
      </c>
      <c r="AA24" s="177">
        <v>8</v>
      </c>
      <c r="AB24" s="212">
        <f t="shared" si="3"/>
        <v>0</v>
      </c>
      <c r="AC24" s="212">
        <f t="shared" si="4"/>
        <v>0</v>
      </c>
      <c r="AD24" s="212">
        <f t="shared" si="5"/>
        <v>0</v>
      </c>
      <c r="AF24" s="177">
        <v>8</v>
      </c>
      <c r="AG24" s="212">
        <f t="shared" si="6"/>
        <v>0</v>
      </c>
      <c r="AH24">
        <f t="shared" si="7"/>
        <v>0</v>
      </c>
      <c r="AI24" s="212">
        <f t="shared" si="8"/>
        <v>0</v>
      </c>
      <c r="AM24" s="214">
        <v>5.0251256281407031E-2</v>
      </c>
      <c r="AN24" t="s">
        <v>275</v>
      </c>
      <c r="AO24" s="352">
        <f t="shared" si="10"/>
        <v>6.613756613756612E-2</v>
      </c>
      <c r="AP24" s="227">
        <f t="shared" si="11"/>
        <v>45568060.182580307</v>
      </c>
      <c r="AQ24" s="221" t="s">
        <v>486</v>
      </c>
      <c r="AR24">
        <f>'Optional Turbine Subcomponents'!C25</f>
        <v>45568060.182580307</v>
      </c>
      <c r="AW24" s="353"/>
      <c r="AX24" t="s">
        <v>488</v>
      </c>
      <c r="AY24" s="225" t="s">
        <v>489</v>
      </c>
    </row>
    <row r="25" spans="1:57" x14ac:dyDescent="0.25">
      <c r="A25" s="214">
        <v>3.4170854271356785E-2</v>
      </c>
      <c r="B25" t="s">
        <v>276</v>
      </c>
      <c r="C25" s="227">
        <f>IF('Optional Turbine Subcomponents'!$C$17="Yes",'Optional Turbine Subcomponents'!C26,'General-Calculations'!AP25)</f>
        <v>30986280.924154609</v>
      </c>
      <c r="D25" s="214">
        <f>IF('Optional Turbine Subcomponents'!$C$17="Yes",'Optional Turbine Subcomponents'!D26,'Model Scenario - Step 4'!$G$42)</f>
        <v>0</v>
      </c>
      <c r="F25" s="225">
        <f t="shared" si="9"/>
        <v>0</v>
      </c>
      <c r="J25" t="s">
        <v>348</v>
      </c>
      <c r="K25" s="226">
        <f>F113</f>
        <v>0</v>
      </c>
      <c r="P25" s="267"/>
      <c r="Q25" s="210"/>
      <c r="V25" s="177">
        <v>9</v>
      </c>
      <c r="W25" s="211">
        <f t="shared" si="0"/>
        <v>47850752.6190442</v>
      </c>
      <c r="X25" s="212">
        <f t="shared" si="1"/>
        <v>117540414.98367272</v>
      </c>
      <c r="Y25" s="211">
        <f t="shared" si="2"/>
        <v>165391167.60271692</v>
      </c>
      <c r="AA25" s="177">
        <v>9</v>
      </c>
      <c r="AB25" s="212">
        <f t="shared" si="3"/>
        <v>0</v>
      </c>
      <c r="AC25" s="212">
        <f t="shared" si="4"/>
        <v>0</v>
      </c>
      <c r="AD25" s="212">
        <f t="shared" si="5"/>
        <v>0</v>
      </c>
      <c r="AF25" s="177">
        <v>9</v>
      </c>
      <c r="AG25" s="212">
        <f t="shared" si="6"/>
        <v>0</v>
      </c>
      <c r="AH25">
        <f t="shared" si="7"/>
        <v>0</v>
      </c>
      <c r="AI25" s="212">
        <f t="shared" si="8"/>
        <v>0</v>
      </c>
      <c r="AM25" s="214">
        <v>3.4170854271356785E-2</v>
      </c>
      <c r="AN25" t="s">
        <v>276</v>
      </c>
      <c r="AO25" s="352">
        <f t="shared" si="10"/>
        <v>4.4973544973544964E-2</v>
      </c>
      <c r="AP25" s="227">
        <f t="shared" si="11"/>
        <v>30986280.924154609</v>
      </c>
      <c r="AQ25" s="221" t="s">
        <v>486</v>
      </c>
      <c r="AR25">
        <f>'Optional Turbine Subcomponents'!C26</f>
        <v>30986280.924154609</v>
      </c>
      <c r="AW25" s="353" t="s">
        <v>490</v>
      </c>
      <c r="AX25">
        <v>1301</v>
      </c>
      <c r="AY25" s="225"/>
    </row>
    <row r="26" spans="1:57" x14ac:dyDescent="0.25">
      <c r="A26" s="214">
        <v>1.407035175879397E-2</v>
      </c>
      <c r="B26" t="s">
        <v>277</v>
      </c>
      <c r="C26" s="227">
        <f>IF('Optional Turbine Subcomponents'!$C$17="Yes",'Optional Turbine Subcomponents'!C27,'General-Calculations'!AP26)</f>
        <v>12759056.851122487</v>
      </c>
      <c r="D26" s="214">
        <f>IF('Optional Turbine Subcomponents'!$C$17="Yes",'Optional Turbine Subcomponents'!D27,'Model Scenario - Step 4'!$G$42)</f>
        <v>0</v>
      </c>
      <c r="F26" s="225">
        <f t="shared" si="9"/>
        <v>0</v>
      </c>
      <c r="P26" s="210"/>
      <c r="Q26" s="210"/>
      <c r="V26" s="177">
        <v>10</v>
      </c>
      <c r="W26" s="211">
        <f t="shared" si="0"/>
        <v>41973731.86986056</v>
      </c>
      <c r="X26" s="212">
        <f t="shared" si="1"/>
        <v>123417435.73285638</v>
      </c>
      <c r="Y26" s="211">
        <f t="shared" si="2"/>
        <v>165391167.60271692</v>
      </c>
      <c r="AA26" s="177">
        <v>10</v>
      </c>
      <c r="AB26" s="212">
        <f t="shared" si="3"/>
        <v>0</v>
      </c>
      <c r="AC26" s="212">
        <f t="shared" si="4"/>
        <v>0</v>
      </c>
      <c r="AD26" s="212">
        <f t="shared" si="5"/>
        <v>0</v>
      </c>
      <c r="AF26" s="177">
        <v>10</v>
      </c>
      <c r="AG26" s="212">
        <f t="shared" si="6"/>
        <v>0</v>
      </c>
      <c r="AH26">
        <f t="shared" si="7"/>
        <v>0</v>
      </c>
      <c r="AI26" s="212">
        <f t="shared" si="8"/>
        <v>0</v>
      </c>
      <c r="AM26" s="214">
        <v>1.407035175879397E-2</v>
      </c>
      <c r="AN26" t="s">
        <v>277</v>
      </c>
      <c r="AO26" s="352">
        <f t="shared" si="10"/>
        <v>1.8518518518518514E-2</v>
      </c>
      <c r="AP26" s="227">
        <f t="shared" si="11"/>
        <v>12759056.851122487</v>
      </c>
      <c r="AQ26" s="221" t="s">
        <v>486</v>
      </c>
      <c r="AR26">
        <f>'Optional Turbine Subcomponents'!C27</f>
        <v>12759056.851122487</v>
      </c>
      <c r="AW26" s="440" t="s">
        <v>367</v>
      </c>
      <c r="AX26">
        <v>861</v>
      </c>
      <c r="AY26" s="227">
        <f>1000*AX26*'Project Data - Step 1'!$D$24</f>
        <v>774900000</v>
      </c>
    </row>
    <row r="27" spans="1:57" x14ac:dyDescent="0.25">
      <c r="A27" s="214">
        <v>1.407035175879397E-2</v>
      </c>
      <c r="B27" t="s">
        <v>278</v>
      </c>
      <c r="C27" s="227">
        <f>IF('Optional Turbine Subcomponents'!$C$17="Yes",'Optional Turbine Subcomponents'!C28,'General-Calculations'!AP27)</f>
        <v>12759056.851122487</v>
      </c>
      <c r="D27" s="214">
        <f>IF('Optional Turbine Subcomponents'!$C$17="Yes",'Optional Turbine Subcomponents'!D28,'Model Scenario - Step 4'!$G$42)</f>
        <v>0</v>
      </c>
      <c r="F27" s="225">
        <f t="shared" si="9"/>
        <v>0</v>
      </c>
      <c r="J27" s="54"/>
      <c r="P27" s="210"/>
      <c r="Q27" s="210"/>
      <c r="V27" s="177">
        <v>11</v>
      </c>
      <c r="W27" s="211">
        <f t="shared" si="0"/>
        <v>35802860.08321774</v>
      </c>
      <c r="X27" s="212">
        <f t="shared" si="1"/>
        <v>129588307.51949918</v>
      </c>
      <c r="Y27" s="211">
        <f t="shared" si="2"/>
        <v>165391167.60271692</v>
      </c>
      <c r="AA27" s="177">
        <v>11</v>
      </c>
      <c r="AB27" s="212">
        <f t="shared" si="3"/>
        <v>0</v>
      </c>
      <c r="AC27" s="212">
        <f t="shared" si="4"/>
        <v>0</v>
      </c>
      <c r="AD27" s="212">
        <f t="shared" si="5"/>
        <v>0</v>
      </c>
      <c r="AF27" s="177">
        <v>11</v>
      </c>
      <c r="AG27" s="212">
        <f t="shared" si="6"/>
        <v>0</v>
      </c>
      <c r="AH27">
        <f t="shared" si="7"/>
        <v>0</v>
      </c>
      <c r="AI27" s="212">
        <f t="shared" si="8"/>
        <v>0</v>
      </c>
      <c r="AM27" s="214">
        <v>1.407035175879397E-2</v>
      </c>
      <c r="AN27" t="s">
        <v>278</v>
      </c>
      <c r="AO27" s="352">
        <f t="shared" si="10"/>
        <v>1.8518518518518514E-2</v>
      </c>
      <c r="AP27" s="227">
        <f t="shared" si="11"/>
        <v>12759056.851122487</v>
      </c>
      <c r="AQ27" s="221" t="s">
        <v>486</v>
      </c>
      <c r="AR27">
        <f>'Optional Turbine Subcomponents'!C28</f>
        <v>12759056.851122487</v>
      </c>
      <c r="AW27" s="440" t="s">
        <v>152</v>
      </c>
      <c r="AX27">
        <v>258</v>
      </c>
      <c r="AY27" s="227">
        <f>1000*AX27*'Project Data - Step 1'!$D$24</f>
        <v>232200000</v>
      </c>
    </row>
    <row r="28" spans="1:57" x14ac:dyDescent="0.25">
      <c r="A28" s="214">
        <v>2.0100502512562818E-2</v>
      </c>
      <c r="B28" t="s">
        <v>279</v>
      </c>
      <c r="C28" s="227">
        <f>IF('Optional Turbine Subcomponents'!$C$17="Yes",'Optional Turbine Subcomponents'!C29,'General-Calculations'!AP28)</f>
        <v>18227224.073032126</v>
      </c>
      <c r="D28" s="214">
        <f>IF('Optional Turbine Subcomponents'!$C$17="Yes",'Optional Turbine Subcomponents'!D29,'Model Scenario - Step 4'!$G$42)</f>
        <v>0</v>
      </c>
      <c r="F28" s="225">
        <f t="shared" si="9"/>
        <v>0</v>
      </c>
      <c r="J28" s="54" t="s">
        <v>491</v>
      </c>
      <c r="P28" s="216"/>
      <c r="Q28" s="210"/>
      <c r="V28" s="177">
        <v>12</v>
      </c>
      <c r="W28" s="211">
        <f t="shared" si="0"/>
        <v>29323444.707242783</v>
      </c>
      <c r="X28" s="212">
        <f t="shared" si="1"/>
        <v>136067722.89547417</v>
      </c>
      <c r="Y28" s="211">
        <f t="shared" si="2"/>
        <v>165391167.60271695</v>
      </c>
      <c r="AA28" s="177">
        <v>12</v>
      </c>
      <c r="AB28" s="212">
        <f t="shared" si="3"/>
        <v>0</v>
      </c>
      <c r="AC28" s="212">
        <f t="shared" si="4"/>
        <v>0</v>
      </c>
      <c r="AD28" s="212">
        <f t="shared" si="5"/>
        <v>0</v>
      </c>
      <c r="AF28" s="177">
        <v>12</v>
      </c>
      <c r="AG28" s="212">
        <f t="shared" si="6"/>
        <v>0</v>
      </c>
      <c r="AH28">
        <f t="shared" si="7"/>
        <v>0</v>
      </c>
      <c r="AI28" s="212">
        <f t="shared" si="8"/>
        <v>0</v>
      </c>
      <c r="AM28" s="214">
        <v>2.0100502512562818E-2</v>
      </c>
      <c r="AN28" t="s">
        <v>279</v>
      </c>
      <c r="AO28" s="352">
        <f t="shared" si="10"/>
        <v>2.6455026455026454E-2</v>
      </c>
      <c r="AP28" s="227">
        <f t="shared" si="11"/>
        <v>18227224.073032126</v>
      </c>
      <c r="AQ28" s="221" t="s">
        <v>486</v>
      </c>
      <c r="AR28">
        <f>'Optional Turbine Subcomponents'!C29</f>
        <v>18227224.073032126</v>
      </c>
      <c r="AW28" s="440" t="s">
        <v>156</v>
      </c>
      <c r="AX28">
        <v>182</v>
      </c>
      <c r="AY28" s="227">
        <f>1000*AX28*'Project Data - Step 1'!$D$24</f>
        <v>163800000</v>
      </c>
    </row>
    <row r="29" spans="1:57" x14ac:dyDescent="0.25">
      <c r="A29" s="214">
        <v>5.0251256281407031E-2</v>
      </c>
      <c r="B29" t="s">
        <v>280</v>
      </c>
      <c r="C29" s="227">
        <f>IF('Optional Turbine Subcomponents'!$C$17="Yes",'Optional Turbine Subcomponents'!C30,'General-Calculations'!AP29)</f>
        <v>45568060.182580307</v>
      </c>
      <c r="D29" s="214">
        <f>IF('Optional Turbine Subcomponents'!$C$17="Yes",'Optional Turbine Subcomponents'!D30,'Model Scenario - Step 4'!$G$42)</f>
        <v>0</v>
      </c>
      <c r="F29" s="225">
        <f t="shared" si="9"/>
        <v>0</v>
      </c>
      <c r="J29" t="s">
        <v>205</v>
      </c>
      <c r="K29">
        <f>'Model Scenario - Step 4'!C225</f>
        <v>99000</v>
      </c>
      <c r="P29" s="215"/>
      <c r="Q29" s="210"/>
      <c r="V29" s="177">
        <v>13</v>
      </c>
      <c r="W29" s="211">
        <f t="shared" si="0"/>
        <v>22520058.562469073</v>
      </c>
      <c r="X29" s="212">
        <f t="shared" si="1"/>
        <v>142871109.04024786</v>
      </c>
      <c r="Y29" s="211">
        <f t="shared" si="2"/>
        <v>165391167.60271692</v>
      </c>
      <c r="AA29" s="177">
        <v>13</v>
      </c>
      <c r="AB29" s="212">
        <f t="shared" si="3"/>
        <v>0</v>
      </c>
      <c r="AC29" s="212">
        <f t="shared" si="4"/>
        <v>0</v>
      </c>
      <c r="AD29" s="212">
        <f t="shared" si="5"/>
        <v>0</v>
      </c>
      <c r="AF29" s="177">
        <v>13</v>
      </c>
      <c r="AG29" s="212">
        <f t="shared" si="6"/>
        <v>0</v>
      </c>
      <c r="AH29">
        <f t="shared" si="7"/>
        <v>0</v>
      </c>
      <c r="AI29" s="212">
        <f t="shared" si="8"/>
        <v>0</v>
      </c>
      <c r="AM29" s="214">
        <v>5.0251256281407031E-2</v>
      </c>
      <c r="AN29" t="s">
        <v>280</v>
      </c>
      <c r="AO29" s="352">
        <f t="shared" si="10"/>
        <v>6.613756613756612E-2</v>
      </c>
      <c r="AP29" s="227">
        <f t="shared" si="11"/>
        <v>45568060.182580307</v>
      </c>
      <c r="AQ29" s="221" t="s">
        <v>486</v>
      </c>
      <c r="AR29">
        <f>'Optional Turbine Subcomponents'!C30</f>
        <v>45568060.182580307</v>
      </c>
      <c r="AW29" s="440"/>
      <c r="AY29" s="225"/>
    </row>
    <row r="30" spans="1:57" x14ac:dyDescent="0.25">
      <c r="A30" s="214">
        <v>1.407035175879397E-2</v>
      </c>
      <c r="B30" t="s">
        <v>281</v>
      </c>
      <c r="C30" s="227">
        <f>IF('Optional Turbine Subcomponents'!$C$17="Yes",'Optional Turbine Subcomponents'!C31,'General-Calculations'!AP30)</f>
        <v>12759056.851122487</v>
      </c>
      <c r="D30" s="214">
        <f>IF('Optional Turbine Subcomponents'!$C$17="Yes",'Optional Turbine Subcomponents'!D31,'Model Scenario - Step 4'!$G$42)</f>
        <v>0</v>
      </c>
      <c r="F30" s="225">
        <f t="shared" si="9"/>
        <v>0</v>
      </c>
      <c r="J30" t="s">
        <v>207</v>
      </c>
      <c r="K30">
        <f>'Model Scenario - Step 4'!C226</f>
        <v>99000</v>
      </c>
      <c r="P30" s="215"/>
      <c r="Q30" s="210"/>
      <c r="V30" s="177">
        <v>14</v>
      </c>
      <c r="W30" s="211">
        <f t="shared" si="0"/>
        <v>15376503.110456679</v>
      </c>
      <c r="X30" s="212">
        <f t="shared" si="1"/>
        <v>150014664.49226025</v>
      </c>
      <c r="Y30" s="211">
        <f t="shared" si="2"/>
        <v>165391167.60271692</v>
      </c>
      <c r="AA30" s="177">
        <v>14</v>
      </c>
      <c r="AB30" s="212">
        <f t="shared" si="3"/>
        <v>0</v>
      </c>
      <c r="AC30" s="212">
        <f t="shared" si="4"/>
        <v>0</v>
      </c>
      <c r="AD30" s="212">
        <f t="shared" si="5"/>
        <v>0</v>
      </c>
      <c r="AF30" s="177">
        <v>14</v>
      </c>
      <c r="AG30" s="212">
        <f t="shared" si="6"/>
        <v>0</v>
      </c>
      <c r="AH30">
        <f t="shared" si="7"/>
        <v>0</v>
      </c>
      <c r="AI30" s="212">
        <f t="shared" si="8"/>
        <v>0</v>
      </c>
      <c r="AM30" s="214">
        <v>1.407035175879397E-2</v>
      </c>
      <c r="AN30" t="s">
        <v>281</v>
      </c>
      <c r="AO30" s="352">
        <f t="shared" si="10"/>
        <v>1.8518518518518514E-2</v>
      </c>
      <c r="AP30" s="227">
        <f t="shared" si="11"/>
        <v>12759056.851122487</v>
      </c>
      <c r="AQ30" s="221" t="s">
        <v>486</v>
      </c>
      <c r="AR30">
        <f>'Optional Turbine Subcomponents'!C31</f>
        <v>12759056.851122487</v>
      </c>
      <c r="AW30" s="440"/>
      <c r="AY30" s="225"/>
    </row>
    <row r="31" spans="1:57" x14ac:dyDescent="0.25">
      <c r="A31" s="214">
        <v>0</v>
      </c>
      <c r="B31" t="s">
        <v>282</v>
      </c>
      <c r="C31" s="227">
        <f>IF('Optional Turbine Subcomponents'!$C$17="Yes",'Optional Turbine Subcomponents'!C32,'General-Calculations'!AP31)</f>
        <v>0</v>
      </c>
      <c r="D31" s="214">
        <f>IF('Optional Turbine Subcomponents'!$C$17="Yes",'Optional Turbine Subcomponents'!D32,'Model Scenario - Step 4'!$G$42)</f>
        <v>0</v>
      </c>
      <c r="F31" s="225">
        <f t="shared" si="9"/>
        <v>0</v>
      </c>
      <c r="J31" t="s">
        <v>208</v>
      </c>
      <c r="K31">
        <f>'Model Scenario - Step 4'!C227</f>
        <v>60000</v>
      </c>
      <c r="P31" s="220"/>
      <c r="Q31" s="210"/>
      <c r="V31" s="177">
        <v>15</v>
      </c>
      <c r="W31" s="211">
        <f t="shared" si="0"/>
        <v>7875769.8858436644</v>
      </c>
      <c r="X31" s="212">
        <f t="shared" si="1"/>
        <v>157515397.71687326</v>
      </c>
      <c r="Y31" s="211">
        <f t="shared" si="2"/>
        <v>165391167.60271692</v>
      </c>
      <c r="AA31" s="177">
        <v>15</v>
      </c>
      <c r="AB31" s="212">
        <f t="shared" si="3"/>
        <v>0</v>
      </c>
      <c r="AC31" s="212">
        <f t="shared" si="4"/>
        <v>0</v>
      </c>
      <c r="AD31" s="212">
        <f t="shared" si="5"/>
        <v>0</v>
      </c>
      <c r="AF31" s="177">
        <v>15</v>
      </c>
      <c r="AG31" s="212">
        <f t="shared" si="6"/>
        <v>0</v>
      </c>
      <c r="AH31">
        <f t="shared" si="7"/>
        <v>0</v>
      </c>
      <c r="AI31" s="212">
        <f t="shared" si="8"/>
        <v>0</v>
      </c>
      <c r="AM31" s="214">
        <v>0</v>
      </c>
      <c r="AN31" t="s">
        <v>282</v>
      </c>
      <c r="AO31" s="352">
        <f t="shared" si="10"/>
        <v>0</v>
      </c>
      <c r="AP31" s="227">
        <f t="shared" si="11"/>
        <v>0</v>
      </c>
      <c r="AQ31" s="221" t="s">
        <v>486</v>
      </c>
      <c r="AR31">
        <f>'Optional Turbine Subcomponents'!C32</f>
        <v>0</v>
      </c>
      <c r="AY31" s="225"/>
    </row>
    <row r="32" spans="1:57" x14ac:dyDescent="0.25">
      <c r="B32" t="s">
        <v>283</v>
      </c>
      <c r="C32" s="227">
        <f>IF('Optional Turbine Subcomponents'!$C$17="Yes",'Optional Turbine Subcomponents'!C33,'General-Calculations'!AP32)</f>
        <v>0</v>
      </c>
      <c r="D32" s="214">
        <f>IF('Optional Turbine Subcomponents'!$C$17="Yes",'Optional Turbine Subcomponents'!D33,'Model Scenario - Step 4'!$G$42)</f>
        <v>0</v>
      </c>
      <c r="F32" s="225">
        <f t="shared" si="9"/>
        <v>0</v>
      </c>
      <c r="J32" t="s">
        <v>322</v>
      </c>
      <c r="K32">
        <f>'Model Scenario - Step 4'!C228</f>
        <v>64000</v>
      </c>
      <c r="V32" s="177">
        <v>16</v>
      </c>
      <c r="W32" s="211">
        <f t="shared" si="0"/>
        <v>0</v>
      </c>
      <c r="X32" s="212">
        <f t="shared" si="1"/>
        <v>0</v>
      </c>
      <c r="Y32" s="211">
        <f t="shared" si="2"/>
        <v>0</v>
      </c>
      <c r="AA32" s="177">
        <v>16</v>
      </c>
      <c r="AB32" s="212">
        <f t="shared" si="3"/>
        <v>0</v>
      </c>
      <c r="AC32" s="212">
        <f t="shared" si="4"/>
        <v>0</v>
      </c>
      <c r="AD32" s="212">
        <f t="shared" si="5"/>
        <v>0</v>
      </c>
      <c r="AF32" s="177">
        <v>16</v>
      </c>
      <c r="AG32" s="212">
        <f t="shared" si="6"/>
        <v>0</v>
      </c>
      <c r="AH32">
        <f t="shared" si="7"/>
        <v>0</v>
      </c>
      <c r="AI32" s="212">
        <f t="shared" si="8"/>
        <v>0</v>
      </c>
      <c r="AN32" t="s">
        <v>283</v>
      </c>
      <c r="AO32" s="352">
        <f t="shared" si="10"/>
        <v>0</v>
      </c>
      <c r="AP32" s="227">
        <f t="shared" si="11"/>
        <v>0</v>
      </c>
      <c r="AQ32" s="221" t="s">
        <v>486</v>
      </c>
      <c r="AR32">
        <f>'Optional Turbine Subcomponents'!C33</f>
        <v>0</v>
      </c>
      <c r="AY32" s="225"/>
    </row>
    <row r="33" spans="1:43" x14ac:dyDescent="0.25">
      <c r="A33" s="352">
        <v>0.2</v>
      </c>
      <c r="B33" s="213" t="s">
        <v>492</v>
      </c>
      <c r="C33" s="354">
        <f>'Model Scenario - Step 4'!C58</f>
        <v>85910930.039385527</v>
      </c>
      <c r="D33" s="214">
        <f>'Model Scenario - Step 4'!G58</f>
        <v>0</v>
      </c>
      <c r="F33" s="225">
        <f t="shared" si="9"/>
        <v>0</v>
      </c>
      <c r="J33" t="s">
        <v>211</v>
      </c>
      <c r="K33">
        <f>'Model Scenario - Step 4'!C229</f>
        <v>99000</v>
      </c>
      <c r="V33" s="177">
        <v>17</v>
      </c>
      <c r="W33" s="211">
        <f t="shared" si="0"/>
        <v>0</v>
      </c>
      <c r="X33" s="212">
        <f t="shared" si="1"/>
        <v>0</v>
      </c>
      <c r="Y33" s="211">
        <f t="shared" si="2"/>
        <v>0</v>
      </c>
      <c r="AA33" s="177">
        <v>17</v>
      </c>
      <c r="AB33" s="212">
        <f t="shared" si="3"/>
        <v>0</v>
      </c>
      <c r="AC33" s="212">
        <f t="shared" si="4"/>
        <v>0</v>
      </c>
      <c r="AD33" s="212">
        <f t="shared" si="5"/>
        <v>0</v>
      </c>
      <c r="AF33" s="177">
        <v>17</v>
      </c>
      <c r="AG33" s="212">
        <f t="shared" si="6"/>
        <v>0</v>
      </c>
      <c r="AH33">
        <f t="shared" si="7"/>
        <v>0</v>
      </c>
      <c r="AI33" s="212">
        <f t="shared" si="8"/>
        <v>0</v>
      </c>
      <c r="AL33" t="s">
        <v>493</v>
      </c>
      <c r="AM33" s="214">
        <f>SUM(AM19:AM32)</f>
        <v>0.75979899497487458</v>
      </c>
      <c r="AN33" t="s">
        <v>375</v>
      </c>
      <c r="AO33" s="214">
        <f>SUM(AO19:AO32)</f>
        <v>1</v>
      </c>
    </row>
    <row r="34" spans="1:43" x14ac:dyDescent="0.25">
      <c r="A34" s="355">
        <f>A35+A50+A56</f>
        <v>1.0019973400390421</v>
      </c>
      <c r="B34" s="356" t="s">
        <v>494</v>
      </c>
      <c r="C34" s="271"/>
      <c r="D34" s="357"/>
      <c r="E34" s="358"/>
      <c r="F34" s="350"/>
      <c r="G34" s="350"/>
      <c r="J34" t="s">
        <v>348</v>
      </c>
      <c r="K34">
        <f>'Model Scenario - Step 4'!C230</f>
        <v>99000</v>
      </c>
      <c r="V34" s="177">
        <v>18</v>
      </c>
      <c r="W34" s="211">
        <f t="shared" si="0"/>
        <v>0</v>
      </c>
      <c r="X34" s="212">
        <f t="shared" si="1"/>
        <v>0</v>
      </c>
      <c r="Y34" s="211">
        <f t="shared" si="2"/>
        <v>0</v>
      </c>
      <c r="AA34" s="177">
        <v>18</v>
      </c>
      <c r="AB34" s="212">
        <f t="shared" si="3"/>
        <v>0</v>
      </c>
      <c r="AC34" s="212">
        <f t="shared" si="4"/>
        <v>0</v>
      </c>
      <c r="AD34" s="212">
        <f t="shared" si="5"/>
        <v>0</v>
      </c>
      <c r="AF34" s="177">
        <v>18</v>
      </c>
      <c r="AG34" s="212">
        <f t="shared" si="6"/>
        <v>0</v>
      </c>
      <c r="AH34">
        <f t="shared" si="7"/>
        <v>0</v>
      </c>
      <c r="AI34" s="212">
        <f t="shared" si="8"/>
        <v>0</v>
      </c>
    </row>
    <row r="35" spans="1:43" x14ac:dyDescent="0.25">
      <c r="A35" s="359">
        <f>SUM(A36:A49)</f>
        <v>0.40839135999999998</v>
      </c>
      <c r="B35" s="213" t="s">
        <v>476</v>
      </c>
      <c r="C35" s="271">
        <f>'Model Scenario - Step 4'!C62</f>
        <v>191829710.03057131</v>
      </c>
      <c r="D35" s="214"/>
      <c r="E35" s="276"/>
      <c r="V35" s="177">
        <v>19</v>
      </c>
      <c r="W35" s="211">
        <f t="shared" si="0"/>
        <v>0</v>
      </c>
      <c r="X35" s="212">
        <f t="shared" si="1"/>
        <v>0</v>
      </c>
      <c r="Y35" s="211">
        <f t="shared" si="2"/>
        <v>0</v>
      </c>
      <c r="AA35" s="177">
        <v>19</v>
      </c>
      <c r="AB35" s="212">
        <f t="shared" si="3"/>
        <v>0</v>
      </c>
      <c r="AC35" s="212">
        <f t="shared" si="4"/>
        <v>0</v>
      </c>
      <c r="AD35" s="212">
        <f t="shared" si="5"/>
        <v>0</v>
      </c>
      <c r="AF35" s="177">
        <v>19</v>
      </c>
      <c r="AG35" s="212">
        <f t="shared" si="6"/>
        <v>0</v>
      </c>
      <c r="AH35">
        <f t="shared" si="7"/>
        <v>0</v>
      </c>
      <c r="AI35" s="212">
        <f t="shared" si="8"/>
        <v>0</v>
      </c>
      <c r="AN35" t="s">
        <v>495</v>
      </c>
      <c r="AP35" s="227">
        <f>'Project Costs - Step 2'!C32</f>
        <v>191829710.03057131</v>
      </c>
      <c r="AQ35" s="221" t="s">
        <v>478</v>
      </c>
    </row>
    <row r="36" spans="1:43" x14ac:dyDescent="0.25">
      <c r="A36" s="360">
        <v>1.4223999999999999E-3</v>
      </c>
      <c r="B36" t="s">
        <v>287</v>
      </c>
      <c r="C36" s="271">
        <f>IF('Optional Turbine Subcomponents'!$C$40="Yes",'Optional Turbine Subcomponents'!C43,'General-Calculations'!AP36)</f>
        <v>191694.49424391973</v>
      </c>
      <c r="D36" s="352">
        <f>IF('Optional Turbine Subcomponents'!$C$40="Yes",'Optional Turbine Subcomponents'!D43,'Model Scenario - Step 4'!$G$62)</f>
        <v>0</v>
      </c>
      <c r="E36" s="276"/>
      <c r="F36" s="227">
        <f>C36*D36</f>
        <v>0</v>
      </c>
      <c r="V36" s="177">
        <v>20</v>
      </c>
      <c r="W36" s="211">
        <f t="shared" si="0"/>
        <v>0</v>
      </c>
      <c r="X36" s="212">
        <f t="shared" si="1"/>
        <v>0</v>
      </c>
      <c r="Y36" s="211">
        <f t="shared" si="2"/>
        <v>0</v>
      </c>
      <c r="AA36" s="177">
        <v>20</v>
      </c>
      <c r="AB36" s="212">
        <f t="shared" si="3"/>
        <v>0</v>
      </c>
      <c r="AC36" s="212">
        <f t="shared" si="4"/>
        <v>0</v>
      </c>
      <c r="AD36" s="212">
        <f t="shared" si="5"/>
        <v>0</v>
      </c>
      <c r="AF36" s="177">
        <v>20</v>
      </c>
      <c r="AG36" s="212">
        <f t="shared" si="6"/>
        <v>0</v>
      </c>
      <c r="AH36">
        <f t="shared" si="7"/>
        <v>0</v>
      </c>
      <c r="AI36" s="212">
        <f t="shared" si="8"/>
        <v>0</v>
      </c>
      <c r="AM36" s="360">
        <v>1.4223999999999999E-3</v>
      </c>
      <c r="AN36" t="s">
        <v>287</v>
      </c>
      <c r="AO36" s="352">
        <f>AM36/SUM($AM$36:$AM$55)</f>
        <v>9.9929512593940721E-4</v>
      </c>
      <c r="AP36" s="227">
        <f>$AP$35*AO36</f>
        <v>191694.49424391973</v>
      </c>
      <c r="AQ36" s="221" t="s">
        <v>486</v>
      </c>
    </row>
    <row r="37" spans="1:43" x14ac:dyDescent="0.25">
      <c r="A37" s="360">
        <v>1.3817599999999999E-3</v>
      </c>
      <c r="B37" t="s">
        <v>288</v>
      </c>
      <c r="C37" s="271">
        <f>IF('Optional Turbine Subcomponents'!$C$40="Yes",'Optional Turbine Subcomponents'!C44,'General-Calculations'!AP37)</f>
        <v>186217.50869409347</v>
      </c>
      <c r="D37" s="352">
        <f>IF('Optional Turbine Subcomponents'!$C$40="Yes",'Optional Turbine Subcomponents'!D44,'Model Scenario - Step 4'!$G$62)</f>
        <v>0</v>
      </c>
      <c r="E37" s="276"/>
      <c r="F37" s="227">
        <f t="shared" ref="F37:F56" si="13">C37*D37</f>
        <v>0</v>
      </c>
      <c r="J37" s="54" t="s">
        <v>496</v>
      </c>
      <c r="K37" t="str">
        <f>"Default $"&amp;'Project Data - Step 1'!D22</f>
        <v>Default $2022</v>
      </c>
      <c r="L37" t="s">
        <v>497</v>
      </c>
      <c r="V37" s="177">
        <v>21</v>
      </c>
      <c r="W37" s="211">
        <f t="shared" si="0"/>
        <v>0</v>
      </c>
      <c r="X37" s="212">
        <f t="shared" si="1"/>
        <v>0</v>
      </c>
      <c r="Y37" s="211">
        <f t="shared" si="2"/>
        <v>0</v>
      </c>
      <c r="AA37" s="177">
        <v>21</v>
      </c>
      <c r="AB37" s="212">
        <f t="shared" si="3"/>
        <v>0</v>
      </c>
      <c r="AC37" s="212">
        <f t="shared" si="4"/>
        <v>0</v>
      </c>
      <c r="AD37" s="212">
        <f t="shared" si="5"/>
        <v>0</v>
      </c>
      <c r="AF37" s="177">
        <v>21</v>
      </c>
      <c r="AG37" s="212">
        <f t="shared" si="6"/>
        <v>0</v>
      </c>
      <c r="AH37">
        <f t="shared" si="7"/>
        <v>0</v>
      </c>
      <c r="AI37" s="212">
        <f t="shared" si="8"/>
        <v>0</v>
      </c>
      <c r="AM37" s="360">
        <v>1.3817599999999999E-3</v>
      </c>
      <c r="AN37" t="s">
        <v>288</v>
      </c>
      <c r="AO37" s="352">
        <f t="shared" ref="AO37:AO55" si="14">AM37/SUM($AM$36:$AM$55)</f>
        <v>9.707438366268528E-4</v>
      </c>
      <c r="AP37" s="227">
        <f t="shared" ref="AP37:AP55" si="15">$AP$35*AO37</f>
        <v>186217.50869409347</v>
      </c>
      <c r="AQ37" s="221" t="s">
        <v>486</v>
      </c>
    </row>
    <row r="38" spans="1:43" x14ac:dyDescent="0.25">
      <c r="A38" s="360">
        <v>1.3817599999999999E-3</v>
      </c>
      <c r="B38" t="s">
        <v>289</v>
      </c>
      <c r="C38" s="271">
        <f>IF('Optional Turbine Subcomponents'!$C$40="Yes",'Optional Turbine Subcomponents'!C45,'General-Calculations'!AP38)</f>
        <v>186217.50869409347</v>
      </c>
      <c r="D38" s="352">
        <f>IF('Optional Turbine Subcomponents'!$C$40="Yes",'Optional Turbine Subcomponents'!D45,'Model Scenario - Step 4'!$G$62)</f>
        <v>0</v>
      </c>
      <c r="E38" s="276"/>
      <c r="F38" s="227">
        <f t="shared" si="13"/>
        <v>0</v>
      </c>
      <c r="J38" t="s">
        <v>205</v>
      </c>
      <c r="K38" s="603">
        <f t="shared" ref="K38:K43" si="16">L38*mcadjust</f>
        <v>99051.169460145073</v>
      </c>
      <c r="L38" s="230">
        <v>99000</v>
      </c>
      <c r="V38" s="177">
        <v>22</v>
      </c>
      <c r="W38" s="211">
        <f t="shared" si="0"/>
        <v>0</v>
      </c>
      <c r="X38" s="212">
        <f t="shared" si="1"/>
        <v>0</v>
      </c>
      <c r="Y38" s="211">
        <f t="shared" si="2"/>
        <v>0</v>
      </c>
      <c r="AA38" s="177">
        <v>22</v>
      </c>
      <c r="AB38" s="212">
        <f t="shared" si="3"/>
        <v>0</v>
      </c>
      <c r="AC38" s="212">
        <f t="shared" si="4"/>
        <v>0</v>
      </c>
      <c r="AD38" s="212">
        <f t="shared" si="5"/>
        <v>0</v>
      </c>
      <c r="AF38" s="177">
        <v>22</v>
      </c>
      <c r="AG38" s="212">
        <f t="shared" si="6"/>
        <v>0</v>
      </c>
      <c r="AH38">
        <f t="shared" si="7"/>
        <v>0</v>
      </c>
      <c r="AI38" s="212">
        <f t="shared" si="8"/>
        <v>0</v>
      </c>
      <c r="AM38" s="360">
        <v>1.3817599999999999E-3</v>
      </c>
      <c r="AN38" t="s">
        <v>289</v>
      </c>
      <c r="AO38" s="352">
        <f t="shared" si="14"/>
        <v>9.707438366268528E-4</v>
      </c>
      <c r="AP38" s="227">
        <f t="shared" si="15"/>
        <v>186217.50869409347</v>
      </c>
      <c r="AQ38" s="221" t="s">
        <v>486</v>
      </c>
    </row>
    <row r="39" spans="1:43" x14ac:dyDescent="0.25">
      <c r="A39" s="360">
        <v>4.1046399999999997E-3</v>
      </c>
      <c r="B39" t="s">
        <v>290</v>
      </c>
      <c r="C39" s="271">
        <f>IF('Optional Turbine Subcomponents'!$C$40="Yes",'Optional Turbine Subcomponents'!C46,'General-Calculations'!AP39)</f>
        <v>553175.54053245415</v>
      </c>
      <c r="D39" s="352">
        <f>IF('Optional Turbine Subcomponents'!$C$40="Yes",'Optional Turbine Subcomponents'!D46,'Model Scenario - Step 4'!$G$62)</f>
        <v>0</v>
      </c>
      <c r="E39" s="276"/>
      <c r="F39" s="227">
        <f t="shared" si="13"/>
        <v>0</v>
      </c>
      <c r="J39" t="s">
        <v>207</v>
      </c>
      <c r="K39" s="603">
        <f t="shared" si="16"/>
        <v>99051.169460145073</v>
      </c>
      <c r="L39" s="230">
        <v>99000</v>
      </c>
      <c r="V39" s="177">
        <v>23</v>
      </c>
      <c r="W39" s="211">
        <f t="shared" si="0"/>
        <v>0</v>
      </c>
      <c r="X39" s="212">
        <f t="shared" si="1"/>
        <v>0</v>
      </c>
      <c r="Y39" s="211">
        <f t="shared" si="2"/>
        <v>0</v>
      </c>
      <c r="AA39" s="177">
        <v>23</v>
      </c>
      <c r="AB39" s="212">
        <f t="shared" si="3"/>
        <v>0</v>
      </c>
      <c r="AC39" s="212">
        <f t="shared" si="4"/>
        <v>0</v>
      </c>
      <c r="AD39" s="212">
        <f t="shared" si="5"/>
        <v>0</v>
      </c>
      <c r="AF39" s="177">
        <v>23</v>
      </c>
      <c r="AG39" s="212">
        <f t="shared" si="6"/>
        <v>0</v>
      </c>
      <c r="AH39">
        <f t="shared" si="7"/>
        <v>0</v>
      </c>
      <c r="AI39" s="212">
        <f t="shared" si="8"/>
        <v>0</v>
      </c>
      <c r="AM39" s="360">
        <v>4.1046399999999997E-3</v>
      </c>
      <c r="AN39" t="s">
        <v>290</v>
      </c>
      <c r="AO39" s="352">
        <f t="shared" si="14"/>
        <v>2.883680220568004E-3</v>
      </c>
      <c r="AP39" s="227">
        <f t="shared" si="15"/>
        <v>553175.54053245415</v>
      </c>
      <c r="AQ39" s="221" t="s">
        <v>486</v>
      </c>
    </row>
    <row r="40" spans="1:43" x14ac:dyDescent="0.25">
      <c r="A40" s="360">
        <v>4.1046399999999997E-3</v>
      </c>
      <c r="B40" t="s">
        <v>291</v>
      </c>
      <c r="C40" s="271">
        <f>IF('Optional Turbine Subcomponents'!$C$40="Yes",'Optional Turbine Subcomponents'!C47,'General-Calculations'!AP40)</f>
        <v>553175.54053245415</v>
      </c>
      <c r="D40" s="352">
        <f>IF('Optional Turbine Subcomponents'!$C$40="Yes",'Optional Turbine Subcomponents'!D47,'Model Scenario - Step 4'!$G$62)</f>
        <v>0</v>
      </c>
      <c r="E40" s="276"/>
      <c r="F40" s="227">
        <f t="shared" si="13"/>
        <v>0</v>
      </c>
      <c r="J40" t="s">
        <v>208</v>
      </c>
      <c r="K40" s="603">
        <f t="shared" si="16"/>
        <v>60031.011794027319</v>
      </c>
      <c r="L40" s="230">
        <v>60000</v>
      </c>
      <c r="V40" s="177">
        <v>24</v>
      </c>
      <c r="W40" s="211">
        <f t="shared" si="0"/>
        <v>0</v>
      </c>
      <c r="X40" s="212">
        <f t="shared" si="1"/>
        <v>0</v>
      </c>
      <c r="Y40" s="211">
        <f t="shared" si="2"/>
        <v>0</v>
      </c>
      <c r="AA40" s="177">
        <v>24</v>
      </c>
      <c r="AB40" s="212">
        <f t="shared" si="3"/>
        <v>0</v>
      </c>
      <c r="AC40" s="212">
        <f t="shared" si="4"/>
        <v>0</v>
      </c>
      <c r="AD40" s="212">
        <f t="shared" si="5"/>
        <v>0</v>
      </c>
      <c r="AF40" s="177">
        <v>24</v>
      </c>
      <c r="AG40" s="212">
        <f t="shared" si="6"/>
        <v>0</v>
      </c>
      <c r="AH40">
        <f t="shared" si="7"/>
        <v>0</v>
      </c>
      <c r="AI40" s="212">
        <f t="shared" si="8"/>
        <v>0</v>
      </c>
      <c r="AM40" s="360">
        <v>4.1046399999999997E-3</v>
      </c>
      <c r="AN40" t="s">
        <v>291</v>
      </c>
      <c r="AO40" s="352">
        <f t="shared" si="14"/>
        <v>2.883680220568004E-3</v>
      </c>
      <c r="AP40" s="227">
        <f t="shared" si="15"/>
        <v>553175.54053245415</v>
      </c>
      <c r="AQ40" s="221" t="s">
        <v>486</v>
      </c>
    </row>
    <row r="41" spans="1:43" x14ac:dyDescent="0.25">
      <c r="A41" s="361">
        <v>2.1335999999999997E-2</v>
      </c>
      <c r="B41" t="s">
        <v>292</v>
      </c>
      <c r="C41" s="271">
        <f>IF('Optional Turbine Subcomponents'!$C$40="Yes",'Optional Turbine Subcomponents'!C48,'General-Calculations'!AP41)</f>
        <v>2875417.4136587959</v>
      </c>
      <c r="D41" s="352">
        <f>IF('Optional Turbine Subcomponents'!$C$40="Yes",'Optional Turbine Subcomponents'!D48,'Model Scenario - Step 4'!$G$62)</f>
        <v>0</v>
      </c>
      <c r="E41" s="276"/>
      <c r="F41" s="227">
        <f t="shared" si="13"/>
        <v>0</v>
      </c>
      <c r="J41" t="s">
        <v>322</v>
      </c>
      <c r="K41" s="603">
        <f t="shared" si="16"/>
        <v>64033.079246962472</v>
      </c>
      <c r="L41" s="230">
        <v>64000</v>
      </c>
      <c r="V41" s="177">
        <v>25</v>
      </c>
      <c r="W41" s="211">
        <f t="shared" si="0"/>
        <v>0</v>
      </c>
      <c r="X41" s="212">
        <f t="shared" si="1"/>
        <v>0</v>
      </c>
      <c r="Y41" s="211">
        <f t="shared" si="2"/>
        <v>0</v>
      </c>
      <c r="AA41" s="177">
        <v>25</v>
      </c>
      <c r="AB41" s="212">
        <f t="shared" si="3"/>
        <v>0</v>
      </c>
      <c r="AC41" s="212">
        <f t="shared" si="4"/>
        <v>0</v>
      </c>
      <c r="AD41" s="212">
        <f t="shared" si="5"/>
        <v>0</v>
      </c>
      <c r="AF41" s="177">
        <v>25</v>
      </c>
      <c r="AG41" s="212">
        <f t="shared" si="6"/>
        <v>0</v>
      </c>
      <c r="AH41">
        <f t="shared" si="7"/>
        <v>0</v>
      </c>
      <c r="AI41" s="212">
        <f t="shared" si="8"/>
        <v>0</v>
      </c>
      <c r="AM41" s="361">
        <v>2.1335999999999997E-2</v>
      </c>
      <c r="AN41" t="s">
        <v>292</v>
      </c>
      <c r="AO41" s="352">
        <f t="shared" si="14"/>
        <v>1.4989426889091108E-2</v>
      </c>
      <c r="AP41" s="227">
        <f t="shared" si="15"/>
        <v>2875417.4136587959</v>
      </c>
      <c r="AQ41" s="221" t="s">
        <v>486</v>
      </c>
    </row>
    <row r="42" spans="1:43" x14ac:dyDescent="0.25">
      <c r="A42" s="361">
        <v>6.54304E-2</v>
      </c>
      <c r="B42" t="s">
        <v>293</v>
      </c>
      <c r="C42" s="271">
        <f>IF('Optional Turbine Subcomponents'!$C$40="Yes",'Optional Turbine Subcomponents'!C49,'General-Calculations'!AP42)</f>
        <v>8817946.7352203093</v>
      </c>
      <c r="D42" s="352">
        <f>IF('Optional Turbine Subcomponents'!$C$40="Yes",'Optional Turbine Subcomponents'!D49,'Model Scenario - Step 4'!$G$62)</f>
        <v>0</v>
      </c>
      <c r="E42" s="276"/>
      <c r="F42" s="227">
        <f t="shared" si="13"/>
        <v>0</v>
      </c>
      <c r="J42" t="s">
        <v>211</v>
      </c>
      <c r="K42" s="603">
        <f t="shared" si="16"/>
        <v>99051.169460145073</v>
      </c>
      <c r="L42" s="230">
        <v>99000</v>
      </c>
      <c r="V42" s="177">
        <v>26</v>
      </c>
      <c r="W42" s="211">
        <f t="shared" si="0"/>
        <v>0</v>
      </c>
      <c r="X42" s="212">
        <f t="shared" si="1"/>
        <v>0</v>
      </c>
      <c r="Y42" s="211">
        <f t="shared" si="2"/>
        <v>0</v>
      </c>
      <c r="AA42" s="177">
        <v>26</v>
      </c>
      <c r="AB42" s="212">
        <f t="shared" si="3"/>
        <v>0</v>
      </c>
      <c r="AC42" s="212">
        <f t="shared" si="4"/>
        <v>0</v>
      </c>
      <c r="AD42" s="212">
        <f t="shared" si="5"/>
        <v>0</v>
      </c>
      <c r="AF42" s="177">
        <v>26</v>
      </c>
      <c r="AG42" s="212">
        <f t="shared" si="6"/>
        <v>0</v>
      </c>
      <c r="AH42">
        <f t="shared" si="7"/>
        <v>0</v>
      </c>
      <c r="AI42" s="212">
        <f t="shared" si="8"/>
        <v>0</v>
      </c>
      <c r="AM42" s="361">
        <v>6.54304E-2</v>
      </c>
      <c r="AN42" t="s">
        <v>293</v>
      </c>
      <c r="AO42" s="352">
        <f t="shared" si="14"/>
        <v>4.5967575793212742E-2</v>
      </c>
      <c r="AP42" s="227">
        <f t="shared" si="15"/>
        <v>8817946.7352203093</v>
      </c>
      <c r="AQ42" s="221" t="s">
        <v>486</v>
      </c>
    </row>
    <row r="43" spans="1:43" x14ac:dyDescent="0.25">
      <c r="A43" s="361">
        <v>3.8892479999999993E-2</v>
      </c>
      <c r="B43" t="s">
        <v>294</v>
      </c>
      <c r="C43" s="271">
        <f>IF('Optional Turbine Subcomponents'!$C$40="Yes",'Optional Turbine Subcomponents'!C50,'General-Calculations'!AP43)</f>
        <v>5241475.1711837482</v>
      </c>
      <c r="D43" s="352">
        <f>IF('Optional Turbine Subcomponents'!$C$40="Yes",'Optional Turbine Subcomponents'!D50,'Model Scenario - Step 4'!$G$62)</f>
        <v>0</v>
      </c>
      <c r="E43" s="276"/>
      <c r="F43" s="227">
        <f t="shared" si="13"/>
        <v>0</v>
      </c>
      <c r="J43" t="s">
        <v>348</v>
      </c>
      <c r="K43" s="603">
        <f t="shared" si="16"/>
        <v>99051.169460145073</v>
      </c>
      <c r="L43" s="230">
        <v>99000</v>
      </c>
      <c r="V43" s="177">
        <v>27</v>
      </c>
      <c r="W43" s="211">
        <f t="shared" si="0"/>
        <v>0</v>
      </c>
      <c r="X43" s="212">
        <f t="shared" si="1"/>
        <v>0</v>
      </c>
      <c r="Y43" s="211">
        <f t="shared" si="2"/>
        <v>0</v>
      </c>
      <c r="AA43" s="177">
        <v>27</v>
      </c>
      <c r="AB43" s="212">
        <f t="shared" si="3"/>
        <v>0</v>
      </c>
      <c r="AC43" s="212">
        <f t="shared" si="4"/>
        <v>0</v>
      </c>
      <c r="AD43" s="212">
        <f t="shared" si="5"/>
        <v>0</v>
      </c>
      <c r="AF43" s="177">
        <v>27</v>
      </c>
      <c r="AG43" s="212">
        <f t="shared" si="6"/>
        <v>0</v>
      </c>
      <c r="AH43">
        <f t="shared" si="7"/>
        <v>0</v>
      </c>
      <c r="AI43" s="212">
        <f t="shared" si="8"/>
        <v>0</v>
      </c>
      <c r="AM43" s="361">
        <v>3.8892479999999993E-2</v>
      </c>
      <c r="AN43" t="s">
        <v>294</v>
      </c>
      <c r="AO43" s="352">
        <f t="shared" si="14"/>
        <v>2.732358387211465E-2</v>
      </c>
      <c r="AP43" s="227">
        <f t="shared" si="15"/>
        <v>5241475.1711837482</v>
      </c>
      <c r="AQ43" s="221" t="s">
        <v>486</v>
      </c>
    </row>
    <row r="44" spans="1:43" x14ac:dyDescent="0.25">
      <c r="A44" s="361">
        <v>4.2184319999999997E-2</v>
      </c>
      <c r="B44" t="s">
        <v>295</v>
      </c>
      <c r="C44" s="271">
        <f>IF('Optional Turbine Subcomponents'!$C$40="Yes",'Optional Turbine Subcomponents'!C51,'General-Calculations'!AP44)</f>
        <v>5685111.0007196777</v>
      </c>
      <c r="D44" s="352">
        <f>IF('Optional Turbine Subcomponents'!$C$40="Yes",'Optional Turbine Subcomponents'!D51,'Model Scenario - Step 4'!$G$62)</f>
        <v>0</v>
      </c>
      <c r="E44" s="276"/>
      <c r="F44" s="227">
        <f t="shared" si="13"/>
        <v>0</v>
      </c>
      <c r="V44" s="177">
        <v>28</v>
      </c>
      <c r="W44" s="211">
        <f t="shared" si="0"/>
        <v>0</v>
      </c>
      <c r="X44" s="212">
        <f t="shared" si="1"/>
        <v>0</v>
      </c>
      <c r="Y44" s="211">
        <f t="shared" si="2"/>
        <v>0</v>
      </c>
      <c r="AA44" s="177">
        <v>28</v>
      </c>
      <c r="AB44" s="212">
        <f t="shared" si="3"/>
        <v>0</v>
      </c>
      <c r="AC44" s="212">
        <f t="shared" si="4"/>
        <v>0</v>
      </c>
      <c r="AD44" s="212">
        <f t="shared" si="5"/>
        <v>0</v>
      </c>
      <c r="AF44" s="177">
        <v>28</v>
      </c>
      <c r="AG44" s="212">
        <f t="shared" si="6"/>
        <v>0</v>
      </c>
      <c r="AH44">
        <f t="shared" si="7"/>
        <v>0</v>
      </c>
      <c r="AI44" s="212">
        <f t="shared" si="8"/>
        <v>0</v>
      </c>
      <c r="AM44" s="361">
        <v>4.2184319999999997E-2</v>
      </c>
      <c r="AN44" t="s">
        <v>295</v>
      </c>
      <c r="AO44" s="352">
        <f t="shared" si="14"/>
        <v>2.9636238306431566E-2</v>
      </c>
      <c r="AP44" s="227">
        <f t="shared" si="15"/>
        <v>5685111.0007196777</v>
      </c>
      <c r="AQ44" s="221" t="s">
        <v>486</v>
      </c>
    </row>
    <row r="45" spans="1:43" x14ac:dyDescent="0.25">
      <c r="A45" s="361">
        <v>1.09728E-2</v>
      </c>
      <c r="B45" t="s">
        <v>296</v>
      </c>
      <c r="C45" s="271">
        <f>IF('Optional Turbine Subcomponents'!$C$40="Yes",'Optional Turbine Subcomponents'!C52,'General-Calculations'!AP45)</f>
        <v>1478786.0984530952</v>
      </c>
      <c r="D45" s="352">
        <f>IF('Optional Turbine Subcomponents'!$C$40="Yes",'Optional Turbine Subcomponents'!D52,'Model Scenario - Step 4'!$G$62)</f>
        <v>0</v>
      </c>
      <c r="E45" s="276"/>
      <c r="F45" s="227">
        <f t="shared" si="13"/>
        <v>0</v>
      </c>
      <c r="V45" s="177">
        <v>29</v>
      </c>
      <c r="W45" s="211">
        <f t="shared" si="0"/>
        <v>0</v>
      </c>
      <c r="X45" s="212">
        <f t="shared" si="1"/>
        <v>0</v>
      </c>
      <c r="Y45" s="211">
        <f t="shared" si="2"/>
        <v>0</v>
      </c>
      <c r="AA45" s="177">
        <v>29</v>
      </c>
      <c r="AB45" s="212">
        <f t="shared" si="3"/>
        <v>0</v>
      </c>
      <c r="AC45" s="212">
        <f t="shared" si="4"/>
        <v>0</v>
      </c>
      <c r="AD45" s="212">
        <f t="shared" si="5"/>
        <v>0</v>
      </c>
      <c r="AF45" s="177">
        <v>29</v>
      </c>
      <c r="AG45" s="212">
        <f t="shared" si="6"/>
        <v>0</v>
      </c>
      <c r="AH45">
        <f t="shared" si="7"/>
        <v>0</v>
      </c>
      <c r="AI45" s="212">
        <f t="shared" si="8"/>
        <v>0</v>
      </c>
      <c r="AM45" s="361">
        <v>1.09728E-2</v>
      </c>
      <c r="AN45" t="s">
        <v>296</v>
      </c>
      <c r="AO45" s="352">
        <f t="shared" si="14"/>
        <v>7.7088481143897138E-3</v>
      </c>
      <c r="AP45" s="227">
        <f t="shared" si="15"/>
        <v>1478786.0984530952</v>
      </c>
      <c r="AQ45" s="221" t="s">
        <v>486</v>
      </c>
    </row>
    <row r="46" spans="1:43" x14ac:dyDescent="0.25">
      <c r="A46" s="361">
        <v>9.3472E-3</v>
      </c>
      <c r="B46" t="s">
        <v>297</v>
      </c>
      <c r="C46" s="271">
        <f>IF('Optional Turbine Subcomponents'!$C$40="Yes",'Optional Turbine Subcomponents'!C53,'General-Calculations'!AP46)</f>
        <v>1259706.6764600442</v>
      </c>
      <c r="D46" s="352">
        <f>IF('Optional Turbine Subcomponents'!$C$40="Yes",'Optional Turbine Subcomponents'!D53,'Model Scenario - Step 4'!$G$62)</f>
        <v>0</v>
      </c>
      <c r="E46" s="276"/>
      <c r="F46" s="227">
        <f t="shared" si="13"/>
        <v>0</v>
      </c>
      <c r="J46" s="54" t="s">
        <v>498</v>
      </c>
      <c r="K46" t="s">
        <v>357</v>
      </c>
      <c r="L46" t="s">
        <v>499</v>
      </c>
      <c r="V46" s="177">
        <v>30</v>
      </c>
      <c r="W46" s="211">
        <f t="shared" si="0"/>
        <v>0</v>
      </c>
      <c r="X46" s="212">
        <f t="shared" si="1"/>
        <v>0</v>
      </c>
      <c r="Y46" s="211">
        <f t="shared" si="2"/>
        <v>0</v>
      </c>
      <c r="AA46" s="177">
        <v>30</v>
      </c>
      <c r="AB46" s="212">
        <f t="shared" si="3"/>
        <v>0</v>
      </c>
      <c r="AC46" s="212">
        <f t="shared" si="4"/>
        <v>0</v>
      </c>
      <c r="AD46" s="212">
        <f t="shared" si="5"/>
        <v>0</v>
      </c>
      <c r="AF46" s="177">
        <v>30</v>
      </c>
      <c r="AG46" s="212">
        <f t="shared" si="6"/>
        <v>0</v>
      </c>
      <c r="AH46">
        <f t="shared" si="7"/>
        <v>0</v>
      </c>
      <c r="AI46" s="212">
        <f t="shared" si="8"/>
        <v>0</v>
      </c>
      <c r="AM46" s="361">
        <v>9.3472E-3</v>
      </c>
      <c r="AN46" t="s">
        <v>297</v>
      </c>
      <c r="AO46" s="352">
        <f t="shared" si="14"/>
        <v>6.5667965418875346E-3</v>
      </c>
      <c r="AP46" s="227">
        <f t="shared" si="15"/>
        <v>1259706.6764600442</v>
      </c>
      <c r="AQ46" s="221" t="s">
        <v>486</v>
      </c>
    </row>
    <row r="47" spans="1:43" x14ac:dyDescent="0.25">
      <c r="A47" s="361">
        <v>8.0060799999999988E-3</v>
      </c>
      <c r="B47" t="s">
        <v>298</v>
      </c>
      <c r="C47" s="271">
        <f>IF('Optional Turbine Subcomponents'!$C$40="Yes",'Optional Turbine Subcomponents'!C54,'General-Calculations'!AP47)</f>
        <v>1078966.1533157767</v>
      </c>
      <c r="D47" s="352">
        <f>IF('Optional Turbine Subcomponents'!$C$40="Yes",'Optional Turbine Subcomponents'!D54,'Model Scenario - Step 4'!$G$62)</f>
        <v>0</v>
      </c>
      <c r="E47" s="276"/>
      <c r="F47" s="227">
        <f t="shared" si="13"/>
        <v>0</v>
      </c>
      <c r="J47" t="s">
        <v>205</v>
      </c>
      <c r="K47" s="199">
        <f>K20/K29</f>
        <v>0</v>
      </c>
      <c r="L47" s="218">
        <f>K20/1000000</f>
        <v>0</v>
      </c>
      <c r="V47" t="s">
        <v>375</v>
      </c>
      <c r="W47" s="211">
        <f>SUM(W17:W46)</f>
        <v>764163751.78913951</v>
      </c>
      <c r="X47" s="211">
        <f>SUM(X17:X46)</f>
        <v>1716703762.2516146</v>
      </c>
      <c r="Y47" s="211">
        <f>SUM(Y17:Y46)</f>
        <v>2480867514.0407538</v>
      </c>
      <c r="AA47" t="s">
        <v>375</v>
      </c>
      <c r="AB47" s="212">
        <f>SUM(AB17:AB46)</f>
        <v>117344330.68126556</v>
      </c>
      <c r="AC47" s="212">
        <f t="shared" ref="AC47:AD47" si="17">SUM(AC17:AC46)</f>
        <v>367865091.91106027</v>
      </c>
      <c r="AD47" s="212">
        <f t="shared" si="17"/>
        <v>485209422.59232581</v>
      </c>
      <c r="AF47" t="s">
        <v>375</v>
      </c>
      <c r="AG47" s="212">
        <f>SUM(AG17:AG46)</f>
        <v>117344330.68126556</v>
      </c>
      <c r="AH47" s="212">
        <f t="shared" ref="AH47" si="18">SUM(AH17:AH46)</f>
        <v>367865091.91106027</v>
      </c>
      <c r="AI47" s="212">
        <f>AG47+AH47</f>
        <v>485209422.59232581</v>
      </c>
      <c r="AM47" s="361">
        <v>8.0060799999999988E-3</v>
      </c>
      <c r="AN47" t="s">
        <v>298</v>
      </c>
      <c r="AO47" s="352">
        <f t="shared" si="14"/>
        <v>5.6246039945732351E-3</v>
      </c>
      <c r="AP47" s="227">
        <f t="shared" si="15"/>
        <v>1078966.1533157767</v>
      </c>
      <c r="AQ47" s="221" t="s">
        <v>486</v>
      </c>
    </row>
    <row r="48" spans="1:43" x14ac:dyDescent="0.25">
      <c r="A48" s="361">
        <v>0.12838176000000001</v>
      </c>
      <c r="B48" t="s">
        <v>299</v>
      </c>
      <c r="C48" s="271">
        <f>IF('Optional Turbine Subcomponents'!$C$40="Yes",'Optional Turbine Subcomponents'!C55,'General-Calculations'!AP48)</f>
        <v>17301797.351901218</v>
      </c>
      <c r="D48" s="352">
        <f>IF('Optional Turbine Subcomponents'!$C$40="Yes",'Optional Turbine Subcomponents'!D55,'Model Scenario - Step 4'!$G$62)</f>
        <v>0</v>
      </c>
      <c r="E48" s="276"/>
      <c r="F48" s="227">
        <f t="shared" si="13"/>
        <v>0</v>
      </c>
      <c r="J48" t="s">
        <v>500</v>
      </c>
      <c r="K48" s="199">
        <f>IF('Project Data - Step 1'!D53="Monopile",'General-Calculations'!K21/'General-Calculations'!K30,'General-Calculations'!K22/'General-Calculations'!K31)</f>
        <v>0</v>
      </c>
      <c r="L48" s="209">
        <f>IF('Project Data - Step 1'!D53="Monopile",K21/1000000,K22/1000000)</f>
        <v>0</v>
      </c>
      <c r="V48" t="s">
        <v>501</v>
      </c>
      <c r="W48" s="211">
        <f>IF(X70&gt;0,'General-Calculations'!W47/X70,0)</f>
        <v>38208187.589456975</v>
      </c>
      <c r="X48" s="211">
        <f>IF(X70&gt;0,X47/X70,0)</f>
        <v>85835188.112580732</v>
      </c>
      <c r="Y48" s="211">
        <f>W48+X48</f>
        <v>124043375.70203771</v>
      </c>
      <c r="AA48" t="s">
        <v>501</v>
      </c>
      <c r="AB48" s="212">
        <f>AB47/X70</f>
        <v>5867216.5340632778</v>
      </c>
      <c r="AC48" s="212">
        <f>IF(X70&gt;0,AC47/X70,0)</f>
        <v>18393254.595553014</v>
      </c>
      <c r="AD48" s="212">
        <f>AB48+AC48</f>
        <v>24260471.12961629</v>
      </c>
      <c r="AF48" t="s">
        <v>501</v>
      </c>
      <c r="AG48" s="212">
        <f>IF(X70&gt;0,AG47/X70,0)</f>
        <v>5867216.5340632778</v>
      </c>
      <c r="AH48" s="212">
        <f>AH47/X70</f>
        <v>18393254.595553014</v>
      </c>
      <c r="AI48" s="212">
        <f>AG48+AH48</f>
        <v>24260471.12961629</v>
      </c>
      <c r="AM48" s="361">
        <v>0.12838176000000001</v>
      </c>
      <c r="AN48" t="s">
        <v>299</v>
      </c>
      <c r="AO48" s="352">
        <f t="shared" si="14"/>
        <v>9.0193522938359666E-2</v>
      </c>
      <c r="AP48" s="227">
        <f t="shared" si="15"/>
        <v>17301797.351901218</v>
      </c>
      <c r="AQ48" s="221" t="s">
        <v>486</v>
      </c>
    </row>
    <row r="49" spans="1:43" x14ac:dyDescent="0.25">
      <c r="A49" s="361">
        <v>7.1445120000000001E-2</v>
      </c>
      <c r="B49" t="s">
        <v>300</v>
      </c>
      <c r="C49" s="271">
        <f>IF('Optional Turbine Subcomponents'!$C$40="Yes",'Optional Turbine Subcomponents'!C56,'General-Calculations'!AP49)</f>
        <v>9628540.5965945981</v>
      </c>
      <c r="D49" s="352">
        <f>IF('Optional Turbine Subcomponents'!$C$40="Yes",'Optional Turbine Subcomponents'!D56,'Model Scenario - Step 4'!$G$62)</f>
        <v>0</v>
      </c>
      <c r="E49" s="276"/>
      <c r="F49" s="227">
        <f t="shared" si="13"/>
        <v>0</v>
      </c>
      <c r="J49" t="s">
        <v>322</v>
      </c>
      <c r="K49" s="199">
        <f>K23/K32</f>
        <v>0</v>
      </c>
      <c r="L49" s="218">
        <f>K23/1000000</f>
        <v>0</v>
      </c>
      <c r="V49" t="s">
        <v>502</v>
      </c>
      <c r="W49" s="212">
        <f>W48*AA55</f>
        <v>0</v>
      </c>
      <c r="AA49" t="s">
        <v>503</v>
      </c>
      <c r="AB49" s="212">
        <f>AB48*AA64</f>
        <v>0</v>
      </c>
      <c r="AF49" t="s">
        <v>503</v>
      </c>
      <c r="AG49" s="212">
        <f>AG48*AA63</f>
        <v>0</v>
      </c>
      <c r="AM49" s="361">
        <v>7.1445120000000001E-2</v>
      </c>
      <c r="AN49" t="s">
        <v>300</v>
      </c>
      <c r="AO49" s="352">
        <f t="shared" si="14"/>
        <v>5.0193166611470809E-2</v>
      </c>
      <c r="AP49" s="227">
        <f t="shared" si="15"/>
        <v>9628540.5965945981</v>
      </c>
      <c r="AQ49" s="221" t="s">
        <v>486</v>
      </c>
    </row>
    <row r="50" spans="1:43" x14ac:dyDescent="0.25">
      <c r="A50" s="362">
        <f>SUM(A51:A55)</f>
        <v>0.50750598003904213</v>
      </c>
      <c r="B50" t="s">
        <v>198</v>
      </c>
      <c r="C50" s="271">
        <f>IF('Optional Turbine Subcomponents'!$C$40="Yes",'Optional Turbine Subcomponents'!C57,'General-Calculations'!AP50)</f>
        <v>68395741.120183513</v>
      </c>
      <c r="D50" s="352">
        <f>IF('Optional Turbine Subcomponents'!$C$40="Yes",'Optional Turbine Subcomponents'!D57,'Model Scenario - Step 4'!$G$62)</f>
        <v>0</v>
      </c>
      <c r="E50" s="276"/>
      <c r="F50" s="227">
        <f t="shared" si="13"/>
        <v>0</v>
      </c>
      <c r="J50" t="s">
        <v>211</v>
      </c>
      <c r="K50" s="199">
        <f>K24/K33</f>
        <v>0</v>
      </c>
      <c r="L50" s="218">
        <f t="shared" ref="L50:L51" si="19">K24/1000000</f>
        <v>0</v>
      </c>
      <c r="V50" t="s">
        <v>504</v>
      </c>
      <c r="W50" s="212">
        <f>X58*AA58*W14</f>
        <v>0</v>
      </c>
      <c r="AM50" s="362">
        <f>SUM(AM51:AM55)</f>
        <v>0.50750598003904213</v>
      </c>
      <c r="AN50" t="s">
        <v>198</v>
      </c>
      <c r="AO50" s="352">
        <f t="shared" si="14"/>
        <v>0.35654404684906987</v>
      </c>
      <c r="AP50" s="227">
        <f t="shared" si="15"/>
        <v>68395741.120183513</v>
      </c>
      <c r="AQ50" s="221" t="s">
        <v>486</v>
      </c>
    </row>
    <row r="51" spans="1:43" x14ac:dyDescent="0.25">
      <c r="A51" s="361">
        <v>0.17641802534986664</v>
      </c>
      <c r="B51" t="s">
        <v>301</v>
      </c>
      <c r="C51" s="271">
        <f>IF('Optional Turbine Subcomponents'!$C$40="Yes",'Optional Turbine Subcomponents'!C58,'General-Calculations'!AP51)</f>
        <v>23775565.3437526</v>
      </c>
      <c r="D51" s="352">
        <f>IF('Optional Turbine Subcomponents'!$C$40="Yes",'Optional Turbine Subcomponents'!D58,'Model Scenario - Step 4'!$G$62)</f>
        <v>0</v>
      </c>
      <c r="E51" s="276"/>
      <c r="F51" s="227">
        <f t="shared" si="13"/>
        <v>0</v>
      </c>
      <c r="J51" t="s">
        <v>348</v>
      </c>
      <c r="K51" s="199">
        <f>K25/K34</f>
        <v>0</v>
      </c>
      <c r="L51" s="218">
        <f t="shared" si="19"/>
        <v>0</v>
      </c>
      <c r="AM51" s="361">
        <v>0.17641802534986664</v>
      </c>
      <c r="AN51" t="s">
        <v>301</v>
      </c>
      <c r="AO51" s="352">
        <f t="shared" si="14"/>
        <v>0.12394099610515787</v>
      </c>
      <c r="AP51" s="227">
        <f t="shared" si="15"/>
        <v>23775565.3437526</v>
      </c>
      <c r="AQ51" s="221" t="s">
        <v>486</v>
      </c>
    </row>
    <row r="52" spans="1:43" x14ac:dyDescent="0.25">
      <c r="A52" s="361">
        <v>0.10033818151824256</v>
      </c>
      <c r="B52" t="s">
        <v>302</v>
      </c>
      <c r="C52" s="271">
        <f>IF('Optional Turbine Subcomponents'!$C$40="Yes",'Optional Turbine Subcomponents'!C59,'General-Calculations'!AP52)</f>
        <v>13522410.685808579</v>
      </c>
      <c r="D52" s="352">
        <f>IF('Optional Turbine Subcomponents'!$C$40="Yes",'Optional Turbine Subcomponents'!D59,'Model Scenario - Step 4'!$G$62)</f>
        <v>0</v>
      </c>
      <c r="E52" s="276"/>
      <c r="F52" s="227">
        <f t="shared" si="13"/>
        <v>0</v>
      </c>
      <c r="AM52" s="361">
        <v>0.10033818151824256</v>
      </c>
      <c r="AN52" t="s">
        <v>302</v>
      </c>
      <c r="AO52" s="352">
        <f t="shared" si="14"/>
        <v>7.0491743347021449E-2</v>
      </c>
      <c r="AP52" s="227">
        <f t="shared" si="15"/>
        <v>13522410.685808579</v>
      </c>
      <c r="AQ52" s="221" t="s">
        <v>486</v>
      </c>
    </row>
    <row r="53" spans="1:43" x14ac:dyDescent="0.25">
      <c r="A53" s="361">
        <v>4.0133622941354377E-2</v>
      </c>
      <c r="B53" t="s">
        <v>303</v>
      </c>
      <c r="C53" s="271">
        <f>IF('Optional Turbine Subcomponents'!$C$40="Yes",'Optional Turbine Subcomponents'!C60,'General-Calculations'!AP53)</f>
        <v>5408741.9515741728</v>
      </c>
      <c r="D53" s="352">
        <f>IF('Optional Turbine Subcomponents'!$C$40="Yes",'Optional Turbine Subcomponents'!D60,'Model Scenario - Step 4'!$G$62)</f>
        <v>0</v>
      </c>
      <c r="E53" s="276"/>
      <c r="F53" s="227">
        <f t="shared" si="13"/>
        <v>0</v>
      </c>
      <c r="AM53" s="361">
        <v>4.0133622941354377E-2</v>
      </c>
      <c r="AN53" t="s">
        <v>303</v>
      </c>
      <c r="AO53" s="352">
        <f t="shared" si="14"/>
        <v>2.8195538379911005E-2</v>
      </c>
      <c r="AP53" s="227">
        <f t="shared" si="15"/>
        <v>5408741.9515741728</v>
      </c>
      <c r="AQ53" s="221" t="s">
        <v>486</v>
      </c>
    </row>
    <row r="54" spans="1:43" ht="18.75" x14ac:dyDescent="0.3">
      <c r="A54" s="361">
        <v>0.12372494569849606</v>
      </c>
      <c r="B54" t="s">
        <v>304</v>
      </c>
      <c r="C54" s="271">
        <f>IF('Optional Turbine Subcomponents'!$C$40="Yes",'Optional Turbine Subcomponents'!C61,'General-Calculations'!AP54)</f>
        <v>16674206.194480902</v>
      </c>
      <c r="D54" s="352">
        <f>IF('Optional Turbine Subcomponents'!$C$40="Yes",'Optional Turbine Subcomponents'!D61,'Model Scenario - Step 4'!$G$62)</f>
        <v>0</v>
      </c>
      <c r="E54" s="276"/>
      <c r="F54" s="227">
        <f t="shared" si="13"/>
        <v>0</v>
      </c>
      <c r="V54" s="463" t="s">
        <v>423</v>
      </c>
      <c r="W54" s="464"/>
      <c r="X54" s="464" t="s">
        <v>505</v>
      </c>
      <c r="Y54" s="464"/>
      <c r="Z54" s="464"/>
      <c r="AA54" s="465" t="s">
        <v>265</v>
      </c>
      <c r="AB54" s="464"/>
      <c r="AM54" s="361">
        <v>0.12372494569849606</v>
      </c>
      <c r="AN54" t="s">
        <v>304</v>
      </c>
      <c r="AO54" s="352">
        <f t="shared" si="14"/>
        <v>8.6921917318352748E-2</v>
      </c>
      <c r="AP54" s="227">
        <f t="shared" si="15"/>
        <v>16674206.194480902</v>
      </c>
      <c r="AQ54" s="221" t="s">
        <v>486</v>
      </c>
    </row>
    <row r="55" spans="1:43" x14ac:dyDescent="0.25">
      <c r="A55" s="361">
        <v>6.6891204531082452E-2</v>
      </c>
      <c r="B55" t="s">
        <v>305</v>
      </c>
      <c r="C55" s="271">
        <f>IF('Optional Turbine Subcomponents'!$C$40="Yes",'Optional Turbine Subcomponents'!C62,'General-Calculations'!AP55)</f>
        <v>9014816.9445672426</v>
      </c>
      <c r="D55" s="352">
        <f>IF('Optional Turbine Subcomponents'!$C$40="Yes",'Optional Turbine Subcomponents'!D62,'Model Scenario - Step 4'!$G$62)</f>
        <v>0</v>
      </c>
      <c r="E55" s="276"/>
      <c r="F55" s="227">
        <f t="shared" si="13"/>
        <v>0</v>
      </c>
      <c r="V55" s="421" t="s">
        <v>172</v>
      </c>
      <c r="W55" s="421"/>
      <c r="X55" s="456">
        <f>'Model Scenario - Step 4'!D205</f>
        <v>0.7</v>
      </c>
      <c r="Y55" s="421"/>
      <c r="Z55" s="433"/>
      <c r="AA55" s="461">
        <f>'Model Scenario - Step 4'!G205</f>
        <v>0</v>
      </c>
      <c r="AB55" s="421"/>
      <c r="AM55" s="361">
        <v>6.6891204531082452E-2</v>
      </c>
      <c r="AN55" t="s">
        <v>305</v>
      </c>
      <c r="AO55" s="352">
        <f t="shared" si="14"/>
        <v>4.6993851698626757E-2</v>
      </c>
      <c r="AP55" s="227">
        <f t="shared" si="15"/>
        <v>9014816.9445672426</v>
      </c>
      <c r="AQ55" s="221" t="s">
        <v>486</v>
      </c>
    </row>
    <row r="56" spans="1:43" x14ac:dyDescent="0.25">
      <c r="A56" s="363">
        <v>8.6099999999999996E-2</v>
      </c>
      <c r="B56" s="364" t="s">
        <v>492</v>
      </c>
      <c r="C56" s="271">
        <f>'Model Scenario - Step 4'!C84</f>
        <v>40370289.969428711</v>
      </c>
      <c r="D56" s="352">
        <f>'Model Scenario - Step 4'!G84</f>
        <v>0</v>
      </c>
      <c r="E56" s="277" t="s">
        <v>506</v>
      </c>
      <c r="F56" s="227">
        <f t="shared" si="13"/>
        <v>0</v>
      </c>
      <c r="G56" t="s">
        <v>506</v>
      </c>
      <c r="V56" s="421" t="s">
        <v>174</v>
      </c>
      <c r="W56" s="433"/>
      <c r="X56" s="456">
        <f>'Model Scenario - Step 4'!D206</f>
        <v>0.05</v>
      </c>
      <c r="Y56" s="421"/>
      <c r="Z56" s="433"/>
      <c r="AA56" s="434"/>
      <c r="AB56" s="421"/>
      <c r="AL56" t="s">
        <v>493</v>
      </c>
      <c r="AM56" s="365">
        <f>SUM(AM36:AM55)</f>
        <v>1.4234033200780845</v>
      </c>
      <c r="AN56" t="s">
        <v>507</v>
      </c>
      <c r="AO56" s="214">
        <f>SUM(AO36:AO55)</f>
        <v>0.99999999999999989</v>
      </c>
      <c r="AP56" s="227"/>
    </row>
    <row r="57" spans="1:43" x14ac:dyDescent="0.25">
      <c r="A57" s="351">
        <f>A58+A65+A71</f>
        <v>1</v>
      </c>
      <c r="B57" s="217" t="s">
        <v>508</v>
      </c>
      <c r="C57" s="366"/>
      <c r="D57" s="367"/>
      <c r="E57" s="350"/>
      <c r="F57" s="350"/>
      <c r="G57" s="350"/>
      <c r="V57" s="421" t="s">
        <v>176</v>
      </c>
      <c r="W57" s="421"/>
      <c r="X57" s="439">
        <f>'Model Scenario - Step 4'!D207</f>
        <v>15</v>
      </c>
      <c r="Y57" s="421"/>
      <c r="Z57" s="433"/>
      <c r="AA57" s="434"/>
      <c r="AB57" s="421"/>
    </row>
    <row r="58" spans="1:43" x14ac:dyDescent="0.25">
      <c r="A58" s="368">
        <f>SUM(A59:A64)</f>
        <v>0.55610000000000004</v>
      </c>
      <c r="B58" s="213" t="s">
        <v>476</v>
      </c>
      <c r="C58" s="271">
        <f>'Model Scenario - Step 4'!C88</f>
        <v>140248988.41882631</v>
      </c>
      <c r="D58" s="214"/>
      <c r="F58" s="225"/>
      <c r="V58" s="435" t="s">
        <v>179</v>
      </c>
      <c r="W58" s="433"/>
      <c r="X58" s="456">
        <f>'Model Scenario - Step 4'!D208</f>
        <v>0.03</v>
      </c>
      <c r="Y58" s="421"/>
      <c r="Z58" s="421"/>
      <c r="AA58" s="461">
        <f>'Model Scenario - Step 4'!G208</f>
        <v>0</v>
      </c>
      <c r="AB58" s="421"/>
      <c r="AN58" t="s">
        <v>509</v>
      </c>
      <c r="AO58" s="353"/>
      <c r="AP58" s="227">
        <f>'Project Costs - Step 2'!C35</f>
        <v>140248988.41882631</v>
      </c>
      <c r="AQ58" s="221" t="s">
        <v>478</v>
      </c>
    </row>
    <row r="59" spans="1:43" x14ac:dyDescent="0.25">
      <c r="A59" s="352">
        <v>5.5610000000000008E-3</v>
      </c>
      <c r="B59" t="s">
        <v>308</v>
      </c>
      <c r="C59" s="271">
        <f>IF('Optional Turbine Subcomponents'!$C$69="Yes",'Optional Turbine Subcomponents'!C72,'General-Calculations'!AP59)</f>
        <v>602863.58861953544</v>
      </c>
      <c r="D59" s="352">
        <f>IF('Optional Turbine Subcomponents'!$C$69="Yes",'Optional Turbine Subcomponents'!D72,'Model Scenario - Step 4'!$G$88)</f>
        <v>0</v>
      </c>
      <c r="F59" s="225">
        <f>C59*D59</f>
        <v>0</v>
      </c>
      <c r="V59" s="431" t="s">
        <v>181</v>
      </c>
      <c r="W59" s="459"/>
      <c r="X59" s="460"/>
      <c r="Y59" s="459"/>
      <c r="Z59" s="459"/>
      <c r="AA59" s="432"/>
      <c r="AB59" s="459"/>
      <c r="AM59" s="352">
        <v>5.5610000000000008E-3</v>
      </c>
      <c r="AN59" t="s">
        <v>308</v>
      </c>
      <c r="AO59" s="352">
        <f>AM59/SUM($AM$59:$AM$70)</f>
        <v>4.2985236144392047E-3</v>
      </c>
      <c r="AP59" s="227">
        <f>$AP$58*AO59</f>
        <v>602863.58861953544</v>
      </c>
      <c r="AQ59" s="221" t="s">
        <v>486</v>
      </c>
    </row>
    <row r="60" spans="1:43" x14ac:dyDescent="0.25">
      <c r="A60" s="352">
        <v>5.5610000000000007E-2</v>
      </c>
      <c r="B60" t="s">
        <v>309</v>
      </c>
      <c r="C60" s="271">
        <f>IF('Optional Turbine Subcomponents'!$C$69="Yes",'Optional Turbine Subcomponents'!C73,'General-Calculations'!AP60)</f>
        <v>6028635.8861953551</v>
      </c>
      <c r="D60" s="352">
        <f>IF('Optional Turbine Subcomponents'!$C$69="Yes",'Optional Turbine Subcomponents'!D73,'Model Scenario - Step 4'!$G$88)</f>
        <v>0</v>
      </c>
      <c r="F60" s="225">
        <f t="shared" ref="F60:F71" si="20">C60*D60</f>
        <v>0</v>
      </c>
      <c r="V60" s="421" t="s">
        <v>183</v>
      </c>
      <c r="W60" s="421"/>
      <c r="X60" s="456">
        <f>'Model Scenario - Step 4'!D210</f>
        <v>0.3</v>
      </c>
      <c r="Y60" s="421"/>
      <c r="Z60" s="433"/>
      <c r="AA60" s="434"/>
      <c r="AB60" s="421"/>
      <c r="AM60" s="352">
        <v>5.5610000000000007E-2</v>
      </c>
      <c r="AN60" t="s">
        <v>309</v>
      </c>
      <c r="AO60" s="352">
        <f t="shared" ref="AO60:AO70" si="21">AM60/SUM($AM$59:$AM$70)</f>
        <v>4.298523614439205E-2</v>
      </c>
      <c r="AP60" s="227">
        <f t="shared" ref="AP60:AP70" si="22">$AP$58*AO60</f>
        <v>6028635.8861953551</v>
      </c>
      <c r="AQ60" s="221" t="s">
        <v>486</v>
      </c>
    </row>
    <row r="61" spans="1:43" x14ac:dyDescent="0.25">
      <c r="A61" s="352">
        <v>4.4488000000000007E-2</v>
      </c>
      <c r="B61" t="s">
        <v>310</v>
      </c>
      <c r="C61" s="271">
        <f>IF('Optional Turbine Subcomponents'!$C$69="Yes",'Optional Turbine Subcomponents'!C74,'General-Calculations'!AP61)</f>
        <v>4822908.7089562835</v>
      </c>
      <c r="D61" s="352">
        <f>IF('Optional Turbine Subcomponents'!$C$69="Yes",'Optional Turbine Subcomponents'!D74,'Model Scenario - Step 4'!$G$88)</f>
        <v>0</v>
      </c>
      <c r="F61" s="225">
        <f t="shared" si="20"/>
        <v>0</v>
      </c>
      <c r="V61" s="421" t="s">
        <v>185</v>
      </c>
      <c r="W61" s="421"/>
      <c r="X61" s="456">
        <f>'Model Scenario - Step 4'!D211</f>
        <v>0.1</v>
      </c>
      <c r="Y61" s="421"/>
      <c r="Z61" s="421"/>
      <c r="AA61" s="434"/>
      <c r="AB61" s="421"/>
      <c r="AM61" s="352">
        <v>4.4488000000000007E-2</v>
      </c>
      <c r="AN61" t="s">
        <v>310</v>
      </c>
      <c r="AO61" s="352">
        <f t="shared" si="21"/>
        <v>3.4388188915513637E-2</v>
      </c>
      <c r="AP61" s="227">
        <f t="shared" si="22"/>
        <v>4822908.7089562835</v>
      </c>
      <c r="AQ61" s="221" t="s">
        <v>486</v>
      </c>
    </row>
    <row r="62" spans="1:43" x14ac:dyDescent="0.25">
      <c r="A62" s="352">
        <v>0.10009800000000001</v>
      </c>
      <c r="B62" t="s">
        <v>311</v>
      </c>
      <c r="C62" s="271">
        <f>IF('Optional Turbine Subcomponents'!$C$69="Yes",'Optional Turbine Subcomponents'!C75,'General-Calculations'!AP62)</f>
        <v>10851544.595151639</v>
      </c>
      <c r="D62" s="352">
        <f>IF('Optional Turbine Subcomponents'!$C$69="Yes",'Optional Turbine Subcomponents'!D75,'Model Scenario - Step 4'!$G$88)</f>
        <v>0</v>
      </c>
      <c r="F62" s="225">
        <f t="shared" si="20"/>
        <v>0</v>
      </c>
      <c r="V62" s="421" t="s">
        <v>187</v>
      </c>
      <c r="W62" s="433"/>
      <c r="X62" s="469">
        <f>'Model Scenario - Step 4'!D212</f>
        <v>5</v>
      </c>
      <c r="Y62" s="421"/>
      <c r="Z62" s="433"/>
      <c r="AA62" s="434"/>
      <c r="AB62" s="421"/>
      <c r="AM62" s="352">
        <v>0.10009800000000001</v>
      </c>
      <c r="AN62" t="s">
        <v>311</v>
      </c>
      <c r="AO62" s="352">
        <f t="shared" si="21"/>
        <v>7.7373425059905687E-2</v>
      </c>
      <c r="AP62" s="227">
        <f t="shared" si="22"/>
        <v>10851544.595151639</v>
      </c>
      <c r="AQ62" s="221" t="s">
        <v>486</v>
      </c>
    </row>
    <row r="63" spans="1:43" x14ac:dyDescent="0.25">
      <c r="A63" s="352">
        <v>5.5610000000000008E-3</v>
      </c>
      <c r="B63" t="s">
        <v>312</v>
      </c>
      <c r="C63" s="271">
        <f>IF('Optional Turbine Subcomponents'!$C$69="Yes",'Optional Turbine Subcomponents'!C76,'General-Calculations'!AP63)</f>
        <v>602863.58861953544</v>
      </c>
      <c r="D63" s="352">
        <f>IF('Optional Turbine Subcomponents'!$C$69="Yes",'Optional Turbine Subcomponents'!D76,'Model Scenario - Step 4'!$G$88)</f>
        <v>0</v>
      </c>
      <c r="F63" s="225">
        <f t="shared" si="20"/>
        <v>0</v>
      </c>
      <c r="V63" s="421" t="s">
        <v>189</v>
      </c>
      <c r="W63" s="433"/>
      <c r="X63" s="456">
        <f>'Model Scenario - Step 4'!D213</f>
        <v>0.5</v>
      </c>
      <c r="Y63" s="421"/>
      <c r="Z63" s="433"/>
      <c r="AA63" s="461">
        <f>'Model Scenario - Step 4'!G213</f>
        <v>0</v>
      </c>
      <c r="AB63" s="421"/>
      <c r="AM63" s="352">
        <v>5.5610000000000008E-3</v>
      </c>
      <c r="AN63" t="s">
        <v>312</v>
      </c>
      <c r="AO63" s="352">
        <f t="shared" si="21"/>
        <v>4.2985236144392047E-3</v>
      </c>
      <c r="AP63" s="227">
        <f t="shared" si="22"/>
        <v>602863.58861953544</v>
      </c>
      <c r="AQ63" s="221" t="s">
        <v>486</v>
      </c>
    </row>
    <row r="64" spans="1:43" x14ac:dyDescent="0.25">
      <c r="A64" s="352">
        <v>0.34478200000000003</v>
      </c>
      <c r="B64" t="s">
        <v>313</v>
      </c>
      <c r="C64" s="271">
        <f>IF('Optional Turbine Subcomponents'!$C$69="Yes",'Optional Turbine Subcomponents'!C77,'General-Calculations'!AP64)</f>
        <v>37377542.4944112</v>
      </c>
      <c r="D64" s="352">
        <f>IF('Optional Turbine Subcomponents'!$C$69="Yes",'Optional Turbine Subcomponents'!D77,'Model Scenario - Step 4'!$G$88)</f>
        <v>0</v>
      </c>
      <c r="F64" s="225">
        <f t="shared" si="20"/>
        <v>0</v>
      </c>
      <c r="V64" s="421" t="s">
        <v>191</v>
      </c>
      <c r="W64" s="433"/>
      <c r="X64" s="456">
        <f>'Model Scenario - Step 4'!D214</f>
        <v>0.5</v>
      </c>
      <c r="Y64" s="421"/>
      <c r="Z64" s="433"/>
      <c r="AA64" s="461">
        <f>'Model Scenario - Step 4'!G214</f>
        <v>0</v>
      </c>
      <c r="AB64" s="421"/>
      <c r="AM64" s="352">
        <v>0.34478200000000003</v>
      </c>
      <c r="AN64" t="s">
        <v>313</v>
      </c>
      <c r="AO64" s="352">
        <f t="shared" si="21"/>
        <v>0.26650846409523071</v>
      </c>
      <c r="AP64" s="227">
        <f t="shared" si="22"/>
        <v>37377542.4944112</v>
      </c>
      <c r="AQ64" s="221" t="s">
        <v>486</v>
      </c>
    </row>
    <row r="65" spans="1:43" x14ac:dyDescent="0.25">
      <c r="A65" s="369">
        <f>SUM(A66:A70)</f>
        <v>0.36879999999999996</v>
      </c>
      <c r="B65" t="s">
        <v>198</v>
      </c>
      <c r="C65" s="271">
        <f>IF('Optional Turbine Subcomponents'!$C$69="Yes",'Optional Turbine Subcomponents'!C78,'General-Calculations'!AP65)</f>
        <v>39981314.77843637</v>
      </c>
      <c r="D65" s="352">
        <f>IF('Optional Turbine Subcomponents'!$C$69="Yes",'Optional Turbine Subcomponents'!D78,'Model Scenario - Step 4'!$G$88)</f>
        <v>0</v>
      </c>
      <c r="F65" s="225">
        <f t="shared" si="20"/>
        <v>0</v>
      </c>
      <c r="V65" s="431" t="s">
        <v>342</v>
      </c>
      <c r="W65" s="459"/>
      <c r="X65" s="460"/>
      <c r="Y65" s="459"/>
      <c r="Z65" s="459"/>
      <c r="AA65" s="432"/>
      <c r="AB65" s="459"/>
      <c r="AM65" s="369">
        <f>SUM(AM66:AM70)</f>
        <v>0.36879999999999996</v>
      </c>
      <c r="AN65" t="s">
        <v>198</v>
      </c>
      <c r="AO65" s="352">
        <f t="shared" si="21"/>
        <v>0.28507381927803965</v>
      </c>
      <c r="AP65" s="227">
        <f t="shared" si="22"/>
        <v>39981314.77843637</v>
      </c>
      <c r="AQ65" s="221" t="s">
        <v>486</v>
      </c>
    </row>
    <row r="66" spans="1:43" x14ac:dyDescent="0.25">
      <c r="A66" s="352">
        <v>8.1000000000000003E-2</v>
      </c>
      <c r="B66" t="s">
        <v>301</v>
      </c>
      <c r="C66" s="271">
        <f>IF('Optional Turbine Subcomponents'!$C$69="Yes",'Optional Turbine Subcomponents'!C79,'General-Calculations'!AP66)</f>
        <v>8781145.5993854292</v>
      </c>
      <c r="D66" s="352">
        <f>IF('Optional Turbine Subcomponents'!$C$69="Yes",'Optional Turbine Subcomponents'!D79,'Model Scenario - Step 4'!$G$88)</f>
        <v>0</v>
      </c>
      <c r="F66" s="225">
        <f t="shared" si="20"/>
        <v>0</v>
      </c>
      <c r="V66" s="421" t="s">
        <v>195</v>
      </c>
      <c r="W66" s="421"/>
      <c r="X66" s="462" t="s">
        <v>510</v>
      </c>
      <c r="Y66" s="421"/>
      <c r="Z66" s="421"/>
      <c r="AA66" s="461" t="s">
        <v>511</v>
      </c>
      <c r="AB66" s="421"/>
      <c r="AM66" s="352">
        <v>8.1000000000000003E-2</v>
      </c>
      <c r="AN66" t="s">
        <v>301</v>
      </c>
      <c r="AO66" s="352">
        <f t="shared" si="21"/>
        <v>6.2611115405426285E-2</v>
      </c>
      <c r="AP66" s="227">
        <f t="shared" si="22"/>
        <v>8781145.5993854292</v>
      </c>
      <c r="AQ66" s="221" t="s">
        <v>486</v>
      </c>
    </row>
    <row r="67" spans="1:43" x14ac:dyDescent="0.25">
      <c r="A67" s="352">
        <v>0.1283</v>
      </c>
      <c r="B67" t="s">
        <v>302</v>
      </c>
      <c r="C67" s="271">
        <f>IF('Optional Turbine Subcomponents'!$C$69="Yes",'Optional Turbine Subcomponents'!C80,'General-Calculations'!AP67)</f>
        <v>13908900.992606796</v>
      </c>
      <c r="D67" s="352">
        <f>IF('Optional Turbine Subcomponents'!$C$69="Yes",'Optional Turbine Subcomponents'!D80,'Model Scenario - Step 4'!$G$88)</f>
        <v>0</v>
      </c>
      <c r="F67" s="225">
        <f t="shared" si="20"/>
        <v>0</v>
      </c>
      <c r="V67" s="457" t="s">
        <v>197</v>
      </c>
      <c r="W67" s="420"/>
      <c r="X67" s="462" t="s">
        <v>510</v>
      </c>
      <c r="Y67" s="420"/>
      <c r="Z67" s="420"/>
      <c r="AA67" s="461" t="s">
        <v>511</v>
      </c>
      <c r="AB67" s="420"/>
      <c r="AM67" s="352">
        <v>0.1283</v>
      </c>
      <c r="AN67" t="s">
        <v>302</v>
      </c>
      <c r="AO67" s="352">
        <f t="shared" si="21"/>
        <v>9.917291489526163E-2</v>
      </c>
      <c r="AP67" s="227">
        <f t="shared" si="22"/>
        <v>13908900.992606796</v>
      </c>
      <c r="AQ67" s="221" t="s">
        <v>486</v>
      </c>
    </row>
    <row r="68" spans="1:43" x14ac:dyDescent="0.25">
      <c r="A68" s="352">
        <v>2.93E-2</v>
      </c>
      <c r="B68" t="s">
        <v>303</v>
      </c>
      <c r="C68" s="271">
        <f>IF('Optional Turbine Subcomponents'!$C$69="Yes",'Optional Turbine Subcomponents'!C81,'General-Calculations'!AP68)</f>
        <v>3176389.7044690498</v>
      </c>
      <c r="D68" s="352">
        <f>IF('Optional Turbine Subcomponents'!$C$69="Yes",'Optional Turbine Subcomponents'!D81,'Model Scenario - Step 4'!$G$88)</f>
        <v>0</v>
      </c>
      <c r="F68" s="225">
        <f t="shared" si="20"/>
        <v>0</v>
      </c>
      <c r="V68" s="421" t="s">
        <v>343</v>
      </c>
      <c r="W68" s="421"/>
      <c r="X68" s="466"/>
      <c r="Y68" s="421"/>
      <c r="Z68" s="421"/>
      <c r="AA68" s="434"/>
      <c r="AB68" s="421"/>
      <c r="AM68" s="352">
        <v>2.93E-2</v>
      </c>
      <c r="AN68" t="s">
        <v>303</v>
      </c>
      <c r="AO68" s="352">
        <f t="shared" si="21"/>
        <v>2.2648218288629507E-2</v>
      </c>
      <c r="AP68" s="227">
        <f t="shared" si="22"/>
        <v>3176389.7044690498</v>
      </c>
      <c r="AQ68" s="221" t="s">
        <v>486</v>
      </c>
    </row>
    <row r="69" spans="1:43" x14ac:dyDescent="0.25">
      <c r="A69" s="352">
        <v>6.4000000000000001E-2</v>
      </c>
      <c r="B69" t="s">
        <v>304</v>
      </c>
      <c r="C69" s="271">
        <f>IF('Optional Turbine Subcomponents'!$C$69="Yes",'Optional Turbine Subcomponents'!C82,'General-Calculations'!AP69)</f>
        <v>6938189.1155637959</v>
      </c>
      <c r="D69" s="352">
        <f>IF('Optional Turbine Subcomponents'!$C$69="Yes",'Optional Turbine Subcomponents'!D82,'Model Scenario - Step 4'!$G$88)</f>
        <v>0</v>
      </c>
      <c r="F69" s="225">
        <f t="shared" si="20"/>
        <v>0</v>
      </c>
      <c r="V69" s="458" t="s">
        <v>511</v>
      </c>
      <c r="W69" s="437"/>
      <c r="X69" s="470">
        <v>0</v>
      </c>
      <c r="Y69" s="437" t="s">
        <v>511</v>
      </c>
      <c r="Z69" s="438"/>
      <c r="AA69" s="461">
        <v>0</v>
      </c>
      <c r="AB69" s="421"/>
      <c r="AM69" s="352">
        <v>6.4000000000000001E-2</v>
      </c>
      <c r="AN69" t="s">
        <v>304</v>
      </c>
      <c r="AO69" s="352">
        <f t="shared" si="21"/>
        <v>4.9470510937620768E-2</v>
      </c>
      <c r="AP69" s="227">
        <f t="shared" si="22"/>
        <v>6938189.1155637959</v>
      </c>
      <c r="AQ69" s="221" t="s">
        <v>486</v>
      </c>
    </row>
    <row r="70" spans="1:43" x14ac:dyDescent="0.25">
      <c r="A70" s="352">
        <v>6.6199999999999995E-2</v>
      </c>
      <c r="B70" t="s">
        <v>305</v>
      </c>
      <c r="C70" s="271">
        <f>IF('Optional Turbine Subcomponents'!$C$69="Yes",'Optional Turbine Subcomponents'!C83,'General-Calculations'!AP70)</f>
        <v>7176689.3664113004</v>
      </c>
      <c r="D70" s="352">
        <f>IF('Optional Turbine Subcomponents'!$C$69="Yes",'Optional Turbine Subcomponents'!D83,'Model Scenario - Step 4'!$G$88)</f>
        <v>0</v>
      </c>
      <c r="F70" s="225">
        <f t="shared" si="20"/>
        <v>0</v>
      </c>
      <c r="J70" s="54"/>
      <c r="V70" s="436" t="s">
        <v>512</v>
      </c>
      <c r="W70" s="437"/>
      <c r="X70" s="437">
        <f>'Model Scenario - Step 4'!D220</f>
        <v>20</v>
      </c>
      <c r="Y70" s="437"/>
      <c r="Z70" s="438"/>
      <c r="AA70" s="434"/>
      <c r="AB70" s="421"/>
      <c r="AM70" s="352">
        <v>6.6199999999999995E-2</v>
      </c>
      <c r="AN70" t="s">
        <v>305</v>
      </c>
      <c r="AO70" s="352">
        <f t="shared" si="21"/>
        <v>5.1171059751101478E-2</v>
      </c>
      <c r="AP70" s="227">
        <f t="shared" si="22"/>
        <v>7176689.3664113004</v>
      </c>
      <c r="AQ70" s="221" t="s">
        <v>486</v>
      </c>
    </row>
    <row r="71" spans="1:43" x14ac:dyDescent="0.25">
      <c r="A71" s="369">
        <v>7.51E-2</v>
      </c>
      <c r="B71" s="213" t="s">
        <v>492</v>
      </c>
      <c r="C71" s="271">
        <f>'Model Scenario - Step 4'!C102</f>
        <v>23551011.581173699</v>
      </c>
      <c r="D71" s="214">
        <f>'Model Scenario - Step 4'!G102</f>
        <v>0</v>
      </c>
      <c r="F71" s="225">
        <f t="shared" si="20"/>
        <v>0</v>
      </c>
      <c r="V71" s="55"/>
      <c r="W71" s="55"/>
      <c r="X71" s="55"/>
      <c r="Y71" s="55"/>
      <c r="Z71" s="55"/>
      <c r="AA71" s="376"/>
      <c r="AL71" t="s">
        <v>493</v>
      </c>
      <c r="AM71" s="214">
        <f>SUM(AM59:AM70)</f>
        <v>1.2937000000000003</v>
      </c>
      <c r="AN71" t="s">
        <v>507</v>
      </c>
      <c r="AO71" s="214">
        <f>SUM(AO59:AO70)</f>
        <v>0.99999999999999978</v>
      </c>
      <c r="AP71" s="227"/>
    </row>
    <row r="72" spans="1:43" x14ac:dyDescent="0.25">
      <c r="B72" s="208" t="s">
        <v>513</v>
      </c>
      <c r="C72" s="271"/>
      <c r="D72" s="370"/>
      <c r="E72" s="371"/>
      <c r="F72" s="371"/>
      <c r="G72" s="371"/>
      <c r="V72" t="s">
        <v>514</v>
      </c>
      <c r="X72" s="225">
        <v>0</v>
      </c>
    </row>
    <row r="73" spans="1:43" x14ac:dyDescent="0.25">
      <c r="B73" s="219" t="s">
        <v>515</v>
      </c>
      <c r="C73" s="271">
        <f>'Model Scenario - Step 4'!C104</f>
        <v>1170900000</v>
      </c>
      <c r="D73" s="372"/>
      <c r="E73" s="373"/>
      <c r="F73" s="373"/>
      <c r="G73" s="373"/>
    </row>
    <row r="75" spans="1:43" ht="18" x14ac:dyDescent="0.25">
      <c r="B75" s="333" t="s">
        <v>161</v>
      </c>
      <c r="C75" s="331"/>
      <c r="D75" s="336"/>
      <c r="E75" s="331"/>
      <c r="F75" s="384"/>
    </row>
    <row r="76" spans="1:43" ht="15.75" x14ac:dyDescent="0.25">
      <c r="B76" s="344" t="s">
        <v>316</v>
      </c>
      <c r="C76" s="337"/>
      <c r="D76" s="336"/>
      <c r="E76" s="331"/>
      <c r="F76" s="384"/>
    </row>
    <row r="77" spans="1:43" ht="15.75" x14ac:dyDescent="0.25">
      <c r="B77" s="338" t="s">
        <v>516</v>
      </c>
      <c r="C77" s="339">
        <f>'Model Scenario - Step 4'!C108</f>
        <v>363232239.15785801</v>
      </c>
      <c r="D77" s="382">
        <f>'Model Scenario - Step 4'!G108</f>
        <v>0</v>
      </c>
      <c r="E77" s="331"/>
      <c r="F77" s="411">
        <f>C77*D77</f>
        <v>0</v>
      </c>
    </row>
    <row r="78" spans="1:43" ht="15.75" x14ac:dyDescent="0.25">
      <c r="B78" s="375" t="s">
        <v>268</v>
      </c>
      <c r="C78" s="347"/>
      <c r="D78" s="385"/>
      <c r="E78" s="334"/>
      <c r="F78" s="411"/>
    </row>
    <row r="79" spans="1:43" ht="15.75" x14ac:dyDescent="0.25">
      <c r="B79" s="375" t="s">
        <v>284</v>
      </c>
      <c r="C79" s="347"/>
      <c r="D79" s="385"/>
      <c r="E79" s="334"/>
      <c r="F79" s="411"/>
    </row>
    <row r="80" spans="1:43" ht="15.75" x14ac:dyDescent="0.25">
      <c r="A80" s="222"/>
      <c r="B80" s="338" t="s">
        <v>500</v>
      </c>
      <c r="C80" s="339">
        <f>'Model Scenario - Step 4'!C111</f>
        <v>13428000</v>
      </c>
      <c r="D80" s="382">
        <f>'Model Scenario - Step 4'!G111</f>
        <v>0</v>
      </c>
      <c r="E80" s="331"/>
      <c r="F80" s="411">
        <f t="shared" ref="F80:F140" si="23">C80*D80</f>
        <v>0</v>
      </c>
    </row>
    <row r="81" spans="2:12" x14ac:dyDescent="0.25">
      <c r="B81" s="374" t="s">
        <v>268</v>
      </c>
      <c r="C81" s="347"/>
      <c r="D81" s="383"/>
      <c r="E81" s="334"/>
      <c r="F81" s="411"/>
    </row>
    <row r="82" spans="2:12" x14ac:dyDescent="0.25">
      <c r="B82" s="374" t="s">
        <v>284</v>
      </c>
      <c r="C82" s="347"/>
      <c r="D82" s="383"/>
      <c r="E82" s="331"/>
      <c r="F82" s="411"/>
    </row>
    <row r="83" spans="2:12" x14ac:dyDescent="0.25">
      <c r="B83" s="392" t="s">
        <v>317</v>
      </c>
      <c r="C83" s="394"/>
      <c r="D83" s="383"/>
      <c r="E83" s="331"/>
      <c r="F83" s="411"/>
    </row>
    <row r="84" spans="2:12" ht="15.75" x14ac:dyDescent="0.25">
      <c r="B84" s="344" t="s">
        <v>192</v>
      </c>
      <c r="C84" s="337"/>
      <c r="D84" s="386"/>
      <c r="E84" s="331"/>
      <c r="F84" s="411"/>
      <c r="J84" s="54"/>
    </row>
    <row r="85" spans="2:12" ht="15.75" x14ac:dyDescent="0.25">
      <c r="B85" s="340" t="s">
        <v>194</v>
      </c>
      <c r="C85" s="339">
        <f>'Model Scenario - Step 4'!C116</f>
        <v>45708306.855920002</v>
      </c>
      <c r="D85" s="387">
        <f>'Model Scenario - Step 4'!G116</f>
        <v>0</v>
      </c>
      <c r="E85" s="331"/>
      <c r="F85" s="411">
        <f t="shared" si="23"/>
        <v>0</v>
      </c>
      <c r="K85" s="199"/>
      <c r="L85" s="226"/>
    </row>
    <row r="86" spans="2:12" x14ac:dyDescent="0.25">
      <c r="B86" s="379" t="s">
        <v>196</v>
      </c>
      <c r="C86" s="347"/>
      <c r="D86" s="385"/>
      <c r="E86" s="334"/>
      <c r="F86" s="411"/>
      <c r="K86" s="199"/>
      <c r="L86" s="226"/>
    </row>
    <row r="87" spans="2:12" x14ac:dyDescent="0.25">
      <c r="B87" s="379" t="s">
        <v>150</v>
      </c>
      <c r="C87" s="347"/>
      <c r="D87" s="385"/>
      <c r="E87" s="334"/>
      <c r="F87" s="411"/>
      <c r="K87" s="199"/>
      <c r="L87" s="226"/>
    </row>
    <row r="88" spans="2:12" ht="15.75" x14ac:dyDescent="0.25">
      <c r="B88" s="340" t="s">
        <v>199</v>
      </c>
      <c r="C88" s="339">
        <f>'Model Scenario - Step 4'!C119</f>
        <v>76557375</v>
      </c>
      <c r="D88" s="388">
        <f>'Model Scenario - Step 4'!G119</f>
        <v>0</v>
      </c>
      <c r="E88" s="331"/>
      <c r="F88" s="411">
        <f t="shared" si="23"/>
        <v>0</v>
      </c>
      <c r="K88" s="199"/>
      <c r="L88" s="226"/>
    </row>
    <row r="89" spans="2:12" x14ac:dyDescent="0.25">
      <c r="B89" s="389" t="s">
        <v>196</v>
      </c>
      <c r="C89" s="347"/>
      <c r="D89" s="385"/>
      <c r="E89" s="334"/>
      <c r="F89" s="411"/>
      <c r="K89" s="199"/>
      <c r="L89" s="226"/>
    </row>
    <row r="90" spans="2:12" x14ac:dyDescent="0.25">
      <c r="B90" s="389" t="s">
        <v>150</v>
      </c>
      <c r="C90" s="347"/>
      <c r="D90" s="385"/>
      <c r="E90" s="334"/>
      <c r="F90" s="411"/>
      <c r="K90" s="228"/>
      <c r="L90" s="228"/>
    </row>
    <row r="91" spans="2:12" ht="15.75" x14ac:dyDescent="0.25">
      <c r="B91" s="340" t="s">
        <v>202</v>
      </c>
      <c r="C91" s="339">
        <f>'Model Scenario - Step 4'!C122</f>
        <v>117087300</v>
      </c>
      <c r="D91" s="381">
        <f>'Model Scenario - Step 4'!G122</f>
        <v>0</v>
      </c>
      <c r="E91" s="331"/>
      <c r="F91" s="411">
        <f t="shared" si="23"/>
        <v>0</v>
      </c>
    </row>
    <row r="92" spans="2:12" x14ac:dyDescent="0.25">
      <c r="B92" s="342" t="s">
        <v>318</v>
      </c>
      <c r="C92" s="347"/>
      <c r="D92" s="380"/>
      <c r="E92" s="334"/>
      <c r="F92" s="411"/>
      <c r="J92" s="54" t="s">
        <v>517</v>
      </c>
    </row>
    <row r="93" spans="2:12" x14ac:dyDescent="0.25">
      <c r="B93" s="342" t="s">
        <v>319</v>
      </c>
      <c r="C93" s="347"/>
      <c r="D93" s="380"/>
      <c r="E93" s="334"/>
      <c r="F93" s="411"/>
      <c r="J93" t="s">
        <v>213</v>
      </c>
      <c r="K93" s="202">
        <f>F160</f>
        <v>0</v>
      </c>
    </row>
    <row r="94" spans="2:12" x14ac:dyDescent="0.25">
      <c r="B94" s="393" t="s">
        <v>320</v>
      </c>
      <c r="C94" s="394"/>
      <c r="D94" s="380"/>
      <c r="E94" s="334"/>
      <c r="F94" s="411"/>
      <c r="J94" t="s">
        <v>214</v>
      </c>
      <c r="K94" s="202">
        <f>F155</f>
        <v>0</v>
      </c>
    </row>
    <row r="95" spans="2:12" ht="15.75" x14ac:dyDescent="0.25">
      <c r="B95" s="344" t="s">
        <v>206</v>
      </c>
      <c r="C95" s="337"/>
      <c r="D95" s="336"/>
      <c r="E95" s="331"/>
      <c r="F95" s="411"/>
    </row>
    <row r="96" spans="2:12" x14ac:dyDescent="0.25">
      <c r="B96" s="343" t="s">
        <v>205</v>
      </c>
      <c r="C96" s="347"/>
      <c r="D96" s="332"/>
      <c r="E96" s="331"/>
      <c r="F96" s="411"/>
    </row>
    <row r="97" spans="2:12" x14ac:dyDescent="0.25">
      <c r="B97" s="341" t="s">
        <v>321</v>
      </c>
      <c r="C97" s="339">
        <f>'Model Scenario - Step 4'!C128</f>
        <v>19683951.69649205</v>
      </c>
      <c r="D97" s="387">
        <f>'Model Scenario - Step 4'!G128</f>
        <v>0</v>
      </c>
      <c r="E97" s="331"/>
      <c r="F97" s="411">
        <f t="shared" si="23"/>
        <v>0</v>
      </c>
      <c r="J97" s="54" t="s">
        <v>518</v>
      </c>
    </row>
    <row r="98" spans="2:12" x14ac:dyDescent="0.25">
      <c r="B98" s="341" t="s">
        <v>284</v>
      </c>
      <c r="C98" s="339">
        <f>'Model Scenario - Step 4'!C129</f>
        <v>3958603.6823022175</v>
      </c>
      <c r="D98" s="387">
        <f>'Model Scenario - Step 4'!G129</f>
        <v>0</v>
      </c>
      <c r="E98" s="331"/>
      <c r="F98" s="411">
        <f t="shared" si="23"/>
        <v>0</v>
      </c>
      <c r="J98" t="s">
        <v>213</v>
      </c>
      <c r="K98">
        <f>'Model Scenario - Step 4'!C233</f>
        <v>100000</v>
      </c>
    </row>
    <row r="99" spans="2:12" x14ac:dyDescent="0.25">
      <c r="B99" s="343" t="s">
        <v>500</v>
      </c>
      <c r="C99" s="347"/>
      <c r="D99" s="386"/>
      <c r="E99" s="331"/>
      <c r="F99" s="411"/>
      <c r="J99" t="s">
        <v>214</v>
      </c>
      <c r="K99">
        <f>'Model Scenario - Step 4'!C234</f>
        <v>75000</v>
      </c>
    </row>
    <row r="100" spans="2:12" x14ac:dyDescent="0.25">
      <c r="B100" s="341" t="s">
        <v>321</v>
      </c>
      <c r="C100" s="339">
        <f>'Model Scenario - Step 4'!C131</f>
        <v>8683647.4697889537</v>
      </c>
      <c r="D100" s="387">
        <f>'Model Scenario - Step 4'!G131</f>
        <v>0</v>
      </c>
      <c r="E100" s="331"/>
      <c r="F100" s="411">
        <f t="shared" si="23"/>
        <v>0</v>
      </c>
    </row>
    <row r="101" spans="2:12" x14ac:dyDescent="0.25">
      <c r="B101" s="341" t="s">
        <v>284</v>
      </c>
      <c r="C101" s="339">
        <f>'Model Scenario - Step 4'!C132</f>
        <v>1746352.5302110452</v>
      </c>
      <c r="D101" s="387">
        <f>'Model Scenario - Step 4'!G132</f>
        <v>0</v>
      </c>
      <c r="E101" s="331"/>
      <c r="F101" s="411">
        <f t="shared" si="23"/>
        <v>0</v>
      </c>
    </row>
    <row r="102" spans="2:12" x14ac:dyDescent="0.25">
      <c r="B102" s="343" t="s">
        <v>322</v>
      </c>
      <c r="C102" s="347"/>
      <c r="D102" s="386"/>
      <c r="E102" s="331"/>
      <c r="F102" s="411"/>
      <c r="J102" s="54" t="s">
        <v>519</v>
      </c>
    </row>
    <row r="103" spans="2:12" x14ac:dyDescent="0.25">
      <c r="B103" s="341" t="s">
        <v>321</v>
      </c>
      <c r="C103" s="339">
        <f>'Model Scenario - Step 4'!C134</f>
        <v>35635840.922880322</v>
      </c>
      <c r="D103" s="387">
        <f>'Model Scenario - Step 4'!G134</f>
        <v>0</v>
      </c>
      <c r="E103" s="331"/>
      <c r="F103" s="411">
        <f t="shared" si="23"/>
        <v>0</v>
      </c>
      <c r="J103" t="s">
        <v>213</v>
      </c>
      <c r="K103" s="230">
        <v>100000</v>
      </c>
    </row>
    <row r="104" spans="2:12" x14ac:dyDescent="0.25">
      <c r="B104" s="341" t="s">
        <v>284</v>
      </c>
      <c r="C104" s="339">
        <f>'Model Scenario - Step 4'!C135</f>
        <v>7166659.0771196801</v>
      </c>
      <c r="D104" s="387">
        <f>'Model Scenario - Step 4'!G135</f>
        <v>0</v>
      </c>
      <c r="E104" s="331"/>
      <c r="F104" s="411">
        <f t="shared" si="23"/>
        <v>0</v>
      </c>
      <c r="J104" t="s">
        <v>214</v>
      </c>
      <c r="K104" s="230">
        <v>55000</v>
      </c>
    </row>
    <row r="105" spans="2:12" x14ac:dyDescent="0.25">
      <c r="B105" s="343" t="s">
        <v>215</v>
      </c>
      <c r="C105" s="347"/>
      <c r="D105" s="386"/>
      <c r="E105" s="331"/>
      <c r="F105" s="411"/>
    </row>
    <row r="106" spans="2:12" x14ac:dyDescent="0.25">
      <c r="B106" s="341" t="s">
        <v>321</v>
      </c>
      <c r="C106" s="339">
        <f>'Model Scenario - Step 4'!C137</f>
        <v>12297794.945229989</v>
      </c>
      <c r="D106" s="387">
        <f>'Model Scenario - Step 4'!G137</f>
        <v>0</v>
      </c>
      <c r="E106" s="331"/>
      <c r="F106" s="411">
        <f t="shared" si="23"/>
        <v>0</v>
      </c>
      <c r="J106" s="54" t="s">
        <v>520</v>
      </c>
      <c r="K106" t="s">
        <v>357</v>
      </c>
      <c r="L106" t="s">
        <v>499</v>
      </c>
    </row>
    <row r="107" spans="2:12" x14ac:dyDescent="0.25">
      <c r="B107" s="379" t="s">
        <v>284</v>
      </c>
      <c r="C107" s="339">
        <f>'Model Scenario - Step 4'!C138</f>
        <v>2473187.1478358097</v>
      </c>
      <c r="D107" s="387">
        <f>'Model Scenario - Step 4'!G138</f>
        <v>0</v>
      </c>
      <c r="E107" s="334"/>
      <c r="F107" s="411">
        <f t="shared" si="23"/>
        <v>0</v>
      </c>
      <c r="J107" t="s">
        <v>213</v>
      </c>
      <c r="K107" s="199">
        <f>K93/K98</f>
        <v>0</v>
      </c>
      <c r="L107" s="441">
        <f>K93/1000000</f>
        <v>0</v>
      </c>
    </row>
    <row r="108" spans="2:12" x14ac:dyDescent="0.25">
      <c r="B108" s="343" t="s">
        <v>216</v>
      </c>
      <c r="C108" s="347"/>
      <c r="D108" s="386"/>
      <c r="E108" s="331"/>
      <c r="F108" s="411"/>
      <c r="J108" t="s">
        <v>521</v>
      </c>
      <c r="K108" s="199">
        <f>K94/K99</f>
        <v>0</v>
      </c>
      <c r="L108" s="441">
        <f>K94/1000000</f>
        <v>0</v>
      </c>
    </row>
    <row r="109" spans="2:12" x14ac:dyDescent="0.25">
      <c r="B109" s="341" t="s">
        <v>321</v>
      </c>
      <c r="C109" s="339">
        <f>'Model Scenario - Step 4'!C140</f>
        <v>2115139.5497453986</v>
      </c>
      <c r="D109" s="387">
        <f>'Model Scenario - Step 4'!G140</f>
        <v>0</v>
      </c>
      <c r="E109" s="331"/>
      <c r="F109" s="411">
        <f t="shared" si="23"/>
        <v>0</v>
      </c>
      <c r="J109" t="s">
        <v>375</v>
      </c>
      <c r="K109" s="228">
        <f>SUM(K107:K108)</f>
        <v>0</v>
      </c>
      <c r="L109" s="228">
        <f>SUM(L107:L108)</f>
        <v>0</v>
      </c>
    </row>
    <row r="110" spans="2:12" x14ac:dyDescent="0.25">
      <c r="B110" s="341" t="s">
        <v>284</v>
      </c>
      <c r="C110" s="339">
        <f>'Model Scenario - Step 4'!C141</f>
        <v>425371.86329802725</v>
      </c>
      <c r="D110" s="387">
        <f>'Model Scenario - Step 4'!G141</f>
        <v>0</v>
      </c>
      <c r="E110" s="331"/>
      <c r="F110" s="411">
        <f t="shared" si="23"/>
        <v>0</v>
      </c>
    </row>
    <row r="111" spans="2:12" x14ac:dyDescent="0.25">
      <c r="B111" s="343" t="s">
        <v>202</v>
      </c>
      <c r="C111" s="347"/>
      <c r="D111" s="386"/>
      <c r="E111" s="331"/>
      <c r="F111" s="411"/>
    </row>
    <row r="112" spans="2:12" x14ac:dyDescent="0.25">
      <c r="B112" s="341" t="s">
        <v>321</v>
      </c>
      <c r="C112" s="339">
        <f>'Model Scenario - Step 4'!C143</f>
        <v>2070159.6970244886</v>
      </c>
      <c r="D112" s="387">
        <f>'Model Scenario - Step 4'!G143</f>
        <v>0</v>
      </c>
      <c r="E112" s="331"/>
      <c r="F112" s="411">
        <f t="shared" si="23"/>
        <v>0</v>
      </c>
    </row>
    <row r="113" spans="2:6" x14ac:dyDescent="0.25">
      <c r="B113" s="341" t="s">
        <v>284</v>
      </c>
      <c r="C113" s="339">
        <f>'Model Scenario - Step 4'!C144</f>
        <v>416326.0470231307</v>
      </c>
      <c r="D113" s="387">
        <f>'Model Scenario - Step 4'!G144</f>
        <v>0</v>
      </c>
      <c r="E113" s="331"/>
      <c r="F113" s="411">
        <f t="shared" si="23"/>
        <v>0</v>
      </c>
    </row>
    <row r="114" spans="2:6" x14ac:dyDescent="0.25">
      <c r="B114" s="330" t="s">
        <v>323</v>
      </c>
      <c r="C114" s="395"/>
      <c r="D114" s="341"/>
      <c r="E114" s="341"/>
      <c r="F114" s="411"/>
    </row>
    <row r="115" spans="2:6" ht="15.75" x14ac:dyDescent="0.25">
      <c r="B115" s="344" t="s">
        <v>217</v>
      </c>
      <c r="C115" s="337"/>
      <c r="D115" s="336"/>
      <c r="E115" s="331"/>
      <c r="F115" s="411"/>
    </row>
    <row r="116" spans="2:6" x14ac:dyDescent="0.25">
      <c r="B116" s="345" t="s">
        <v>205</v>
      </c>
      <c r="C116" s="339">
        <f>'Model Scenario - Step 4'!C147</f>
        <v>8176275.9374590851</v>
      </c>
      <c r="D116" s="387">
        <f>'Model Scenario - Step 4'!G147</f>
        <v>0</v>
      </c>
      <c r="E116" s="331"/>
      <c r="F116" s="411">
        <f t="shared" si="23"/>
        <v>0</v>
      </c>
    </row>
    <row r="117" spans="2:6" x14ac:dyDescent="0.25">
      <c r="B117" s="345" t="s">
        <v>500</v>
      </c>
      <c r="C117" s="339">
        <f>'Model Scenario - Step 4'!C148</f>
        <v>5616438.3561643958</v>
      </c>
      <c r="D117" s="387">
        <f>'Model Scenario - Step 4'!G148</f>
        <v>0</v>
      </c>
      <c r="E117" s="331"/>
      <c r="F117" s="411">
        <f t="shared" si="23"/>
        <v>0</v>
      </c>
    </row>
    <row r="118" spans="2:6" x14ac:dyDescent="0.25">
      <c r="B118" s="345" t="s">
        <v>210</v>
      </c>
      <c r="C118" s="339">
        <f>'Model Scenario - Step 4'!C149</f>
        <v>15175342.465753362</v>
      </c>
      <c r="D118" s="387">
        <f>'Model Scenario - Step 4'!G149</f>
        <v>0</v>
      </c>
      <c r="E118" s="331"/>
      <c r="F118" s="411">
        <f t="shared" si="23"/>
        <v>0</v>
      </c>
    </row>
    <row r="119" spans="2:6" x14ac:dyDescent="0.25">
      <c r="B119" s="345" t="s">
        <v>215</v>
      </c>
      <c r="C119" s="339">
        <f>'Model Scenario - Step 4'!C150</f>
        <v>7995058.6811319487</v>
      </c>
      <c r="D119" s="387">
        <f>'Model Scenario - Step 4'!G150</f>
        <v>0</v>
      </c>
      <c r="E119" s="331"/>
      <c r="F119" s="411">
        <f t="shared" si="23"/>
        <v>0</v>
      </c>
    </row>
    <row r="120" spans="2:6" x14ac:dyDescent="0.25">
      <c r="B120" s="345" t="s">
        <v>216</v>
      </c>
      <c r="C120" s="339">
        <f>'Model Scenario - Step 4'!C151</f>
        <v>1194800.774270399</v>
      </c>
      <c r="D120" s="387">
        <f>'Model Scenario - Step 4'!G151</f>
        <v>0</v>
      </c>
      <c r="E120" s="331"/>
      <c r="F120" s="411">
        <f t="shared" si="23"/>
        <v>0</v>
      </c>
    </row>
    <row r="121" spans="2:6" x14ac:dyDescent="0.25">
      <c r="B121" s="345" t="s">
        <v>202</v>
      </c>
      <c r="C121" s="339">
        <f>'Model Scenario - Step 4'!C152</f>
        <v>170116.53620352253</v>
      </c>
      <c r="D121" s="387">
        <f>'Model Scenario - Step 4'!G152</f>
        <v>0</v>
      </c>
      <c r="E121" s="331"/>
      <c r="F121" s="411">
        <f t="shared" si="23"/>
        <v>0</v>
      </c>
    </row>
    <row r="122" spans="2:6" x14ac:dyDescent="0.25">
      <c r="B122" s="345" t="s">
        <v>324</v>
      </c>
      <c r="C122" s="396"/>
      <c r="D122" s="332"/>
      <c r="E122" s="331"/>
      <c r="F122" s="411"/>
    </row>
    <row r="123" spans="2:6" ht="15.75" x14ac:dyDescent="0.25">
      <c r="B123" s="344" t="s">
        <v>218</v>
      </c>
      <c r="C123" s="337"/>
      <c r="D123" s="336"/>
      <c r="E123" s="331"/>
      <c r="F123" s="411"/>
    </row>
    <row r="124" spans="2:6" x14ac:dyDescent="0.25">
      <c r="B124" s="346" t="s">
        <v>219</v>
      </c>
      <c r="C124" s="339">
        <f>'Model Scenario - Step 4'!C155</f>
        <v>45000000</v>
      </c>
      <c r="D124" s="401">
        <f>'Model Scenario - Step 4'!G155</f>
        <v>0</v>
      </c>
      <c r="E124" s="331"/>
      <c r="F124" s="411">
        <f t="shared" si="23"/>
        <v>0</v>
      </c>
    </row>
    <row r="125" spans="2:6" x14ac:dyDescent="0.25">
      <c r="B125" s="346" t="s">
        <v>220</v>
      </c>
      <c r="C125" s="339">
        <f>'Model Scenario - Step 4'!C156</f>
        <v>0</v>
      </c>
      <c r="D125" s="401">
        <f>'Model Scenario - Step 4'!G156</f>
        <v>0</v>
      </c>
      <c r="E125" s="331"/>
      <c r="F125" s="411">
        <f t="shared" si="23"/>
        <v>0</v>
      </c>
    </row>
    <row r="126" spans="2:6" x14ac:dyDescent="0.25">
      <c r="B126" s="346" t="s">
        <v>221</v>
      </c>
      <c r="C126" s="339">
        <f>'Model Scenario - Step 4'!C157</f>
        <v>1000000</v>
      </c>
      <c r="D126" s="401">
        <f>'Model Scenario - Step 4'!G157</f>
        <v>0</v>
      </c>
      <c r="E126" s="331"/>
      <c r="F126" s="411">
        <f t="shared" si="23"/>
        <v>0</v>
      </c>
    </row>
    <row r="127" spans="2:6" x14ac:dyDescent="0.25">
      <c r="B127" s="346" t="s">
        <v>222</v>
      </c>
      <c r="C127" s="339">
        <f>'Model Scenario - Step 4'!C158</f>
        <v>250000</v>
      </c>
      <c r="D127" s="401">
        <f>'Model Scenario - Step 4'!G158</f>
        <v>0</v>
      </c>
      <c r="E127" s="331"/>
      <c r="F127" s="411">
        <f t="shared" si="23"/>
        <v>0</v>
      </c>
    </row>
    <row r="128" spans="2:6" x14ac:dyDescent="0.25">
      <c r="B128" s="346" t="s">
        <v>223</v>
      </c>
      <c r="C128" s="339">
        <f>'Model Scenario - Step 4'!C159</f>
        <v>500000</v>
      </c>
      <c r="D128" s="401">
        <f>'Model Scenario - Step 4'!G159</f>
        <v>0</v>
      </c>
      <c r="E128" s="331"/>
      <c r="F128" s="411">
        <f t="shared" si="23"/>
        <v>0</v>
      </c>
    </row>
    <row r="129" spans="2:14" x14ac:dyDescent="0.25">
      <c r="B129" s="346" t="s">
        <v>224</v>
      </c>
      <c r="C129" s="339">
        <f>'Model Scenario - Step 4'!C160</f>
        <v>50000000</v>
      </c>
      <c r="D129" s="401">
        <f>'Model Scenario - Step 4'!G160</f>
        <v>0</v>
      </c>
      <c r="E129" s="331"/>
      <c r="F129" s="411">
        <f t="shared" si="23"/>
        <v>0</v>
      </c>
    </row>
    <row r="130" spans="2:14" x14ac:dyDescent="0.25">
      <c r="B130" s="801" t="s">
        <v>225</v>
      </c>
      <c r="C130" s="339">
        <f>'Model Scenario - Step 4'!C161</f>
        <v>160282537.9742884</v>
      </c>
      <c r="D130" s="401">
        <f>'Model Scenario - Step 4'!G161</f>
        <v>0</v>
      </c>
      <c r="E130" s="331"/>
      <c r="F130" s="411">
        <f t="shared" si="23"/>
        <v>0</v>
      </c>
    </row>
    <row r="131" spans="2:14" x14ac:dyDescent="0.25">
      <c r="B131" s="330" t="s">
        <v>325</v>
      </c>
      <c r="C131" s="397"/>
      <c r="D131" s="332"/>
      <c r="E131" s="331"/>
      <c r="F131" s="411"/>
    </row>
    <row r="132" spans="2:14" ht="15.75" x14ac:dyDescent="0.25">
      <c r="B132" s="344" t="s">
        <v>226</v>
      </c>
      <c r="C132" s="331"/>
      <c r="D132" s="332"/>
      <c r="E132" s="331"/>
      <c r="F132" s="411"/>
    </row>
    <row r="133" spans="2:14" x14ac:dyDescent="0.25">
      <c r="B133" s="343" t="s">
        <v>227</v>
      </c>
      <c r="C133" s="339">
        <f>'Model Scenario - Step 4'!C164</f>
        <v>63000000</v>
      </c>
      <c r="D133" s="401">
        <f>'Model Scenario - Step 4'!G164</f>
        <v>0</v>
      </c>
      <c r="E133" s="331"/>
      <c r="F133" s="411">
        <f t="shared" si="23"/>
        <v>0</v>
      </c>
    </row>
    <row r="134" spans="2:14" x14ac:dyDescent="0.25">
      <c r="B134" s="330" t="s">
        <v>326</v>
      </c>
      <c r="C134" s="337"/>
      <c r="D134" s="332"/>
      <c r="E134" s="331"/>
      <c r="F134" s="411"/>
    </row>
    <row r="135" spans="2:14" ht="15.75" x14ac:dyDescent="0.25">
      <c r="B135" s="344" t="s">
        <v>229</v>
      </c>
      <c r="C135" s="337"/>
      <c r="D135" s="332"/>
      <c r="E135" s="331"/>
      <c r="F135" s="411"/>
    </row>
    <row r="136" spans="2:14" x14ac:dyDescent="0.25">
      <c r="B136" s="345" t="s">
        <v>230</v>
      </c>
      <c r="C136" s="339">
        <f>'Model Scenario - Step 4'!C168</f>
        <v>13200000</v>
      </c>
      <c r="D136" s="401">
        <f>'Model Scenario - Step 4'!G168</f>
        <v>0</v>
      </c>
      <c r="E136" s="331"/>
      <c r="F136" s="411">
        <f t="shared" si="23"/>
        <v>0</v>
      </c>
    </row>
    <row r="137" spans="2:14" x14ac:dyDescent="0.25">
      <c r="B137" s="345" t="s">
        <v>231</v>
      </c>
      <c r="C137" s="339">
        <f>'Model Scenario - Step 4'!C169</f>
        <v>54900000</v>
      </c>
      <c r="D137" s="401">
        <f>'Model Scenario - Step 4'!G169</f>
        <v>0</v>
      </c>
      <c r="E137" s="331"/>
      <c r="F137" s="411">
        <f t="shared" si="23"/>
        <v>0</v>
      </c>
    </row>
    <row r="138" spans="2:14" x14ac:dyDescent="0.25">
      <c r="B138" s="345" t="s">
        <v>232</v>
      </c>
      <c r="C138" s="339">
        <f>'Model Scenario - Step 4'!C170</f>
        <v>13200000</v>
      </c>
      <c r="D138" s="401">
        <f>'Model Scenario - Step 4'!G170</f>
        <v>0</v>
      </c>
      <c r="E138" s="331"/>
      <c r="F138" s="411">
        <f t="shared" si="23"/>
        <v>0</v>
      </c>
    </row>
    <row r="139" spans="2:14" x14ac:dyDescent="0.25">
      <c r="B139" s="345" t="s">
        <v>233</v>
      </c>
      <c r="C139" s="339">
        <f>'Model Scenario - Step 4'!C171</f>
        <v>94800000</v>
      </c>
      <c r="D139" s="401">
        <f>'Model Scenario - Step 4'!G171</f>
        <v>0</v>
      </c>
      <c r="E139" s="331"/>
      <c r="F139" s="411">
        <f t="shared" si="23"/>
        <v>0</v>
      </c>
      <c r="N139" s="411"/>
    </row>
    <row r="140" spans="2:14" x14ac:dyDescent="0.25">
      <c r="B140" s="345" t="s">
        <v>234</v>
      </c>
      <c r="C140" s="339">
        <f>'Model Scenario - Step 4'!C172</f>
        <v>17400000</v>
      </c>
      <c r="D140" s="401">
        <f>'Model Scenario - Step 4'!G172</f>
        <v>0</v>
      </c>
      <c r="E140" s="331"/>
      <c r="F140" s="411">
        <f t="shared" si="23"/>
        <v>0</v>
      </c>
    </row>
    <row r="141" spans="2:14" x14ac:dyDescent="0.25">
      <c r="B141" s="330" t="s">
        <v>328</v>
      </c>
      <c r="C141" s="394"/>
      <c r="D141" s="332"/>
      <c r="E141" s="331"/>
    </row>
    <row r="142" spans="2:14" x14ac:dyDescent="0.25">
      <c r="B142" s="345" t="s">
        <v>522</v>
      </c>
      <c r="C142" s="339">
        <f>'Model Scenario - Step 4'!C174</f>
        <v>0</v>
      </c>
      <c r="D142" s="401">
        <f>'Model Scenario - Step 4'!G174</f>
        <v>0</v>
      </c>
      <c r="E142" s="331"/>
      <c r="F142" s="411">
        <f>C142*D142</f>
        <v>0</v>
      </c>
    </row>
    <row r="143" spans="2:14" x14ac:dyDescent="0.25">
      <c r="B143" s="330" t="s">
        <v>330</v>
      </c>
      <c r="C143" s="397"/>
      <c r="D143" s="335"/>
      <c r="E143" s="331"/>
      <c r="F143" s="411"/>
    </row>
    <row r="144" spans="2:14" x14ac:dyDescent="0.25">
      <c r="B144" s="330" t="s">
        <v>331</v>
      </c>
      <c r="C144" s="348">
        <f>'Model Scenario - Step 4'!C176</f>
        <v>16987119.705735438</v>
      </c>
      <c r="D144" s="381">
        <f>'Model Scenario - Step 4'!G176</f>
        <v>0</v>
      </c>
      <c r="E144" s="331"/>
      <c r="F144" s="411">
        <f t="shared" ref="F144" si="24">C144*D144</f>
        <v>0</v>
      </c>
    </row>
    <row r="145" spans="2:7" x14ac:dyDescent="0.25">
      <c r="B145" s="329" t="s">
        <v>332</v>
      </c>
      <c r="C145" s="337"/>
      <c r="D145" s="335"/>
      <c r="E145" s="331"/>
      <c r="F145" s="411"/>
    </row>
    <row r="146" spans="2:7" x14ac:dyDescent="0.25">
      <c r="C146" t="s">
        <v>523</v>
      </c>
      <c r="F146" s="227">
        <f>SUM(F19:F145)</f>
        <v>0</v>
      </c>
    </row>
    <row r="151" spans="2:7" x14ac:dyDescent="0.25">
      <c r="B151" s="54" t="s">
        <v>140</v>
      </c>
      <c r="F151" s="181" t="s">
        <v>458</v>
      </c>
    </row>
    <row r="152" spans="2:7" x14ac:dyDescent="0.25">
      <c r="B152" t="s">
        <v>9</v>
      </c>
      <c r="C152" t="s">
        <v>141</v>
      </c>
    </row>
    <row r="153" spans="2:7" ht="15.75" x14ac:dyDescent="0.25">
      <c r="B153" s="404" t="s">
        <v>147</v>
      </c>
      <c r="C153" s="337"/>
      <c r="D153" s="335"/>
    </row>
    <row r="154" spans="2:7" x14ac:dyDescent="0.25">
      <c r="B154" s="402" t="s">
        <v>149</v>
      </c>
      <c r="C154" s="347"/>
      <c r="D154" s="409"/>
      <c r="G154" s="226"/>
    </row>
    <row r="155" spans="2:7" x14ac:dyDescent="0.25">
      <c r="B155" s="229" t="s">
        <v>151</v>
      </c>
      <c r="C155" s="390">
        <f>'Model Scenario - Step 4'!C185</f>
        <v>7212704.4000000004</v>
      </c>
      <c r="D155" s="398">
        <f>'Model Scenario - Step 4'!G185</f>
        <v>0</v>
      </c>
      <c r="F155" s="424">
        <f>C155*D155</f>
        <v>0</v>
      </c>
      <c r="G155" s="226"/>
    </row>
    <row r="156" spans="2:7" x14ac:dyDescent="0.25">
      <c r="B156" s="229" t="s">
        <v>153</v>
      </c>
      <c r="C156" s="390">
        <f>'Model Scenario - Step 4'!C186</f>
        <v>21419546.400000002</v>
      </c>
      <c r="D156" s="398">
        <f>'Model Scenario - Step 4'!G186</f>
        <v>0</v>
      </c>
      <c r="F156" s="424">
        <f t="shared" ref="F156:F158" si="25">C156*D156</f>
        <v>0</v>
      </c>
      <c r="G156" s="226"/>
    </row>
    <row r="157" spans="2:7" x14ac:dyDescent="0.25">
      <c r="B157" s="402" t="s">
        <v>154</v>
      </c>
      <c r="C157" s="390">
        <f>'Model Scenario - Step 4'!C187</f>
        <v>44587627.200000003</v>
      </c>
      <c r="D157" s="398">
        <f>'Model Scenario - Step 4'!G187</f>
        <v>0</v>
      </c>
      <c r="F157" s="424">
        <f t="shared" si="25"/>
        <v>0</v>
      </c>
      <c r="G157" s="227"/>
    </row>
    <row r="158" spans="2:7" x14ac:dyDescent="0.25">
      <c r="B158" s="402" t="s">
        <v>155</v>
      </c>
      <c r="C158" s="390">
        <f>'Model Scenario - Step 4'!C188</f>
        <v>546417</v>
      </c>
      <c r="D158" s="398">
        <f>'Model Scenario - Step 4'!G188</f>
        <v>0</v>
      </c>
      <c r="F158" s="424">
        <f t="shared" si="25"/>
        <v>0</v>
      </c>
    </row>
    <row r="159" spans="2:7" ht="15.75" x14ac:dyDescent="0.25">
      <c r="B159" s="404" t="s">
        <v>157</v>
      </c>
      <c r="C159" s="328"/>
      <c r="D159" s="410"/>
    </row>
    <row r="160" spans="2:7" x14ac:dyDescent="0.25">
      <c r="B160" s="402" t="s">
        <v>158</v>
      </c>
      <c r="C160" s="428">
        <f>'Model Scenario - Step 4'!C191</f>
        <v>3059935.2</v>
      </c>
      <c r="D160" s="429">
        <f>'Model Scenario - Step 4'!G191</f>
        <v>0</v>
      </c>
      <c r="F160" s="424">
        <f>C160*D160</f>
        <v>0</v>
      </c>
    </row>
    <row r="161" spans="2:7" x14ac:dyDescent="0.25">
      <c r="B161" s="379" t="s">
        <v>159</v>
      </c>
      <c r="C161" s="428">
        <f>'Model Scenario - Step 4'!C192</f>
        <v>1420684.2</v>
      </c>
      <c r="D161" s="429">
        <f>'Model Scenario - Step 4'!G192</f>
        <v>0</v>
      </c>
      <c r="F161" s="424">
        <f>C161*D161</f>
        <v>0</v>
      </c>
    </row>
    <row r="162" spans="2:7" x14ac:dyDescent="0.25">
      <c r="B162" s="403"/>
      <c r="C162" s="349"/>
      <c r="D162" s="409"/>
    </row>
    <row r="163" spans="2:7" x14ac:dyDescent="0.25">
      <c r="B163" s="379" t="s">
        <v>160</v>
      </c>
      <c r="C163" s="1">
        <f>'Model Scenario - Step 4'!C194</f>
        <v>546417</v>
      </c>
      <c r="D163" s="398">
        <f>'Model Scenario - Step 4'!G194</f>
        <v>0</v>
      </c>
      <c r="F163">
        <f>C163*D163</f>
        <v>0</v>
      </c>
    </row>
    <row r="164" spans="2:7" x14ac:dyDescent="0.25">
      <c r="B164" s="379" t="s">
        <v>162</v>
      </c>
      <c r="C164" s="1">
        <f>'Model Scenario - Step 4'!C195</f>
        <v>22949514</v>
      </c>
      <c r="D164" s="398">
        <f>'Model Scenario - Step 4'!G195</f>
        <v>0</v>
      </c>
      <c r="F164">
        <f t="shared" ref="F164:F165" si="26">C164*D164</f>
        <v>0</v>
      </c>
    </row>
    <row r="165" spans="2:7" x14ac:dyDescent="0.25">
      <c r="B165" s="403" t="s">
        <v>241</v>
      </c>
      <c r="C165" s="1">
        <f>'Model Scenario - Step 4'!C196</f>
        <v>5245603.2</v>
      </c>
      <c r="D165" s="398">
        <f>'Model Scenario - Step 4'!G196</f>
        <v>0</v>
      </c>
      <c r="F165">
        <f t="shared" si="26"/>
        <v>0</v>
      </c>
      <c r="G165" s="199"/>
    </row>
    <row r="166" spans="2:7" x14ac:dyDescent="0.25">
      <c r="B166" s="430" t="s">
        <v>337</v>
      </c>
      <c r="G166" s="199"/>
    </row>
    <row r="167" spans="2:7" x14ac:dyDescent="0.25">
      <c r="B167" s="430" t="s">
        <v>338</v>
      </c>
      <c r="C167">
        <f>'Model Scenario - Step 4'!C198</f>
        <v>214195.46400000004</v>
      </c>
      <c r="D167" s="214">
        <f>'Model Scenario - Step 4'!G198</f>
        <v>0</v>
      </c>
      <c r="F167">
        <f>C167*D167</f>
        <v>0</v>
      </c>
    </row>
    <row r="168" spans="2:7" x14ac:dyDescent="0.25">
      <c r="B168" s="402"/>
      <c r="C168" s="328"/>
      <c r="D168" s="410"/>
    </row>
    <row r="169" spans="2:7" x14ac:dyDescent="0.25">
      <c r="C169" t="s">
        <v>523</v>
      </c>
      <c r="F169">
        <f>SUM(F153:F168)</f>
        <v>0</v>
      </c>
    </row>
    <row r="172" spans="2:7" x14ac:dyDescent="0.25">
      <c r="B172" t="s">
        <v>524</v>
      </c>
    </row>
    <row r="173" spans="2:7" x14ac:dyDescent="0.25">
      <c r="B173" t="s">
        <v>525</v>
      </c>
    </row>
    <row r="174" spans="2:7" x14ac:dyDescent="0.25">
      <c r="B174" t="s">
        <v>383</v>
      </c>
    </row>
    <row r="177" spans="2:9" x14ac:dyDescent="0.25">
      <c r="B177" t="s">
        <v>526</v>
      </c>
      <c r="C177" t="str">
        <f>nothing</f>
        <v>United States</v>
      </c>
    </row>
    <row r="178" spans="2:9" x14ac:dyDescent="0.25">
      <c r="B178" t="s">
        <v>527</v>
      </c>
      <c r="C178" s="446">
        <f>VLOOKUP(C177,C180:D219,2,FALSE)</f>
        <v>6.4666666666666678E-2</v>
      </c>
      <c r="G178" t="s">
        <v>528</v>
      </c>
    </row>
    <row r="179" spans="2:9" x14ac:dyDescent="0.25">
      <c r="B179" t="s">
        <v>529</v>
      </c>
    </row>
    <row r="180" spans="2:9" ht="15.75" x14ac:dyDescent="0.25">
      <c r="C180" t="s">
        <v>530</v>
      </c>
      <c r="D180" s="446">
        <f>AVERAGE(D181:D210)</f>
        <v>6.4666666666666678E-2</v>
      </c>
      <c r="E180" t="s">
        <v>531</v>
      </c>
      <c r="G180" s="39" t="s">
        <v>170</v>
      </c>
      <c r="H180" s="40"/>
      <c r="I180" s="40"/>
    </row>
    <row r="181" spans="2:9" x14ac:dyDescent="0.25">
      <c r="C181" t="s">
        <v>532</v>
      </c>
      <c r="D181" s="446">
        <v>9.2200000000000004E-2</v>
      </c>
      <c r="G181" s="78" t="s">
        <v>172</v>
      </c>
      <c r="H181" s="315" t="s">
        <v>97</v>
      </c>
      <c r="I181" s="247">
        <v>0.7</v>
      </c>
    </row>
    <row r="182" spans="2:9" x14ac:dyDescent="0.25">
      <c r="C182" t="s">
        <v>533</v>
      </c>
      <c r="D182" s="446">
        <v>8.6599999999999996E-2</v>
      </c>
      <c r="G182" s="78" t="s">
        <v>174</v>
      </c>
      <c r="H182" s="315" t="s">
        <v>97</v>
      </c>
      <c r="I182" s="247">
        <v>0.05</v>
      </c>
    </row>
    <row r="183" spans="2:9" x14ac:dyDescent="0.25">
      <c r="C183" t="s">
        <v>534</v>
      </c>
      <c r="D183" s="446">
        <v>6.3500000000000001E-2</v>
      </c>
      <c r="G183" s="78" t="s">
        <v>176</v>
      </c>
      <c r="H183" s="315" t="s">
        <v>177</v>
      </c>
      <c r="I183" s="316">
        <v>15</v>
      </c>
    </row>
    <row r="184" spans="2:9" x14ac:dyDescent="0.25">
      <c r="C184" t="s">
        <v>535</v>
      </c>
      <c r="D184" s="446">
        <v>0</v>
      </c>
      <c r="G184" s="78" t="s">
        <v>179</v>
      </c>
      <c r="H184" s="315" t="s">
        <v>97</v>
      </c>
      <c r="I184" s="247">
        <v>0.03</v>
      </c>
    </row>
    <row r="185" spans="2:9" ht="15.75" x14ac:dyDescent="0.25">
      <c r="C185" t="s">
        <v>536</v>
      </c>
      <c r="D185" s="446">
        <v>7.0499999999999993E-2</v>
      </c>
      <c r="G185" s="39" t="s">
        <v>181</v>
      </c>
      <c r="H185" s="40"/>
      <c r="I185" s="318"/>
    </row>
    <row r="186" spans="2:9" x14ac:dyDescent="0.25">
      <c r="C186" t="s">
        <v>537</v>
      </c>
      <c r="D186" s="446">
        <v>7.3099999999999998E-2</v>
      </c>
      <c r="G186" s="78" t="s">
        <v>183</v>
      </c>
      <c r="H186" s="315" t="s">
        <v>97</v>
      </c>
      <c r="I186" s="247">
        <v>0.3</v>
      </c>
    </row>
    <row r="187" spans="2:9" x14ac:dyDescent="0.25">
      <c r="C187" t="s">
        <v>538</v>
      </c>
      <c r="D187" s="446">
        <v>4.4400000000000002E-2</v>
      </c>
      <c r="G187" s="78" t="s">
        <v>185</v>
      </c>
      <c r="H187" s="315" t="s">
        <v>97</v>
      </c>
      <c r="I187" s="247">
        <v>0.1</v>
      </c>
    </row>
    <row r="188" spans="2:9" x14ac:dyDescent="0.25">
      <c r="C188" t="s">
        <v>539</v>
      </c>
      <c r="D188" s="446">
        <v>9.0800000000000006E-2</v>
      </c>
      <c r="G188" s="78" t="s">
        <v>187</v>
      </c>
      <c r="H188" s="315" t="s">
        <v>177</v>
      </c>
      <c r="I188" s="319">
        <v>5</v>
      </c>
    </row>
    <row r="189" spans="2:9" x14ac:dyDescent="0.25">
      <c r="C189" t="s">
        <v>540</v>
      </c>
      <c r="D189" s="446">
        <v>7.0000000000000007E-2</v>
      </c>
      <c r="G189" s="78" t="s">
        <v>189</v>
      </c>
      <c r="H189" s="315" t="s">
        <v>97</v>
      </c>
      <c r="I189" s="447">
        <v>0.5</v>
      </c>
    </row>
    <row r="190" spans="2:9" x14ac:dyDescent="0.25">
      <c r="C190" t="s">
        <v>541</v>
      </c>
      <c r="D190" s="446">
        <v>9.5200000000000007E-2</v>
      </c>
      <c r="G190" s="78" t="s">
        <v>191</v>
      </c>
      <c r="H190" s="315" t="s">
        <v>97</v>
      </c>
      <c r="I190" s="449">
        <f>100%-I189</f>
        <v>0.5</v>
      </c>
    </row>
    <row r="191" spans="2:9" ht="15.75" x14ac:dyDescent="0.25">
      <c r="C191" t="s">
        <v>542</v>
      </c>
      <c r="D191" s="446">
        <v>5.5E-2</v>
      </c>
      <c r="G191" s="39" t="s">
        <v>193</v>
      </c>
      <c r="H191" s="40"/>
      <c r="I191" s="43"/>
    </row>
    <row r="192" spans="2:9" x14ac:dyDescent="0.25">
      <c r="C192" t="s">
        <v>543</v>
      </c>
      <c r="D192" s="446">
        <v>0.06</v>
      </c>
      <c r="G192" s="78" t="s">
        <v>195</v>
      </c>
      <c r="H192" s="315" t="s">
        <v>97</v>
      </c>
      <c r="I192" s="448"/>
    </row>
    <row r="193" spans="3:9" x14ac:dyDescent="0.25">
      <c r="C193" t="s">
        <v>544</v>
      </c>
      <c r="D193" s="446">
        <v>6.25E-2</v>
      </c>
      <c r="G193" s="84" t="s">
        <v>197</v>
      </c>
      <c r="H193" s="323" t="s">
        <v>97</v>
      </c>
      <c r="I193" s="448"/>
    </row>
    <row r="194" spans="3:9" ht="15.75" x14ac:dyDescent="0.25">
      <c r="C194" t="s">
        <v>545</v>
      </c>
      <c r="D194" s="446">
        <v>0.06</v>
      </c>
      <c r="G194" s="39" t="s">
        <v>343</v>
      </c>
      <c r="H194" s="40"/>
      <c r="I194" s="43"/>
    </row>
    <row r="195" spans="3:9" x14ac:dyDescent="0.25">
      <c r="C195" t="s">
        <v>546</v>
      </c>
      <c r="D195" s="446">
        <v>7.46E-2</v>
      </c>
      <c r="G195" s="443" t="s">
        <v>547</v>
      </c>
      <c r="H195" s="444" t="s">
        <v>548</v>
      </c>
      <c r="I195" s="445">
        <v>0</v>
      </c>
    </row>
    <row r="196" spans="3:9" x14ac:dyDescent="0.25">
      <c r="C196" t="s">
        <v>549</v>
      </c>
      <c r="D196" s="446">
        <v>7.0699999999999999E-2</v>
      </c>
    </row>
    <row r="197" spans="3:9" x14ac:dyDescent="0.25">
      <c r="C197" t="s">
        <v>550</v>
      </c>
      <c r="D197" s="446">
        <v>0</v>
      </c>
    </row>
    <row r="198" spans="3:9" x14ac:dyDescent="0.25">
      <c r="C198" t="s">
        <v>551</v>
      </c>
      <c r="D198" s="446">
        <v>6.6000000000000003E-2</v>
      </c>
    </row>
    <row r="199" spans="3:9" x14ac:dyDescent="0.25">
      <c r="C199" t="s">
        <v>21</v>
      </c>
      <c r="D199" s="446">
        <v>8.5199999999999998E-2</v>
      </c>
    </row>
    <row r="200" spans="3:9" x14ac:dyDescent="0.25">
      <c r="C200" t="s">
        <v>552</v>
      </c>
      <c r="D200" s="446">
        <v>8.5199999999999998E-2</v>
      </c>
    </row>
    <row r="201" spans="3:9" x14ac:dyDescent="0.25">
      <c r="C201" t="s">
        <v>553</v>
      </c>
      <c r="D201" s="446">
        <v>6.9699999999999998E-2</v>
      </c>
    </row>
    <row r="202" spans="3:9" x14ac:dyDescent="0.25">
      <c r="C202" t="s">
        <v>554</v>
      </c>
      <c r="D202" s="446">
        <v>7.17E-2</v>
      </c>
    </row>
    <row r="203" spans="3:9" x14ac:dyDescent="0.25">
      <c r="C203" t="s">
        <v>555</v>
      </c>
      <c r="D203" s="446">
        <v>0</v>
      </c>
    </row>
    <row r="204" spans="3:9" x14ac:dyDescent="0.25">
      <c r="C204" t="s">
        <v>556</v>
      </c>
      <c r="D204" s="446">
        <v>6.3399999999999998E-2</v>
      </c>
    </row>
    <row r="205" spans="3:9" x14ac:dyDescent="0.25">
      <c r="C205" t="s">
        <v>557</v>
      </c>
      <c r="D205" s="446">
        <v>7.0000000000000007E-2</v>
      </c>
    </row>
    <row r="206" spans="3:9" x14ac:dyDescent="0.25">
      <c r="C206" t="s">
        <v>558</v>
      </c>
      <c r="D206" s="446">
        <v>7.46E-2</v>
      </c>
    </row>
    <row r="207" spans="3:9" x14ac:dyDescent="0.25">
      <c r="C207" t="s">
        <v>559</v>
      </c>
      <c r="D207" s="446">
        <v>8.1900000000000001E-2</v>
      </c>
    </row>
    <row r="208" spans="3:9" x14ac:dyDescent="0.25">
      <c r="C208" t="s">
        <v>560</v>
      </c>
      <c r="D208" s="446">
        <v>5.6500000000000002E-2</v>
      </c>
    </row>
    <row r="209" spans="3:4" x14ac:dyDescent="0.25">
      <c r="C209" t="s">
        <v>561</v>
      </c>
      <c r="D209" s="446">
        <v>9.2100000000000001E-2</v>
      </c>
    </row>
    <row r="210" spans="3:4" x14ac:dyDescent="0.25">
      <c r="C210" t="s">
        <v>562</v>
      </c>
      <c r="D210" s="446">
        <v>5.4600000000000003E-2</v>
      </c>
    </row>
    <row r="211" spans="3:4" x14ac:dyDescent="0.25">
      <c r="C211" t="s">
        <v>563</v>
      </c>
      <c r="D211" s="446">
        <f>(D191+D197+D193+D205+D183+D184+D192+D208+D201+D206+D186)/11</f>
        <v>5.3172727272727267E-2</v>
      </c>
    </row>
    <row r="212" spans="3:4" x14ac:dyDescent="0.25">
      <c r="C212" t="s">
        <v>564</v>
      </c>
      <c r="D212" s="446">
        <f>(D197+D193+D191)/3</f>
        <v>3.9166666666666662E-2</v>
      </c>
    </row>
    <row r="213" spans="3:4" x14ac:dyDescent="0.25">
      <c r="C213" t="s">
        <v>565</v>
      </c>
      <c r="D213" s="446">
        <f>(D193+D205+D183+D199)/4</f>
        <v>7.0300000000000001E-2</v>
      </c>
    </row>
    <row r="214" spans="3:4" x14ac:dyDescent="0.25">
      <c r="C214" t="s">
        <v>566</v>
      </c>
      <c r="D214" s="446">
        <f>(D198+D184+D192+D199)/4</f>
        <v>5.28E-2</v>
      </c>
    </row>
    <row r="215" spans="3:4" x14ac:dyDescent="0.25">
      <c r="C215" t="s">
        <v>567</v>
      </c>
      <c r="D215" s="446">
        <f>(D208+D201+D206+D186)/4</f>
        <v>6.8475000000000008E-2</v>
      </c>
    </row>
    <row r="216" spans="3:4" x14ac:dyDescent="0.25">
      <c r="C216" t="s">
        <v>568</v>
      </c>
      <c r="D216" s="446">
        <f>(D207+D190+D181+D185+D196)/5</f>
        <v>8.2099999999999992E-2</v>
      </c>
    </row>
    <row r="217" spans="3:4" x14ac:dyDescent="0.25">
      <c r="C217" t="s">
        <v>569</v>
      </c>
      <c r="D217" s="446">
        <f>(D188+D189+D194+D195+D202+D210+D200+D204)/8</f>
        <v>7.128749999999999E-2</v>
      </c>
    </row>
    <row r="218" spans="3:4" x14ac:dyDescent="0.25">
      <c r="C218" t="s">
        <v>570</v>
      </c>
      <c r="D218" s="446">
        <f>(D203+D182+D209)/3</f>
        <v>5.9566666666666664E-2</v>
      </c>
    </row>
    <row r="219" spans="3:4" x14ac:dyDescent="0.25">
      <c r="C219" t="s">
        <v>571</v>
      </c>
      <c r="D219" s="446">
        <f>'User Add-In Location'!C13</f>
        <v>0</v>
      </c>
    </row>
  </sheetData>
  <sheetProtection algorithmName="SHA-512" hashValue="WHlE8HoGyyCkQQFXli9MSKs1qAxq4u15J5+nDxzja4Z6gJEwJ0eRkM9JljL/XqXEiyrh5IzBmRvhrSBjG2J9PA==" saltValue="GHFX8vzX3mtWN3QRSyifqg==" spinCount="100000" sheet="1" objects="1" scenarios="1"/>
  <mergeCells count="3">
    <mergeCell ref="B5:J5"/>
    <mergeCell ref="B8:J8"/>
    <mergeCell ref="B11:J11"/>
  </mergeCells>
  <conditionalFormatting sqref="B81:B83">
    <cfRule type="expression" dxfId="2" priority="9">
      <formula>#REF!="Simple"</formula>
    </cfRule>
  </conditionalFormatting>
  <conditionalFormatting sqref="D133 D84:D87 D89:D90 C143:D143 C115:D115 C145:D145 D75:D80 C76:D85 C86:C94 C108:C113 C116:C121 D115:D121 D92:D95 C95:D105 C123:D130 D136:D140 D142:D144">
    <cfRule type="expression" dxfId="1" priority="8">
      <formula>#REF!="Simple"</formula>
    </cfRule>
  </conditionalFormatting>
  <conditionalFormatting sqref="C106:C107">
    <cfRule type="expression" dxfId="0" priority="7">
      <formula>#REF!="Simple"</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51B50-20B7-9245-A868-C8433FDFCFB3}">
  <sheetPr codeName="Sheet20"/>
  <dimension ref="A2:DB229"/>
  <sheetViews>
    <sheetView workbookViewId="0">
      <selection activeCell="E87" sqref="E87"/>
    </sheetView>
  </sheetViews>
  <sheetFormatPr defaultColWidth="11.42578125" defaultRowHeight="15" x14ac:dyDescent="0.25"/>
  <cols>
    <col min="3" max="3" width="25.140625" customWidth="1"/>
    <col min="4" max="4" width="20.28515625" bestFit="1" customWidth="1"/>
    <col min="5" max="5" width="14.7109375" bestFit="1" customWidth="1"/>
    <col min="6" max="7" width="12.140625" bestFit="1" customWidth="1"/>
    <col min="8" max="8" width="14.85546875" bestFit="1" customWidth="1"/>
    <col min="9" max="9" width="11.7109375" bestFit="1" customWidth="1"/>
    <col min="10" max="10" width="13.7109375" bestFit="1" customWidth="1"/>
    <col min="11" max="11" width="14.7109375" bestFit="1" customWidth="1"/>
    <col min="14" max="14" width="13.7109375" bestFit="1" customWidth="1"/>
    <col min="15" max="16" width="12.7109375" bestFit="1" customWidth="1"/>
  </cols>
  <sheetData>
    <row r="2" spans="3:97" x14ac:dyDescent="0.25">
      <c r="C2" t="s">
        <v>572</v>
      </c>
      <c r="D2">
        <v>2019</v>
      </c>
      <c r="F2" t="s">
        <v>573</v>
      </c>
    </row>
    <row r="3" spans="3:97" x14ac:dyDescent="0.25">
      <c r="C3" t="s">
        <v>574</v>
      </c>
      <c r="D3">
        <f>IF('Project Data - Step 1'!D22="Default",2019,'Project Data - Step 1'!D22)</f>
        <v>2022</v>
      </c>
    </row>
    <row r="4" spans="3:97" x14ac:dyDescent="0.25">
      <c r="T4" t="s">
        <v>575</v>
      </c>
    </row>
    <row r="5" spans="3:97" x14ac:dyDescent="0.25">
      <c r="M5" t="s">
        <v>575</v>
      </c>
      <c r="O5" t="s">
        <v>575</v>
      </c>
    </row>
    <row r="6" spans="3:97" x14ac:dyDescent="0.25">
      <c r="C6" s="54" t="s">
        <v>576</v>
      </c>
      <c r="D6" s="412" t="s">
        <v>367</v>
      </c>
      <c r="E6" s="413"/>
      <c r="F6" s="413"/>
      <c r="G6" s="413"/>
      <c r="H6" s="413"/>
      <c r="I6" s="413"/>
      <c r="J6" s="413"/>
      <c r="K6" s="413"/>
      <c r="L6" s="413"/>
      <c r="M6" s="413"/>
      <c r="N6" s="413"/>
      <c r="O6" s="413"/>
      <c r="P6" s="413"/>
      <c r="Q6" s="413"/>
      <c r="R6" s="413"/>
      <c r="S6" s="416" t="s">
        <v>577</v>
      </c>
      <c r="U6" s="412" t="s">
        <v>152</v>
      </c>
      <c r="V6" s="413"/>
      <c r="W6" s="413"/>
      <c r="X6" s="413"/>
      <c r="Y6" s="413"/>
      <c r="Z6" s="413"/>
      <c r="AA6" s="413"/>
      <c r="AB6" s="413"/>
      <c r="AC6" s="413"/>
      <c r="AD6" s="413"/>
      <c r="AE6" s="413"/>
      <c r="AF6" s="413"/>
      <c r="AG6" s="413"/>
      <c r="AH6" s="413"/>
      <c r="AI6" s="413"/>
      <c r="AJ6" s="413"/>
      <c r="AK6" s="413"/>
      <c r="AL6" s="413"/>
      <c r="AM6" s="413"/>
      <c r="AN6" s="413"/>
      <c r="AO6" s="413"/>
      <c r="AP6" s="416" t="s">
        <v>306</v>
      </c>
      <c r="AR6" s="412" t="s">
        <v>156</v>
      </c>
      <c r="AS6" s="413"/>
      <c r="AT6" s="413"/>
      <c r="AU6" s="413"/>
      <c r="AV6" s="413"/>
      <c r="AW6" s="413"/>
      <c r="AX6" s="413"/>
      <c r="AY6" s="413"/>
      <c r="AZ6" s="413"/>
      <c r="BA6" s="413"/>
      <c r="BB6" s="413"/>
      <c r="BC6" s="414"/>
      <c r="BD6" s="416" t="s">
        <v>314</v>
      </c>
      <c r="BH6" s="54" t="s">
        <v>578</v>
      </c>
      <c r="BU6" s="54" t="s">
        <v>152</v>
      </c>
      <c r="CH6" s="54" t="s">
        <v>156</v>
      </c>
    </row>
    <row r="7" spans="3:97" x14ac:dyDescent="0.25">
      <c r="D7" s="415" t="s">
        <v>270</v>
      </c>
      <c r="E7" s="264" t="s">
        <v>271</v>
      </c>
      <c r="F7" s="264" t="s">
        <v>272</v>
      </c>
      <c r="G7" s="264" t="s">
        <v>273</v>
      </c>
      <c r="H7" s="264" t="s">
        <v>274</v>
      </c>
      <c r="I7" s="264" t="s">
        <v>275</v>
      </c>
      <c r="J7" s="264" t="s">
        <v>276</v>
      </c>
      <c r="K7" s="264" t="s">
        <v>277</v>
      </c>
      <c r="L7" s="264" t="s">
        <v>278</v>
      </c>
      <c r="M7" s="264" t="s">
        <v>279</v>
      </c>
      <c r="N7" s="264" t="s">
        <v>280</v>
      </c>
      <c r="O7" s="264" t="s">
        <v>281</v>
      </c>
      <c r="P7" s="264" t="s">
        <v>282</v>
      </c>
      <c r="Q7" s="264" t="s">
        <v>283</v>
      </c>
      <c r="R7" s="264" t="s">
        <v>284</v>
      </c>
      <c r="S7" s="417" t="s">
        <v>577</v>
      </c>
      <c r="U7" s="415" t="s">
        <v>287</v>
      </c>
      <c r="V7" s="264" t="s">
        <v>579</v>
      </c>
      <c r="W7" s="264" t="s">
        <v>289</v>
      </c>
      <c r="X7" s="264" t="s">
        <v>290</v>
      </c>
      <c r="Y7" s="264" t="s">
        <v>291</v>
      </c>
      <c r="Z7" s="264" t="s">
        <v>292</v>
      </c>
      <c r="AA7" s="264" t="s">
        <v>293</v>
      </c>
      <c r="AB7" s="264" t="s">
        <v>294</v>
      </c>
      <c r="AC7" s="264" t="s">
        <v>295</v>
      </c>
      <c r="AD7" s="264" t="s">
        <v>296</v>
      </c>
      <c r="AE7" s="264" t="s">
        <v>297</v>
      </c>
      <c r="AF7" s="264" t="s">
        <v>298</v>
      </c>
      <c r="AG7" s="264" t="s">
        <v>299</v>
      </c>
      <c r="AH7" s="264" t="s">
        <v>300</v>
      </c>
      <c r="AI7" s="264" t="s">
        <v>198</v>
      </c>
      <c r="AJ7" s="264" t="s">
        <v>301</v>
      </c>
      <c r="AK7" s="264" t="s">
        <v>302</v>
      </c>
      <c r="AL7" s="264" t="s">
        <v>303</v>
      </c>
      <c r="AM7" s="264" t="s">
        <v>304</v>
      </c>
      <c r="AN7" s="264" t="s">
        <v>305</v>
      </c>
      <c r="AO7" s="264" t="s">
        <v>492</v>
      </c>
      <c r="AP7" s="417" t="s">
        <v>306</v>
      </c>
      <c r="AR7" s="415" t="s">
        <v>308</v>
      </c>
      <c r="AS7" s="264" t="s">
        <v>309</v>
      </c>
      <c r="AT7" s="264" t="s">
        <v>310</v>
      </c>
      <c r="AU7" s="264" t="s">
        <v>311</v>
      </c>
      <c r="AV7" s="264" t="s">
        <v>312</v>
      </c>
      <c r="AW7" s="264" t="s">
        <v>313</v>
      </c>
      <c r="AX7" s="264" t="s">
        <v>198</v>
      </c>
      <c r="AY7" s="264" t="s">
        <v>301</v>
      </c>
      <c r="AZ7" s="264" t="s">
        <v>302</v>
      </c>
      <c r="BA7" s="264" t="s">
        <v>303</v>
      </c>
      <c r="BB7" s="264" t="s">
        <v>304</v>
      </c>
      <c r="BC7" s="276" t="s">
        <v>305</v>
      </c>
      <c r="BD7" s="417" t="s">
        <v>314</v>
      </c>
      <c r="BH7" t="s">
        <v>357</v>
      </c>
      <c r="BK7" t="s">
        <v>499</v>
      </c>
      <c r="BN7" t="s">
        <v>359</v>
      </c>
      <c r="BQ7" t="s">
        <v>580</v>
      </c>
      <c r="BU7" t="s">
        <v>357</v>
      </c>
      <c r="BX7" t="s">
        <v>499</v>
      </c>
      <c r="CA7" t="s">
        <v>359</v>
      </c>
      <c r="CD7" t="s">
        <v>580</v>
      </c>
      <c r="CH7" t="s">
        <v>357</v>
      </c>
      <c r="CK7" t="s">
        <v>499</v>
      </c>
      <c r="CN7" t="s">
        <v>359</v>
      </c>
      <c r="CQ7" t="s">
        <v>580</v>
      </c>
    </row>
    <row r="8" spans="3:97" x14ac:dyDescent="0.25">
      <c r="C8" t="s">
        <v>375</v>
      </c>
      <c r="D8" s="268">
        <f t="array" ref="D8:R8">TRANSPOSE('General-Calculations'!F19:F33)</f>
        <v>0</v>
      </c>
      <c r="E8" s="263">
        <v>0</v>
      </c>
      <c r="F8" s="263">
        <v>0</v>
      </c>
      <c r="G8" s="263">
        <v>0</v>
      </c>
      <c r="H8" s="263">
        <v>0</v>
      </c>
      <c r="I8" s="263">
        <v>0</v>
      </c>
      <c r="J8" s="263">
        <v>0</v>
      </c>
      <c r="K8" s="263">
        <v>0</v>
      </c>
      <c r="L8" s="263">
        <v>0</v>
      </c>
      <c r="M8" s="263">
        <v>0</v>
      </c>
      <c r="N8" s="263">
        <v>0</v>
      </c>
      <c r="O8" s="263">
        <v>0</v>
      </c>
      <c r="P8" s="263">
        <v>0</v>
      </c>
      <c r="Q8" s="263">
        <v>0</v>
      </c>
      <c r="R8" s="263">
        <v>0</v>
      </c>
      <c r="S8" s="231"/>
      <c r="U8" s="268">
        <f t="array" ref="U8:AO8">TRANSPOSE('General-Calculations'!F36:F56)</f>
        <v>0</v>
      </c>
      <c r="V8" s="263">
        <v>0</v>
      </c>
      <c r="W8" s="263">
        <v>0</v>
      </c>
      <c r="X8" s="263">
        <v>0</v>
      </c>
      <c r="Y8" s="263">
        <v>0</v>
      </c>
      <c r="Z8" s="263">
        <v>0</v>
      </c>
      <c r="AA8" s="263">
        <v>0</v>
      </c>
      <c r="AB8" s="263">
        <v>0</v>
      </c>
      <c r="AC8" s="263">
        <v>0</v>
      </c>
      <c r="AD8" s="263">
        <v>0</v>
      </c>
      <c r="AE8" s="263">
        <v>0</v>
      </c>
      <c r="AF8" s="263">
        <v>0</v>
      </c>
      <c r="AG8" s="263">
        <v>0</v>
      </c>
      <c r="AH8" s="263">
        <v>0</v>
      </c>
      <c r="AI8" s="263">
        <v>0</v>
      </c>
      <c r="AJ8" s="263">
        <v>0</v>
      </c>
      <c r="AK8" s="263">
        <v>0</v>
      </c>
      <c r="AL8" s="263">
        <v>0</v>
      </c>
      <c r="AM8" s="263">
        <v>0</v>
      </c>
      <c r="AN8" s="263">
        <v>0</v>
      </c>
      <c r="AO8" s="263">
        <v>0</v>
      </c>
      <c r="AP8" s="231"/>
      <c r="AR8" s="268">
        <f t="array" ref="AR8:BC8">TRANSPOSE('General-Calculations'!F59:F71)</f>
        <v>0</v>
      </c>
      <c r="AS8" s="263">
        <v>0</v>
      </c>
      <c r="AT8" s="263">
        <v>0</v>
      </c>
      <c r="AU8" s="263">
        <v>0</v>
      </c>
      <c r="AV8" s="263">
        <v>0</v>
      </c>
      <c r="AW8" s="263">
        <v>0</v>
      </c>
      <c r="AX8" s="263">
        <v>0</v>
      </c>
      <c r="AY8" s="263">
        <v>0</v>
      </c>
      <c r="AZ8" s="263">
        <v>0</v>
      </c>
      <c r="BA8" s="263">
        <v>0</v>
      </c>
      <c r="BB8" s="263">
        <v>0</v>
      </c>
      <c r="BC8" s="277">
        <v>0</v>
      </c>
      <c r="BD8" s="231"/>
      <c r="BG8" t="s">
        <v>375</v>
      </c>
      <c r="BH8" t="s">
        <v>581</v>
      </c>
      <c r="BI8" t="s">
        <v>582</v>
      </c>
      <c r="BJ8" t="s">
        <v>374</v>
      </c>
      <c r="BK8" t="s">
        <v>581</v>
      </c>
      <c r="BL8" t="s">
        <v>582</v>
      </c>
      <c r="BM8" t="s">
        <v>374</v>
      </c>
      <c r="BN8" t="s">
        <v>581</v>
      </c>
      <c r="BO8" t="s">
        <v>582</v>
      </c>
      <c r="BP8" t="s">
        <v>374</v>
      </c>
      <c r="BQ8" t="s">
        <v>581</v>
      </c>
      <c r="BR8" t="s">
        <v>582</v>
      </c>
      <c r="BS8" t="s">
        <v>374</v>
      </c>
      <c r="BU8" t="s">
        <v>581</v>
      </c>
      <c r="BV8" t="s">
        <v>582</v>
      </c>
      <c r="BW8" t="s">
        <v>374</v>
      </c>
      <c r="BX8" t="s">
        <v>581</v>
      </c>
      <c r="BY8" t="s">
        <v>582</v>
      </c>
      <c r="BZ8" t="s">
        <v>374</v>
      </c>
      <c r="CA8" t="s">
        <v>581</v>
      </c>
      <c r="CB8" t="s">
        <v>582</v>
      </c>
      <c r="CC8" t="s">
        <v>374</v>
      </c>
      <c r="CD8" t="s">
        <v>581</v>
      </c>
      <c r="CE8" t="s">
        <v>582</v>
      </c>
      <c r="CF8" t="s">
        <v>374</v>
      </c>
      <c r="CH8" t="s">
        <v>581</v>
      </c>
      <c r="CI8" t="s">
        <v>582</v>
      </c>
      <c r="CJ8" t="s">
        <v>374</v>
      </c>
      <c r="CK8" t="s">
        <v>581</v>
      </c>
      <c r="CL8" t="s">
        <v>582</v>
      </c>
      <c r="CM8" t="s">
        <v>374</v>
      </c>
      <c r="CN8" t="s">
        <v>581</v>
      </c>
      <c r="CO8" t="s">
        <v>582</v>
      </c>
      <c r="CP8" t="s">
        <v>374</v>
      </c>
      <c r="CQ8" t="s">
        <v>581</v>
      </c>
      <c r="CR8" t="s">
        <v>582</v>
      </c>
      <c r="CS8" t="s">
        <v>374</v>
      </c>
    </row>
    <row r="9" spans="3:97" x14ac:dyDescent="0.25">
      <c r="C9" t="s">
        <v>400</v>
      </c>
      <c r="D9">
        <v>0</v>
      </c>
      <c r="E9">
        <v>0</v>
      </c>
      <c r="F9">
        <v>0</v>
      </c>
      <c r="G9">
        <v>0</v>
      </c>
      <c r="H9">
        <v>0</v>
      </c>
      <c r="I9">
        <v>0</v>
      </c>
      <c r="J9">
        <v>0</v>
      </c>
      <c r="K9">
        <v>0</v>
      </c>
      <c r="L9">
        <v>0</v>
      </c>
      <c r="M9">
        <v>0</v>
      </c>
      <c r="N9">
        <v>0</v>
      </c>
      <c r="O9">
        <v>0</v>
      </c>
      <c r="P9">
        <v>0</v>
      </c>
      <c r="Q9">
        <v>0</v>
      </c>
      <c r="R9">
        <v>0</v>
      </c>
      <c r="S9" s="231">
        <f>SUM(D9:R9)</f>
        <v>0</v>
      </c>
      <c r="T9" t="s">
        <v>400</v>
      </c>
      <c r="U9" s="2"/>
      <c r="V9" s="2"/>
      <c r="AN9" s="419"/>
      <c r="AP9" s="231">
        <f>SUM(U9:AO9)</f>
        <v>0</v>
      </c>
      <c r="AQ9" t="s">
        <v>400</v>
      </c>
      <c r="BC9" s="419"/>
      <c r="BD9" s="231">
        <f>SUM(AR9:BC9)</f>
        <v>0</v>
      </c>
      <c r="BG9" t="s">
        <v>400</v>
      </c>
      <c r="BH9">
        <f>cmadjust*$S9*Multipliers!D406/1000000</f>
        <v>0</v>
      </c>
      <c r="BI9">
        <f>cmadjust*$S9*Multipliers!E406/1000000</f>
        <v>0</v>
      </c>
      <c r="BJ9">
        <f>cmadjust*$S9*Multipliers!F406/1000000</f>
        <v>0</v>
      </c>
      <c r="BK9">
        <f>cmadjust*$S9*Multipliers!G406/1000000</f>
        <v>0</v>
      </c>
      <c r="BL9">
        <f>cmadjust*$S9*Multipliers!H406/1000000</f>
        <v>0</v>
      </c>
      <c r="BM9">
        <f>cmadjust*$S9*Multipliers!I406/1000000</f>
        <v>0</v>
      </c>
      <c r="BN9">
        <f>cmadjust*$S9*Multipliers!J406/1000000</f>
        <v>0</v>
      </c>
      <c r="BO9">
        <f>cmadjust*$S9*Multipliers!K406/1000000</f>
        <v>0</v>
      </c>
      <c r="BP9">
        <f>cmadjust*$S9*Multipliers!L406/1000000</f>
        <v>0</v>
      </c>
      <c r="BQ9">
        <f>cmadjust*$S9*Multipliers!M406/1000000</f>
        <v>0</v>
      </c>
      <c r="BR9">
        <f>cmadjust*$S9*Multipliers!N406/1000000</f>
        <v>0</v>
      </c>
      <c r="BS9">
        <f>cmadjust*$S9*Multipliers!O406/1000000</f>
        <v>0</v>
      </c>
      <c r="BU9">
        <f>cmadjust*$AP9*Multipliers!D406/1000000</f>
        <v>0</v>
      </c>
      <c r="BV9">
        <f>cmadjust*$AP9*Multipliers!E406/1000000</f>
        <v>0</v>
      </c>
      <c r="BW9">
        <f>cmadjust*$AP9*Multipliers!F406/1000000</f>
        <v>0</v>
      </c>
      <c r="BX9">
        <f>cmadjust*$AP9*Multipliers!G406/1000000</f>
        <v>0</v>
      </c>
      <c r="BY9">
        <f>cmadjust*$AP9*Multipliers!H406/1000000</f>
        <v>0</v>
      </c>
      <c r="BZ9">
        <f>cmadjust*$AP9*Multipliers!I406/1000000</f>
        <v>0</v>
      </c>
      <c r="CA9">
        <f>cmadjust*$AP9*Multipliers!J406/1000000</f>
        <v>0</v>
      </c>
      <c r="CB9">
        <f>cmadjust*$AP9*Multipliers!K406/1000000</f>
        <v>0</v>
      </c>
      <c r="CC9">
        <f>cmadjust*$AP9*Multipliers!L406/1000000</f>
        <v>0</v>
      </c>
      <c r="CD9">
        <f>cmadjust*$AP9*Multipliers!M406/1000000</f>
        <v>0</v>
      </c>
      <c r="CE9">
        <f>cmadjust*$AP9*Multipliers!N406/1000000</f>
        <v>0</v>
      </c>
      <c r="CF9">
        <f>cmadjust*$AP9*Multipliers!O406/1000000</f>
        <v>0</v>
      </c>
      <c r="CH9">
        <f>cmadjust*$BD9*Multipliers!D406/1000000</f>
        <v>0</v>
      </c>
      <c r="CI9">
        <f>cmadjust*$BD9*Multipliers!E406/1000000</f>
        <v>0</v>
      </c>
      <c r="CJ9">
        <f>cmadjust*$BD9*Multipliers!F406/1000000</f>
        <v>0</v>
      </c>
      <c r="CK9">
        <f>cmadjust*$BD9*Multipliers!G406/1000000</f>
        <v>0</v>
      </c>
      <c r="CL9">
        <f>cmadjust*$BD9*Multipliers!H406/1000000</f>
        <v>0</v>
      </c>
      <c r="CM9">
        <f>cmadjust*$BD9*Multipliers!I406/1000000</f>
        <v>0</v>
      </c>
      <c r="CN9">
        <f>cmadjust*$BD9*Multipliers!J406/1000000</f>
        <v>0</v>
      </c>
      <c r="CO9">
        <f>cmadjust*$BD9*Multipliers!K406/1000000</f>
        <v>0</v>
      </c>
      <c r="CP9">
        <f>cmadjust*$BD9*Multipliers!L406/1000000</f>
        <v>0</v>
      </c>
      <c r="CQ9">
        <f>cmadjust*$BD9*Multipliers!M406/1000000</f>
        <v>0</v>
      </c>
      <c r="CR9">
        <f>cmadjust*$BD9*Multipliers!N406/1000000</f>
        <v>0</v>
      </c>
      <c r="CS9">
        <f>cmadjust*$BD9*Multipliers!O406/1000000</f>
        <v>0</v>
      </c>
    </row>
    <row r="10" spans="3:97" x14ac:dyDescent="0.25">
      <c r="C10" t="s">
        <v>583</v>
      </c>
      <c r="D10">
        <v>0</v>
      </c>
      <c r="E10">
        <v>0</v>
      </c>
      <c r="F10">
        <v>0</v>
      </c>
      <c r="G10">
        <v>0</v>
      </c>
      <c r="H10">
        <v>0</v>
      </c>
      <c r="I10">
        <v>0</v>
      </c>
      <c r="J10">
        <v>0</v>
      </c>
      <c r="K10">
        <v>0</v>
      </c>
      <c r="L10">
        <v>0</v>
      </c>
      <c r="M10">
        <v>0</v>
      </c>
      <c r="N10">
        <v>0</v>
      </c>
      <c r="O10">
        <v>0</v>
      </c>
      <c r="P10">
        <v>0</v>
      </c>
      <c r="Q10">
        <v>0</v>
      </c>
      <c r="R10">
        <v>0</v>
      </c>
      <c r="S10" s="231">
        <f t="shared" ref="S10:S35" si="0">SUM(D10:R10)</f>
        <v>0</v>
      </c>
      <c r="T10" t="s">
        <v>583</v>
      </c>
      <c r="AN10" s="419"/>
      <c r="AP10" s="231">
        <f t="shared" ref="AP10:AP35" si="1">SUM(U10:AO10)</f>
        <v>0</v>
      </c>
      <c r="AQ10" t="s">
        <v>583</v>
      </c>
      <c r="BC10" s="419"/>
      <c r="BD10" s="231">
        <f t="shared" ref="BD10:BD35" si="2">SUM(AR10:BC10)</f>
        <v>0</v>
      </c>
      <c r="BG10" t="s">
        <v>583</v>
      </c>
      <c r="BH10">
        <f>cmadjust*$S10*Multipliers!D407/1000000</f>
        <v>0</v>
      </c>
      <c r="BI10">
        <f>cmadjust*$S10*Multipliers!E407/1000000</f>
        <v>0</v>
      </c>
      <c r="BJ10">
        <f>cmadjust*$S10*Multipliers!F407/1000000</f>
        <v>0</v>
      </c>
      <c r="BK10">
        <f>cmadjust*$S10*Multipliers!G407/1000000</f>
        <v>0</v>
      </c>
      <c r="BL10">
        <f>cmadjust*$S10*Multipliers!H407/1000000</f>
        <v>0</v>
      </c>
      <c r="BM10">
        <f>cmadjust*$S10*Multipliers!I407/1000000</f>
        <v>0</v>
      </c>
      <c r="BN10">
        <f>cmadjust*$S10*Multipliers!J407/1000000</f>
        <v>0</v>
      </c>
      <c r="BO10">
        <f>cmadjust*$S10*Multipliers!K407/1000000</f>
        <v>0</v>
      </c>
      <c r="BP10">
        <f>cmadjust*$S10*Multipliers!L407/1000000</f>
        <v>0</v>
      </c>
      <c r="BQ10">
        <f>cmadjust*$S10*Multipliers!M407/1000000</f>
        <v>0</v>
      </c>
      <c r="BR10">
        <f>cmadjust*$S10*Multipliers!N407/1000000</f>
        <v>0</v>
      </c>
      <c r="BS10">
        <f>cmadjust*$S10*Multipliers!O407/1000000</f>
        <v>0</v>
      </c>
      <c r="BU10">
        <f>cmadjust*$AP10*Multipliers!D407/1000000</f>
        <v>0</v>
      </c>
      <c r="BV10">
        <f>cmadjust*$AP10*Multipliers!E407/1000000</f>
        <v>0</v>
      </c>
      <c r="BW10">
        <f>cmadjust*$AP10*Multipliers!F407/1000000</f>
        <v>0</v>
      </c>
      <c r="BX10">
        <f>cmadjust*$AP10*Multipliers!G407/1000000</f>
        <v>0</v>
      </c>
      <c r="BY10">
        <f>cmadjust*$AP10*Multipliers!H407/1000000</f>
        <v>0</v>
      </c>
      <c r="BZ10">
        <f>cmadjust*$AP10*Multipliers!I407/1000000</f>
        <v>0</v>
      </c>
      <c r="CA10">
        <f>cmadjust*$AP10*Multipliers!J407/1000000</f>
        <v>0</v>
      </c>
      <c r="CB10">
        <f>cmadjust*$AP10*Multipliers!K407/1000000</f>
        <v>0</v>
      </c>
      <c r="CC10">
        <f>cmadjust*$AP10*Multipliers!L407/1000000</f>
        <v>0</v>
      </c>
      <c r="CD10">
        <f>cmadjust*$AP10*Multipliers!M407/1000000</f>
        <v>0</v>
      </c>
      <c r="CE10">
        <f>cmadjust*$AP10*Multipliers!N407/1000000</f>
        <v>0</v>
      </c>
      <c r="CF10">
        <f>cmadjust*$AP10*Multipliers!O407/1000000</f>
        <v>0</v>
      </c>
      <c r="CH10">
        <f>cmadjust*$BD10*Multipliers!D407/1000000</f>
        <v>0</v>
      </c>
      <c r="CI10">
        <f>cmadjust*$BD10*Multipliers!E407/1000000</f>
        <v>0</v>
      </c>
      <c r="CJ10">
        <f>cmadjust*$BD10*Multipliers!F407/1000000</f>
        <v>0</v>
      </c>
      <c r="CK10">
        <f>cmadjust*$BD10*Multipliers!G407/1000000</f>
        <v>0</v>
      </c>
      <c r="CL10">
        <f>cmadjust*$BD10*Multipliers!H407/1000000</f>
        <v>0</v>
      </c>
      <c r="CM10">
        <f>cmadjust*$BD10*Multipliers!I407/1000000</f>
        <v>0</v>
      </c>
      <c r="CN10">
        <f>cmadjust*$BD10*Multipliers!J407/1000000</f>
        <v>0</v>
      </c>
      <c r="CO10">
        <f>cmadjust*$BD10*Multipliers!K407/1000000</f>
        <v>0</v>
      </c>
      <c r="CP10">
        <f>cmadjust*$BD10*Multipliers!L407/1000000</f>
        <v>0</v>
      </c>
      <c r="CQ10">
        <f>cmadjust*$BD10*Multipliers!M407/1000000</f>
        <v>0</v>
      </c>
      <c r="CR10">
        <f>cmadjust*$BD10*Multipliers!N407/1000000</f>
        <v>0</v>
      </c>
      <c r="CS10">
        <f>cmadjust*$BD10*Multipliers!O407/1000000</f>
        <v>0</v>
      </c>
    </row>
    <row r="11" spans="3:97" x14ac:dyDescent="0.25">
      <c r="C11" t="s">
        <v>403</v>
      </c>
      <c r="D11">
        <v>0</v>
      </c>
      <c r="E11">
        <v>0</v>
      </c>
      <c r="F11">
        <v>0</v>
      </c>
      <c r="G11">
        <v>0</v>
      </c>
      <c r="H11">
        <v>0</v>
      </c>
      <c r="I11">
        <v>0</v>
      </c>
      <c r="J11">
        <v>0</v>
      </c>
      <c r="K11">
        <v>0</v>
      </c>
      <c r="L11">
        <v>0</v>
      </c>
      <c r="M11">
        <v>0</v>
      </c>
      <c r="N11">
        <v>0</v>
      </c>
      <c r="O11">
        <v>0</v>
      </c>
      <c r="P11">
        <v>0</v>
      </c>
      <c r="Q11">
        <v>0</v>
      </c>
      <c r="R11">
        <v>0</v>
      </c>
      <c r="S11" s="231">
        <f t="shared" si="0"/>
        <v>0</v>
      </c>
      <c r="T11" t="s">
        <v>403</v>
      </c>
      <c r="AN11" s="419"/>
      <c r="AP11" s="231">
        <f t="shared" si="1"/>
        <v>0</v>
      </c>
      <c r="AQ11" t="s">
        <v>403</v>
      </c>
      <c r="BC11" s="419"/>
      <c r="BD11" s="231">
        <f t="shared" si="2"/>
        <v>0</v>
      </c>
      <c r="BG11" t="s">
        <v>403</v>
      </c>
      <c r="BH11">
        <f>cmadjust*$S11*Multipliers!D408/1000000</f>
        <v>0</v>
      </c>
      <c r="BI11">
        <f>cmadjust*$S11*Multipliers!E408/1000000</f>
        <v>0</v>
      </c>
      <c r="BJ11">
        <f>cmadjust*$S11*Multipliers!F408/1000000</f>
        <v>0</v>
      </c>
      <c r="BK11">
        <f>cmadjust*$S11*Multipliers!G408/1000000</f>
        <v>0</v>
      </c>
      <c r="BL11">
        <f>cmadjust*$S11*Multipliers!H408/1000000</f>
        <v>0</v>
      </c>
      <c r="BM11">
        <f>cmadjust*$S11*Multipliers!I408/1000000</f>
        <v>0</v>
      </c>
      <c r="BN11">
        <f>cmadjust*$S11*Multipliers!J408/1000000</f>
        <v>0</v>
      </c>
      <c r="BO11">
        <f>cmadjust*$S11*Multipliers!K408/1000000</f>
        <v>0</v>
      </c>
      <c r="BP11">
        <f>cmadjust*$S11*Multipliers!L408/1000000</f>
        <v>0</v>
      </c>
      <c r="BQ11">
        <f>cmadjust*$S11*Multipliers!M408/1000000</f>
        <v>0</v>
      </c>
      <c r="BR11">
        <f>cmadjust*$S11*Multipliers!N408/1000000</f>
        <v>0</v>
      </c>
      <c r="BS11">
        <f>cmadjust*$S11*Multipliers!O408/1000000</f>
        <v>0</v>
      </c>
      <c r="BU11">
        <f>cmadjust*$AP11*Multipliers!D408/1000000</f>
        <v>0</v>
      </c>
      <c r="BV11">
        <f>cmadjust*$AP11*Multipliers!E408/1000000</f>
        <v>0</v>
      </c>
      <c r="BW11">
        <f>cmadjust*$AP11*Multipliers!F408/1000000</f>
        <v>0</v>
      </c>
      <c r="BX11">
        <f>cmadjust*$AP11*Multipliers!G408/1000000</f>
        <v>0</v>
      </c>
      <c r="BY11">
        <f>cmadjust*$AP11*Multipliers!H408/1000000</f>
        <v>0</v>
      </c>
      <c r="BZ11">
        <f>cmadjust*$AP11*Multipliers!I408/1000000</f>
        <v>0</v>
      </c>
      <c r="CA11">
        <f>cmadjust*$AP11*Multipliers!J408/1000000</f>
        <v>0</v>
      </c>
      <c r="CB11">
        <f>cmadjust*$AP11*Multipliers!K408/1000000</f>
        <v>0</v>
      </c>
      <c r="CC11">
        <f>cmadjust*$AP11*Multipliers!L408/1000000</f>
        <v>0</v>
      </c>
      <c r="CD11">
        <f>cmadjust*$AP11*Multipliers!M408/1000000</f>
        <v>0</v>
      </c>
      <c r="CE11">
        <f>cmadjust*$AP11*Multipliers!N408/1000000</f>
        <v>0</v>
      </c>
      <c r="CF11">
        <f>cmadjust*$AP11*Multipliers!O408/1000000</f>
        <v>0</v>
      </c>
      <c r="CH11">
        <f>cmadjust*$BD11*Multipliers!D408/1000000</f>
        <v>0</v>
      </c>
      <c r="CI11">
        <f>cmadjust*$BD11*Multipliers!E408/1000000</f>
        <v>0</v>
      </c>
      <c r="CJ11">
        <f>cmadjust*$BD11*Multipliers!F408/1000000</f>
        <v>0</v>
      </c>
      <c r="CK11">
        <f>cmadjust*$BD11*Multipliers!G408/1000000</f>
        <v>0</v>
      </c>
      <c r="CL11">
        <f>cmadjust*$BD11*Multipliers!H408/1000000</f>
        <v>0</v>
      </c>
      <c r="CM11">
        <f>cmadjust*$BD11*Multipliers!I408/1000000</f>
        <v>0</v>
      </c>
      <c r="CN11">
        <f>cmadjust*$BD11*Multipliers!J408/1000000</f>
        <v>0</v>
      </c>
      <c r="CO11">
        <f>cmadjust*$BD11*Multipliers!K408/1000000</f>
        <v>0</v>
      </c>
      <c r="CP11">
        <f>cmadjust*$BD11*Multipliers!L408/1000000</f>
        <v>0</v>
      </c>
      <c r="CQ11">
        <f>cmadjust*$BD11*Multipliers!M408/1000000</f>
        <v>0</v>
      </c>
      <c r="CR11">
        <f>cmadjust*$BD11*Multipliers!N408/1000000</f>
        <v>0</v>
      </c>
      <c r="CS11">
        <f>cmadjust*$BD11*Multipliers!O408/1000000</f>
        <v>0</v>
      </c>
    </row>
    <row r="12" spans="3:97" x14ac:dyDescent="0.25">
      <c r="C12" t="s">
        <v>584</v>
      </c>
      <c r="D12">
        <v>0</v>
      </c>
      <c r="E12">
        <v>0</v>
      </c>
      <c r="F12">
        <v>0</v>
      </c>
      <c r="G12">
        <v>0</v>
      </c>
      <c r="H12">
        <v>0</v>
      </c>
      <c r="I12">
        <v>0</v>
      </c>
      <c r="J12">
        <v>0</v>
      </c>
      <c r="K12">
        <v>0</v>
      </c>
      <c r="L12">
        <v>0</v>
      </c>
      <c r="M12">
        <v>0</v>
      </c>
      <c r="N12">
        <v>0</v>
      </c>
      <c r="O12">
        <v>0</v>
      </c>
      <c r="P12">
        <v>0</v>
      </c>
      <c r="Q12">
        <v>0</v>
      </c>
      <c r="R12">
        <v>0</v>
      </c>
      <c r="S12" s="231">
        <f t="shared" si="0"/>
        <v>0</v>
      </c>
      <c r="T12" t="s">
        <v>584</v>
      </c>
      <c r="AN12" s="419"/>
      <c r="AP12" s="231">
        <f t="shared" si="1"/>
        <v>0</v>
      </c>
      <c r="AQ12" t="s">
        <v>584</v>
      </c>
      <c r="BC12" s="419"/>
      <c r="BD12" s="231">
        <f t="shared" si="2"/>
        <v>0</v>
      </c>
      <c r="BG12" t="s">
        <v>584</v>
      </c>
      <c r="BH12">
        <f>cmadjust*$S12*Multipliers!D409/1000000</f>
        <v>0</v>
      </c>
      <c r="BI12">
        <f>cmadjust*$S12*Multipliers!E409/1000000</f>
        <v>0</v>
      </c>
      <c r="BJ12">
        <f>cmadjust*$S12*Multipliers!F409/1000000</f>
        <v>0</v>
      </c>
      <c r="BK12">
        <f>cmadjust*$S12*Multipliers!G409/1000000</f>
        <v>0</v>
      </c>
      <c r="BL12">
        <f>cmadjust*$S12*Multipliers!H409/1000000</f>
        <v>0</v>
      </c>
      <c r="BM12">
        <f>cmadjust*$S12*Multipliers!I409/1000000</f>
        <v>0</v>
      </c>
      <c r="BN12">
        <f>cmadjust*$S12*Multipliers!J409/1000000</f>
        <v>0</v>
      </c>
      <c r="BO12">
        <f>cmadjust*$S12*Multipliers!K409/1000000</f>
        <v>0</v>
      </c>
      <c r="BP12">
        <f>cmadjust*$S12*Multipliers!L409/1000000</f>
        <v>0</v>
      </c>
      <c r="BQ12">
        <f>cmadjust*$S12*Multipliers!M409/1000000</f>
        <v>0</v>
      </c>
      <c r="BR12">
        <f>cmadjust*$S12*Multipliers!N409/1000000</f>
        <v>0</v>
      </c>
      <c r="BS12">
        <f>cmadjust*$S12*Multipliers!O409/1000000</f>
        <v>0</v>
      </c>
      <c r="BU12">
        <f>cmadjust*$AP12*Multipliers!D409/1000000</f>
        <v>0</v>
      </c>
      <c r="BV12">
        <f>cmadjust*$AP12*Multipliers!E409/1000000</f>
        <v>0</v>
      </c>
      <c r="BW12">
        <f>cmadjust*$AP12*Multipliers!F409/1000000</f>
        <v>0</v>
      </c>
      <c r="BX12">
        <f>cmadjust*$AP12*Multipliers!G409/1000000</f>
        <v>0</v>
      </c>
      <c r="BY12">
        <f>cmadjust*$AP12*Multipliers!H409/1000000</f>
        <v>0</v>
      </c>
      <c r="BZ12">
        <f>cmadjust*$AP12*Multipliers!I409/1000000</f>
        <v>0</v>
      </c>
      <c r="CA12">
        <f>cmadjust*$AP12*Multipliers!J409/1000000</f>
        <v>0</v>
      </c>
      <c r="CB12">
        <f>cmadjust*$AP12*Multipliers!K409/1000000</f>
        <v>0</v>
      </c>
      <c r="CC12">
        <f>cmadjust*$AP12*Multipliers!L409/1000000</f>
        <v>0</v>
      </c>
      <c r="CD12">
        <f>cmadjust*$AP12*Multipliers!M409/1000000</f>
        <v>0</v>
      </c>
      <c r="CE12">
        <f>cmadjust*$AP12*Multipliers!N409/1000000</f>
        <v>0</v>
      </c>
      <c r="CF12">
        <f>cmadjust*$AP12*Multipliers!O409/1000000</f>
        <v>0</v>
      </c>
      <c r="CH12">
        <f>cmadjust*$BD12*Multipliers!D409/1000000</f>
        <v>0</v>
      </c>
      <c r="CI12">
        <f>cmadjust*$BD12*Multipliers!E409/1000000</f>
        <v>0</v>
      </c>
      <c r="CJ12">
        <f>cmadjust*$BD12*Multipliers!F409/1000000</f>
        <v>0</v>
      </c>
      <c r="CK12">
        <f>cmadjust*$BD12*Multipliers!G409/1000000</f>
        <v>0</v>
      </c>
      <c r="CL12">
        <f>cmadjust*$BD12*Multipliers!H409/1000000</f>
        <v>0</v>
      </c>
      <c r="CM12">
        <f>cmadjust*$BD12*Multipliers!I409/1000000</f>
        <v>0</v>
      </c>
      <c r="CN12">
        <f>cmadjust*$BD12*Multipliers!J409/1000000</f>
        <v>0</v>
      </c>
      <c r="CO12">
        <f>cmadjust*$BD12*Multipliers!K409/1000000</f>
        <v>0</v>
      </c>
      <c r="CP12">
        <f>cmadjust*$BD12*Multipliers!L409/1000000</f>
        <v>0</v>
      </c>
      <c r="CQ12">
        <f>cmadjust*$BD12*Multipliers!M409/1000000</f>
        <v>0</v>
      </c>
      <c r="CR12">
        <f>cmadjust*$BD12*Multipliers!N409/1000000</f>
        <v>0</v>
      </c>
      <c r="CS12">
        <f>cmadjust*$BD12*Multipliers!O409/1000000</f>
        <v>0</v>
      </c>
    </row>
    <row r="13" spans="3:97" x14ac:dyDescent="0.25">
      <c r="C13" t="s">
        <v>585</v>
      </c>
      <c r="D13">
        <v>0</v>
      </c>
      <c r="E13">
        <v>0</v>
      </c>
      <c r="F13">
        <v>0</v>
      </c>
      <c r="G13">
        <v>0</v>
      </c>
      <c r="H13">
        <v>0</v>
      </c>
      <c r="I13">
        <v>0</v>
      </c>
      <c r="J13">
        <v>0</v>
      </c>
      <c r="K13">
        <v>0</v>
      </c>
      <c r="L13">
        <v>0</v>
      </c>
      <c r="M13">
        <v>0</v>
      </c>
      <c r="N13">
        <v>0</v>
      </c>
      <c r="O13">
        <v>0</v>
      </c>
      <c r="P13">
        <v>0</v>
      </c>
      <c r="Q13">
        <v>0</v>
      </c>
      <c r="R13">
        <v>0</v>
      </c>
      <c r="S13" s="231">
        <f t="shared" si="0"/>
        <v>0</v>
      </c>
      <c r="T13" t="s">
        <v>585</v>
      </c>
      <c r="AN13" s="419"/>
      <c r="AP13" s="231">
        <f t="shared" si="1"/>
        <v>0</v>
      </c>
      <c r="AQ13" t="s">
        <v>585</v>
      </c>
      <c r="BC13" s="419"/>
      <c r="BD13" s="231">
        <f t="shared" si="2"/>
        <v>0</v>
      </c>
      <c r="BG13" t="s">
        <v>585</v>
      </c>
      <c r="BH13">
        <f>cmadjust*$S13*Multipliers!D410/1000000</f>
        <v>0</v>
      </c>
      <c r="BI13">
        <f>cmadjust*$S13*Multipliers!E410/1000000</f>
        <v>0</v>
      </c>
      <c r="BJ13">
        <f>cmadjust*$S13*Multipliers!F410/1000000</f>
        <v>0</v>
      </c>
      <c r="BK13">
        <f>cmadjust*$S13*Multipliers!G410/1000000</f>
        <v>0</v>
      </c>
      <c r="BL13">
        <f>cmadjust*$S13*Multipliers!H410/1000000</f>
        <v>0</v>
      </c>
      <c r="BM13">
        <f>cmadjust*$S13*Multipliers!I410/1000000</f>
        <v>0</v>
      </c>
      <c r="BN13">
        <f>cmadjust*$S13*Multipliers!J410/1000000</f>
        <v>0</v>
      </c>
      <c r="BO13">
        <f>cmadjust*$S13*Multipliers!K410/1000000</f>
        <v>0</v>
      </c>
      <c r="BP13">
        <f>cmadjust*$S13*Multipliers!L410/1000000</f>
        <v>0</v>
      </c>
      <c r="BQ13">
        <f>cmadjust*$S13*Multipliers!M410/1000000</f>
        <v>0</v>
      </c>
      <c r="BR13">
        <f>cmadjust*$S13*Multipliers!N410/1000000</f>
        <v>0</v>
      </c>
      <c r="BS13">
        <f>cmadjust*$S13*Multipliers!O410/1000000</f>
        <v>0</v>
      </c>
      <c r="BU13">
        <f>cmadjust*$AP13*Multipliers!D410/1000000</f>
        <v>0</v>
      </c>
      <c r="BV13">
        <f>cmadjust*$AP13*Multipliers!E410/1000000</f>
        <v>0</v>
      </c>
      <c r="BW13">
        <f>cmadjust*$AP13*Multipliers!F410/1000000</f>
        <v>0</v>
      </c>
      <c r="BX13">
        <f>cmadjust*$AP13*Multipliers!G410/1000000</f>
        <v>0</v>
      </c>
      <c r="BY13">
        <f>cmadjust*$AP13*Multipliers!H410/1000000</f>
        <v>0</v>
      </c>
      <c r="BZ13">
        <f>cmadjust*$AP13*Multipliers!I410/1000000</f>
        <v>0</v>
      </c>
      <c r="CA13">
        <f>cmadjust*$AP13*Multipliers!J410/1000000</f>
        <v>0</v>
      </c>
      <c r="CB13">
        <f>cmadjust*$AP13*Multipliers!K410/1000000</f>
        <v>0</v>
      </c>
      <c r="CC13">
        <f>cmadjust*$AP13*Multipliers!L410/1000000</f>
        <v>0</v>
      </c>
      <c r="CD13">
        <f>cmadjust*$AP13*Multipliers!M410/1000000</f>
        <v>0</v>
      </c>
      <c r="CE13">
        <f>cmadjust*$AP13*Multipliers!N410/1000000</f>
        <v>0</v>
      </c>
      <c r="CF13">
        <f>cmadjust*$AP13*Multipliers!O410/1000000</f>
        <v>0</v>
      </c>
      <c r="CH13">
        <f>cmadjust*$BD13*Multipliers!D410/1000000</f>
        <v>0</v>
      </c>
      <c r="CI13">
        <f>cmadjust*$BD13*Multipliers!E410/1000000</f>
        <v>0</v>
      </c>
      <c r="CJ13">
        <f>cmadjust*$BD13*Multipliers!F410/1000000</f>
        <v>0</v>
      </c>
      <c r="CK13">
        <f>cmadjust*$BD13*Multipliers!G410/1000000</f>
        <v>0</v>
      </c>
      <c r="CL13">
        <f>cmadjust*$BD13*Multipliers!H410/1000000</f>
        <v>0</v>
      </c>
      <c r="CM13">
        <f>cmadjust*$BD13*Multipliers!I410/1000000</f>
        <v>0</v>
      </c>
      <c r="CN13">
        <f>cmadjust*$BD13*Multipliers!J410/1000000</f>
        <v>0</v>
      </c>
      <c r="CO13">
        <f>cmadjust*$BD13*Multipliers!K410/1000000</f>
        <v>0</v>
      </c>
      <c r="CP13">
        <f>cmadjust*$BD13*Multipliers!L410/1000000</f>
        <v>0</v>
      </c>
      <c r="CQ13">
        <f>cmadjust*$BD13*Multipliers!M410/1000000</f>
        <v>0</v>
      </c>
      <c r="CR13">
        <f>cmadjust*$BD13*Multipliers!N410/1000000</f>
        <v>0</v>
      </c>
      <c r="CS13">
        <f>cmadjust*$BD13*Multipliers!O410/1000000</f>
        <v>0</v>
      </c>
    </row>
    <row r="14" spans="3:97" x14ac:dyDescent="0.25">
      <c r="C14" t="s">
        <v>586</v>
      </c>
      <c r="D14">
        <v>0</v>
      </c>
      <c r="E14">
        <v>0</v>
      </c>
      <c r="F14">
        <v>0</v>
      </c>
      <c r="G14">
        <v>0</v>
      </c>
      <c r="H14">
        <v>0</v>
      </c>
      <c r="I14">
        <v>0</v>
      </c>
      <c r="J14">
        <v>0</v>
      </c>
      <c r="K14">
        <v>0</v>
      </c>
      <c r="L14">
        <v>0</v>
      </c>
      <c r="M14">
        <v>0</v>
      </c>
      <c r="N14">
        <v>0</v>
      </c>
      <c r="O14">
        <v>0</v>
      </c>
      <c r="P14">
        <v>0</v>
      </c>
      <c r="Q14">
        <v>0</v>
      </c>
      <c r="R14">
        <v>0</v>
      </c>
      <c r="S14" s="231">
        <f t="shared" si="0"/>
        <v>0</v>
      </c>
      <c r="T14" t="s">
        <v>586</v>
      </c>
      <c r="AN14" s="419"/>
      <c r="AP14" s="231">
        <f t="shared" si="1"/>
        <v>0</v>
      </c>
      <c r="AQ14" t="s">
        <v>586</v>
      </c>
      <c r="BC14" s="419"/>
      <c r="BD14" s="231">
        <f t="shared" si="2"/>
        <v>0</v>
      </c>
      <c r="BG14" t="s">
        <v>586</v>
      </c>
      <c r="BH14">
        <f>cmadjust*$S14*Multipliers!D411/1000000</f>
        <v>0</v>
      </c>
      <c r="BI14">
        <f>cmadjust*$S14*Multipliers!E411/1000000</f>
        <v>0</v>
      </c>
      <c r="BJ14">
        <f>cmadjust*$S14*Multipliers!F411/1000000</f>
        <v>0</v>
      </c>
      <c r="BK14">
        <f>cmadjust*$S14*Multipliers!G411/1000000</f>
        <v>0</v>
      </c>
      <c r="BL14">
        <f>cmadjust*$S14*Multipliers!H411/1000000</f>
        <v>0</v>
      </c>
      <c r="BM14">
        <f>cmadjust*$S14*Multipliers!I411/1000000</f>
        <v>0</v>
      </c>
      <c r="BN14">
        <f>cmadjust*$S14*Multipliers!J411/1000000</f>
        <v>0</v>
      </c>
      <c r="BO14">
        <f>cmadjust*$S14*Multipliers!K411/1000000</f>
        <v>0</v>
      </c>
      <c r="BP14">
        <f>cmadjust*$S14*Multipliers!L411/1000000</f>
        <v>0</v>
      </c>
      <c r="BQ14">
        <f>cmadjust*$S14*Multipliers!M411/1000000</f>
        <v>0</v>
      </c>
      <c r="BR14">
        <f>cmadjust*$S14*Multipliers!N411/1000000</f>
        <v>0</v>
      </c>
      <c r="BS14">
        <f>cmadjust*$S14*Multipliers!O411/1000000</f>
        <v>0</v>
      </c>
      <c r="BU14">
        <f>cmadjust*$AP14*Multipliers!D411/1000000</f>
        <v>0</v>
      </c>
      <c r="BV14">
        <f>cmadjust*$AP14*Multipliers!E411/1000000</f>
        <v>0</v>
      </c>
      <c r="BW14">
        <f>cmadjust*$AP14*Multipliers!F411/1000000</f>
        <v>0</v>
      </c>
      <c r="BX14">
        <f>cmadjust*$AP14*Multipliers!G411/1000000</f>
        <v>0</v>
      </c>
      <c r="BY14">
        <f>cmadjust*$AP14*Multipliers!H411/1000000</f>
        <v>0</v>
      </c>
      <c r="BZ14">
        <f>cmadjust*$AP14*Multipliers!I411/1000000</f>
        <v>0</v>
      </c>
      <c r="CA14">
        <f>cmadjust*$AP14*Multipliers!J411/1000000</f>
        <v>0</v>
      </c>
      <c r="CB14">
        <f>cmadjust*$AP14*Multipliers!K411/1000000</f>
        <v>0</v>
      </c>
      <c r="CC14">
        <f>cmadjust*$AP14*Multipliers!L411/1000000</f>
        <v>0</v>
      </c>
      <c r="CD14">
        <f>cmadjust*$AP14*Multipliers!M411/1000000</f>
        <v>0</v>
      </c>
      <c r="CE14">
        <f>cmadjust*$AP14*Multipliers!N411/1000000</f>
        <v>0</v>
      </c>
      <c r="CF14">
        <f>cmadjust*$AP14*Multipliers!O411/1000000</f>
        <v>0</v>
      </c>
      <c r="CH14">
        <f>cmadjust*$BD14*Multipliers!D411/1000000</f>
        <v>0</v>
      </c>
      <c r="CI14">
        <f>cmadjust*$BD14*Multipliers!E411/1000000</f>
        <v>0</v>
      </c>
      <c r="CJ14">
        <f>cmadjust*$BD14*Multipliers!F411/1000000</f>
        <v>0</v>
      </c>
      <c r="CK14">
        <f>cmadjust*$BD14*Multipliers!G411/1000000</f>
        <v>0</v>
      </c>
      <c r="CL14">
        <f>cmadjust*$BD14*Multipliers!H411/1000000</f>
        <v>0</v>
      </c>
      <c r="CM14">
        <f>cmadjust*$BD14*Multipliers!I411/1000000</f>
        <v>0</v>
      </c>
      <c r="CN14">
        <f>cmadjust*$BD14*Multipliers!J411/1000000</f>
        <v>0</v>
      </c>
      <c r="CO14">
        <f>cmadjust*$BD14*Multipliers!K411/1000000</f>
        <v>0</v>
      </c>
      <c r="CP14">
        <f>cmadjust*$BD14*Multipliers!L411/1000000</f>
        <v>0</v>
      </c>
      <c r="CQ14">
        <f>cmadjust*$BD14*Multipliers!M411/1000000</f>
        <v>0</v>
      </c>
      <c r="CR14">
        <f>cmadjust*$BD14*Multipliers!N411/1000000</f>
        <v>0</v>
      </c>
      <c r="CS14">
        <f>cmadjust*$BD14*Multipliers!O411/1000000</f>
        <v>0</v>
      </c>
    </row>
    <row r="15" spans="3:97" x14ac:dyDescent="0.25">
      <c r="C15" t="s">
        <v>587</v>
      </c>
      <c r="D15">
        <v>0</v>
      </c>
      <c r="E15">
        <v>0</v>
      </c>
      <c r="F15">
        <v>0</v>
      </c>
      <c r="G15">
        <v>0</v>
      </c>
      <c r="H15">
        <v>0</v>
      </c>
      <c r="I15">
        <v>0</v>
      </c>
      <c r="J15">
        <v>0</v>
      </c>
      <c r="K15">
        <v>0</v>
      </c>
      <c r="L15">
        <v>0</v>
      </c>
      <c r="M15">
        <v>0</v>
      </c>
      <c r="N15">
        <v>0</v>
      </c>
      <c r="O15">
        <v>0</v>
      </c>
      <c r="P15">
        <v>0</v>
      </c>
      <c r="Q15">
        <v>0</v>
      </c>
      <c r="R15">
        <v>0</v>
      </c>
      <c r="S15" s="231">
        <f t="shared" si="0"/>
        <v>0</v>
      </c>
      <c r="T15" t="s">
        <v>587</v>
      </c>
      <c r="AN15" s="419"/>
      <c r="AP15" s="231">
        <f t="shared" si="1"/>
        <v>0</v>
      </c>
      <c r="AQ15" t="s">
        <v>587</v>
      </c>
      <c r="BC15" s="419"/>
      <c r="BD15" s="231">
        <f t="shared" si="2"/>
        <v>0</v>
      </c>
      <c r="BG15" t="s">
        <v>587</v>
      </c>
      <c r="BH15">
        <f>cmadjust*$S15*Multipliers!D412/1000000</f>
        <v>0</v>
      </c>
      <c r="BI15">
        <f>cmadjust*$S15*Multipliers!E412/1000000</f>
        <v>0</v>
      </c>
      <c r="BJ15">
        <f>cmadjust*$S15*Multipliers!F412/1000000</f>
        <v>0</v>
      </c>
      <c r="BK15">
        <f>cmadjust*$S15*Multipliers!G412/1000000</f>
        <v>0</v>
      </c>
      <c r="BL15">
        <f>cmadjust*$S15*Multipliers!H412/1000000</f>
        <v>0</v>
      </c>
      <c r="BM15">
        <f>cmadjust*$S15*Multipliers!I412/1000000</f>
        <v>0</v>
      </c>
      <c r="BN15">
        <f>cmadjust*$S15*Multipliers!J412/1000000</f>
        <v>0</v>
      </c>
      <c r="BO15">
        <f>cmadjust*$S15*Multipliers!K412/1000000</f>
        <v>0</v>
      </c>
      <c r="BP15">
        <f>cmadjust*$S15*Multipliers!L412/1000000</f>
        <v>0</v>
      </c>
      <c r="BQ15">
        <f>cmadjust*$S15*Multipliers!M412/1000000</f>
        <v>0</v>
      </c>
      <c r="BR15">
        <f>cmadjust*$S15*Multipliers!N412/1000000</f>
        <v>0</v>
      </c>
      <c r="BS15">
        <f>cmadjust*$S15*Multipliers!O412/1000000</f>
        <v>0</v>
      </c>
      <c r="BU15">
        <f>cmadjust*$AP15*Multipliers!D412/1000000</f>
        <v>0</v>
      </c>
      <c r="BV15">
        <f>cmadjust*$AP15*Multipliers!E412/1000000</f>
        <v>0</v>
      </c>
      <c r="BW15">
        <f>cmadjust*$AP15*Multipliers!F412/1000000</f>
        <v>0</v>
      </c>
      <c r="BX15">
        <f>cmadjust*$AP15*Multipliers!G412/1000000</f>
        <v>0</v>
      </c>
      <c r="BY15">
        <f>cmadjust*$AP15*Multipliers!H412/1000000</f>
        <v>0</v>
      </c>
      <c r="BZ15">
        <f>cmadjust*$AP15*Multipliers!I412/1000000</f>
        <v>0</v>
      </c>
      <c r="CA15">
        <f>cmadjust*$AP15*Multipliers!J412/1000000</f>
        <v>0</v>
      </c>
      <c r="CB15">
        <f>cmadjust*$AP15*Multipliers!K412/1000000</f>
        <v>0</v>
      </c>
      <c r="CC15">
        <f>cmadjust*$AP15*Multipliers!L412/1000000</f>
        <v>0</v>
      </c>
      <c r="CD15">
        <f>cmadjust*$AP15*Multipliers!M412/1000000</f>
        <v>0</v>
      </c>
      <c r="CE15">
        <f>cmadjust*$AP15*Multipliers!N412/1000000</f>
        <v>0</v>
      </c>
      <c r="CF15">
        <f>cmadjust*$AP15*Multipliers!O412/1000000</f>
        <v>0</v>
      </c>
      <c r="CH15">
        <f>cmadjust*$BD15*Multipliers!D412/1000000</f>
        <v>0</v>
      </c>
      <c r="CI15">
        <f>cmadjust*$BD15*Multipliers!E412/1000000</f>
        <v>0</v>
      </c>
      <c r="CJ15">
        <f>cmadjust*$BD15*Multipliers!F412/1000000</f>
        <v>0</v>
      </c>
      <c r="CK15">
        <f>cmadjust*$BD15*Multipliers!G412/1000000</f>
        <v>0</v>
      </c>
      <c r="CL15">
        <f>cmadjust*$BD15*Multipliers!H412/1000000</f>
        <v>0</v>
      </c>
      <c r="CM15">
        <f>cmadjust*$BD15*Multipliers!I412/1000000</f>
        <v>0</v>
      </c>
      <c r="CN15">
        <f>cmadjust*$BD15*Multipliers!J412/1000000</f>
        <v>0</v>
      </c>
      <c r="CO15">
        <f>cmadjust*$BD15*Multipliers!K412/1000000</f>
        <v>0</v>
      </c>
      <c r="CP15">
        <f>cmadjust*$BD15*Multipliers!L412/1000000</f>
        <v>0</v>
      </c>
      <c r="CQ15">
        <f>cmadjust*$BD15*Multipliers!M412/1000000</f>
        <v>0</v>
      </c>
      <c r="CR15">
        <f>cmadjust*$BD15*Multipliers!N412/1000000</f>
        <v>0</v>
      </c>
      <c r="CS15">
        <f>cmadjust*$BD15*Multipliers!O412/1000000</f>
        <v>0</v>
      </c>
    </row>
    <row r="16" spans="3:97" x14ac:dyDescent="0.25">
      <c r="C16" t="s">
        <v>588</v>
      </c>
      <c r="D16">
        <v>0</v>
      </c>
      <c r="E16">
        <v>0</v>
      </c>
      <c r="F16">
        <v>0</v>
      </c>
      <c r="G16">
        <v>0</v>
      </c>
      <c r="H16">
        <v>0</v>
      </c>
      <c r="I16">
        <v>0</v>
      </c>
      <c r="J16">
        <v>0</v>
      </c>
      <c r="K16">
        <v>0</v>
      </c>
      <c r="L16">
        <v>0</v>
      </c>
      <c r="M16">
        <v>0</v>
      </c>
      <c r="N16">
        <v>0</v>
      </c>
      <c r="O16">
        <v>0</v>
      </c>
      <c r="P16">
        <v>0</v>
      </c>
      <c r="Q16">
        <v>0</v>
      </c>
      <c r="R16">
        <v>0</v>
      </c>
      <c r="S16" s="231">
        <f t="shared" si="0"/>
        <v>0</v>
      </c>
      <c r="T16" t="s">
        <v>588</v>
      </c>
      <c r="AN16" s="419"/>
      <c r="AP16" s="231">
        <f t="shared" si="1"/>
        <v>0</v>
      </c>
      <c r="AQ16" t="s">
        <v>588</v>
      </c>
      <c r="BC16" s="419"/>
      <c r="BD16" s="231">
        <f t="shared" si="2"/>
        <v>0</v>
      </c>
      <c r="BG16" t="s">
        <v>588</v>
      </c>
      <c r="BH16">
        <f>cmadjust*$S16*Multipliers!D413/1000000</f>
        <v>0</v>
      </c>
      <c r="BI16">
        <f>cmadjust*$S16*Multipliers!E413/1000000</f>
        <v>0</v>
      </c>
      <c r="BJ16">
        <f>cmadjust*$S16*Multipliers!F413/1000000</f>
        <v>0</v>
      </c>
      <c r="BK16">
        <f>cmadjust*$S16*Multipliers!G413/1000000</f>
        <v>0</v>
      </c>
      <c r="BL16">
        <f>cmadjust*$S16*Multipliers!H413/1000000</f>
        <v>0</v>
      </c>
      <c r="BM16">
        <f>cmadjust*$S16*Multipliers!I413/1000000</f>
        <v>0</v>
      </c>
      <c r="BN16">
        <f>cmadjust*$S16*Multipliers!J413/1000000</f>
        <v>0</v>
      </c>
      <c r="BO16">
        <f>cmadjust*$S16*Multipliers!K413/1000000</f>
        <v>0</v>
      </c>
      <c r="BP16">
        <f>cmadjust*$S16*Multipliers!L413/1000000</f>
        <v>0</v>
      </c>
      <c r="BQ16">
        <f>cmadjust*$S16*Multipliers!M413/1000000</f>
        <v>0</v>
      </c>
      <c r="BR16">
        <f>cmadjust*$S16*Multipliers!N413/1000000</f>
        <v>0</v>
      </c>
      <c r="BS16">
        <f>cmadjust*$S16*Multipliers!O413/1000000</f>
        <v>0</v>
      </c>
      <c r="BU16">
        <f>cmadjust*$AP16*Multipliers!D413/1000000</f>
        <v>0</v>
      </c>
      <c r="BV16">
        <f>cmadjust*$AP16*Multipliers!E413/1000000</f>
        <v>0</v>
      </c>
      <c r="BW16">
        <f>cmadjust*$AP16*Multipliers!F413/1000000</f>
        <v>0</v>
      </c>
      <c r="BX16">
        <f>cmadjust*$AP16*Multipliers!G413/1000000</f>
        <v>0</v>
      </c>
      <c r="BY16">
        <f>cmadjust*$AP16*Multipliers!H413/1000000</f>
        <v>0</v>
      </c>
      <c r="BZ16">
        <f>cmadjust*$AP16*Multipliers!I413/1000000</f>
        <v>0</v>
      </c>
      <c r="CA16">
        <f>cmadjust*$AP16*Multipliers!J413/1000000</f>
        <v>0</v>
      </c>
      <c r="CB16">
        <f>cmadjust*$AP16*Multipliers!K413/1000000</f>
        <v>0</v>
      </c>
      <c r="CC16">
        <f>cmadjust*$AP16*Multipliers!L413/1000000</f>
        <v>0</v>
      </c>
      <c r="CD16">
        <f>cmadjust*$AP16*Multipliers!M413/1000000</f>
        <v>0</v>
      </c>
      <c r="CE16">
        <f>cmadjust*$AP16*Multipliers!N413/1000000</f>
        <v>0</v>
      </c>
      <c r="CF16">
        <f>cmadjust*$AP16*Multipliers!O413/1000000</f>
        <v>0</v>
      </c>
      <c r="CH16">
        <f>cmadjust*$BD16*Multipliers!D413/1000000</f>
        <v>0</v>
      </c>
      <c r="CI16">
        <f>cmadjust*$BD16*Multipliers!E413/1000000</f>
        <v>0</v>
      </c>
      <c r="CJ16">
        <f>cmadjust*$BD16*Multipliers!F413/1000000</f>
        <v>0</v>
      </c>
      <c r="CK16">
        <f>cmadjust*$BD16*Multipliers!G413/1000000</f>
        <v>0</v>
      </c>
      <c r="CL16">
        <f>cmadjust*$BD16*Multipliers!H413/1000000</f>
        <v>0</v>
      </c>
      <c r="CM16">
        <f>cmadjust*$BD16*Multipliers!I413/1000000</f>
        <v>0</v>
      </c>
      <c r="CN16">
        <f>cmadjust*$BD16*Multipliers!J413/1000000</f>
        <v>0</v>
      </c>
      <c r="CO16">
        <f>cmadjust*$BD16*Multipliers!K413/1000000</f>
        <v>0</v>
      </c>
      <c r="CP16">
        <f>cmadjust*$BD16*Multipliers!L413/1000000</f>
        <v>0</v>
      </c>
      <c r="CQ16">
        <f>cmadjust*$BD16*Multipliers!M413/1000000</f>
        <v>0</v>
      </c>
      <c r="CR16">
        <f>cmadjust*$BD16*Multipliers!N413/1000000</f>
        <v>0</v>
      </c>
      <c r="CS16">
        <f>cmadjust*$BD16*Multipliers!O413/1000000</f>
        <v>0</v>
      </c>
    </row>
    <row r="17" spans="3:97" x14ac:dyDescent="0.25">
      <c r="C17" t="s">
        <v>348</v>
      </c>
      <c r="D17">
        <v>0</v>
      </c>
      <c r="E17">
        <v>0</v>
      </c>
      <c r="F17">
        <v>0</v>
      </c>
      <c r="G17">
        <v>0</v>
      </c>
      <c r="H17">
        <v>0</v>
      </c>
      <c r="I17">
        <v>0</v>
      </c>
      <c r="J17">
        <v>0</v>
      </c>
      <c r="K17">
        <v>0</v>
      </c>
      <c r="L17">
        <v>0</v>
      </c>
      <c r="M17">
        <v>0</v>
      </c>
      <c r="N17">
        <v>0</v>
      </c>
      <c r="O17">
        <v>0</v>
      </c>
      <c r="P17">
        <v>0</v>
      </c>
      <c r="Q17">
        <v>0</v>
      </c>
      <c r="R17">
        <v>0</v>
      </c>
      <c r="S17" s="231">
        <f t="shared" si="0"/>
        <v>0</v>
      </c>
      <c r="T17" t="s">
        <v>348</v>
      </c>
      <c r="AN17" s="419"/>
      <c r="AP17" s="231">
        <f t="shared" si="1"/>
        <v>0</v>
      </c>
      <c r="AQ17" t="s">
        <v>348</v>
      </c>
      <c r="BC17" s="419"/>
      <c r="BD17" s="231">
        <f t="shared" si="2"/>
        <v>0</v>
      </c>
      <c r="BG17" t="s">
        <v>348</v>
      </c>
      <c r="BH17">
        <f>cmadjust*$S17*Multipliers!D414/1000000</f>
        <v>0</v>
      </c>
      <c r="BI17">
        <f>cmadjust*$S17*Multipliers!E414/1000000</f>
        <v>0</v>
      </c>
      <c r="BJ17">
        <f>cmadjust*$S17*Multipliers!F414/1000000</f>
        <v>0</v>
      </c>
      <c r="BK17">
        <f>cmadjust*$S17*Multipliers!G414/1000000</f>
        <v>0</v>
      </c>
      <c r="BL17">
        <f>cmadjust*$S17*Multipliers!H414/1000000</f>
        <v>0</v>
      </c>
      <c r="BM17">
        <f>cmadjust*$S17*Multipliers!I414/1000000</f>
        <v>0</v>
      </c>
      <c r="BN17">
        <f>cmadjust*$S17*Multipliers!J414/1000000</f>
        <v>0</v>
      </c>
      <c r="BO17">
        <f>cmadjust*$S17*Multipliers!K414/1000000</f>
        <v>0</v>
      </c>
      <c r="BP17">
        <f>cmadjust*$S17*Multipliers!L414/1000000</f>
        <v>0</v>
      </c>
      <c r="BQ17">
        <f>cmadjust*$S17*Multipliers!M414/1000000</f>
        <v>0</v>
      </c>
      <c r="BR17">
        <f>cmadjust*$S17*Multipliers!N414/1000000</f>
        <v>0</v>
      </c>
      <c r="BS17">
        <f>cmadjust*$S17*Multipliers!O414/1000000</f>
        <v>0</v>
      </c>
      <c r="BU17">
        <f>cmadjust*$AP17*Multipliers!D414/1000000</f>
        <v>0</v>
      </c>
      <c r="BV17">
        <f>cmadjust*$AP17*Multipliers!E414/1000000</f>
        <v>0</v>
      </c>
      <c r="BW17">
        <f>cmadjust*$AP17*Multipliers!F414/1000000</f>
        <v>0</v>
      </c>
      <c r="BX17">
        <f>cmadjust*$AP17*Multipliers!G414/1000000</f>
        <v>0</v>
      </c>
      <c r="BY17">
        <f>cmadjust*$AP17*Multipliers!H414/1000000</f>
        <v>0</v>
      </c>
      <c r="BZ17">
        <f>cmadjust*$AP17*Multipliers!I414/1000000</f>
        <v>0</v>
      </c>
      <c r="CA17">
        <f>cmadjust*$AP17*Multipliers!J414/1000000</f>
        <v>0</v>
      </c>
      <c r="CB17">
        <f>cmadjust*$AP17*Multipliers!K414/1000000</f>
        <v>0</v>
      </c>
      <c r="CC17">
        <f>cmadjust*$AP17*Multipliers!L414/1000000</f>
        <v>0</v>
      </c>
      <c r="CD17">
        <f>cmadjust*$AP17*Multipliers!M414/1000000</f>
        <v>0</v>
      </c>
      <c r="CE17">
        <f>cmadjust*$AP17*Multipliers!N414/1000000</f>
        <v>0</v>
      </c>
      <c r="CF17">
        <f>cmadjust*$AP17*Multipliers!O414/1000000</f>
        <v>0</v>
      </c>
      <c r="CH17">
        <f>cmadjust*$BD17*Multipliers!D414/1000000</f>
        <v>0</v>
      </c>
      <c r="CI17">
        <f>cmadjust*$BD17*Multipliers!E414/1000000</f>
        <v>0</v>
      </c>
      <c r="CJ17">
        <f>cmadjust*$BD17*Multipliers!F414/1000000</f>
        <v>0</v>
      </c>
      <c r="CK17">
        <f>cmadjust*$BD17*Multipliers!G414/1000000</f>
        <v>0</v>
      </c>
      <c r="CL17">
        <f>cmadjust*$BD17*Multipliers!H414/1000000</f>
        <v>0</v>
      </c>
      <c r="CM17">
        <f>cmadjust*$BD17*Multipliers!I414/1000000</f>
        <v>0</v>
      </c>
      <c r="CN17">
        <f>cmadjust*$BD17*Multipliers!J414/1000000</f>
        <v>0</v>
      </c>
      <c r="CO17">
        <f>cmadjust*$BD17*Multipliers!K414/1000000</f>
        <v>0</v>
      </c>
      <c r="CP17">
        <f>cmadjust*$BD17*Multipliers!L414/1000000</f>
        <v>0</v>
      </c>
      <c r="CQ17">
        <f>cmadjust*$BD17*Multipliers!M414/1000000</f>
        <v>0</v>
      </c>
      <c r="CR17">
        <f>cmadjust*$BD17*Multipliers!N414/1000000</f>
        <v>0</v>
      </c>
      <c r="CS17">
        <f>cmadjust*$BD17*Multipliers!O414/1000000</f>
        <v>0</v>
      </c>
    </row>
    <row r="18" spans="3:97" x14ac:dyDescent="0.25">
      <c r="C18" t="s">
        <v>589</v>
      </c>
      <c r="D18">
        <v>0</v>
      </c>
      <c r="E18">
        <v>0</v>
      </c>
      <c r="F18">
        <v>0</v>
      </c>
      <c r="G18">
        <v>0</v>
      </c>
      <c r="H18">
        <v>0</v>
      </c>
      <c r="I18">
        <v>0</v>
      </c>
      <c r="J18">
        <v>0</v>
      </c>
      <c r="K18">
        <v>0</v>
      </c>
      <c r="L18">
        <v>0</v>
      </c>
      <c r="M18">
        <v>0</v>
      </c>
      <c r="N18">
        <v>0</v>
      </c>
      <c r="O18">
        <v>0</v>
      </c>
      <c r="P18">
        <v>0</v>
      </c>
      <c r="Q18">
        <v>0</v>
      </c>
      <c r="R18">
        <v>0</v>
      </c>
      <c r="S18" s="231">
        <f t="shared" si="0"/>
        <v>0</v>
      </c>
      <c r="T18" t="s">
        <v>589</v>
      </c>
      <c r="AN18" s="419"/>
      <c r="AP18" s="231">
        <f t="shared" si="1"/>
        <v>0</v>
      </c>
      <c r="AQ18" t="s">
        <v>589</v>
      </c>
      <c r="BC18" s="419"/>
      <c r="BD18" s="231">
        <f t="shared" si="2"/>
        <v>0</v>
      </c>
      <c r="BG18" t="s">
        <v>589</v>
      </c>
      <c r="BH18">
        <f>cmadjust*$S18*Multipliers!D415/1000000</f>
        <v>0</v>
      </c>
      <c r="BI18">
        <f>cmadjust*$S18*Multipliers!E415/1000000</f>
        <v>0</v>
      </c>
      <c r="BJ18">
        <f>cmadjust*$S18*Multipliers!F415/1000000</f>
        <v>0</v>
      </c>
      <c r="BK18">
        <f>cmadjust*$S18*Multipliers!G415/1000000</f>
        <v>0</v>
      </c>
      <c r="BL18">
        <f>cmadjust*$S18*Multipliers!H415/1000000</f>
        <v>0</v>
      </c>
      <c r="BM18">
        <f>cmadjust*$S18*Multipliers!I415/1000000</f>
        <v>0</v>
      </c>
      <c r="BN18">
        <f>cmadjust*$S18*Multipliers!J415/1000000</f>
        <v>0</v>
      </c>
      <c r="BO18">
        <f>cmadjust*$S18*Multipliers!K415/1000000</f>
        <v>0</v>
      </c>
      <c r="BP18">
        <f>cmadjust*$S18*Multipliers!L415/1000000</f>
        <v>0</v>
      </c>
      <c r="BQ18">
        <f>cmadjust*$S18*Multipliers!M415/1000000</f>
        <v>0</v>
      </c>
      <c r="BR18">
        <f>cmadjust*$S18*Multipliers!N415/1000000</f>
        <v>0</v>
      </c>
      <c r="BS18">
        <f>cmadjust*$S18*Multipliers!O415/1000000</f>
        <v>0</v>
      </c>
      <c r="BU18">
        <f>cmadjust*$AP18*Multipliers!D415/1000000</f>
        <v>0</v>
      </c>
      <c r="BV18">
        <f>cmadjust*$AP18*Multipliers!E415/1000000</f>
        <v>0</v>
      </c>
      <c r="BW18">
        <f>cmadjust*$AP18*Multipliers!F415/1000000</f>
        <v>0</v>
      </c>
      <c r="BX18">
        <f>cmadjust*$AP18*Multipliers!G415/1000000</f>
        <v>0</v>
      </c>
      <c r="BY18">
        <f>cmadjust*$AP18*Multipliers!H415/1000000</f>
        <v>0</v>
      </c>
      <c r="BZ18">
        <f>cmadjust*$AP18*Multipliers!I415/1000000</f>
        <v>0</v>
      </c>
      <c r="CA18">
        <f>cmadjust*$AP18*Multipliers!J415/1000000</f>
        <v>0</v>
      </c>
      <c r="CB18">
        <f>cmadjust*$AP18*Multipliers!K415/1000000</f>
        <v>0</v>
      </c>
      <c r="CC18">
        <f>cmadjust*$AP18*Multipliers!L415/1000000</f>
        <v>0</v>
      </c>
      <c r="CD18">
        <f>cmadjust*$AP18*Multipliers!M415/1000000</f>
        <v>0</v>
      </c>
      <c r="CE18">
        <f>cmadjust*$AP18*Multipliers!N415/1000000</f>
        <v>0</v>
      </c>
      <c r="CF18">
        <f>cmadjust*$AP18*Multipliers!O415/1000000</f>
        <v>0</v>
      </c>
      <c r="CH18">
        <f>cmadjust*$BD18*Multipliers!D415/1000000</f>
        <v>0</v>
      </c>
      <c r="CI18">
        <f>cmadjust*$BD18*Multipliers!E415/1000000</f>
        <v>0</v>
      </c>
      <c r="CJ18">
        <f>cmadjust*$BD18*Multipliers!F415/1000000</f>
        <v>0</v>
      </c>
      <c r="CK18">
        <f>cmadjust*$BD18*Multipliers!G415/1000000</f>
        <v>0</v>
      </c>
      <c r="CL18">
        <f>cmadjust*$BD18*Multipliers!H415/1000000</f>
        <v>0</v>
      </c>
      <c r="CM18">
        <f>cmadjust*$BD18*Multipliers!I415/1000000</f>
        <v>0</v>
      </c>
      <c r="CN18">
        <f>cmadjust*$BD18*Multipliers!J415/1000000</f>
        <v>0</v>
      </c>
      <c r="CO18">
        <f>cmadjust*$BD18*Multipliers!K415/1000000</f>
        <v>0</v>
      </c>
      <c r="CP18">
        <f>cmadjust*$BD18*Multipliers!L415/1000000</f>
        <v>0</v>
      </c>
      <c r="CQ18">
        <f>cmadjust*$BD18*Multipliers!M415/1000000</f>
        <v>0</v>
      </c>
      <c r="CR18">
        <f>cmadjust*$BD18*Multipliers!N415/1000000</f>
        <v>0</v>
      </c>
      <c r="CS18">
        <f>cmadjust*$BD18*Multipliers!O415/1000000</f>
        <v>0</v>
      </c>
    </row>
    <row r="19" spans="3:97" x14ac:dyDescent="0.25">
      <c r="C19" t="s">
        <v>590</v>
      </c>
      <c r="D19">
        <v>0</v>
      </c>
      <c r="E19">
        <v>0</v>
      </c>
      <c r="F19">
        <v>0</v>
      </c>
      <c r="G19">
        <v>0</v>
      </c>
      <c r="H19">
        <v>0</v>
      </c>
      <c r="I19">
        <v>0</v>
      </c>
      <c r="J19">
        <v>0</v>
      </c>
      <c r="K19">
        <v>0</v>
      </c>
      <c r="L19">
        <v>0</v>
      </c>
      <c r="M19">
        <v>0</v>
      </c>
      <c r="N19">
        <v>0</v>
      </c>
      <c r="O19">
        <v>0</v>
      </c>
      <c r="P19">
        <v>0</v>
      </c>
      <c r="Q19">
        <v>0</v>
      </c>
      <c r="R19">
        <v>0</v>
      </c>
      <c r="S19" s="231">
        <f t="shared" si="0"/>
        <v>0</v>
      </c>
      <c r="T19" t="s">
        <v>590</v>
      </c>
      <c r="AN19" s="419"/>
      <c r="AP19" s="231">
        <f t="shared" si="1"/>
        <v>0</v>
      </c>
      <c r="AQ19" t="s">
        <v>590</v>
      </c>
      <c r="BC19" s="419"/>
      <c r="BD19" s="231">
        <f t="shared" si="2"/>
        <v>0</v>
      </c>
      <c r="BG19" t="s">
        <v>590</v>
      </c>
      <c r="BH19">
        <f>cmadjust*$S19*Multipliers!D416/1000000</f>
        <v>0</v>
      </c>
      <c r="BI19">
        <f>cmadjust*$S19*Multipliers!E416/1000000</f>
        <v>0</v>
      </c>
      <c r="BJ19">
        <f>cmadjust*$S19*Multipliers!F416/1000000</f>
        <v>0</v>
      </c>
      <c r="BK19">
        <f>cmadjust*$S19*Multipliers!G416/1000000</f>
        <v>0</v>
      </c>
      <c r="BL19">
        <f>cmadjust*$S19*Multipliers!H416/1000000</f>
        <v>0</v>
      </c>
      <c r="BM19">
        <f>cmadjust*$S19*Multipliers!I416/1000000</f>
        <v>0</v>
      </c>
      <c r="BN19">
        <f>cmadjust*$S19*Multipliers!J416/1000000</f>
        <v>0</v>
      </c>
      <c r="BO19">
        <f>cmadjust*$S19*Multipliers!K416/1000000</f>
        <v>0</v>
      </c>
      <c r="BP19">
        <f>cmadjust*$S19*Multipliers!L416/1000000</f>
        <v>0</v>
      </c>
      <c r="BQ19">
        <f>cmadjust*$S19*Multipliers!M416/1000000</f>
        <v>0</v>
      </c>
      <c r="BR19">
        <f>cmadjust*$S19*Multipliers!N416/1000000</f>
        <v>0</v>
      </c>
      <c r="BS19">
        <f>cmadjust*$S19*Multipliers!O416/1000000</f>
        <v>0</v>
      </c>
      <c r="BU19">
        <f>cmadjust*$AP19*Multipliers!D416/1000000</f>
        <v>0</v>
      </c>
      <c r="BV19">
        <f>cmadjust*$AP19*Multipliers!E416/1000000</f>
        <v>0</v>
      </c>
      <c r="BW19">
        <f>cmadjust*$AP19*Multipliers!F416/1000000</f>
        <v>0</v>
      </c>
      <c r="BX19">
        <f>cmadjust*$AP19*Multipliers!G416/1000000</f>
        <v>0</v>
      </c>
      <c r="BY19">
        <f>cmadjust*$AP19*Multipliers!H416/1000000</f>
        <v>0</v>
      </c>
      <c r="BZ19">
        <f>cmadjust*$AP19*Multipliers!I416/1000000</f>
        <v>0</v>
      </c>
      <c r="CA19">
        <f>cmadjust*$AP19*Multipliers!J416/1000000</f>
        <v>0</v>
      </c>
      <c r="CB19">
        <f>cmadjust*$AP19*Multipliers!K416/1000000</f>
        <v>0</v>
      </c>
      <c r="CC19">
        <f>cmadjust*$AP19*Multipliers!L416/1000000</f>
        <v>0</v>
      </c>
      <c r="CD19">
        <f>cmadjust*$AP19*Multipliers!M416/1000000</f>
        <v>0</v>
      </c>
      <c r="CE19">
        <f>cmadjust*$AP19*Multipliers!N416/1000000</f>
        <v>0</v>
      </c>
      <c r="CF19">
        <f>cmadjust*$AP19*Multipliers!O416/1000000</f>
        <v>0</v>
      </c>
      <c r="CH19">
        <f>cmadjust*$BD19*Multipliers!D416/1000000</f>
        <v>0</v>
      </c>
      <c r="CI19">
        <f>cmadjust*$BD19*Multipliers!E416/1000000</f>
        <v>0</v>
      </c>
      <c r="CJ19">
        <f>cmadjust*$BD19*Multipliers!F416/1000000</f>
        <v>0</v>
      </c>
      <c r="CK19">
        <f>cmadjust*$BD19*Multipliers!G416/1000000</f>
        <v>0</v>
      </c>
      <c r="CL19">
        <f>cmadjust*$BD19*Multipliers!H416/1000000</f>
        <v>0</v>
      </c>
      <c r="CM19">
        <f>cmadjust*$BD19*Multipliers!I416/1000000</f>
        <v>0</v>
      </c>
      <c r="CN19">
        <f>cmadjust*$BD19*Multipliers!J416/1000000</f>
        <v>0</v>
      </c>
      <c r="CO19">
        <f>cmadjust*$BD19*Multipliers!K416/1000000</f>
        <v>0</v>
      </c>
      <c r="CP19">
        <f>cmadjust*$BD19*Multipliers!L416/1000000</f>
        <v>0</v>
      </c>
      <c r="CQ19">
        <f>cmadjust*$BD19*Multipliers!M416/1000000</f>
        <v>0</v>
      </c>
      <c r="CR19">
        <f>cmadjust*$BD19*Multipliers!N416/1000000</f>
        <v>0</v>
      </c>
      <c r="CS19">
        <f>cmadjust*$BD19*Multipliers!O416/1000000</f>
        <v>0</v>
      </c>
    </row>
    <row r="20" spans="3:97" x14ac:dyDescent="0.25">
      <c r="C20" t="s">
        <v>591</v>
      </c>
      <c r="D20">
        <v>0</v>
      </c>
      <c r="E20" s="229">
        <f>E8</f>
        <v>0</v>
      </c>
      <c r="F20">
        <v>0</v>
      </c>
      <c r="G20">
        <v>0</v>
      </c>
      <c r="H20">
        <v>0</v>
      </c>
      <c r="I20">
        <v>0</v>
      </c>
      <c r="J20">
        <v>0</v>
      </c>
      <c r="K20">
        <v>0</v>
      </c>
      <c r="L20" s="229">
        <f>L8</f>
        <v>0</v>
      </c>
      <c r="M20">
        <v>0</v>
      </c>
      <c r="N20">
        <v>0</v>
      </c>
      <c r="O20">
        <v>0</v>
      </c>
      <c r="P20" s="229">
        <f>P8</f>
        <v>0</v>
      </c>
      <c r="Q20">
        <v>0</v>
      </c>
      <c r="R20">
        <v>0</v>
      </c>
      <c r="S20" s="231">
        <f t="shared" si="0"/>
        <v>0</v>
      </c>
      <c r="T20" t="s">
        <v>591</v>
      </c>
      <c r="X20">
        <f>X8</f>
        <v>0</v>
      </c>
      <c r="Y20">
        <f>Y8</f>
        <v>0</v>
      </c>
      <c r="AE20">
        <f>AE8</f>
        <v>0</v>
      </c>
      <c r="AN20" s="419"/>
      <c r="AP20" s="231">
        <f t="shared" si="1"/>
        <v>0</v>
      </c>
      <c r="AQ20" t="s">
        <v>591</v>
      </c>
      <c r="AS20">
        <f>AS8</f>
        <v>0</v>
      </c>
      <c r="AT20">
        <f>AT8</f>
        <v>0</v>
      </c>
      <c r="AX20">
        <f>AX8</f>
        <v>0</v>
      </c>
      <c r="BC20" s="419"/>
      <c r="BD20" s="231">
        <f t="shared" si="2"/>
        <v>0</v>
      </c>
      <c r="BG20" t="s">
        <v>591</v>
      </c>
      <c r="BH20">
        <f>cmadjust*$S20*Multipliers!D417/1000000</f>
        <v>0</v>
      </c>
      <c r="BI20">
        <f>cmadjust*$S20*Multipliers!E417/1000000</f>
        <v>0</v>
      </c>
      <c r="BJ20">
        <f>cmadjust*$S20*Multipliers!F417/1000000</f>
        <v>0</v>
      </c>
      <c r="BK20">
        <f>cmadjust*$S20*Multipliers!G417/1000000</f>
        <v>0</v>
      </c>
      <c r="BL20">
        <f>cmadjust*$S20*Multipliers!H417/1000000</f>
        <v>0</v>
      </c>
      <c r="BM20">
        <f>cmadjust*$S20*Multipliers!I417/1000000</f>
        <v>0</v>
      </c>
      <c r="BN20">
        <f>cmadjust*$S20*Multipliers!J417/1000000</f>
        <v>0</v>
      </c>
      <c r="BO20">
        <f>cmadjust*$S20*Multipliers!K417/1000000</f>
        <v>0</v>
      </c>
      <c r="BP20">
        <f>cmadjust*$S20*Multipliers!L417/1000000</f>
        <v>0</v>
      </c>
      <c r="BQ20">
        <f>cmadjust*$S20*Multipliers!M417/1000000</f>
        <v>0</v>
      </c>
      <c r="BR20">
        <f>cmadjust*$S20*Multipliers!N417/1000000</f>
        <v>0</v>
      </c>
      <c r="BS20">
        <f>cmadjust*$S20*Multipliers!O417/1000000</f>
        <v>0</v>
      </c>
      <c r="BU20">
        <f>cmadjust*$AP20*Multipliers!D417/1000000</f>
        <v>0</v>
      </c>
      <c r="BV20">
        <f>cmadjust*$AP20*Multipliers!E417/1000000</f>
        <v>0</v>
      </c>
      <c r="BW20">
        <f>cmadjust*$AP20*Multipliers!F417/1000000</f>
        <v>0</v>
      </c>
      <c r="BX20">
        <f>cmadjust*$AP20*Multipliers!G417/1000000</f>
        <v>0</v>
      </c>
      <c r="BY20">
        <f>cmadjust*$AP20*Multipliers!H417/1000000</f>
        <v>0</v>
      </c>
      <c r="BZ20">
        <f>cmadjust*$AP20*Multipliers!I417/1000000</f>
        <v>0</v>
      </c>
      <c r="CA20">
        <f>cmadjust*$AP20*Multipliers!J417/1000000</f>
        <v>0</v>
      </c>
      <c r="CB20">
        <f>cmadjust*$AP20*Multipliers!K417/1000000</f>
        <v>0</v>
      </c>
      <c r="CC20">
        <f>cmadjust*$AP20*Multipliers!L417/1000000</f>
        <v>0</v>
      </c>
      <c r="CD20">
        <f>cmadjust*$AP20*Multipliers!M417/1000000</f>
        <v>0</v>
      </c>
      <c r="CE20">
        <f>cmadjust*$AP20*Multipliers!N417/1000000</f>
        <v>0</v>
      </c>
      <c r="CF20">
        <f>cmadjust*$AP20*Multipliers!O417/1000000</f>
        <v>0</v>
      </c>
      <c r="CH20">
        <f>cmadjust*$BD20*Multipliers!D417/1000000</f>
        <v>0</v>
      </c>
      <c r="CI20">
        <f>cmadjust*$BD20*Multipliers!E417/1000000</f>
        <v>0</v>
      </c>
      <c r="CJ20">
        <f>cmadjust*$BD20*Multipliers!F417/1000000</f>
        <v>0</v>
      </c>
      <c r="CK20">
        <f>cmadjust*$BD20*Multipliers!G417/1000000</f>
        <v>0</v>
      </c>
      <c r="CL20">
        <f>cmadjust*$BD20*Multipliers!H417/1000000</f>
        <v>0</v>
      </c>
      <c r="CM20">
        <f>cmadjust*$BD20*Multipliers!I417/1000000</f>
        <v>0</v>
      </c>
      <c r="CN20">
        <f>cmadjust*$BD20*Multipliers!J417/1000000</f>
        <v>0</v>
      </c>
      <c r="CO20">
        <f>cmadjust*$BD20*Multipliers!K417/1000000</f>
        <v>0</v>
      </c>
      <c r="CP20">
        <f>cmadjust*$BD20*Multipliers!L417/1000000</f>
        <v>0</v>
      </c>
      <c r="CQ20">
        <f>cmadjust*$BD20*Multipliers!M417/1000000</f>
        <v>0</v>
      </c>
      <c r="CR20">
        <f>cmadjust*$BD20*Multipliers!N417/1000000</f>
        <v>0</v>
      </c>
      <c r="CS20">
        <f>cmadjust*$BD20*Multipliers!O417/1000000</f>
        <v>0</v>
      </c>
    </row>
    <row r="21" spans="3:97" x14ac:dyDescent="0.25">
      <c r="C21" t="s">
        <v>592</v>
      </c>
      <c r="D21">
        <v>0</v>
      </c>
      <c r="E21">
        <v>0</v>
      </c>
      <c r="F21">
        <v>0</v>
      </c>
      <c r="G21">
        <v>0</v>
      </c>
      <c r="H21">
        <v>0</v>
      </c>
      <c r="I21">
        <v>0</v>
      </c>
      <c r="J21">
        <v>0</v>
      </c>
      <c r="K21">
        <v>0</v>
      </c>
      <c r="L21">
        <v>0</v>
      </c>
      <c r="M21">
        <v>0</v>
      </c>
      <c r="N21" s="229">
        <f>N8</f>
        <v>0</v>
      </c>
      <c r="O21">
        <v>0</v>
      </c>
      <c r="P21">
        <v>0</v>
      </c>
      <c r="Q21" s="229">
        <f>Q8</f>
        <v>0</v>
      </c>
      <c r="R21" s="229">
        <f>R8</f>
        <v>0</v>
      </c>
      <c r="S21" s="231">
        <f t="shared" si="0"/>
        <v>0</v>
      </c>
      <c r="T21" t="s">
        <v>592</v>
      </c>
      <c r="Z21">
        <f t="shared" ref="Z21:AB21" si="3">Z8</f>
        <v>0</v>
      </c>
      <c r="AA21">
        <f t="shared" si="3"/>
        <v>0</v>
      </c>
      <c r="AB21">
        <f t="shared" si="3"/>
        <v>0</v>
      </c>
      <c r="AC21">
        <f>AC8</f>
        <v>0</v>
      </c>
      <c r="AD21">
        <f>AD8</f>
        <v>0</v>
      </c>
      <c r="AF21">
        <f t="shared" ref="AF21:AH21" si="4">AF8</f>
        <v>0</v>
      </c>
      <c r="AG21">
        <f t="shared" si="4"/>
        <v>0</v>
      </c>
      <c r="AH21">
        <f t="shared" si="4"/>
        <v>0</v>
      </c>
      <c r="AI21">
        <f>AI8</f>
        <v>0</v>
      </c>
      <c r="AN21" s="419"/>
      <c r="AO21">
        <f>AO8</f>
        <v>0</v>
      </c>
      <c r="AP21" s="231">
        <f t="shared" si="1"/>
        <v>0</v>
      </c>
      <c r="AQ21" t="s">
        <v>592</v>
      </c>
      <c r="BC21" s="419"/>
      <c r="BD21" s="231">
        <f t="shared" si="2"/>
        <v>0</v>
      </c>
      <c r="BG21" t="s">
        <v>592</v>
      </c>
      <c r="BH21">
        <f>cmadjust*$S21*Multipliers!D418/1000000</f>
        <v>0</v>
      </c>
      <c r="BI21">
        <f>cmadjust*$S21*Multipliers!E418/1000000</f>
        <v>0</v>
      </c>
      <c r="BJ21">
        <f>cmadjust*$S21*Multipliers!F418/1000000</f>
        <v>0</v>
      </c>
      <c r="BK21">
        <f>cmadjust*$S21*Multipliers!G418/1000000</f>
        <v>0</v>
      </c>
      <c r="BL21">
        <f>cmadjust*$S21*Multipliers!H418/1000000</f>
        <v>0</v>
      </c>
      <c r="BM21">
        <f>cmadjust*$S21*Multipliers!I418/1000000</f>
        <v>0</v>
      </c>
      <c r="BN21">
        <f>cmadjust*$S21*Multipliers!J418/1000000</f>
        <v>0</v>
      </c>
      <c r="BO21">
        <f>cmadjust*$S21*Multipliers!K418/1000000</f>
        <v>0</v>
      </c>
      <c r="BP21">
        <f>cmadjust*$S21*Multipliers!L418/1000000</f>
        <v>0</v>
      </c>
      <c r="BQ21">
        <f>cmadjust*$S21*Multipliers!M418/1000000</f>
        <v>0</v>
      </c>
      <c r="BR21">
        <f>cmadjust*$S21*Multipliers!N418/1000000</f>
        <v>0</v>
      </c>
      <c r="BS21">
        <f>cmadjust*$S21*Multipliers!O418/1000000</f>
        <v>0</v>
      </c>
      <c r="BU21">
        <f>cmadjust*$AP21*Multipliers!D418/1000000</f>
        <v>0</v>
      </c>
      <c r="BV21">
        <f>cmadjust*$AP21*Multipliers!E418/1000000</f>
        <v>0</v>
      </c>
      <c r="BW21">
        <f>cmadjust*$AP21*Multipliers!F418/1000000</f>
        <v>0</v>
      </c>
      <c r="BX21">
        <f>cmadjust*$AP21*Multipliers!G418/1000000</f>
        <v>0</v>
      </c>
      <c r="BY21">
        <f>cmadjust*$AP21*Multipliers!H418/1000000</f>
        <v>0</v>
      </c>
      <c r="BZ21">
        <f>cmadjust*$AP21*Multipliers!I418/1000000</f>
        <v>0</v>
      </c>
      <c r="CA21">
        <f>cmadjust*$AP21*Multipliers!J418/1000000</f>
        <v>0</v>
      </c>
      <c r="CB21">
        <f>cmadjust*$AP21*Multipliers!K418/1000000</f>
        <v>0</v>
      </c>
      <c r="CC21">
        <f>cmadjust*$AP21*Multipliers!L418/1000000</f>
        <v>0</v>
      </c>
      <c r="CD21">
        <f>cmadjust*$AP21*Multipliers!M418/1000000</f>
        <v>0</v>
      </c>
      <c r="CE21">
        <f>cmadjust*$AP21*Multipliers!N418/1000000</f>
        <v>0</v>
      </c>
      <c r="CF21">
        <f>cmadjust*$AP21*Multipliers!O418/1000000</f>
        <v>0</v>
      </c>
      <c r="CH21">
        <f>cmadjust*$BD21*Multipliers!D418/1000000</f>
        <v>0</v>
      </c>
      <c r="CI21">
        <f>cmadjust*$BD21*Multipliers!E418/1000000</f>
        <v>0</v>
      </c>
      <c r="CJ21">
        <f>cmadjust*$BD21*Multipliers!F418/1000000</f>
        <v>0</v>
      </c>
      <c r="CK21">
        <f>cmadjust*$BD21*Multipliers!G418/1000000</f>
        <v>0</v>
      </c>
      <c r="CL21">
        <f>cmadjust*$BD21*Multipliers!H418/1000000</f>
        <v>0</v>
      </c>
      <c r="CM21">
        <f>cmadjust*$BD21*Multipliers!I418/1000000</f>
        <v>0</v>
      </c>
      <c r="CN21">
        <f>cmadjust*$BD21*Multipliers!J418/1000000</f>
        <v>0</v>
      </c>
      <c r="CO21">
        <f>cmadjust*$BD21*Multipliers!K418/1000000</f>
        <v>0</v>
      </c>
      <c r="CP21">
        <f>cmadjust*$BD21*Multipliers!L418/1000000</f>
        <v>0</v>
      </c>
      <c r="CQ21">
        <f>cmadjust*$BD21*Multipliers!M418/1000000</f>
        <v>0</v>
      </c>
      <c r="CR21">
        <f>cmadjust*$BD21*Multipliers!N418/1000000</f>
        <v>0</v>
      </c>
      <c r="CS21">
        <f>cmadjust*$BD21*Multipliers!O418/1000000</f>
        <v>0</v>
      </c>
    </row>
    <row r="22" spans="3:97" x14ac:dyDescent="0.25">
      <c r="C22" t="s">
        <v>593</v>
      </c>
      <c r="D22">
        <v>0</v>
      </c>
      <c r="E22">
        <v>0</v>
      </c>
      <c r="F22">
        <v>0</v>
      </c>
      <c r="G22">
        <v>0</v>
      </c>
      <c r="H22">
        <v>0</v>
      </c>
      <c r="I22">
        <v>0</v>
      </c>
      <c r="J22">
        <v>0</v>
      </c>
      <c r="K22">
        <v>0</v>
      </c>
      <c r="L22">
        <v>0</v>
      </c>
      <c r="M22">
        <v>0</v>
      </c>
      <c r="N22">
        <v>0</v>
      </c>
      <c r="O22">
        <v>0</v>
      </c>
      <c r="P22">
        <v>0</v>
      </c>
      <c r="Q22">
        <v>0</v>
      </c>
      <c r="R22">
        <v>0</v>
      </c>
      <c r="S22" s="231">
        <f t="shared" si="0"/>
        <v>0</v>
      </c>
      <c r="T22" t="s">
        <v>593</v>
      </c>
      <c r="AN22" s="419"/>
      <c r="AP22" s="231">
        <f t="shared" si="1"/>
        <v>0</v>
      </c>
      <c r="AQ22" t="s">
        <v>593</v>
      </c>
      <c r="BC22" s="419"/>
      <c r="BD22" s="231">
        <f t="shared" si="2"/>
        <v>0</v>
      </c>
      <c r="BG22" t="s">
        <v>593</v>
      </c>
      <c r="BH22">
        <f>cmadjust*$S22*Multipliers!D419/1000000</f>
        <v>0</v>
      </c>
      <c r="BI22">
        <f>cmadjust*$S22*Multipliers!E419/1000000</f>
        <v>0</v>
      </c>
      <c r="BJ22">
        <f>cmadjust*$S22*Multipliers!F419/1000000</f>
        <v>0</v>
      </c>
      <c r="BK22">
        <f>cmadjust*$S22*Multipliers!G419/1000000</f>
        <v>0</v>
      </c>
      <c r="BL22">
        <f>cmadjust*$S22*Multipliers!H419/1000000</f>
        <v>0</v>
      </c>
      <c r="BM22">
        <f>cmadjust*$S22*Multipliers!I419/1000000</f>
        <v>0</v>
      </c>
      <c r="BN22">
        <f>cmadjust*$S22*Multipliers!J419/1000000</f>
        <v>0</v>
      </c>
      <c r="BO22">
        <f>cmadjust*$S22*Multipliers!K419/1000000</f>
        <v>0</v>
      </c>
      <c r="BP22">
        <f>cmadjust*$S22*Multipliers!L419/1000000</f>
        <v>0</v>
      </c>
      <c r="BQ22">
        <f>cmadjust*$S22*Multipliers!M419/1000000</f>
        <v>0</v>
      </c>
      <c r="BR22">
        <f>cmadjust*$S22*Multipliers!N419/1000000</f>
        <v>0</v>
      </c>
      <c r="BS22">
        <f>cmadjust*$S22*Multipliers!O419/1000000</f>
        <v>0</v>
      </c>
      <c r="BU22">
        <f>cmadjust*$AP22*Multipliers!D419/1000000</f>
        <v>0</v>
      </c>
      <c r="BV22">
        <f>cmadjust*$AP22*Multipliers!E419/1000000</f>
        <v>0</v>
      </c>
      <c r="BW22">
        <f>cmadjust*$AP22*Multipliers!F419/1000000</f>
        <v>0</v>
      </c>
      <c r="BX22">
        <f>cmadjust*$AP22*Multipliers!G419/1000000</f>
        <v>0</v>
      </c>
      <c r="BY22">
        <f>cmadjust*$AP22*Multipliers!H419/1000000</f>
        <v>0</v>
      </c>
      <c r="BZ22">
        <f>cmadjust*$AP22*Multipliers!I419/1000000</f>
        <v>0</v>
      </c>
      <c r="CA22">
        <f>cmadjust*$AP22*Multipliers!J419/1000000</f>
        <v>0</v>
      </c>
      <c r="CB22">
        <f>cmadjust*$AP22*Multipliers!K419/1000000</f>
        <v>0</v>
      </c>
      <c r="CC22">
        <f>cmadjust*$AP22*Multipliers!L419/1000000</f>
        <v>0</v>
      </c>
      <c r="CD22">
        <f>cmadjust*$AP22*Multipliers!M419/1000000</f>
        <v>0</v>
      </c>
      <c r="CE22">
        <f>cmadjust*$AP22*Multipliers!N419/1000000</f>
        <v>0</v>
      </c>
      <c r="CF22">
        <f>cmadjust*$AP22*Multipliers!O419/1000000</f>
        <v>0</v>
      </c>
      <c r="CH22">
        <f>cmadjust*$BD22*Multipliers!D419/1000000</f>
        <v>0</v>
      </c>
      <c r="CI22">
        <f>cmadjust*$BD22*Multipliers!E419/1000000</f>
        <v>0</v>
      </c>
      <c r="CJ22">
        <f>cmadjust*$BD22*Multipliers!F419/1000000</f>
        <v>0</v>
      </c>
      <c r="CK22">
        <f>cmadjust*$BD22*Multipliers!G419/1000000</f>
        <v>0</v>
      </c>
      <c r="CL22">
        <f>cmadjust*$BD22*Multipliers!H419/1000000</f>
        <v>0</v>
      </c>
      <c r="CM22">
        <f>cmadjust*$BD22*Multipliers!I419/1000000</f>
        <v>0</v>
      </c>
      <c r="CN22">
        <f>cmadjust*$BD22*Multipliers!J419/1000000</f>
        <v>0</v>
      </c>
      <c r="CO22">
        <f>cmadjust*$BD22*Multipliers!K419/1000000</f>
        <v>0</v>
      </c>
      <c r="CP22">
        <f>cmadjust*$BD22*Multipliers!L419/1000000</f>
        <v>0</v>
      </c>
      <c r="CQ22">
        <f>cmadjust*$BD22*Multipliers!M419/1000000</f>
        <v>0</v>
      </c>
      <c r="CR22">
        <f>cmadjust*$BD22*Multipliers!N419/1000000</f>
        <v>0</v>
      </c>
      <c r="CS22">
        <f>cmadjust*$BD22*Multipliers!O419/1000000</f>
        <v>0</v>
      </c>
    </row>
    <row r="23" spans="3:97" x14ac:dyDescent="0.25">
      <c r="C23" t="s">
        <v>594</v>
      </c>
      <c r="D23" s="229">
        <f>D8</f>
        <v>0</v>
      </c>
      <c r="E23">
        <v>0</v>
      </c>
      <c r="F23" s="229">
        <f>F8</f>
        <v>0</v>
      </c>
      <c r="G23">
        <v>0</v>
      </c>
      <c r="H23">
        <v>0</v>
      </c>
      <c r="I23">
        <v>0</v>
      </c>
      <c r="J23">
        <v>0</v>
      </c>
      <c r="K23">
        <v>0</v>
      </c>
      <c r="L23">
        <v>0</v>
      </c>
      <c r="M23">
        <v>0</v>
      </c>
      <c r="N23">
        <v>0</v>
      </c>
      <c r="O23">
        <v>0</v>
      </c>
      <c r="P23">
        <v>0</v>
      </c>
      <c r="Q23">
        <v>0</v>
      </c>
      <c r="R23">
        <v>0</v>
      </c>
      <c r="S23" s="231">
        <f t="shared" si="0"/>
        <v>0</v>
      </c>
      <c r="T23" t="s">
        <v>594</v>
      </c>
      <c r="V23">
        <f>V8</f>
        <v>0</v>
      </c>
      <c r="W23">
        <f>W8</f>
        <v>0</v>
      </c>
      <c r="AN23" s="419"/>
      <c r="AP23" s="231">
        <f t="shared" si="1"/>
        <v>0</v>
      </c>
      <c r="AQ23" t="s">
        <v>594</v>
      </c>
      <c r="AR23">
        <f>AR8</f>
        <v>0</v>
      </c>
      <c r="AU23">
        <f>AU8</f>
        <v>0</v>
      </c>
      <c r="AV23">
        <f>AV8</f>
        <v>0</v>
      </c>
      <c r="AW23">
        <f>AW8</f>
        <v>0</v>
      </c>
      <c r="BC23" s="419"/>
      <c r="BD23" s="231">
        <f t="shared" si="2"/>
        <v>0</v>
      </c>
      <c r="BG23" t="s">
        <v>594</v>
      </c>
      <c r="BH23">
        <f>cmadjust*$S23*Multipliers!D420/1000000</f>
        <v>0</v>
      </c>
      <c r="BI23">
        <f>cmadjust*$S23*Multipliers!E420/1000000</f>
        <v>0</v>
      </c>
      <c r="BJ23">
        <f>cmadjust*$S23*Multipliers!F420/1000000</f>
        <v>0</v>
      </c>
      <c r="BK23">
        <f>cmadjust*$S23*Multipliers!G420/1000000</f>
        <v>0</v>
      </c>
      <c r="BL23">
        <f>cmadjust*$S23*Multipliers!H420/1000000</f>
        <v>0</v>
      </c>
      <c r="BM23">
        <f>cmadjust*$S23*Multipliers!I420/1000000</f>
        <v>0</v>
      </c>
      <c r="BN23">
        <f>cmadjust*$S23*Multipliers!J420/1000000</f>
        <v>0</v>
      </c>
      <c r="BO23">
        <f>cmadjust*$S23*Multipliers!K420/1000000</f>
        <v>0</v>
      </c>
      <c r="BP23">
        <f>cmadjust*$S23*Multipliers!L420/1000000</f>
        <v>0</v>
      </c>
      <c r="BQ23">
        <f>cmadjust*$S23*Multipliers!M420/1000000</f>
        <v>0</v>
      </c>
      <c r="BR23">
        <f>cmadjust*$S23*Multipliers!N420/1000000</f>
        <v>0</v>
      </c>
      <c r="BS23">
        <f>cmadjust*$S23*Multipliers!O420/1000000</f>
        <v>0</v>
      </c>
      <c r="BU23">
        <f>cmadjust*$AP23*Multipliers!D420/1000000</f>
        <v>0</v>
      </c>
      <c r="BV23">
        <f>cmadjust*$AP23*Multipliers!E420/1000000</f>
        <v>0</v>
      </c>
      <c r="BW23">
        <f>cmadjust*$AP23*Multipliers!F420/1000000</f>
        <v>0</v>
      </c>
      <c r="BX23">
        <f>cmadjust*$AP23*Multipliers!G420/1000000</f>
        <v>0</v>
      </c>
      <c r="BY23">
        <f>cmadjust*$AP23*Multipliers!H420/1000000</f>
        <v>0</v>
      </c>
      <c r="BZ23">
        <f>cmadjust*$AP23*Multipliers!I420/1000000</f>
        <v>0</v>
      </c>
      <c r="CA23">
        <f>cmadjust*$AP23*Multipliers!J420/1000000</f>
        <v>0</v>
      </c>
      <c r="CB23">
        <f>cmadjust*$AP23*Multipliers!K420/1000000</f>
        <v>0</v>
      </c>
      <c r="CC23">
        <f>cmadjust*$AP23*Multipliers!L420/1000000</f>
        <v>0</v>
      </c>
      <c r="CD23">
        <f>cmadjust*$AP23*Multipliers!M420/1000000</f>
        <v>0</v>
      </c>
      <c r="CE23">
        <f>cmadjust*$AP23*Multipliers!N420/1000000</f>
        <v>0</v>
      </c>
      <c r="CF23">
        <f>cmadjust*$AP23*Multipliers!O420/1000000</f>
        <v>0</v>
      </c>
      <c r="CH23">
        <f>cmadjust*$BD23*Multipliers!D420/1000000</f>
        <v>0</v>
      </c>
      <c r="CI23">
        <f>cmadjust*$BD23*Multipliers!E420/1000000</f>
        <v>0</v>
      </c>
      <c r="CJ23">
        <f>cmadjust*$BD23*Multipliers!F420/1000000</f>
        <v>0</v>
      </c>
      <c r="CK23">
        <f>cmadjust*$BD23*Multipliers!G420/1000000</f>
        <v>0</v>
      </c>
      <c r="CL23">
        <f>cmadjust*$BD23*Multipliers!H420/1000000</f>
        <v>0</v>
      </c>
      <c r="CM23">
        <f>cmadjust*$BD23*Multipliers!I420/1000000</f>
        <v>0</v>
      </c>
      <c r="CN23">
        <f>cmadjust*$BD23*Multipliers!J420/1000000</f>
        <v>0</v>
      </c>
      <c r="CO23">
        <f>cmadjust*$BD23*Multipliers!K420/1000000</f>
        <v>0</v>
      </c>
      <c r="CP23">
        <f>cmadjust*$BD23*Multipliers!L420/1000000</f>
        <v>0</v>
      </c>
      <c r="CQ23">
        <f>cmadjust*$BD23*Multipliers!M420/1000000</f>
        <v>0</v>
      </c>
      <c r="CR23">
        <f>cmadjust*$BD23*Multipliers!N420/1000000</f>
        <v>0</v>
      </c>
      <c r="CS23">
        <f>cmadjust*$BD23*Multipliers!O420/1000000</f>
        <v>0</v>
      </c>
    </row>
    <row r="24" spans="3:97" x14ac:dyDescent="0.25">
      <c r="C24" t="s">
        <v>415</v>
      </c>
      <c r="D24">
        <v>0</v>
      </c>
      <c r="E24">
        <v>0</v>
      </c>
      <c r="F24">
        <v>0</v>
      </c>
      <c r="G24" s="229">
        <f>G8</f>
        <v>0</v>
      </c>
      <c r="H24">
        <v>0</v>
      </c>
      <c r="I24" s="229">
        <f>I8</f>
        <v>0</v>
      </c>
      <c r="J24">
        <v>0</v>
      </c>
      <c r="K24" s="229">
        <f>K8</f>
        <v>0</v>
      </c>
      <c r="L24">
        <v>0</v>
      </c>
      <c r="M24">
        <v>0</v>
      </c>
      <c r="N24">
        <v>0</v>
      </c>
      <c r="O24">
        <v>0</v>
      </c>
      <c r="P24">
        <v>0</v>
      </c>
      <c r="Q24">
        <v>0</v>
      </c>
      <c r="R24">
        <v>0</v>
      </c>
      <c r="S24" s="231">
        <f t="shared" si="0"/>
        <v>0</v>
      </c>
      <c r="T24" t="s">
        <v>415</v>
      </c>
      <c r="AN24" s="419"/>
      <c r="AP24" s="231">
        <f t="shared" si="1"/>
        <v>0</v>
      </c>
      <c r="AQ24" t="s">
        <v>415</v>
      </c>
      <c r="BC24" s="419"/>
      <c r="BD24" s="231">
        <f t="shared" si="2"/>
        <v>0</v>
      </c>
      <c r="BG24" t="s">
        <v>415</v>
      </c>
      <c r="BH24">
        <f>cmadjust*$S24*Multipliers!D421/1000000</f>
        <v>0</v>
      </c>
      <c r="BI24">
        <f>cmadjust*$S24*Multipliers!E421/1000000</f>
        <v>0</v>
      </c>
      <c r="BJ24">
        <f>cmadjust*$S24*Multipliers!F421/1000000</f>
        <v>0</v>
      </c>
      <c r="BK24">
        <f>cmadjust*$S24*Multipliers!G421/1000000</f>
        <v>0</v>
      </c>
      <c r="BL24">
        <f>cmadjust*$S24*Multipliers!H421/1000000</f>
        <v>0</v>
      </c>
      <c r="BM24">
        <f>cmadjust*$S24*Multipliers!I421/1000000</f>
        <v>0</v>
      </c>
      <c r="BN24">
        <f>cmadjust*$S24*Multipliers!J421/1000000</f>
        <v>0</v>
      </c>
      <c r="BO24">
        <f>cmadjust*$S24*Multipliers!K421/1000000</f>
        <v>0</v>
      </c>
      <c r="BP24">
        <f>cmadjust*$S24*Multipliers!L421/1000000</f>
        <v>0</v>
      </c>
      <c r="BQ24">
        <f>cmadjust*$S24*Multipliers!M421/1000000</f>
        <v>0</v>
      </c>
      <c r="BR24">
        <f>cmadjust*$S24*Multipliers!N421/1000000</f>
        <v>0</v>
      </c>
      <c r="BS24">
        <f>cmadjust*$S24*Multipliers!O421/1000000</f>
        <v>0</v>
      </c>
      <c r="BU24">
        <f>cmadjust*$AP24*Multipliers!D421/1000000</f>
        <v>0</v>
      </c>
      <c r="BV24">
        <f>cmadjust*$AP24*Multipliers!E421/1000000</f>
        <v>0</v>
      </c>
      <c r="BW24">
        <f>cmadjust*$AP24*Multipliers!F421/1000000</f>
        <v>0</v>
      </c>
      <c r="BX24">
        <f>cmadjust*$AP24*Multipliers!G421/1000000</f>
        <v>0</v>
      </c>
      <c r="BY24">
        <f>cmadjust*$AP24*Multipliers!H421/1000000</f>
        <v>0</v>
      </c>
      <c r="BZ24">
        <f>cmadjust*$AP24*Multipliers!I421/1000000</f>
        <v>0</v>
      </c>
      <c r="CA24">
        <f>cmadjust*$AP24*Multipliers!J421/1000000</f>
        <v>0</v>
      </c>
      <c r="CB24">
        <f>cmadjust*$AP24*Multipliers!K421/1000000</f>
        <v>0</v>
      </c>
      <c r="CC24">
        <f>cmadjust*$AP24*Multipliers!L421/1000000</f>
        <v>0</v>
      </c>
      <c r="CD24">
        <f>cmadjust*$AP24*Multipliers!M421/1000000</f>
        <v>0</v>
      </c>
      <c r="CE24">
        <f>cmadjust*$AP24*Multipliers!N421/1000000</f>
        <v>0</v>
      </c>
      <c r="CF24">
        <f>cmadjust*$AP24*Multipliers!O421/1000000</f>
        <v>0</v>
      </c>
      <c r="CH24">
        <f>cmadjust*$BD24*Multipliers!D421/1000000</f>
        <v>0</v>
      </c>
      <c r="CI24">
        <f>cmadjust*$BD24*Multipliers!E421/1000000</f>
        <v>0</v>
      </c>
      <c r="CJ24">
        <f>cmadjust*$BD24*Multipliers!F421/1000000</f>
        <v>0</v>
      </c>
      <c r="CK24">
        <f>cmadjust*$BD24*Multipliers!G421/1000000</f>
        <v>0</v>
      </c>
      <c r="CL24">
        <f>cmadjust*$BD24*Multipliers!H421/1000000</f>
        <v>0</v>
      </c>
      <c r="CM24">
        <f>cmadjust*$BD24*Multipliers!I421/1000000</f>
        <v>0</v>
      </c>
      <c r="CN24">
        <f>cmadjust*$BD24*Multipliers!J421/1000000</f>
        <v>0</v>
      </c>
      <c r="CO24">
        <f>cmadjust*$BD24*Multipliers!K421/1000000</f>
        <v>0</v>
      </c>
      <c r="CP24">
        <f>cmadjust*$BD24*Multipliers!L421/1000000</f>
        <v>0</v>
      </c>
      <c r="CQ24">
        <f>cmadjust*$BD24*Multipliers!M421/1000000</f>
        <v>0</v>
      </c>
      <c r="CR24">
        <f>cmadjust*$BD24*Multipliers!N421/1000000</f>
        <v>0</v>
      </c>
      <c r="CS24">
        <f>cmadjust*$BD24*Multipliers!O421/1000000</f>
        <v>0</v>
      </c>
    </row>
    <row r="25" spans="3:97" x14ac:dyDescent="0.25">
      <c r="C25" t="s">
        <v>595</v>
      </c>
      <c r="D25">
        <v>0</v>
      </c>
      <c r="E25">
        <v>0</v>
      </c>
      <c r="F25">
        <v>0</v>
      </c>
      <c r="G25">
        <v>0</v>
      </c>
      <c r="H25">
        <v>0</v>
      </c>
      <c r="I25">
        <v>0</v>
      </c>
      <c r="J25">
        <v>0</v>
      </c>
      <c r="K25">
        <v>0</v>
      </c>
      <c r="L25">
        <v>0</v>
      </c>
      <c r="M25">
        <v>0</v>
      </c>
      <c r="N25">
        <v>0</v>
      </c>
      <c r="O25">
        <v>0</v>
      </c>
      <c r="P25">
        <v>0</v>
      </c>
      <c r="Q25">
        <v>0</v>
      </c>
      <c r="R25">
        <v>0</v>
      </c>
      <c r="S25" s="231">
        <f t="shared" si="0"/>
        <v>0</v>
      </c>
      <c r="T25" t="s">
        <v>595</v>
      </c>
      <c r="AN25" s="419"/>
      <c r="AP25" s="231">
        <f t="shared" si="1"/>
        <v>0</v>
      </c>
      <c r="AQ25" t="s">
        <v>595</v>
      </c>
      <c r="BC25" s="419"/>
      <c r="BD25" s="231">
        <f t="shared" si="2"/>
        <v>0</v>
      </c>
      <c r="BG25" t="s">
        <v>595</v>
      </c>
      <c r="BH25">
        <f>cmadjust*$S25*Multipliers!D422/1000000</f>
        <v>0</v>
      </c>
      <c r="BI25">
        <f>cmadjust*$S25*Multipliers!E422/1000000</f>
        <v>0</v>
      </c>
      <c r="BJ25">
        <f>cmadjust*$S25*Multipliers!F422/1000000</f>
        <v>0</v>
      </c>
      <c r="BK25">
        <f>cmadjust*$S25*Multipliers!G422/1000000</f>
        <v>0</v>
      </c>
      <c r="BL25">
        <f>cmadjust*$S25*Multipliers!H422/1000000</f>
        <v>0</v>
      </c>
      <c r="BM25">
        <f>cmadjust*$S25*Multipliers!I422/1000000</f>
        <v>0</v>
      </c>
      <c r="BN25">
        <f>cmadjust*$S25*Multipliers!J422/1000000</f>
        <v>0</v>
      </c>
      <c r="BO25">
        <f>cmadjust*$S25*Multipliers!K422/1000000</f>
        <v>0</v>
      </c>
      <c r="BP25">
        <f>cmadjust*$S25*Multipliers!L422/1000000</f>
        <v>0</v>
      </c>
      <c r="BQ25">
        <f>cmadjust*$S25*Multipliers!M422/1000000</f>
        <v>0</v>
      </c>
      <c r="BR25">
        <f>cmadjust*$S25*Multipliers!N422/1000000</f>
        <v>0</v>
      </c>
      <c r="BS25">
        <f>cmadjust*$S25*Multipliers!O422/1000000</f>
        <v>0</v>
      </c>
      <c r="BU25">
        <f>cmadjust*$AP25*Multipliers!D422/1000000</f>
        <v>0</v>
      </c>
      <c r="BV25">
        <f>cmadjust*$AP25*Multipliers!E422/1000000</f>
        <v>0</v>
      </c>
      <c r="BW25">
        <f>cmadjust*$AP25*Multipliers!F422/1000000</f>
        <v>0</v>
      </c>
      <c r="BX25">
        <f>cmadjust*$AP25*Multipliers!G422/1000000</f>
        <v>0</v>
      </c>
      <c r="BY25">
        <f>cmadjust*$AP25*Multipliers!H422/1000000</f>
        <v>0</v>
      </c>
      <c r="BZ25">
        <f>cmadjust*$AP25*Multipliers!I422/1000000</f>
        <v>0</v>
      </c>
      <c r="CA25">
        <f>cmadjust*$AP25*Multipliers!J422/1000000</f>
        <v>0</v>
      </c>
      <c r="CB25">
        <f>cmadjust*$AP25*Multipliers!K422/1000000</f>
        <v>0</v>
      </c>
      <c r="CC25">
        <f>cmadjust*$AP25*Multipliers!L422/1000000</f>
        <v>0</v>
      </c>
      <c r="CD25">
        <f>cmadjust*$AP25*Multipliers!M422/1000000</f>
        <v>0</v>
      </c>
      <c r="CE25">
        <f>cmadjust*$AP25*Multipliers!N422/1000000</f>
        <v>0</v>
      </c>
      <c r="CF25">
        <f>cmadjust*$AP25*Multipliers!O422/1000000</f>
        <v>0</v>
      </c>
      <c r="CH25">
        <f>cmadjust*$BD25*Multipliers!D422/1000000</f>
        <v>0</v>
      </c>
      <c r="CI25">
        <f>cmadjust*$BD25*Multipliers!E422/1000000</f>
        <v>0</v>
      </c>
      <c r="CJ25">
        <f>cmadjust*$BD25*Multipliers!F422/1000000</f>
        <v>0</v>
      </c>
      <c r="CK25">
        <f>cmadjust*$BD25*Multipliers!G422/1000000</f>
        <v>0</v>
      </c>
      <c r="CL25">
        <f>cmadjust*$BD25*Multipliers!H422/1000000</f>
        <v>0</v>
      </c>
      <c r="CM25">
        <f>cmadjust*$BD25*Multipliers!I422/1000000</f>
        <v>0</v>
      </c>
      <c r="CN25">
        <f>cmadjust*$BD25*Multipliers!J422/1000000</f>
        <v>0</v>
      </c>
      <c r="CO25">
        <f>cmadjust*$BD25*Multipliers!K422/1000000</f>
        <v>0</v>
      </c>
      <c r="CP25">
        <f>cmadjust*$BD25*Multipliers!L422/1000000</f>
        <v>0</v>
      </c>
      <c r="CQ25">
        <f>cmadjust*$BD25*Multipliers!M422/1000000</f>
        <v>0</v>
      </c>
      <c r="CR25">
        <f>cmadjust*$BD25*Multipliers!N422/1000000</f>
        <v>0</v>
      </c>
      <c r="CS25">
        <f>cmadjust*$BD25*Multipliers!O422/1000000</f>
        <v>0</v>
      </c>
    </row>
    <row r="26" spans="3:97" x14ac:dyDescent="0.25">
      <c r="C26" t="s">
        <v>417</v>
      </c>
      <c r="D26">
        <v>0</v>
      </c>
      <c r="E26">
        <v>0</v>
      </c>
      <c r="F26">
        <v>0</v>
      </c>
      <c r="G26">
        <v>0</v>
      </c>
      <c r="H26" s="229">
        <f>H8</f>
        <v>0</v>
      </c>
      <c r="I26">
        <v>0</v>
      </c>
      <c r="J26" s="229">
        <f>J8</f>
        <v>0</v>
      </c>
      <c r="K26">
        <v>0</v>
      </c>
      <c r="L26">
        <v>0</v>
      </c>
      <c r="M26">
        <v>0</v>
      </c>
      <c r="N26">
        <v>0</v>
      </c>
      <c r="O26">
        <v>0</v>
      </c>
      <c r="P26">
        <v>0</v>
      </c>
      <c r="Q26">
        <v>0</v>
      </c>
      <c r="R26">
        <v>0</v>
      </c>
      <c r="S26" s="231">
        <f t="shared" si="0"/>
        <v>0</v>
      </c>
      <c r="T26" t="s">
        <v>417</v>
      </c>
      <c r="AN26" s="419"/>
      <c r="AP26" s="231">
        <f t="shared" si="1"/>
        <v>0</v>
      </c>
      <c r="AQ26" t="s">
        <v>417</v>
      </c>
      <c r="BC26" s="419"/>
      <c r="BD26" s="231">
        <f t="shared" si="2"/>
        <v>0</v>
      </c>
      <c r="BG26" t="s">
        <v>417</v>
      </c>
      <c r="BH26">
        <f>cmadjust*$S26*Multipliers!D423/1000000</f>
        <v>0</v>
      </c>
      <c r="BI26">
        <f>cmadjust*$S26*Multipliers!E423/1000000</f>
        <v>0</v>
      </c>
      <c r="BJ26">
        <f>cmadjust*$S26*Multipliers!F423/1000000</f>
        <v>0</v>
      </c>
      <c r="BK26">
        <f>cmadjust*$S26*Multipliers!G423/1000000</f>
        <v>0</v>
      </c>
      <c r="BL26">
        <f>cmadjust*$S26*Multipliers!H423/1000000</f>
        <v>0</v>
      </c>
      <c r="BM26">
        <f>cmadjust*$S26*Multipliers!I423/1000000</f>
        <v>0</v>
      </c>
      <c r="BN26">
        <f>cmadjust*$S26*Multipliers!J423/1000000</f>
        <v>0</v>
      </c>
      <c r="BO26">
        <f>cmadjust*$S26*Multipliers!K423/1000000</f>
        <v>0</v>
      </c>
      <c r="BP26">
        <f>cmadjust*$S26*Multipliers!L423/1000000</f>
        <v>0</v>
      </c>
      <c r="BQ26">
        <f>cmadjust*$S26*Multipliers!M423/1000000</f>
        <v>0</v>
      </c>
      <c r="BR26">
        <f>cmadjust*$S26*Multipliers!N423/1000000</f>
        <v>0</v>
      </c>
      <c r="BS26">
        <f>cmadjust*$S26*Multipliers!O423/1000000</f>
        <v>0</v>
      </c>
      <c r="BU26">
        <f>cmadjust*$AP26*Multipliers!D423/1000000</f>
        <v>0</v>
      </c>
      <c r="BV26">
        <f>cmadjust*$AP26*Multipliers!E423/1000000</f>
        <v>0</v>
      </c>
      <c r="BW26">
        <f>cmadjust*$AP26*Multipliers!F423/1000000</f>
        <v>0</v>
      </c>
      <c r="BX26">
        <f>cmadjust*$AP26*Multipliers!G423/1000000</f>
        <v>0</v>
      </c>
      <c r="BY26">
        <f>cmadjust*$AP26*Multipliers!H423/1000000</f>
        <v>0</v>
      </c>
      <c r="BZ26">
        <f>cmadjust*$AP26*Multipliers!I423/1000000</f>
        <v>0</v>
      </c>
      <c r="CA26">
        <f>cmadjust*$AP26*Multipliers!J423/1000000</f>
        <v>0</v>
      </c>
      <c r="CB26">
        <f>cmadjust*$AP26*Multipliers!K423/1000000</f>
        <v>0</v>
      </c>
      <c r="CC26">
        <f>cmadjust*$AP26*Multipliers!L423/1000000</f>
        <v>0</v>
      </c>
      <c r="CD26">
        <f>cmadjust*$AP26*Multipliers!M423/1000000</f>
        <v>0</v>
      </c>
      <c r="CE26">
        <f>cmadjust*$AP26*Multipliers!N423/1000000</f>
        <v>0</v>
      </c>
      <c r="CF26">
        <f>cmadjust*$AP26*Multipliers!O423/1000000</f>
        <v>0</v>
      </c>
      <c r="CH26">
        <f>cmadjust*$BD26*Multipliers!D423/1000000</f>
        <v>0</v>
      </c>
      <c r="CI26">
        <f>cmadjust*$BD26*Multipliers!E423/1000000</f>
        <v>0</v>
      </c>
      <c r="CJ26">
        <f>cmadjust*$BD26*Multipliers!F423/1000000</f>
        <v>0</v>
      </c>
      <c r="CK26">
        <f>cmadjust*$BD26*Multipliers!G423/1000000</f>
        <v>0</v>
      </c>
      <c r="CL26">
        <f>cmadjust*$BD26*Multipliers!H423/1000000</f>
        <v>0</v>
      </c>
      <c r="CM26">
        <f>cmadjust*$BD26*Multipliers!I423/1000000</f>
        <v>0</v>
      </c>
      <c r="CN26">
        <f>cmadjust*$BD26*Multipliers!J423/1000000</f>
        <v>0</v>
      </c>
      <c r="CO26">
        <f>cmadjust*$BD26*Multipliers!K423/1000000</f>
        <v>0</v>
      </c>
      <c r="CP26">
        <f>cmadjust*$BD26*Multipliers!L423/1000000</f>
        <v>0</v>
      </c>
      <c r="CQ26">
        <f>cmadjust*$BD26*Multipliers!M423/1000000</f>
        <v>0</v>
      </c>
      <c r="CR26">
        <f>cmadjust*$BD26*Multipliers!N423/1000000</f>
        <v>0</v>
      </c>
      <c r="CS26">
        <f>cmadjust*$BD26*Multipliers!O423/1000000</f>
        <v>0</v>
      </c>
    </row>
    <row r="27" spans="3:97" x14ac:dyDescent="0.25">
      <c r="C27" t="s">
        <v>418</v>
      </c>
      <c r="D27">
        <v>0</v>
      </c>
      <c r="E27">
        <v>0</v>
      </c>
      <c r="F27">
        <v>0</v>
      </c>
      <c r="G27">
        <v>0</v>
      </c>
      <c r="H27">
        <v>0</v>
      </c>
      <c r="I27">
        <v>0</v>
      </c>
      <c r="J27">
        <v>0</v>
      </c>
      <c r="K27">
        <v>0</v>
      </c>
      <c r="L27">
        <v>0</v>
      </c>
      <c r="M27">
        <v>0</v>
      </c>
      <c r="N27">
        <v>0</v>
      </c>
      <c r="O27">
        <v>0</v>
      </c>
      <c r="P27">
        <v>0</v>
      </c>
      <c r="Q27">
        <v>0</v>
      </c>
      <c r="R27">
        <v>0</v>
      </c>
      <c r="S27" s="231">
        <f t="shared" si="0"/>
        <v>0</v>
      </c>
      <c r="T27" t="s">
        <v>418</v>
      </c>
      <c r="AN27" s="419"/>
      <c r="AP27" s="231">
        <f t="shared" si="1"/>
        <v>0</v>
      </c>
      <c r="AQ27" t="s">
        <v>418</v>
      </c>
      <c r="BC27" s="419"/>
      <c r="BD27" s="231">
        <f t="shared" si="2"/>
        <v>0</v>
      </c>
      <c r="BG27" t="s">
        <v>418</v>
      </c>
      <c r="BH27">
        <f>cmadjust*$S27*Multipliers!D424/1000000</f>
        <v>0</v>
      </c>
      <c r="BI27">
        <f>cmadjust*$S27*Multipliers!E424/1000000</f>
        <v>0</v>
      </c>
      <c r="BJ27">
        <f>cmadjust*$S27*Multipliers!F424/1000000</f>
        <v>0</v>
      </c>
      <c r="BK27">
        <f>cmadjust*$S27*Multipliers!G424/1000000</f>
        <v>0</v>
      </c>
      <c r="BL27">
        <f>cmadjust*$S27*Multipliers!H424/1000000</f>
        <v>0</v>
      </c>
      <c r="BM27">
        <f>cmadjust*$S27*Multipliers!I424/1000000</f>
        <v>0</v>
      </c>
      <c r="BN27">
        <f>cmadjust*$S27*Multipliers!J424/1000000</f>
        <v>0</v>
      </c>
      <c r="BO27">
        <f>cmadjust*$S27*Multipliers!K424/1000000</f>
        <v>0</v>
      </c>
      <c r="BP27">
        <f>cmadjust*$S27*Multipliers!L424/1000000</f>
        <v>0</v>
      </c>
      <c r="BQ27">
        <f>cmadjust*$S27*Multipliers!M424/1000000</f>
        <v>0</v>
      </c>
      <c r="BR27">
        <f>cmadjust*$S27*Multipliers!N424/1000000</f>
        <v>0</v>
      </c>
      <c r="BS27">
        <f>cmadjust*$S27*Multipliers!O424/1000000</f>
        <v>0</v>
      </c>
      <c r="BU27">
        <f>cmadjust*$AP27*Multipliers!D424/1000000</f>
        <v>0</v>
      </c>
      <c r="BV27">
        <f>cmadjust*$AP27*Multipliers!E424/1000000</f>
        <v>0</v>
      </c>
      <c r="BW27">
        <f>cmadjust*$AP27*Multipliers!F424/1000000</f>
        <v>0</v>
      </c>
      <c r="BX27">
        <f>cmadjust*$AP27*Multipliers!G424/1000000</f>
        <v>0</v>
      </c>
      <c r="BY27">
        <f>cmadjust*$AP27*Multipliers!H424/1000000</f>
        <v>0</v>
      </c>
      <c r="BZ27">
        <f>cmadjust*$AP27*Multipliers!I424/1000000</f>
        <v>0</v>
      </c>
      <c r="CA27">
        <f>cmadjust*$AP27*Multipliers!J424/1000000</f>
        <v>0</v>
      </c>
      <c r="CB27">
        <f>cmadjust*$AP27*Multipliers!K424/1000000</f>
        <v>0</v>
      </c>
      <c r="CC27">
        <f>cmadjust*$AP27*Multipliers!L424/1000000</f>
        <v>0</v>
      </c>
      <c r="CD27">
        <f>cmadjust*$AP27*Multipliers!M424/1000000</f>
        <v>0</v>
      </c>
      <c r="CE27">
        <f>cmadjust*$AP27*Multipliers!N424/1000000</f>
        <v>0</v>
      </c>
      <c r="CF27">
        <f>cmadjust*$AP27*Multipliers!O424/1000000</f>
        <v>0</v>
      </c>
      <c r="CH27">
        <f>cmadjust*$BD27*Multipliers!D424/1000000</f>
        <v>0</v>
      </c>
      <c r="CI27">
        <f>cmadjust*$BD27*Multipliers!E424/1000000</f>
        <v>0</v>
      </c>
      <c r="CJ27">
        <f>cmadjust*$BD27*Multipliers!F424/1000000</f>
        <v>0</v>
      </c>
      <c r="CK27">
        <f>cmadjust*$BD27*Multipliers!G424/1000000</f>
        <v>0</v>
      </c>
      <c r="CL27">
        <f>cmadjust*$BD27*Multipliers!H424/1000000</f>
        <v>0</v>
      </c>
      <c r="CM27">
        <f>cmadjust*$BD27*Multipliers!I424/1000000</f>
        <v>0</v>
      </c>
      <c r="CN27">
        <f>cmadjust*$BD27*Multipliers!J424/1000000</f>
        <v>0</v>
      </c>
      <c r="CO27">
        <f>cmadjust*$BD27*Multipliers!K424/1000000</f>
        <v>0</v>
      </c>
      <c r="CP27">
        <f>cmadjust*$BD27*Multipliers!L424/1000000</f>
        <v>0</v>
      </c>
      <c r="CQ27">
        <f>cmadjust*$BD27*Multipliers!M424/1000000</f>
        <v>0</v>
      </c>
      <c r="CR27">
        <f>cmadjust*$BD27*Multipliers!N424/1000000</f>
        <v>0</v>
      </c>
      <c r="CS27">
        <f>cmadjust*$BD27*Multipliers!O424/1000000</f>
        <v>0</v>
      </c>
    </row>
    <row r="28" spans="3:97" x14ac:dyDescent="0.25">
      <c r="C28" t="s">
        <v>596</v>
      </c>
      <c r="D28">
        <v>0</v>
      </c>
      <c r="E28">
        <v>0</v>
      </c>
      <c r="F28">
        <v>0</v>
      </c>
      <c r="G28">
        <v>0</v>
      </c>
      <c r="H28">
        <v>0</v>
      </c>
      <c r="I28">
        <v>0</v>
      </c>
      <c r="J28">
        <v>0</v>
      </c>
      <c r="K28">
        <v>0</v>
      </c>
      <c r="L28">
        <v>0</v>
      </c>
      <c r="M28">
        <v>0</v>
      </c>
      <c r="N28">
        <v>0</v>
      </c>
      <c r="O28">
        <v>0</v>
      </c>
      <c r="P28">
        <v>0</v>
      </c>
      <c r="Q28">
        <v>0</v>
      </c>
      <c r="R28">
        <v>0</v>
      </c>
      <c r="S28" s="231">
        <f t="shared" si="0"/>
        <v>0</v>
      </c>
      <c r="T28" t="s">
        <v>596</v>
      </c>
      <c r="AN28" s="419"/>
      <c r="AP28" s="231">
        <f t="shared" si="1"/>
        <v>0</v>
      </c>
      <c r="AQ28" t="s">
        <v>596</v>
      </c>
      <c r="BC28" s="419"/>
      <c r="BD28" s="231">
        <f t="shared" si="2"/>
        <v>0</v>
      </c>
      <c r="BG28" t="s">
        <v>596</v>
      </c>
      <c r="BH28">
        <f>cmadjust*$S28*Multipliers!D425/1000000</f>
        <v>0</v>
      </c>
      <c r="BI28">
        <f>cmadjust*$S28*Multipliers!E425/1000000</f>
        <v>0</v>
      </c>
      <c r="BJ28">
        <f>cmadjust*$S28*Multipliers!F425/1000000</f>
        <v>0</v>
      </c>
      <c r="BK28">
        <f>cmadjust*$S28*Multipliers!G425/1000000</f>
        <v>0</v>
      </c>
      <c r="BL28">
        <f>cmadjust*$S28*Multipliers!H425/1000000</f>
        <v>0</v>
      </c>
      <c r="BM28">
        <f>cmadjust*$S28*Multipliers!I425/1000000</f>
        <v>0</v>
      </c>
      <c r="BN28">
        <f>cmadjust*$S28*Multipliers!J425/1000000</f>
        <v>0</v>
      </c>
      <c r="BO28">
        <f>cmadjust*$S28*Multipliers!K425/1000000</f>
        <v>0</v>
      </c>
      <c r="BP28">
        <f>cmadjust*$S28*Multipliers!L425/1000000</f>
        <v>0</v>
      </c>
      <c r="BQ28">
        <f>cmadjust*$S28*Multipliers!M425/1000000</f>
        <v>0</v>
      </c>
      <c r="BR28">
        <f>cmadjust*$S28*Multipliers!N425/1000000</f>
        <v>0</v>
      </c>
      <c r="BS28">
        <f>cmadjust*$S28*Multipliers!O425/1000000</f>
        <v>0</v>
      </c>
      <c r="BU28">
        <f>cmadjust*$AP28*Multipliers!D425/1000000</f>
        <v>0</v>
      </c>
      <c r="BV28">
        <f>cmadjust*$AP28*Multipliers!E425/1000000</f>
        <v>0</v>
      </c>
      <c r="BW28">
        <f>cmadjust*$AP28*Multipliers!F425/1000000</f>
        <v>0</v>
      </c>
      <c r="BX28">
        <f>cmadjust*$AP28*Multipliers!G425/1000000</f>
        <v>0</v>
      </c>
      <c r="BY28">
        <f>cmadjust*$AP28*Multipliers!H425/1000000</f>
        <v>0</v>
      </c>
      <c r="BZ28">
        <f>cmadjust*$AP28*Multipliers!I425/1000000</f>
        <v>0</v>
      </c>
      <c r="CA28">
        <f>cmadjust*$AP28*Multipliers!J425/1000000</f>
        <v>0</v>
      </c>
      <c r="CB28">
        <f>cmadjust*$AP28*Multipliers!K425/1000000</f>
        <v>0</v>
      </c>
      <c r="CC28">
        <f>cmadjust*$AP28*Multipliers!L425/1000000</f>
        <v>0</v>
      </c>
      <c r="CD28">
        <f>cmadjust*$AP28*Multipliers!M425/1000000</f>
        <v>0</v>
      </c>
      <c r="CE28">
        <f>cmadjust*$AP28*Multipliers!N425/1000000</f>
        <v>0</v>
      </c>
      <c r="CF28">
        <f>cmadjust*$AP28*Multipliers!O425/1000000</f>
        <v>0</v>
      </c>
      <c r="CH28">
        <f>cmadjust*$BD28*Multipliers!D425/1000000</f>
        <v>0</v>
      </c>
      <c r="CI28">
        <f>cmadjust*$BD28*Multipliers!E425/1000000</f>
        <v>0</v>
      </c>
      <c r="CJ28">
        <f>cmadjust*$BD28*Multipliers!F425/1000000</f>
        <v>0</v>
      </c>
      <c r="CK28">
        <f>cmadjust*$BD28*Multipliers!G425/1000000</f>
        <v>0</v>
      </c>
      <c r="CL28">
        <f>cmadjust*$BD28*Multipliers!H425/1000000</f>
        <v>0</v>
      </c>
      <c r="CM28">
        <f>cmadjust*$BD28*Multipliers!I425/1000000</f>
        <v>0</v>
      </c>
      <c r="CN28">
        <f>cmadjust*$BD28*Multipliers!J425/1000000</f>
        <v>0</v>
      </c>
      <c r="CO28">
        <f>cmadjust*$BD28*Multipliers!K425/1000000</f>
        <v>0</v>
      </c>
      <c r="CP28">
        <f>cmadjust*$BD28*Multipliers!L425/1000000</f>
        <v>0</v>
      </c>
      <c r="CQ28">
        <f>cmadjust*$BD28*Multipliers!M425/1000000</f>
        <v>0</v>
      </c>
      <c r="CR28">
        <f>cmadjust*$BD28*Multipliers!N425/1000000</f>
        <v>0</v>
      </c>
      <c r="CS28">
        <f>cmadjust*$BD28*Multipliers!O425/1000000</f>
        <v>0</v>
      </c>
    </row>
    <row r="29" spans="3:97" x14ac:dyDescent="0.25">
      <c r="C29" t="s">
        <v>597</v>
      </c>
      <c r="D29">
        <v>0</v>
      </c>
      <c r="E29">
        <v>0</v>
      </c>
      <c r="F29">
        <v>0</v>
      </c>
      <c r="G29">
        <v>0</v>
      </c>
      <c r="H29">
        <v>0</v>
      </c>
      <c r="I29">
        <v>0</v>
      </c>
      <c r="J29">
        <v>0</v>
      </c>
      <c r="K29">
        <v>0</v>
      </c>
      <c r="L29">
        <v>0</v>
      </c>
      <c r="M29">
        <v>0</v>
      </c>
      <c r="N29">
        <v>0</v>
      </c>
      <c r="O29">
        <v>0</v>
      </c>
      <c r="P29">
        <v>0</v>
      </c>
      <c r="Q29">
        <v>0</v>
      </c>
      <c r="R29">
        <v>0</v>
      </c>
      <c r="S29" s="231">
        <f t="shared" si="0"/>
        <v>0</v>
      </c>
      <c r="T29" t="s">
        <v>597</v>
      </c>
      <c r="AN29" s="419"/>
      <c r="AP29" s="231">
        <f t="shared" si="1"/>
        <v>0</v>
      </c>
      <c r="AQ29" t="s">
        <v>597</v>
      </c>
      <c r="BC29" s="419"/>
      <c r="BD29" s="231">
        <f t="shared" si="2"/>
        <v>0</v>
      </c>
      <c r="BG29" t="s">
        <v>597</v>
      </c>
      <c r="BH29">
        <f>cmadjust*$S29*Multipliers!D426/1000000</f>
        <v>0</v>
      </c>
      <c r="BI29">
        <f>cmadjust*$S29*Multipliers!E426/1000000</f>
        <v>0</v>
      </c>
      <c r="BJ29">
        <f>cmadjust*$S29*Multipliers!F426/1000000</f>
        <v>0</v>
      </c>
      <c r="BK29">
        <f>cmadjust*$S29*Multipliers!G426/1000000</f>
        <v>0</v>
      </c>
      <c r="BL29">
        <f>cmadjust*$S29*Multipliers!H426/1000000</f>
        <v>0</v>
      </c>
      <c r="BM29">
        <f>cmadjust*$S29*Multipliers!I426/1000000</f>
        <v>0</v>
      </c>
      <c r="BN29">
        <f>cmadjust*$S29*Multipliers!J426/1000000</f>
        <v>0</v>
      </c>
      <c r="BO29">
        <f>cmadjust*$S29*Multipliers!K426/1000000</f>
        <v>0</v>
      </c>
      <c r="BP29">
        <f>cmadjust*$S29*Multipliers!L426/1000000</f>
        <v>0</v>
      </c>
      <c r="BQ29">
        <f>cmadjust*$S29*Multipliers!M426/1000000</f>
        <v>0</v>
      </c>
      <c r="BR29">
        <f>cmadjust*$S29*Multipliers!N426/1000000</f>
        <v>0</v>
      </c>
      <c r="BS29">
        <f>cmadjust*$S29*Multipliers!O426/1000000</f>
        <v>0</v>
      </c>
      <c r="BU29">
        <f>cmadjust*$AP29*Multipliers!D426/1000000</f>
        <v>0</v>
      </c>
      <c r="BV29">
        <f>cmadjust*$AP29*Multipliers!E426/1000000</f>
        <v>0</v>
      </c>
      <c r="BW29">
        <f>cmadjust*$AP29*Multipliers!F426/1000000</f>
        <v>0</v>
      </c>
      <c r="BX29">
        <f>cmadjust*$AP29*Multipliers!G426/1000000</f>
        <v>0</v>
      </c>
      <c r="BY29">
        <f>cmadjust*$AP29*Multipliers!H426/1000000</f>
        <v>0</v>
      </c>
      <c r="BZ29">
        <f>cmadjust*$AP29*Multipliers!I426/1000000</f>
        <v>0</v>
      </c>
      <c r="CA29">
        <f>cmadjust*$AP29*Multipliers!J426/1000000</f>
        <v>0</v>
      </c>
      <c r="CB29">
        <f>cmadjust*$AP29*Multipliers!K426/1000000</f>
        <v>0</v>
      </c>
      <c r="CC29">
        <f>cmadjust*$AP29*Multipliers!L426/1000000</f>
        <v>0</v>
      </c>
      <c r="CD29">
        <f>cmadjust*$AP29*Multipliers!M426/1000000</f>
        <v>0</v>
      </c>
      <c r="CE29">
        <f>cmadjust*$AP29*Multipliers!N426/1000000</f>
        <v>0</v>
      </c>
      <c r="CF29">
        <f>cmadjust*$AP29*Multipliers!O426/1000000</f>
        <v>0</v>
      </c>
      <c r="CH29">
        <f>cmadjust*$BD29*Multipliers!D426/1000000</f>
        <v>0</v>
      </c>
      <c r="CI29">
        <f>cmadjust*$BD29*Multipliers!E426/1000000</f>
        <v>0</v>
      </c>
      <c r="CJ29">
        <f>cmadjust*$BD29*Multipliers!F426/1000000</f>
        <v>0</v>
      </c>
      <c r="CK29">
        <f>cmadjust*$BD29*Multipliers!G426/1000000</f>
        <v>0</v>
      </c>
      <c r="CL29">
        <f>cmadjust*$BD29*Multipliers!H426/1000000</f>
        <v>0</v>
      </c>
      <c r="CM29">
        <f>cmadjust*$BD29*Multipliers!I426/1000000</f>
        <v>0</v>
      </c>
      <c r="CN29">
        <f>cmadjust*$BD29*Multipliers!J426/1000000</f>
        <v>0</v>
      </c>
      <c r="CO29">
        <f>cmadjust*$BD29*Multipliers!K426/1000000</f>
        <v>0</v>
      </c>
      <c r="CP29">
        <f>cmadjust*$BD29*Multipliers!L426/1000000</f>
        <v>0</v>
      </c>
      <c r="CQ29">
        <f>cmadjust*$BD29*Multipliers!M426/1000000</f>
        <v>0</v>
      </c>
      <c r="CR29">
        <f>cmadjust*$BD29*Multipliers!N426/1000000</f>
        <v>0</v>
      </c>
      <c r="CS29">
        <f>cmadjust*$BD29*Multipliers!O426/1000000</f>
        <v>0</v>
      </c>
    </row>
    <row r="30" spans="3:97" x14ac:dyDescent="0.25">
      <c r="C30" t="s">
        <v>598</v>
      </c>
      <c r="D30">
        <v>0</v>
      </c>
      <c r="E30">
        <v>0</v>
      </c>
      <c r="F30">
        <v>0</v>
      </c>
      <c r="G30">
        <v>0</v>
      </c>
      <c r="H30">
        <v>0</v>
      </c>
      <c r="I30">
        <v>0</v>
      </c>
      <c r="J30">
        <v>0</v>
      </c>
      <c r="K30">
        <v>0</v>
      </c>
      <c r="L30">
        <v>0</v>
      </c>
      <c r="M30">
        <v>0</v>
      </c>
      <c r="N30">
        <v>0</v>
      </c>
      <c r="O30">
        <v>0</v>
      </c>
      <c r="P30">
        <v>0</v>
      </c>
      <c r="Q30">
        <v>0</v>
      </c>
      <c r="R30">
        <v>0</v>
      </c>
      <c r="S30" s="231">
        <f t="shared" si="0"/>
        <v>0</v>
      </c>
      <c r="T30" t="s">
        <v>598</v>
      </c>
      <c r="AJ30">
        <f>AJ8</f>
        <v>0</v>
      </c>
      <c r="AK30">
        <f>AK8</f>
        <v>0</v>
      </c>
      <c r="AM30">
        <f>AM8</f>
        <v>0</v>
      </c>
      <c r="AN30" s="419"/>
      <c r="AP30" s="231">
        <f t="shared" si="1"/>
        <v>0</v>
      </c>
      <c r="AQ30" t="s">
        <v>598</v>
      </c>
      <c r="AY30">
        <f>AY8</f>
        <v>0</v>
      </c>
      <c r="AZ30">
        <f>AZ8</f>
        <v>0</v>
      </c>
      <c r="BB30">
        <f>BB8</f>
        <v>0</v>
      </c>
      <c r="BC30" s="419"/>
      <c r="BD30" s="231">
        <f t="shared" si="2"/>
        <v>0</v>
      </c>
      <c r="BG30" t="s">
        <v>598</v>
      </c>
      <c r="BH30">
        <f>cmadjust*$S30*Multipliers!D427/1000000</f>
        <v>0</v>
      </c>
      <c r="BI30">
        <f>cmadjust*$S30*Multipliers!E427/1000000</f>
        <v>0</v>
      </c>
      <c r="BJ30">
        <f>cmadjust*$S30*Multipliers!F427/1000000</f>
        <v>0</v>
      </c>
      <c r="BK30">
        <f>cmadjust*$S30*Multipliers!G427/1000000</f>
        <v>0</v>
      </c>
      <c r="BL30">
        <f>cmadjust*$S30*Multipliers!H427/1000000</f>
        <v>0</v>
      </c>
      <c r="BM30">
        <f>cmadjust*$S30*Multipliers!I427/1000000</f>
        <v>0</v>
      </c>
      <c r="BN30">
        <f>cmadjust*$S30*Multipliers!J427/1000000</f>
        <v>0</v>
      </c>
      <c r="BO30">
        <f>cmadjust*$S30*Multipliers!K427/1000000</f>
        <v>0</v>
      </c>
      <c r="BP30">
        <f>cmadjust*$S30*Multipliers!L427/1000000</f>
        <v>0</v>
      </c>
      <c r="BQ30">
        <f>cmadjust*$S30*Multipliers!M427/1000000</f>
        <v>0</v>
      </c>
      <c r="BR30">
        <f>cmadjust*$S30*Multipliers!N427/1000000</f>
        <v>0</v>
      </c>
      <c r="BS30">
        <f>cmadjust*$S30*Multipliers!O427/1000000</f>
        <v>0</v>
      </c>
      <c r="BU30">
        <f>cmadjust*$AP30*Multipliers!D427/1000000</f>
        <v>0</v>
      </c>
      <c r="BV30">
        <f>cmadjust*$AP30*Multipliers!E427/1000000</f>
        <v>0</v>
      </c>
      <c r="BW30">
        <f>cmadjust*$AP30*Multipliers!F427/1000000</f>
        <v>0</v>
      </c>
      <c r="BX30">
        <f>cmadjust*$AP30*Multipliers!G427/1000000</f>
        <v>0</v>
      </c>
      <c r="BY30">
        <f>cmadjust*$AP30*Multipliers!H427/1000000</f>
        <v>0</v>
      </c>
      <c r="BZ30">
        <f>cmadjust*$AP30*Multipliers!I427/1000000</f>
        <v>0</v>
      </c>
      <c r="CA30">
        <f>cmadjust*$AP30*Multipliers!J427/1000000</f>
        <v>0</v>
      </c>
      <c r="CB30">
        <f>cmadjust*$AP30*Multipliers!K427/1000000</f>
        <v>0</v>
      </c>
      <c r="CC30">
        <f>cmadjust*$AP30*Multipliers!L427/1000000</f>
        <v>0</v>
      </c>
      <c r="CD30">
        <f>cmadjust*$AP30*Multipliers!M427/1000000</f>
        <v>0</v>
      </c>
      <c r="CE30">
        <f>cmadjust*$AP30*Multipliers!N427/1000000</f>
        <v>0</v>
      </c>
      <c r="CF30">
        <f>cmadjust*$AP30*Multipliers!O427/1000000</f>
        <v>0</v>
      </c>
      <c r="CH30">
        <f>cmadjust*$BD30*Multipliers!D427/1000000</f>
        <v>0</v>
      </c>
      <c r="CI30">
        <f>cmadjust*$BD30*Multipliers!E427/1000000</f>
        <v>0</v>
      </c>
      <c r="CJ30">
        <f>cmadjust*$BD30*Multipliers!F427/1000000</f>
        <v>0</v>
      </c>
      <c r="CK30">
        <f>cmadjust*$BD30*Multipliers!G427/1000000</f>
        <v>0</v>
      </c>
      <c r="CL30">
        <f>cmadjust*$BD30*Multipliers!H427/1000000</f>
        <v>0</v>
      </c>
      <c r="CM30">
        <f>cmadjust*$BD30*Multipliers!I427/1000000</f>
        <v>0</v>
      </c>
      <c r="CN30">
        <f>cmadjust*$BD30*Multipliers!J427/1000000</f>
        <v>0</v>
      </c>
      <c r="CO30">
        <f>cmadjust*$BD30*Multipliers!K427/1000000</f>
        <v>0</v>
      </c>
      <c r="CP30">
        <f>cmadjust*$BD30*Multipliers!L427/1000000</f>
        <v>0</v>
      </c>
      <c r="CQ30">
        <f>cmadjust*$BD30*Multipliers!M427/1000000</f>
        <v>0</v>
      </c>
      <c r="CR30">
        <f>cmadjust*$BD30*Multipliers!N427/1000000</f>
        <v>0</v>
      </c>
      <c r="CS30">
        <f>cmadjust*$BD30*Multipliers!O427/1000000</f>
        <v>0</v>
      </c>
    </row>
    <row r="31" spans="3:97" x14ac:dyDescent="0.25">
      <c r="C31" t="s">
        <v>599</v>
      </c>
      <c r="D31">
        <v>0</v>
      </c>
      <c r="E31">
        <v>0</v>
      </c>
      <c r="F31">
        <v>0</v>
      </c>
      <c r="G31">
        <v>0</v>
      </c>
      <c r="H31">
        <v>0</v>
      </c>
      <c r="I31">
        <v>0</v>
      </c>
      <c r="J31">
        <v>0</v>
      </c>
      <c r="K31">
        <v>0</v>
      </c>
      <c r="L31">
        <v>0</v>
      </c>
      <c r="M31">
        <v>0</v>
      </c>
      <c r="N31">
        <v>0</v>
      </c>
      <c r="O31">
        <v>0</v>
      </c>
      <c r="P31">
        <v>0</v>
      </c>
      <c r="Q31">
        <v>0</v>
      </c>
      <c r="R31">
        <v>0</v>
      </c>
      <c r="S31" s="231">
        <f t="shared" si="0"/>
        <v>0</v>
      </c>
      <c r="T31" t="s">
        <v>599</v>
      </c>
      <c r="AN31" s="419"/>
      <c r="AP31" s="231">
        <f t="shared" si="1"/>
        <v>0</v>
      </c>
      <c r="AQ31" t="s">
        <v>599</v>
      </c>
      <c r="BC31" s="419"/>
      <c r="BD31" s="231">
        <f t="shared" si="2"/>
        <v>0</v>
      </c>
      <c r="BG31" t="s">
        <v>599</v>
      </c>
      <c r="BH31">
        <f>cmadjust*$S31*Multipliers!D428/1000000</f>
        <v>0</v>
      </c>
      <c r="BI31">
        <f>cmadjust*$S31*Multipliers!E428/1000000</f>
        <v>0</v>
      </c>
      <c r="BJ31">
        <f>cmadjust*$S31*Multipliers!F428/1000000</f>
        <v>0</v>
      </c>
      <c r="BK31">
        <f>cmadjust*$S31*Multipliers!G428/1000000</f>
        <v>0</v>
      </c>
      <c r="BL31">
        <f>cmadjust*$S31*Multipliers!H428/1000000</f>
        <v>0</v>
      </c>
      <c r="BM31">
        <f>cmadjust*$S31*Multipliers!I428/1000000</f>
        <v>0</v>
      </c>
      <c r="BN31">
        <f>cmadjust*$S31*Multipliers!J428/1000000</f>
        <v>0</v>
      </c>
      <c r="BO31">
        <f>cmadjust*$S31*Multipliers!K428/1000000</f>
        <v>0</v>
      </c>
      <c r="BP31">
        <f>cmadjust*$S31*Multipliers!L428/1000000</f>
        <v>0</v>
      </c>
      <c r="BQ31">
        <f>cmadjust*$S31*Multipliers!M428/1000000</f>
        <v>0</v>
      </c>
      <c r="BR31">
        <f>cmadjust*$S31*Multipliers!N428/1000000</f>
        <v>0</v>
      </c>
      <c r="BS31">
        <f>cmadjust*$S31*Multipliers!O428/1000000</f>
        <v>0</v>
      </c>
      <c r="BU31">
        <f>cmadjust*$AP31*Multipliers!D428/1000000</f>
        <v>0</v>
      </c>
      <c r="BV31">
        <f>cmadjust*$AP31*Multipliers!E428/1000000</f>
        <v>0</v>
      </c>
      <c r="BW31">
        <f>cmadjust*$AP31*Multipliers!F428/1000000</f>
        <v>0</v>
      </c>
      <c r="BX31">
        <f>cmadjust*$AP31*Multipliers!G428/1000000</f>
        <v>0</v>
      </c>
      <c r="BY31">
        <f>cmadjust*$AP31*Multipliers!H428/1000000</f>
        <v>0</v>
      </c>
      <c r="BZ31">
        <f>cmadjust*$AP31*Multipliers!I428/1000000</f>
        <v>0</v>
      </c>
      <c r="CA31">
        <f>cmadjust*$AP31*Multipliers!J428/1000000</f>
        <v>0</v>
      </c>
      <c r="CB31">
        <f>cmadjust*$AP31*Multipliers!K428/1000000</f>
        <v>0</v>
      </c>
      <c r="CC31">
        <f>cmadjust*$AP31*Multipliers!L428/1000000</f>
        <v>0</v>
      </c>
      <c r="CD31">
        <f>cmadjust*$AP31*Multipliers!M428/1000000</f>
        <v>0</v>
      </c>
      <c r="CE31">
        <f>cmadjust*$AP31*Multipliers!N428/1000000</f>
        <v>0</v>
      </c>
      <c r="CF31">
        <f>cmadjust*$AP31*Multipliers!O428/1000000</f>
        <v>0</v>
      </c>
      <c r="CH31">
        <f>cmadjust*$BD31*Multipliers!D428/1000000</f>
        <v>0</v>
      </c>
      <c r="CI31">
        <f>cmadjust*$BD31*Multipliers!E428/1000000</f>
        <v>0</v>
      </c>
      <c r="CJ31">
        <f>cmadjust*$BD31*Multipliers!F428/1000000</f>
        <v>0</v>
      </c>
      <c r="CK31">
        <f>cmadjust*$BD31*Multipliers!G428/1000000</f>
        <v>0</v>
      </c>
      <c r="CL31">
        <f>cmadjust*$BD31*Multipliers!H428/1000000</f>
        <v>0</v>
      </c>
      <c r="CM31">
        <f>cmadjust*$BD31*Multipliers!I428/1000000</f>
        <v>0</v>
      </c>
      <c r="CN31">
        <f>cmadjust*$BD31*Multipliers!J428/1000000</f>
        <v>0</v>
      </c>
      <c r="CO31">
        <f>cmadjust*$BD31*Multipliers!K428/1000000</f>
        <v>0</v>
      </c>
      <c r="CP31">
        <f>cmadjust*$BD31*Multipliers!L428/1000000</f>
        <v>0</v>
      </c>
      <c r="CQ31">
        <f>cmadjust*$BD31*Multipliers!M428/1000000</f>
        <v>0</v>
      </c>
      <c r="CR31">
        <f>cmadjust*$BD31*Multipliers!N428/1000000</f>
        <v>0</v>
      </c>
      <c r="CS31">
        <f>cmadjust*$BD31*Multipliers!O428/1000000</f>
        <v>0</v>
      </c>
    </row>
    <row r="32" spans="3:97" x14ac:dyDescent="0.25">
      <c r="C32" t="s">
        <v>423</v>
      </c>
      <c r="D32">
        <v>0</v>
      </c>
      <c r="E32">
        <v>0</v>
      </c>
      <c r="F32">
        <v>0</v>
      </c>
      <c r="G32">
        <v>0</v>
      </c>
      <c r="H32">
        <v>0</v>
      </c>
      <c r="I32">
        <v>0</v>
      </c>
      <c r="J32">
        <v>0</v>
      </c>
      <c r="K32">
        <v>0</v>
      </c>
      <c r="L32">
        <v>0</v>
      </c>
      <c r="M32">
        <v>0</v>
      </c>
      <c r="N32">
        <v>0</v>
      </c>
      <c r="O32">
        <v>0</v>
      </c>
      <c r="P32">
        <v>0</v>
      </c>
      <c r="Q32">
        <v>0</v>
      </c>
      <c r="R32">
        <v>0</v>
      </c>
      <c r="S32" s="231">
        <f t="shared" si="0"/>
        <v>0</v>
      </c>
      <c r="T32" t="s">
        <v>423</v>
      </c>
      <c r="AN32" s="419"/>
      <c r="AP32" s="231">
        <f t="shared" si="1"/>
        <v>0</v>
      </c>
      <c r="AQ32" t="s">
        <v>423</v>
      </c>
      <c r="BC32" s="419"/>
      <c r="BD32" s="231">
        <f t="shared" si="2"/>
        <v>0</v>
      </c>
      <c r="BG32" t="s">
        <v>423</v>
      </c>
      <c r="BH32">
        <f>cmadjust*$S32*Multipliers!D429/1000000</f>
        <v>0</v>
      </c>
      <c r="BI32">
        <f>cmadjust*$S32*Multipliers!E429/1000000</f>
        <v>0</v>
      </c>
      <c r="BJ32">
        <f>cmadjust*$S32*Multipliers!F429/1000000</f>
        <v>0</v>
      </c>
      <c r="BK32">
        <f>cmadjust*$S32*Multipliers!G429/1000000</f>
        <v>0</v>
      </c>
      <c r="BL32">
        <f>cmadjust*$S32*Multipliers!H429/1000000</f>
        <v>0</v>
      </c>
      <c r="BM32">
        <f>cmadjust*$S32*Multipliers!I429/1000000</f>
        <v>0</v>
      </c>
      <c r="BN32">
        <f>cmadjust*$S32*Multipliers!J429/1000000</f>
        <v>0</v>
      </c>
      <c r="BO32">
        <f>cmadjust*$S32*Multipliers!K429/1000000</f>
        <v>0</v>
      </c>
      <c r="BP32">
        <f>cmadjust*$S32*Multipliers!L429/1000000</f>
        <v>0</v>
      </c>
      <c r="BQ32">
        <f>cmadjust*$S32*Multipliers!M429/1000000</f>
        <v>0</v>
      </c>
      <c r="BR32">
        <f>cmadjust*$S32*Multipliers!N429/1000000</f>
        <v>0</v>
      </c>
      <c r="BS32">
        <f>cmadjust*$S32*Multipliers!O429/1000000</f>
        <v>0</v>
      </c>
      <c r="BU32">
        <f>cmadjust*$AP32*Multipliers!D429/1000000</f>
        <v>0</v>
      </c>
      <c r="BV32">
        <f>cmadjust*$AP32*Multipliers!E429/1000000</f>
        <v>0</v>
      </c>
      <c r="BW32">
        <f>cmadjust*$AP32*Multipliers!F429/1000000</f>
        <v>0</v>
      </c>
      <c r="BX32">
        <f>cmadjust*$AP32*Multipliers!G429/1000000</f>
        <v>0</v>
      </c>
      <c r="BY32">
        <f>cmadjust*$AP32*Multipliers!H429/1000000</f>
        <v>0</v>
      </c>
      <c r="BZ32">
        <f>cmadjust*$AP32*Multipliers!I429/1000000</f>
        <v>0</v>
      </c>
      <c r="CA32">
        <f>cmadjust*$AP32*Multipliers!J429/1000000</f>
        <v>0</v>
      </c>
      <c r="CB32">
        <f>cmadjust*$AP32*Multipliers!K429/1000000</f>
        <v>0</v>
      </c>
      <c r="CC32">
        <f>cmadjust*$AP32*Multipliers!L429/1000000</f>
        <v>0</v>
      </c>
      <c r="CD32">
        <f>cmadjust*$AP32*Multipliers!M429/1000000</f>
        <v>0</v>
      </c>
      <c r="CE32">
        <f>cmadjust*$AP32*Multipliers!N429/1000000</f>
        <v>0</v>
      </c>
      <c r="CF32">
        <f>cmadjust*$AP32*Multipliers!O429/1000000</f>
        <v>0</v>
      </c>
      <c r="CH32">
        <f>cmadjust*$BD32*Multipliers!D429/1000000</f>
        <v>0</v>
      </c>
      <c r="CI32">
        <f>cmadjust*$BD32*Multipliers!E429/1000000</f>
        <v>0</v>
      </c>
      <c r="CJ32">
        <f>cmadjust*$BD32*Multipliers!F429/1000000</f>
        <v>0</v>
      </c>
      <c r="CK32">
        <f>cmadjust*$BD32*Multipliers!G429/1000000</f>
        <v>0</v>
      </c>
      <c r="CL32">
        <f>cmadjust*$BD32*Multipliers!H429/1000000</f>
        <v>0</v>
      </c>
      <c r="CM32">
        <f>cmadjust*$BD32*Multipliers!I429/1000000</f>
        <v>0</v>
      </c>
      <c r="CN32">
        <f>cmadjust*$BD32*Multipliers!J429/1000000</f>
        <v>0</v>
      </c>
      <c r="CO32">
        <f>cmadjust*$BD32*Multipliers!K429/1000000</f>
        <v>0</v>
      </c>
      <c r="CP32">
        <f>cmadjust*$BD32*Multipliers!L429/1000000</f>
        <v>0</v>
      </c>
      <c r="CQ32">
        <f>cmadjust*$BD32*Multipliers!M429/1000000</f>
        <v>0</v>
      </c>
      <c r="CR32">
        <f>cmadjust*$BD32*Multipliers!N429/1000000</f>
        <v>0</v>
      </c>
      <c r="CS32">
        <f>cmadjust*$BD32*Multipliers!O429/1000000</f>
        <v>0</v>
      </c>
    </row>
    <row r="33" spans="1:106" x14ac:dyDescent="0.25">
      <c r="C33" t="s">
        <v>600</v>
      </c>
      <c r="D33">
        <v>0</v>
      </c>
      <c r="E33">
        <v>0</v>
      </c>
      <c r="F33">
        <v>0</v>
      </c>
      <c r="G33">
        <v>0</v>
      </c>
      <c r="H33">
        <v>0</v>
      </c>
      <c r="I33">
        <v>0</v>
      </c>
      <c r="J33">
        <v>0</v>
      </c>
      <c r="K33">
        <v>0</v>
      </c>
      <c r="L33">
        <v>0</v>
      </c>
      <c r="M33">
        <v>0</v>
      </c>
      <c r="N33">
        <v>0</v>
      </c>
      <c r="O33">
        <v>0</v>
      </c>
      <c r="P33">
        <v>0</v>
      </c>
      <c r="Q33">
        <v>0</v>
      </c>
      <c r="R33">
        <v>0</v>
      </c>
      <c r="S33" s="231">
        <f t="shared" si="0"/>
        <v>0</v>
      </c>
      <c r="T33" t="s">
        <v>600</v>
      </c>
      <c r="AL33">
        <f>AL8</f>
        <v>0</v>
      </c>
      <c r="AN33" s="419"/>
      <c r="AP33" s="231">
        <f t="shared" si="1"/>
        <v>0</v>
      </c>
      <c r="AQ33" t="s">
        <v>600</v>
      </c>
      <c r="BA33">
        <f>BA8</f>
        <v>0</v>
      </c>
      <c r="BC33" s="419"/>
      <c r="BD33" s="231">
        <f t="shared" si="2"/>
        <v>0</v>
      </c>
      <c r="BG33" t="s">
        <v>600</v>
      </c>
      <c r="BH33">
        <f>cmadjust*$S33*Multipliers!D430/1000000</f>
        <v>0</v>
      </c>
      <c r="BI33">
        <f>cmadjust*$S33*Multipliers!E430/1000000</f>
        <v>0</v>
      </c>
      <c r="BJ33">
        <f>cmadjust*$S33*Multipliers!F430/1000000</f>
        <v>0</v>
      </c>
      <c r="BK33">
        <f>cmadjust*$S33*Multipliers!G430/1000000</f>
        <v>0</v>
      </c>
      <c r="BL33">
        <f>cmadjust*$S33*Multipliers!H430/1000000</f>
        <v>0</v>
      </c>
      <c r="BM33">
        <f>cmadjust*$S33*Multipliers!I430/1000000</f>
        <v>0</v>
      </c>
      <c r="BN33">
        <f>cmadjust*$S33*Multipliers!J430/1000000</f>
        <v>0</v>
      </c>
      <c r="BO33">
        <f>cmadjust*$S33*Multipliers!K430/1000000</f>
        <v>0</v>
      </c>
      <c r="BP33">
        <f>cmadjust*$S33*Multipliers!L430/1000000</f>
        <v>0</v>
      </c>
      <c r="BQ33">
        <f>cmadjust*$S33*Multipliers!M430/1000000</f>
        <v>0</v>
      </c>
      <c r="BR33">
        <f>cmadjust*$S33*Multipliers!N430/1000000</f>
        <v>0</v>
      </c>
      <c r="BS33">
        <f>cmadjust*$S33*Multipliers!O430/1000000</f>
        <v>0</v>
      </c>
      <c r="BU33">
        <f>cmadjust*$AP33*Multipliers!D430/1000000</f>
        <v>0</v>
      </c>
      <c r="BV33">
        <f>cmadjust*$AP33*Multipliers!E430/1000000</f>
        <v>0</v>
      </c>
      <c r="BW33">
        <f>cmadjust*$AP33*Multipliers!F430/1000000</f>
        <v>0</v>
      </c>
      <c r="BX33">
        <f>cmadjust*$AP33*Multipliers!G430/1000000</f>
        <v>0</v>
      </c>
      <c r="BY33">
        <f>cmadjust*$AP33*Multipliers!H430/1000000</f>
        <v>0</v>
      </c>
      <c r="BZ33">
        <f>cmadjust*$AP33*Multipliers!I430/1000000</f>
        <v>0</v>
      </c>
      <c r="CA33">
        <f>cmadjust*$AP33*Multipliers!J430/1000000</f>
        <v>0</v>
      </c>
      <c r="CB33">
        <f>cmadjust*$AP33*Multipliers!K430/1000000</f>
        <v>0</v>
      </c>
      <c r="CC33">
        <f>cmadjust*$AP33*Multipliers!L430/1000000</f>
        <v>0</v>
      </c>
      <c r="CD33">
        <f>cmadjust*$AP33*Multipliers!M430/1000000</f>
        <v>0</v>
      </c>
      <c r="CE33">
        <f>cmadjust*$AP33*Multipliers!N430/1000000</f>
        <v>0</v>
      </c>
      <c r="CF33">
        <f>cmadjust*$AP33*Multipliers!O430/1000000</f>
        <v>0</v>
      </c>
      <c r="CH33">
        <f>cmadjust*$BD33*Multipliers!D430/1000000</f>
        <v>0</v>
      </c>
      <c r="CI33">
        <f>cmadjust*$BD33*Multipliers!E430/1000000</f>
        <v>0</v>
      </c>
      <c r="CJ33">
        <f>cmadjust*$BD33*Multipliers!F430/1000000</f>
        <v>0</v>
      </c>
      <c r="CK33">
        <f>cmadjust*$BD33*Multipliers!G430/1000000</f>
        <v>0</v>
      </c>
      <c r="CL33">
        <f>cmadjust*$BD33*Multipliers!H430/1000000</f>
        <v>0</v>
      </c>
      <c r="CM33">
        <f>cmadjust*$BD33*Multipliers!I430/1000000</f>
        <v>0</v>
      </c>
      <c r="CN33">
        <f>cmadjust*$BD33*Multipliers!J430/1000000</f>
        <v>0</v>
      </c>
      <c r="CO33">
        <f>cmadjust*$BD33*Multipliers!K430/1000000</f>
        <v>0</v>
      </c>
      <c r="CP33">
        <f>cmadjust*$BD33*Multipliers!L430/1000000</f>
        <v>0</v>
      </c>
      <c r="CQ33">
        <f>cmadjust*$BD33*Multipliers!M430/1000000</f>
        <v>0</v>
      </c>
      <c r="CR33">
        <f>cmadjust*$BD33*Multipliers!N430/1000000</f>
        <v>0</v>
      </c>
      <c r="CS33">
        <f>cmadjust*$BD33*Multipliers!O430/1000000</f>
        <v>0</v>
      </c>
    </row>
    <row r="34" spans="1:106" x14ac:dyDescent="0.25">
      <c r="C34" t="s">
        <v>601</v>
      </c>
      <c r="D34">
        <v>0</v>
      </c>
      <c r="E34">
        <v>0</v>
      </c>
      <c r="F34">
        <v>0</v>
      </c>
      <c r="G34">
        <v>0</v>
      </c>
      <c r="H34">
        <v>0</v>
      </c>
      <c r="I34">
        <v>0</v>
      </c>
      <c r="J34">
        <v>0</v>
      </c>
      <c r="K34">
        <v>0</v>
      </c>
      <c r="L34">
        <v>0</v>
      </c>
      <c r="M34">
        <v>0</v>
      </c>
      <c r="N34">
        <v>0</v>
      </c>
      <c r="O34">
        <v>0</v>
      </c>
      <c r="P34">
        <v>0</v>
      </c>
      <c r="Q34">
        <v>0</v>
      </c>
      <c r="R34">
        <v>0</v>
      </c>
      <c r="S34" s="231">
        <f t="shared" si="0"/>
        <v>0</v>
      </c>
      <c r="T34" t="s">
        <v>601</v>
      </c>
      <c r="AN34" s="419"/>
      <c r="AP34" s="231">
        <f t="shared" si="1"/>
        <v>0</v>
      </c>
      <c r="AQ34" t="s">
        <v>601</v>
      </c>
      <c r="BC34" s="419"/>
      <c r="BD34" s="231">
        <f t="shared" si="2"/>
        <v>0</v>
      </c>
      <c r="BG34" t="s">
        <v>601</v>
      </c>
      <c r="BH34">
        <f>cmadjust*$S34*Multipliers!D431/1000000</f>
        <v>0</v>
      </c>
      <c r="BI34">
        <f>cmadjust*$S34*Multipliers!E431/1000000</f>
        <v>0</v>
      </c>
      <c r="BJ34">
        <f>cmadjust*$S34*Multipliers!F431/1000000</f>
        <v>0</v>
      </c>
      <c r="BK34">
        <f>cmadjust*$S34*Multipliers!G431/1000000</f>
        <v>0</v>
      </c>
      <c r="BL34">
        <f>cmadjust*$S34*Multipliers!H431/1000000</f>
        <v>0</v>
      </c>
      <c r="BM34">
        <f>cmadjust*$S34*Multipliers!I431/1000000</f>
        <v>0</v>
      </c>
      <c r="BN34">
        <f>cmadjust*$S34*Multipliers!J431/1000000</f>
        <v>0</v>
      </c>
      <c r="BO34">
        <f>cmadjust*$S34*Multipliers!K431/1000000</f>
        <v>0</v>
      </c>
      <c r="BP34">
        <f>cmadjust*$S34*Multipliers!L431/1000000</f>
        <v>0</v>
      </c>
      <c r="BQ34">
        <f>cmadjust*$S34*Multipliers!M431/1000000</f>
        <v>0</v>
      </c>
      <c r="BR34">
        <f>cmadjust*$S34*Multipliers!N431/1000000</f>
        <v>0</v>
      </c>
      <c r="BS34">
        <f>cmadjust*$S34*Multipliers!O431/1000000</f>
        <v>0</v>
      </c>
      <c r="BU34">
        <f>cmadjust*$AP34*Multipliers!D431/1000000</f>
        <v>0</v>
      </c>
      <c r="BV34">
        <f>cmadjust*$AP34*Multipliers!E431/1000000</f>
        <v>0</v>
      </c>
      <c r="BW34">
        <f>cmadjust*$AP34*Multipliers!F431/1000000</f>
        <v>0</v>
      </c>
      <c r="BX34">
        <f>cmadjust*$AP34*Multipliers!G431/1000000</f>
        <v>0</v>
      </c>
      <c r="BY34">
        <f>cmadjust*$AP34*Multipliers!H431/1000000</f>
        <v>0</v>
      </c>
      <c r="BZ34">
        <f>cmadjust*$AP34*Multipliers!I431/1000000</f>
        <v>0</v>
      </c>
      <c r="CA34">
        <f>cmadjust*$AP34*Multipliers!J431/1000000</f>
        <v>0</v>
      </c>
      <c r="CB34">
        <f>cmadjust*$AP34*Multipliers!K431/1000000</f>
        <v>0</v>
      </c>
      <c r="CC34">
        <f>cmadjust*$AP34*Multipliers!L431/1000000</f>
        <v>0</v>
      </c>
      <c r="CD34">
        <f>cmadjust*$AP34*Multipliers!M431/1000000</f>
        <v>0</v>
      </c>
      <c r="CE34">
        <f>cmadjust*$AP34*Multipliers!N431/1000000</f>
        <v>0</v>
      </c>
      <c r="CF34">
        <f>cmadjust*$AP34*Multipliers!O431/1000000</f>
        <v>0</v>
      </c>
      <c r="CH34">
        <f>cmadjust*$BD34*Multipliers!D431/1000000</f>
        <v>0</v>
      </c>
      <c r="CI34">
        <f>cmadjust*$BD34*Multipliers!E431/1000000</f>
        <v>0</v>
      </c>
      <c r="CJ34">
        <f>cmadjust*$BD34*Multipliers!F431/1000000</f>
        <v>0</v>
      </c>
      <c r="CK34">
        <f>cmadjust*$BD34*Multipliers!G431/1000000</f>
        <v>0</v>
      </c>
      <c r="CL34">
        <f>cmadjust*$BD34*Multipliers!H431/1000000</f>
        <v>0</v>
      </c>
      <c r="CM34">
        <f>cmadjust*$BD34*Multipliers!I431/1000000</f>
        <v>0</v>
      </c>
      <c r="CN34">
        <f>cmadjust*$BD34*Multipliers!J431/1000000</f>
        <v>0</v>
      </c>
      <c r="CO34">
        <f>cmadjust*$BD34*Multipliers!K431/1000000</f>
        <v>0</v>
      </c>
      <c r="CP34">
        <f>cmadjust*$BD34*Multipliers!L431/1000000</f>
        <v>0</v>
      </c>
      <c r="CQ34">
        <f>cmadjust*$BD34*Multipliers!M431/1000000</f>
        <v>0</v>
      </c>
      <c r="CR34">
        <f>cmadjust*$BD34*Multipliers!N431/1000000</f>
        <v>0</v>
      </c>
      <c r="CS34">
        <f>cmadjust*$BD34*Multipliers!O431/1000000</f>
        <v>0</v>
      </c>
    </row>
    <row r="35" spans="1:106" x14ac:dyDescent="0.25">
      <c r="C35" t="s">
        <v>602</v>
      </c>
      <c r="D35">
        <v>0</v>
      </c>
      <c r="E35">
        <v>0</v>
      </c>
      <c r="F35">
        <v>0</v>
      </c>
      <c r="G35">
        <v>0</v>
      </c>
      <c r="H35">
        <v>0</v>
      </c>
      <c r="I35">
        <v>0</v>
      </c>
      <c r="J35">
        <v>0</v>
      </c>
      <c r="K35">
        <v>0</v>
      </c>
      <c r="L35">
        <v>0</v>
      </c>
      <c r="M35">
        <v>0</v>
      </c>
      <c r="N35">
        <v>0</v>
      </c>
      <c r="O35">
        <v>0</v>
      </c>
      <c r="P35">
        <v>0</v>
      </c>
      <c r="Q35">
        <v>0</v>
      </c>
      <c r="R35">
        <v>0</v>
      </c>
      <c r="S35" s="232">
        <f t="shared" si="0"/>
        <v>0</v>
      </c>
      <c r="T35" t="s">
        <v>602</v>
      </c>
      <c r="AN35" s="419"/>
      <c r="AP35" s="231">
        <f t="shared" si="1"/>
        <v>0</v>
      </c>
      <c r="AQ35" t="s">
        <v>602</v>
      </c>
      <c r="BC35" s="419"/>
      <c r="BD35" s="231">
        <f t="shared" si="2"/>
        <v>0</v>
      </c>
      <c r="BG35" t="s">
        <v>602</v>
      </c>
      <c r="BH35">
        <f>cmadjust*$S35*Multipliers!D432/1000000</f>
        <v>0</v>
      </c>
      <c r="BI35">
        <f>cmadjust*$S35*Multipliers!E432/1000000</f>
        <v>0</v>
      </c>
      <c r="BJ35">
        <f>cmadjust*$S35*Multipliers!F432/1000000</f>
        <v>0</v>
      </c>
      <c r="BK35">
        <f>cmadjust*$S35*Multipliers!G432/1000000</f>
        <v>0</v>
      </c>
      <c r="BL35">
        <f>cmadjust*$S35*Multipliers!H432/1000000</f>
        <v>0</v>
      </c>
      <c r="BM35">
        <f>cmadjust*$S35*Multipliers!I432/1000000</f>
        <v>0</v>
      </c>
      <c r="BN35">
        <f>cmadjust*$S35*Multipliers!J432/1000000</f>
        <v>0</v>
      </c>
      <c r="BO35">
        <f>cmadjust*$S35*Multipliers!K432/1000000</f>
        <v>0</v>
      </c>
      <c r="BP35">
        <f>cmadjust*$S35*Multipliers!L432/1000000</f>
        <v>0</v>
      </c>
      <c r="BQ35">
        <f>cmadjust*$S35*Multipliers!M432/1000000</f>
        <v>0</v>
      </c>
      <c r="BR35">
        <f>cmadjust*$S35*Multipliers!N432/1000000</f>
        <v>0</v>
      </c>
      <c r="BS35">
        <f>cmadjust*$S35*Multipliers!O432/1000000</f>
        <v>0</v>
      </c>
      <c r="BU35">
        <f>cmadjust*$AP35*Multipliers!D432/1000000</f>
        <v>0</v>
      </c>
      <c r="BV35">
        <f>cmadjust*$AP35*Multipliers!E432/1000000</f>
        <v>0</v>
      </c>
      <c r="BW35">
        <f>cmadjust*$AP35*Multipliers!F432/1000000</f>
        <v>0</v>
      </c>
      <c r="BX35">
        <f>cmadjust*$AP35*Multipliers!G432/1000000</f>
        <v>0</v>
      </c>
      <c r="BY35">
        <f>cmadjust*$AP35*Multipliers!H432/1000000</f>
        <v>0</v>
      </c>
      <c r="BZ35">
        <f>cmadjust*$AP35*Multipliers!I432/1000000</f>
        <v>0</v>
      </c>
      <c r="CA35">
        <f>cmadjust*$AP35*Multipliers!J432/1000000</f>
        <v>0</v>
      </c>
      <c r="CB35">
        <f>cmadjust*$AP35*Multipliers!K432/1000000</f>
        <v>0</v>
      </c>
      <c r="CC35">
        <f>cmadjust*$AP35*Multipliers!L432/1000000</f>
        <v>0</v>
      </c>
      <c r="CD35">
        <f>cmadjust*$AP35*Multipliers!M432/1000000</f>
        <v>0</v>
      </c>
      <c r="CE35">
        <f>cmadjust*$AP35*Multipliers!N432/1000000</f>
        <v>0</v>
      </c>
      <c r="CF35">
        <f>cmadjust*$AP35*Multipliers!O432/1000000</f>
        <v>0</v>
      </c>
      <c r="CH35">
        <f>cmadjust*$BD35*Multipliers!D432/1000000</f>
        <v>0</v>
      </c>
      <c r="CI35">
        <f>cmadjust*$BD35*Multipliers!E432/1000000</f>
        <v>0</v>
      </c>
      <c r="CJ35">
        <f>cmadjust*$BD35*Multipliers!F432/1000000</f>
        <v>0</v>
      </c>
      <c r="CK35">
        <f>cmadjust*$BD35*Multipliers!G432/1000000</f>
        <v>0</v>
      </c>
      <c r="CL35">
        <f>cmadjust*$BD35*Multipliers!H432/1000000</f>
        <v>0</v>
      </c>
      <c r="CM35">
        <f>cmadjust*$BD35*Multipliers!I432/1000000</f>
        <v>0</v>
      </c>
      <c r="CN35">
        <f>cmadjust*$BD35*Multipliers!J432/1000000</f>
        <v>0</v>
      </c>
      <c r="CO35">
        <f>cmadjust*$BD35*Multipliers!K432/1000000</f>
        <v>0</v>
      </c>
      <c r="CP35">
        <f>cmadjust*$BD35*Multipliers!L432/1000000</f>
        <v>0</v>
      </c>
      <c r="CQ35">
        <f>cmadjust*$BD35*Multipliers!M432/1000000</f>
        <v>0</v>
      </c>
      <c r="CR35">
        <f>cmadjust*$BD35*Multipliers!N432/1000000</f>
        <v>0</v>
      </c>
      <c r="CS35">
        <f>cmadjust*$BD35*Multipliers!O432/1000000</f>
        <v>0</v>
      </c>
    </row>
    <row r="36" spans="1:106" x14ac:dyDescent="0.25">
      <c r="C36" s="420" t="s">
        <v>603</v>
      </c>
      <c r="D36" s="421"/>
      <c r="E36" s="421"/>
      <c r="F36" s="421"/>
      <c r="G36" s="421"/>
      <c r="H36" s="421"/>
      <c r="I36" s="421"/>
      <c r="J36" s="421"/>
      <c r="K36" s="421"/>
      <c r="L36" s="421"/>
      <c r="M36" s="421"/>
      <c r="N36" s="421"/>
      <c r="O36" s="421"/>
      <c r="P36" s="421"/>
      <c r="Q36" s="421"/>
      <c r="R36" s="421"/>
      <c r="S36" s="421"/>
      <c r="T36" s="420"/>
      <c r="U36" s="421"/>
      <c r="V36" s="421"/>
      <c r="W36" s="421"/>
      <c r="X36" s="421"/>
      <c r="Y36" s="421"/>
      <c r="Z36" s="421"/>
      <c r="AA36" s="421"/>
      <c r="AB36" s="421"/>
      <c r="AC36" s="421"/>
      <c r="AD36" s="421"/>
      <c r="AE36" s="421"/>
      <c r="AF36" s="421"/>
      <c r="AG36" s="421"/>
      <c r="AH36" s="421"/>
      <c r="AI36" s="421"/>
      <c r="AJ36" s="421"/>
      <c r="AK36" s="421"/>
      <c r="AL36" s="421"/>
      <c r="AM36" s="421"/>
      <c r="AN36" s="421">
        <f>AN8</f>
        <v>0</v>
      </c>
      <c r="AO36" s="421"/>
      <c r="AP36" s="421"/>
      <c r="AQ36" s="420"/>
      <c r="AR36" s="421"/>
      <c r="AS36" s="421"/>
      <c r="AT36" s="421"/>
      <c r="AU36" s="421"/>
      <c r="AV36" s="421"/>
      <c r="AW36" s="421"/>
      <c r="AX36" s="421"/>
      <c r="AY36" s="421"/>
      <c r="AZ36" s="421"/>
      <c r="BA36" s="421"/>
      <c r="BB36" s="421"/>
      <c r="BC36" s="421">
        <f>BC8</f>
        <v>0</v>
      </c>
      <c r="BD36" s="421"/>
      <c r="BG36" t="s">
        <v>375</v>
      </c>
      <c r="BH36">
        <f>SUM(BH9:BH35)</f>
        <v>0</v>
      </c>
      <c r="BI36">
        <f t="shared" ref="BI36:BS36" si="5">SUM(BI9:BI35)</f>
        <v>0</v>
      </c>
      <c r="BJ36">
        <f t="shared" si="5"/>
        <v>0</v>
      </c>
      <c r="BK36">
        <f t="shared" si="5"/>
        <v>0</v>
      </c>
      <c r="BL36">
        <f t="shared" si="5"/>
        <v>0</v>
      </c>
      <c r="BM36">
        <f t="shared" si="5"/>
        <v>0</v>
      </c>
      <c r="BN36">
        <f t="shared" si="5"/>
        <v>0</v>
      </c>
      <c r="BO36">
        <f t="shared" si="5"/>
        <v>0</v>
      </c>
      <c r="BP36">
        <f t="shared" si="5"/>
        <v>0</v>
      </c>
      <c r="BQ36">
        <f t="shared" si="5"/>
        <v>0</v>
      </c>
      <c r="BR36">
        <f t="shared" si="5"/>
        <v>0</v>
      </c>
      <c r="BS36">
        <f t="shared" si="5"/>
        <v>0</v>
      </c>
      <c r="BT36" t="s">
        <v>375</v>
      </c>
      <c r="BU36">
        <f>SUM(BU9:BU35)</f>
        <v>0</v>
      </c>
      <c r="BV36">
        <f t="shared" ref="BV36:CF36" si="6">SUM(BV9:BV35)</f>
        <v>0</v>
      </c>
      <c r="BW36">
        <f t="shared" si="6"/>
        <v>0</v>
      </c>
      <c r="BX36">
        <f t="shared" si="6"/>
        <v>0</v>
      </c>
      <c r="BY36">
        <f t="shared" si="6"/>
        <v>0</v>
      </c>
      <c r="BZ36">
        <f t="shared" si="6"/>
        <v>0</v>
      </c>
      <c r="CA36">
        <f t="shared" si="6"/>
        <v>0</v>
      </c>
      <c r="CB36">
        <f t="shared" si="6"/>
        <v>0</v>
      </c>
      <c r="CC36">
        <f t="shared" si="6"/>
        <v>0</v>
      </c>
      <c r="CD36">
        <f t="shared" si="6"/>
        <v>0</v>
      </c>
      <c r="CE36">
        <f t="shared" si="6"/>
        <v>0</v>
      </c>
      <c r="CF36">
        <f t="shared" si="6"/>
        <v>0</v>
      </c>
      <c r="CG36" t="s">
        <v>375</v>
      </c>
      <c r="CH36">
        <f>SUM(CH9:CH35)</f>
        <v>0</v>
      </c>
      <c r="CI36">
        <f t="shared" ref="CI36:CS36" si="7">SUM(CI9:CI35)</f>
        <v>0</v>
      </c>
      <c r="CJ36">
        <f t="shared" si="7"/>
        <v>0</v>
      </c>
      <c r="CK36">
        <f t="shared" si="7"/>
        <v>0</v>
      </c>
      <c r="CL36">
        <f t="shared" si="7"/>
        <v>0</v>
      </c>
      <c r="CM36">
        <f t="shared" si="7"/>
        <v>0</v>
      </c>
      <c r="CN36">
        <f t="shared" si="7"/>
        <v>0</v>
      </c>
      <c r="CO36">
        <f t="shared" si="7"/>
        <v>0</v>
      </c>
      <c r="CP36">
        <f t="shared" si="7"/>
        <v>0</v>
      </c>
      <c r="CQ36">
        <f t="shared" si="7"/>
        <v>0</v>
      </c>
      <c r="CR36">
        <f t="shared" si="7"/>
        <v>0</v>
      </c>
      <c r="CS36">
        <f t="shared" si="7"/>
        <v>0</v>
      </c>
    </row>
    <row r="37" spans="1:106" x14ac:dyDescent="0.25">
      <c r="A37" s="264"/>
    </row>
    <row r="38" spans="1:106" x14ac:dyDescent="0.25">
      <c r="A38" s="264"/>
      <c r="BG38" t="s">
        <v>367</v>
      </c>
      <c r="BH38" t="s">
        <v>357</v>
      </c>
      <c r="BI38" t="s">
        <v>499</v>
      </c>
      <c r="BJ38" t="s">
        <v>359</v>
      </c>
      <c r="BK38" t="s">
        <v>580</v>
      </c>
      <c r="BT38" t="s">
        <v>152</v>
      </c>
      <c r="BU38" t="s">
        <v>357</v>
      </c>
      <c r="BV38" t="s">
        <v>499</v>
      </c>
      <c r="BW38" t="s">
        <v>359</v>
      </c>
      <c r="BX38" t="s">
        <v>580</v>
      </c>
      <c r="CG38" t="s">
        <v>156</v>
      </c>
      <c r="CH38" t="s">
        <v>357</v>
      </c>
      <c r="CI38" t="s">
        <v>499</v>
      </c>
      <c r="CJ38" t="s">
        <v>359</v>
      </c>
      <c r="CK38" t="s">
        <v>580</v>
      </c>
    </row>
    <row r="39" spans="1:106" x14ac:dyDescent="0.25">
      <c r="A39" s="264"/>
      <c r="BG39" t="s">
        <v>604</v>
      </c>
      <c r="BH39">
        <f>SUM(BH36:BI36)</f>
        <v>0</v>
      </c>
      <c r="BI39">
        <f>SUM(BK36:BL36)</f>
        <v>0</v>
      </c>
      <c r="BJ39">
        <f>SUM(BN36:BO36)</f>
        <v>0</v>
      </c>
      <c r="BK39">
        <f>SUM(BQ36:BR36)</f>
        <v>0</v>
      </c>
      <c r="BT39" t="s">
        <v>604</v>
      </c>
      <c r="BU39">
        <f>SUM(BU36:BV36)</f>
        <v>0</v>
      </c>
      <c r="BV39">
        <f>SUM(BX36:BY36)</f>
        <v>0</v>
      </c>
      <c r="BW39">
        <f>SUM(CA36:CB36)</f>
        <v>0</v>
      </c>
      <c r="BX39">
        <f>SUM(CD36:CE36)</f>
        <v>0</v>
      </c>
      <c r="CG39" t="s">
        <v>604</v>
      </c>
      <c r="CH39">
        <f>SUM(CH36:CI36)</f>
        <v>0</v>
      </c>
      <c r="CI39">
        <f>SUM(CK36:CL36)</f>
        <v>0</v>
      </c>
      <c r="CJ39">
        <f>SUM(CN36:CO36)</f>
        <v>0</v>
      </c>
      <c r="CK39">
        <f>SUM(CQ36:CR36)</f>
        <v>0</v>
      </c>
    </row>
    <row r="40" spans="1:106" x14ac:dyDescent="0.25">
      <c r="A40" s="264"/>
      <c r="BG40" t="s">
        <v>374</v>
      </c>
      <c r="BH40">
        <f>BJ36</f>
        <v>0</v>
      </c>
      <c r="BI40">
        <f>BM36</f>
        <v>0</v>
      </c>
      <c r="BJ40">
        <f>BP36</f>
        <v>0</v>
      </c>
      <c r="BK40">
        <f>BS36</f>
        <v>0</v>
      </c>
      <c r="BT40" t="s">
        <v>374</v>
      </c>
      <c r="BU40">
        <f>BW36</f>
        <v>0</v>
      </c>
      <c r="BV40">
        <f>BZ36</f>
        <v>0</v>
      </c>
      <c r="BW40">
        <f>CC36</f>
        <v>0</v>
      </c>
      <c r="BX40">
        <f>CF36</f>
        <v>0</v>
      </c>
      <c r="CG40" t="s">
        <v>374</v>
      </c>
      <c r="CH40">
        <f>CJ36</f>
        <v>0</v>
      </c>
      <c r="CI40">
        <f>CM36</f>
        <v>0</v>
      </c>
      <c r="CJ40">
        <f>CP36</f>
        <v>0</v>
      </c>
      <c r="CK40">
        <f>CS36</f>
        <v>0</v>
      </c>
    </row>
    <row r="43" spans="1:106" x14ac:dyDescent="0.25">
      <c r="BE43">
        <f>'Multiplier-Calculations'!cost_to_mult_adjust</f>
        <v>1.0422194185205114</v>
      </c>
    </row>
    <row r="46" spans="1:106" x14ac:dyDescent="0.25">
      <c r="X46" s="54" t="s">
        <v>205</v>
      </c>
      <c r="AL46" s="54" t="s">
        <v>605</v>
      </c>
      <c r="AZ46" s="54" t="s">
        <v>372</v>
      </c>
      <c r="BN46" s="54" t="s">
        <v>198</v>
      </c>
      <c r="CB46" s="54" t="s">
        <v>606</v>
      </c>
      <c r="CP46" s="54" t="s">
        <v>225</v>
      </c>
    </row>
    <row r="47" spans="1:106" x14ac:dyDescent="0.25">
      <c r="C47" s="54" t="s">
        <v>607</v>
      </c>
      <c r="X47" t="s">
        <v>357</v>
      </c>
      <c r="AA47" t="s">
        <v>499</v>
      </c>
      <c r="AD47" t="s">
        <v>359</v>
      </c>
      <c r="AG47" t="s">
        <v>580</v>
      </c>
      <c r="AL47" t="s">
        <v>357</v>
      </c>
      <c r="AO47" t="s">
        <v>499</v>
      </c>
      <c r="AR47" t="s">
        <v>359</v>
      </c>
      <c r="AU47" t="s">
        <v>580</v>
      </c>
      <c r="AZ47" t="s">
        <v>357</v>
      </c>
      <c r="BC47" t="s">
        <v>499</v>
      </c>
      <c r="BF47" t="s">
        <v>359</v>
      </c>
      <c r="BI47" t="s">
        <v>580</v>
      </c>
      <c r="BN47" t="s">
        <v>357</v>
      </c>
      <c r="BQ47" t="s">
        <v>499</v>
      </c>
      <c r="BT47" t="s">
        <v>359</v>
      </c>
      <c r="BW47" t="s">
        <v>580</v>
      </c>
      <c r="CB47" t="s">
        <v>357</v>
      </c>
      <c r="CE47" t="s">
        <v>499</v>
      </c>
      <c r="CH47" t="s">
        <v>359</v>
      </c>
      <c r="CK47" t="s">
        <v>580</v>
      </c>
      <c r="CP47" t="s">
        <v>357</v>
      </c>
      <c r="CS47" t="s">
        <v>499</v>
      </c>
      <c r="CV47" t="s">
        <v>359</v>
      </c>
      <c r="CY47" t="s">
        <v>580</v>
      </c>
    </row>
    <row r="48" spans="1:106" x14ac:dyDescent="0.25">
      <c r="D48" t="s">
        <v>205</v>
      </c>
      <c r="E48" t="s">
        <v>605</v>
      </c>
      <c r="F48" t="s">
        <v>372</v>
      </c>
      <c r="G48" t="s">
        <v>225</v>
      </c>
      <c r="H48" t="s">
        <v>608</v>
      </c>
      <c r="I48" t="s">
        <v>217</v>
      </c>
      <c r="Y48" t="s">
        <v>581</v>
      </c>
      <c r="Z48" t="s">
        <v>582</v>
      </c>
      <c r="AA48" t="s">
        <v>374</v>
      </c>
      <c r="AB48" t="s">
        <v>581</v>
      </c>
      <c r="AC48" t="s">
        <v>582</v>
      </c>
      <c r="AD48" t="s">
        <v>374</v>
      </c>
      <c r="AE48" t="s">
        <v>581</v>
      </c>
      <c r="AF48" t="s">
        <v>582</v>
      </c>
      <c r="AG48" t="s">
        <v>374</v>
      </c>
      <c r="AH48" t="s">
        <v>581</v>
      </c>
      <c r="AI48" t="s">
        <v>582</v>
      </c>
      <c r="AJ48" t="s">
        <v>374</v>
      </c>
      <c r="AM48" t="s">
        <v>581</v>
      </c>
      <c r="AN48" t="s">
        <v>582</v>
      </c>
      <c r="AO48" t="s">
        <v>374</v>
      </c>
      <c r="AP48" t="s">
        <v>581</v>
      </c>
      <c r="AQ48" t="s">
        <v>582</v>
      </c>
      <c r="AR48" t="s">
        <v>374</v>
      </c>
      <c r="AS48" t="s">
        <v>581</v>
      </c>
      <c r="AT48" t="s">
        <v>582</v>
      </c>
      <c r="AU48" t="s">
        <v>374</v>
      </c>
      <c r="AV48" t="s">
        <v>581</v>
      </c>
      <c r="AW48" t="s">
        <v>582</v>
      </c>
      <c r="AX48" t="s">
        <v>374</v>
      </c>
      <c r="BA48" t="s">
        <v>581</v>
      </c>
      <c r="BB48" t="s">
        <v>582</v>
      </c>
      <c r="BC48" t="s">
        <v>374</v>
      </c>
      <c r="BD48" t="s">
        <v>581</v>
      </c>
      <c r="BE48" t="s">
        <v>582</v>
      </c>
      <c r="BF48" t="s">
        <v>374</v>
      </c>
      <c r="BG48" t="s">
        <v>581</v>
      </c>
      <c r="BH48" t="s">
        <v>582</v>
      </c>
      <c r="BI48" t="s">
        <v>374</v>
      </c>
      <c r="BJ48" t="s">
        <v>581</v>
      </c>
      <c r="BK48" t="s">
        <v>582</v>
      </c>
      <c r="BL48" t="s">
        <v>374</v>
      </c>
      <c r="BO48" t="s">
        <v>581</v>
      </c>
      <c r="BP48" t="s">
        <v>582</v>
      </c>
      <c r="BQ48" t="s">
        <v>374</v>
      </c>
      <c r="BR48" t="s">
        <v>581</v>
      </c>
      <c r="BS48" t="s">
        <v>582</v>
      </c>
      <c r="BT48" t="s">
        <v>374</v>
      </c>
      <c r="BU48" t="s">
        <v>581</v>
      </c>
      <c r="BV48" t="s">
        <v>582</v>
      </c>
      <c r="BW48" t="s">
        <v>374</v>
      </c>
      <c r="BX48" t="s">
        <v>581</v>
      </c>
      <c r="BY48" t="s">
        <v>582</v>
      </c>
      <c r="BZ48" t="s">
        <v>374</v>
      </c>
      <c r="CC48" t="s">
        <v>581</v>
      </c>
      <c r="CD48" t="s">
        <v>582</v>
      </c>
      <c r="CE48" t="s">
        <v>374</v>
      </c>
      <c r="CF48" t="s">
        <v>581</v>
      </c>
      <c r="CG48" t="s">
        <v>582</v>
      </c>
      <c r="CH48" t="s">
        <v>374</v>
      </c>
      <c r="CI48" t="s">
        <v>581</v>
      </c>
      <c r="CJ48" t="s">
        <v>582</v>
      </c>
      <c r="CK48" t="s">
        <v>374</v>
      </c>
      <c r="CL48" t="s">
        <v>581</v>
      </c>
      <c r="CM48" t="s">
        <v>582</v>
      </c>
      <c r="CN48" t="s">
        <v>374</v>
      </c>
      <c r="CQ48" t="s">
        <v>581</v>
      </c>
      <c r="CR48" t="s">
        <v>582</v>
      </c>
      <c r="CS48" t="s">
        <v>374</v>
      </c>
      <c r="CT48" t="s">
        <v>581</v>
      </c>
      <c r="CU48" t="s">
        <v>582</v>
      </c>
      <c r="CV48" t="s">
        <v>374</v>
      </c>
      <c r="CW48" t="s">
        <v>581</v>
      </c>
      <c r="CX48" t="s">
        <v>582</v>
      </c>
      <c r="CY48" t="s">
        <v>374</v>
      </c>
      <c r="CZ48" t="s">
        <v>581</v>
      </c>
      <c r="DA48" t="s">
        <v>582</v>
      </c>
      <c r="DB48" t="s">
        <v>374</v>
      </c>
    </row>
    <row r="49" spans="3:106" x14ac:dyDescent="0.25">
      <c r="C49" t="s">
        <v>400</v>
      </c>
      <c r="D49">
        <v>0</v>
      </c>
      <c r="E49">
        <v>0</v>
      </c>
      <c r="F49">
        <v>0</v>
      </c>
      <c r="G49">
        <v>0</v>
      </c>
      <c r="H49">
        <v>0</v>
      </c>
      <c r="I49">
        <v>0</v>
      </c>
      <c r="X49" t="s">
        <v>400</v>
      </c>
      <c r="Y49">
        <f>cmadjust*$D49*Multipliers!D406/1000000</f>
        <v>0</v>
      </c>
      <c r="Z49">
        <f>cmadjust*$D49*Multipliers!E406/1000000</f>
        <v>0</v>
      </c>
      <c r="AA49">
        <f>cmadjust*$D49*Multipliers!F406/1000000</f>
        <v>0</v>
      </c>
      <c r="AB49">
        <f>cmadjust*$D49*Multipliers!G406/1000000</f>
        <v>0</v>
      </c>
      <c r="AC49">
        <f>cmadjust*$D49*Multipliers!H406/1000000</f>
        <v>0</v>
      </c>
      <c r="AD49">
        <f>cmadjust*$D49*Multipliers!I406/1000000</f>
        <v>0</v>
      </c>
      <c r="AE49">
        <f>cmadjust*$D49*Multipliers!J406/1000000</f>
        <v>0</v>
      </c>
      <c r="AF49">
        <f>cmadjust*$D49*Multipliers!K406/1000000</f>
        <v>0</v>
      </c>
      <c r="AG49">
        <f>cmadjust*$D49*Multipliers!L406/1000000</f>
        <v>0</v>
      </c>
      <c r="AH49">
        <f>cmadjust*$D49*Multipliers!M406/1000000</f>
        <v>0</v>
      </c>
      <c r="AI49">
        <f>cmadjust*$D49*Multipliers!N406/1000000</f>
        <v>0</v>
      </c>
      <c r="AJ49">
        <f>cmadjust*$D49*Multipliers!O406/1000000</f>
        <v>0</v>
      </c>
      <c r="AL49" t="s">
        <v>400</v>
      </c>
      <c r="AM49">
        <f>cmadjust*$E49*Multipliers!D406/1000000</f>
        <v>0</v>
      </c>
      <c r="AN49">
        <f>cmadjust*$E49*Multipliers!E406/1000000</f>
        <v>0</v>
      </c>
      <c r="AO49">
        <f>cmadjust*$E49*Multipliers!F406/1000000</f>
        <v>0</v>
      </c>
      <c r="AP49">
        <f>cmadjust*$E49*Multipliers!G406/1000000</f>
        <v>0</v>
      </c>
      <c r="AQ49">
        <f>cmadjust*$E49*Multipliers!H406/1000000</f>
        <v>0</v>
      </c>
      <c r="AR49">
        <f>cmadjust*$E49*Multipliers!I406/1000000</f>
        <v>0</v>
      </c>
      <c r="AS49">
        <f>cmadjust*$E49*Multipliers!J406/1000000</f>
        <v>0</v>
      </c>
      <c r="AT49">
        <f>cmadjust*$E49*Multipliers!K406/1000000</f>
        <v>0</v>
      </c>
      <c r="AU49">
        <f>cmadjust*$E49*Multipliers!L406/1000000</f>
        <v>0</v>
      </c>
      <c r="AV49">
        <f>cmadjust*$E49*Multipliers!M406/1000000</f>
        <v>0</v>
      </c>
      <c r="AW49">
        <f>cmadjust*$E49*Multipliers!N406/1000000</f>
        <v>0</v>
      </c>
      <c r="AX49">
        <f>cmadjust*$E49*Multipliers!O406/1000000</f>
        <v>0</v>
      </c>
      <c r="AZ49" t="s">
        <v>400</v>
      </c>
      <c r="BA49">
        <f>cmadjust*$E49*Multipliers!D406/1000000</f>
        <v>0</v>
      </c>
      <c r="BB49">
        <f>cmadjust*$E49*Multipliers!E406/1000000</f>
        <v>0</v>
      </c>
      <c r="BC49">
        <f>cmadjust*$E49*Multipliers!F406/1000000</f>
        <v>0</v>
      </c>
      <c r="BD49">
        <f>cmadjust*$E49*Multipliers!G406/1000000</f>
        <v>0</v>
      </c>
      <c r="BE49">
        <f>cmadjust*$E49*Multipliers!H406/1000000</f>
        <v>0</v>
      </c>
      <c r="BF49">
        <f>cmadjust*$E49*Multipliers!I406/1000000</f>
        <v>0</v>
      </c>
      <c r="BG49">
        <f>cmadjust*$E49*Multipliers!J406/1000000</f>
        <v>0</v>
      </c>
      <c r="BH49">
        <f>cmadjust*$E49*Multipliers!K406/1000000</f>
        <v>0</v>
      </c>
      <c r="BI49">
        <f>cmadjust*$E49*Multipliers!L406/1000000</f>
        <v>0</v>
      </c>
      <c r="BJ49">
        <f>cmadjust*$E49*Multipliers!M406/1000000</f>
        <v>0</v>
      </c>
      <c r="BK49">
        <f>cmadjust*$E49*Multipliers!N406/1000000</f>
        <v>0</v>
      </c>
      <c r="BL49">
        <f>cmadjust*$E49*Multipliers!O406/1000000</f>
        <v>0</v>
      </c>
      <c r="BN49" t="s">
        <v>400</v>
      </c>
      <c r="BO49">
        <f>cmadjust*$H49*Multipliers!D406/1000000</f>
        <v>0</v>
      </c>
      <c r="BP49">
        <f>cmadjust*$H49*Multipliers!E406/1000000</f>
        <v>0</v>
      </c>
      <c r="BQ49">
        <f>cmadjust*$H49*Multipliers!F406/1000000</f>
        <v>0</v>
      </c>
      <c r="BR49">
        <f>cmadjust*$H49*Multipliers!G406/1000000</f>
        <v>0</v>
      </c>
      <c r="BS49">
        <f>cmadjust*$H49*Multipliers!H406/1000000</f>
        <v>0</v>
      </c>
      <c r="BT49">
        <f>cmadjust*$H49*Multipliers!I406/1000000</f>
        <v>0</v>
      </c>
      <c r="BU49">
        <f>cmadjust*$H49*Multipliers!J406/1000000</f>
        <v>0</v>
      </c>
      <c r="BV49">
        <f>cmadjust*$H49*Multipliers!K406/1000000</f>
        <v>0</v>
      </c>
      <c r="BW49">
        <f>cmadjust*$H49*Multipliers!L406/1000000</f>
        <v>0</v>
      </c>
      <c r="BX49">
        <f>cmadjust*$H49*Multipliers!M406/1000000</f>
        <v>0</v>
      </c>
      <c r="BY49">
        <f>cmadjust*$H49*Multipliers!N406/1000000</f>
        <v>0</v>
      </c>
      <c r="BZ49">
        <f>cmadjust*$H49*Multipliers!O406/1000000</f>
        <v>0</v>
      </c>
      <c r="CB49" t="s">
        <v>400</v>
      </c>
      <c r="CC49">
        <f>$I49*cmadjust*Multipliers!D406/1000000</f>
        <v>0</v>
      </c>
      <c r="CD49">
        <f>$I49*cmadjust*Multipliers!E406/1000000</f>
        <v>0</v>
      </c>
      <c r="CE49">
        <f>$I49*cmadjust*Multipliers!F406/1000000</f>
        <v>0</v>
      </c>
      <c r="CF49">
        <f>$I49*cmadjust*Multipliers!G406/1000000</f>
        <v>0</v>
      </c>
      <c r="CG49">
        <f>$I49*cmadjust*Multipliers!H406/1000000</f>
        <v>0</v>
      </c>
      <c r="CH49">
        <f>$I49*cmadjust*Multipliers!I406/1000000</f>
        <v>0</v>
      </c>
      <c r="CI49">
        <f>$I49*cmadjust*Multipliers!J406/1000000</f>
        <v>0</v>
      </c>
      <c r="CJ49">
        <f>$I49*cmadjust*Multipliers!K406/1000000</f>
        <v>0</v>
      </c>
      <c r="CK49">
        <f>$I49*cmadjust*Multipliers!L406/1000000</f>
        <v>0</v>
      </c>
      <c r="CL49">
        <f>$I49*cmadjust*Multipliers!M406/1000000</f>
        <v>0</v>
      </c>
      <c r="CM49">
        <f>$I49*cmadjust*Multipliers!N406/1000000</f>
        <v>0</v>
      </c>
      <c r="CN49">
        <f>$I49*cmadjust*Multipliers!O406/1000000</f>
        <v>0</v>
      </c>
      <c r="CP49" t="s">
        <v>400</v>
      </c>
      <c r="CQ49">
        <f>cmadjust*$G49*Multipliers!D406/1000000</f>
        <v>0</v>
      </c>
      <c r="CR49">
        <f>cmadjust*$G49*Multipliers!E406/1000000</f>
        <v>0</v>
      </c>
      <c r="CS49">
        <f>cmadjust*$G49*Multipliers!F406/1000000</f>
        <v>0</v>
      </c>
      <c r="CT49">
        <f>cmadjust*$G49*Multipliers!G406/1000000</f>
        <v>0</v>
      </c>
      <c r="CU49">
        <f>cmadjust*$G49*Multipliers!H406/1000000</f>
        <v>0</v>
      </c>
      <c r="CV49">
        <f>cmadjust*$G49*Multipliers!I406/1000000</f>
        <v>0</v>
      </c>
      <c r="CW49">
        <f>cmadjust*$G49*Multipliers!J406/1000000</f>
        <v>0</v>
      </c>
      <c r="CX49">
        <f>cmadjust*$G49*Multipliers!K406/1000000</f>
        <v>0</v>
      </c>
      <c r="CY49">
        <f>cmadjust*$G49*Multipliers!L406/1000000</f>
        <v>0</v>
      </c>
      <c r="CZ49">
        <f>cmadjust*$G49*Multipliers!M406/1000000</f>
        <v>0</v>
      </c>
      <c r="DA49">
        <f>cmadjust*$G49*Multipliers!N406/1000000</f>
        <v>0</v>
      </c>
      <c r="DB49">
        <f>cmadjust*$G49*Multipliers!O406/1000000</f>
        <v>0</v>
      </c>
    </row>
    <row r="50" spans="3:106" x14ac:dyDescent="0.25">
      <c r="C50" t="s">
        <v>583</v>
      </c>
      <c r="D50">
        <v>0</v>
      </c>
      <c r="E50">
        <v>0</v>
      </c>
      <c r="F50">
        <v>0</v>
      </c>
      <c r="G50">
        <v>0</v>
      </c>
      <c r="H50">
        <v>0</v>
      </c>
      <c r="I50">
        <v>0</v>
      </c>
      <c r="X50" t="s">
        <v>583</v>
      </c>
      <c r="Y50">
        <f>cmadjust*$D50*Multipliers!D407/1000000</f>
        <v>0</v>
      </c>
      <c r="Z50">
        <f>cmadjust*$D50*Multipliers!E407/1000000</f>
        <v>0</v>
      </c>
      <c r="AA50">
        <f>cmadjust*$D50*Multipliers!F407/1000000</f>
        <v>0</v>
      </c>
      <c r="AB50">
        <f>cmadjust*$D50*Multipliers!G407/1000000</f>
        <v>0</v>
      </c>
      <c r="AC50">
        <f>cmadjust*$D50*Multipliers!H407/1000000</f>
        <v>0</v>
      </c>
      <c r="AD50">
        <f>cmadjust*$D50*Multipliers!I407/1000000</f>
        <v>0</v>
      </c>
      <c r="AE50">
        <f>cmadjust*$D50*Multipliers!J407/1000000</f>
        <v>0</v>
      </c>
      <c r="AF50">
        <f>cmadjust*$D50*Multipliers!K407/1000000</f>
        <v>0</v>
      </c>
      <c r="AG50">
        <f>cmadjust*$D50*Multipliers!L407/1000000</f>
        <v>0</v>
      </c>
      <c r="AH50">
        <f>cmadjust*$D50*Multipliers!M407/1000000</f>
        <v>0</v>
      </c>
      <c r="AI50">
        <f>cmadjust*$D50*Multipliers!N407/1000000</f>
        <v>0</v>
      </c>
      <c r="AJ50">
        <f>cmadjust*$D50*Multipliers!O407/1000000</f>
        <v>0</v>
      </c>
      <c r="AL50" t="s">
        <v>583</v>
      </c>
      <c r="AM50">
        <f>cmadjust*$E50*Multipliers!D407/1000000</f>
        <v>0</v>
      </c>
      <c r="AN50">
        <f>cmadjust*$E50*Multipliers!E407/1000000</f>
        <v>0</v>
      </c>
      <c r="AO50">
        <f>cmadjust*$E50*Multipliers!F407/1000000</f>
        <v>0</v>
      </c>
      <c r="AP50">
        <f>cmadjust*$E50*Multipliers!G407/1000000</f>
        <v>0</v>
      </c>
      <c r="AQ50">
        <f>cmadjust*$E50*Multipliers!H407/1000000</f>
        <v>0</v>
      </c>
      <c r="AR50">
        <f>cmadjust*$E50*Multipliers!I407/1000000</f>
        <v>0</v>
      </c>
      <c r="AS50">
        <f>cmadjust*$E50*Multipliers!J407/1000000</f>
        <v>0</v>
      </c>
      <c r="AT50">
        <f>cmadjust*$E50*Multipliers!K407/1000000</f>
        <v>0</v>
      </c>
      <c r="AU50">
        <f>cmadjust*$E50*Multipliers!L407/1000000</f>
        <v>0</v>
      </c>
      <c r="AV50">
        <f>cmadjust*$E50*Multipliers!M407/1000000</f>
        <v>0</v>
      </c>
      <c r="AW50">
        <f>cmadjust*$E50*Multipliers!N407/1000000</f>
        <v>0</v>
      </c>
      <c r="AX50">
        <f>cmadjust*$E50*Multipliers!O407/1000000</f>
        <v>0</v>
      </c>
      <c r="AZ50" t="s">
        <v>583</v>
      </c>
      <c r="BA50">
        <f>cmadjust*$E50*Multipliers!D407/1000000</f>
        <v>0</v>
      </c>
      <c r="BB50">
        <f>cmadjust*$E50*Multipliers!E407/1000000</f>
        <v>0</v>
      </c>
      <c r="BC50">
        <f>cmadjust*$E50*Multipliers!F407/1000000</f>
        <v>0</v>
      </c>
      <c r="BD50">
        <f>cmadjust*$E50*Multipliers!G407/1000000</f>
        <v>0</v>
      </c>
      <c r="BE50">
        <f>cmadjust*$E50*Multipliers!H407/1000000</f>
        <v>0</v>
      </c>
      <c r="BF50">
        <f>cmadjust*$E50*Multipliers!I407/1000000</f>
        <v>0</v>
      </c>
      <c r="BG50">
        <f>cmadjust*$E50*Multipliers!J407/1000000</f>
        <v>0</v>
      </c>
      <c r="BH50">
        <f>cmadjust*$E50*Multipliers!K407/1000000</f>
        <v>0</v>
      </c>
      <c r="BI50">
        <f>cmadjust*$E50*Multipliers!L407/1000000</f>
        <v>0</v>
      </c>
      <c r="BJ50">
        <f>cmadjust*$E50*Multipliers!M407/1000000</f>
        <v>0</v>
      </c>
      <c r="BK50">
        <f>cmadjust*$E50*Multipliers!N407/1000000</f>
        <v>0</v>
      </c>
      <c r="BL50">
        <f>cmadjust*$E50*Multipliers!O407/1000000</f>
        <v>0</v>
      </c>
      <c r="BN50" t="s">
        <v>583</v>
      </c>
      <c r="BO50">
        <f>cmadjust*$H50*Multipliers!D407/1000000</f>
        <v>0</v>
      </c>
      <c r="BP50">
        <f>cmadjust*$H50*Multipliers!E407/1000000</f>
        <v>0</v>
      </c>
      <c r="BQ50">
        <f>cmadjust*$H50*Multipliers!F407/1000000</f>
        <v>0</v>
      </c>
      <c r="BR50">
        <f>cmadjust*$H50*Multipliers!G407/1000000</f>
        <v>0</v>
      </c>
      <c r="BS50">
        <f>cmadjust*$H50*Multipliers!H407/1000000</f>
        <v>0</v>
      </c>
      <c r="BT50">
        <f>cmadjust*$H50*Multipliers!I407/1000000</f>
        <v>0</v>
      </c>
      <c r="BU50">
        <f>cmadjust*$H50*Multipliers!J407/1000000</f>
        <v>0</v>
      </c>
      <c r="BV50">
        <f>cmadjust*$H50*Multipliers!K407/1000000</f>
        <v>0</v>
      </c>
      <c r="BW50">
        <f>cmadjust*$H50*Multipliers!L407/1000000</f>
        <v>0</v>
      </c>
      <c r="BX50">
        <f>cmadjust*$H50*Multipliers!M407/1000000</f>
        <v>0</v>
      </c>
      <c r="BY50">
        <f>cmadjust*$H50*Multipliers!N407/1000000</f>
        <v>0</v>
      </c>
      <c r="BZ50">
        <f>cmadjust*$H50*Multipliers!O407/1000000</f>
        <v>0</v>
      </c>
      <c r="CB50" t="s">
        <v>583</v>
      </c>
      <c r="CC50">
        <f>$I50*cmadjust*Multipliers!D407/1000000</f>
        <v>0</v>
      </c>
      <c r="CD50">
        <f>$I50*cmadjust*Multipliers!E407/1000000</f>
        <v>0</v>
      </c>
      <c r="CE50">
        <f>$I50*cmadjust*Multipliers!F407/1000000</f>
        <v>0</v>
      </c>
      <c r="CF50">
        <f>$I50*cmadjust*Multipliers!G407/1000000</f>
        <v>0</v>
      </c>
      <c r="CG50">
        <f>$I50*cmadjust*Multipliers!H407/1000000</f>
        <v>0</v>
      </c>
      <c r="CH50">
        <f>$I50*cmadjust*Multipliers!I407/1000000</f>
        <v>0</v>
      </c>
      <c r="CI50">
        <f>$I50*cmadjust*Multipliers!J407/1000000</f>
        <v>0</v>
      </c>
      <c r="CJ50">
        <f>$I50*cmadjust*Multipliers!K407/1000000</f>
        <v>0</v>
      </c>
      <c r="CK50">
        <f>$I50*cmadjust*Multipliers!L407/1000000</f>
        <v>0</v>
      </c>
      <c r="CL50">
        <f>$I50*cmadjust*Multipliers!M407/1000000</f>
        <v>0</v>
      </c>
      <c r="CM50">
        <f>$I50*cmadjust*Multipliers!N407/1000000</f>
        <v>0</v>
      </c>
      <c r="CN50">
        <f>$I50*cmadjust*Multipliers!O407/1000000</f>
        <v>0</v>
      </c>
      <c r="CP50" t="s">
        <v>583</v>
      </c>
      <c r="CQ50">
        <f>cmadjust*$G50*Multipliers!D407/1000000</f>
        <v>0</v>
      </c>
      <c r="CR50">
        <f>cmadjust*$G50*Multipliers!E407/1000000</f>
        <v>0</v>
      </c>
      <c r="CS50">
        <f>cmadjust*$G50*Multipliers!F407/1000000</f>
        <v>0</v>
      </c>
      <c r="CT50">
        <f>cmadjust*$G50*Multipliers!G407/1000000</f>
        <v>0</v>
      </c>
      <c r="CU50">
        <f>cmadjust*$G50*Multipliers!H407/1000000</f>
        <v>0</v>
      </c>
      <c r="CV50">
        <f>cmadjust*$G50*Multipliers!I407/1000000</f>
        <v>0</v>
      </c>
      <c r="CW50">
        <f>cmadjust*$G50*Multipliers!J407/1000000</f>
        <v>0</v>
      </c>
      <c r="CX50">
        <f>cmadjust*$G50*Multipliers!K407/1000000</f>
        <v>0</v>
      </c>
      <c r="CY50">
        <f>cmadjust*$G50*Multipliers!L407/1000000</f>
        <v>0</v>
      </c>
      <c r="CZ50">
        <f>cmadjust*$G50*Multipliers!M407/1000000</f>
        <v>0</v>
      </c>
      <c r="DA50">
        <f>cmadjust*$G50*Multipliers!N407/1000000</f>
        <v>0</v>
      </c>
      <c r="DB50">
        <f>cmadjust*$G50*Multipliers!O407/1000000</f>
        <v>0</v>
      </c>
    </row>
    <row r="51" spans="3:106" x14ac:dyDescent="0.25">
      <c r="C51" t="s">
        <v>403</v>
      </c>
      <c r="D51">
        <v>0</v>
      </c>
      <c r="E51">
        <v>0</v>
      </c>
      <c r="F51">
        <v>0</v>
      </c>
      <c r="G51">
        <v>0</v>
      </c>
      <c r="H51">
        <v>0</v>
      </c>
      <c r="I51">
        <v>0</v>
      </c>
      <c r="X51" t="s">
        <v>403</v>
      </c>
      <c r="Y51">
        <f>cmadjust*$D51*Multipliers!D408/1000000</f>
        <v>0</v>
      </c>
      <c r="Z51">
        <f>cmadjust*$D51*Multipliers!E408/1000000</f>
        <v>0</v>
      </c>
      <c r="AA51">
        <f>cmadjust*$D51*Multipliers!F408/1000000</f>
        <v>0</v>
      </c>
      <c r="AB51">
        <f>cmadjust*$D51*Multipliers!G408/1000000</f>
        <v>0</v>
      </c>
      <c r="AC51">
        <f>cmadjust*$D51*Multipliers!H408/1000000</f>
        <v>0</v>
      </c>
      <c r="AD51">
        <f>cmadjust*$D51*Multipliers!I408/1000000</f>
        <v>0</v>
      </c>
      <c r="AE51">
        <f>cmadjust*$D51*Multipliers!J408/1000000</f>
        <v>0</v>
      </c>
      <c r="AF51">
        <f>cmadjust*$D51*Multipliers!K408/1000000</f>
        <v>0</v>
      </c>
      <c r="AG51">
        <f>cmadjust*$D51*Multipliers!L408/1000000</f>
        <v>0</v>
      </c>
      <c r="AH51">
        <f>cmadjust*$D51*Multipliers!M408/1000000</f>
        <v>0</v>
      </c>
      <c r="AI51">
        <f>cmadjust*$D51*Multipliers!N408/1000000</f>
        <v>0</v>
      </c>
      <c r="AJ51">
        <f>cmadjust*$D51*Multipliers!O408/1000000</f>
        <v>0</v>
      </c>
      <c r="AL51" t="s">
        <v>403</v>
      </c>
      <c r="AM51">
        <f>cmadjust*$E51*Multipliers!D408/1000000</f>
        <v>0</v>
      </c>
      <c r="AN51">
        <f>cmadjust*$E51*Multipliers!E408/1000000</f>
        <v>0</v>
      </c>
      <c r="AO51">
        <f>cmadjust*$E51*Multipliers!F408/1000000</f>
        <v>0</v>
      </c>
      <c r="AP51">
        <f>cmadjust*$E51*Multipliers!G408/1000000</f>
        <v>0</v>
      </c>
      <c r="AQ51">
        <f>cmadjust*$E51*Multipliers!H408/1000000</f>
        <v>0</v>
      </c>
      <c r="AR51">
        <f>cmadjust*$E51*Multipliers!I408/1000000</f>
        <v>0</v>
      </c>
      <c r="AS51">
        <f>cmadjust*$E51*Multipliers!J408/1000000</f>
        <v>0</v>
      </c>
      <c r="AT51">
        <f>cmadjust*$E51*Multipliers!K408/1000000</f>
        <v>0</v>
      </c>
      <c r="AU51">
        <f>cmadjust*$E51*Multipliers!L408/1000000</f>
        <v>0</v>
      </c>
      <c r="AV51">
        <f>cmadjust*$E51*Multipliers!M408/1000000</f>
        <v>0</v>
      </c>
      <c r="AW51">
        <f>cmadjust*$E51*Multipliers!N408/1000000</f>
        <v>0</v>
      </c>
      <c r="AX51">
        <f>cmadjust*$E51*Multipliers!O408/1000000</f>
        <v>0</v>
      </c>
      <c r="AZ51" t="s">
        <v>403</v>
      </c>
      <c r="BA51">
        <f>cmadjust*$E51*Multipliers!D408/1000000</f>
        <v>0</v>
      </c>
      <c r="BB51">
        <f>cmadjust*$E51*Multipliers!E408/1000000</f>
        <v>0</v>
      </c>
      <c r="BC51">
        <f>cmadjust*$E51*Multipliers!F408/1000000</f>
        <v>0</v>
      </c>
      <c r="BD51">
        <f>cmadjust*$E51*Multipliers!G408/1000000</f>
        <v>0</v>
      </c>
      <c r="BE51">
        <f>cmadjust*$E51*Multipliers!H408/1000000</f>
        <v>0</v>
      </c>
      <c r="BF51">
        <f>cmadjust*$E51*Multipliers!I408/1000000</f>
        <v>0</v>
      </c>
      <c r="BG51">
        <f>cmadjust*$E51*Multipliers!J408/1000000</f>
        <v>0</v>
      </c>
      <c r="BH51">
        <f>cmadjust*$E51*Multipliers!K408/1000000</f>
        <v>0</v>
      </c>
      <c r="BI51">
        <f>cmadjust*$E51*Multipliers!L408/1000000</f>
        <v>0</v>
      </c>
      <c r="BJ51">
        <f>cmadjust*$E51*Multipliers!M408/1000000</f>
        <v>0</v>
      </c>
      <c r="BK51">
        <f>cmadjust*$E51*Multipliers!N408/1000000</f>
        <v>0</v>
      </c>
      <c r="BL51">
        <f>cmadjust*$E51*Multipliers!O408/1000000</f>
        <v>0</v>
      </c>
      <c r="BN51" t="s">
        <v>403</v>
      </c>
      <c r="BO51">
        <f>cmadjust*$H51*Multipliers!D408/1000000</f>
        <v>0</v>
      </c>
      <c r="BP51">
        <f>cmadjust*$H51*Multipliers!E408/1000000</f>
        <v>0</v>
      </c>
      <c r="BQ51">
        <f>cmadjust*$H51*Multipliers!F408/1000000</f>
        <v>0</v>
      </c>
      <c r="BR51">
        <f>cmadjust*$H51*Multipliers!G408/1000000</f>
        <v>0</v>
      </c>
      <c r="BS51">
        <f>cmadjust*$H51*Multipliers!H408/1000000</f>
        <v>0</v>
      </c>
      <c r="BT51">
        <f>cmadjust*$H51*Multipliers!I408/1000000</f>
        <v>0</v>
      </c>
      <c r="BU51">
        <f>cmadjust*$H51*Multipliers!J408/1000000</f>
        <v>0</v>
      </c>
      <c r="BV51">
        <f>cmadjust*$H51*Multipliers!K408/1000000</f>
        <v>0</v>
      </c>
      <c r="BW51">
        <f>cmadjust*$H51*Multipliers!L408/1000000</f>
        <v>0</v>
      </c>
      <c r="BX51">
        <f>cmadjust*$H51*Multipliers!M408/1000000</f>
        <v>0</v>
      </c>
      <c r="BY51">
        <f>cmadjust*$H51*Multipliers!N408/1000000</f>
        <v>0</v>
      </c>
      <c r="BZ51">
        <f>cmadjust*$H51*Multipliers!O408/1000000</f>
        <v>0</v>
      </c>
      <c r="CB51" t="s">
        <v>403</v>
      </c>
      <c r="CC51">
        <f>$I51*cmadjust*Multipliers!D408/1000000</f>
        <v>0</v>
      </c>
      <c r="CD51">
        <f>$I51*cmadjust*Multipliers!E408/1000000</f>
        <v>0</v>
      </c>
      <c r="CE51">
        <f>$I51*cmadjust*Multipliers!F408/1000000</f>
        <v>0</v>
      </c>
      <c r="CF51">
        <f>$I51*cmadjust*Multipliers!G408/1000000</f>
        <v>0</v>
      </c>
      <c r="CG51">
        <f>$I51*cmadjust*Multipliers!H408/1000000</f>
        <v>0</v>
      </c>
      <c r="CH51">
        <f>$I51*cmadjust*Multipliers!I408/1000000</f>
        <v>0</v>
      </c>
      <c r="CI51">
        <f>$I51*cmadjust*Multipliers!J408/1000000</f>
        <v>0</v>
      </c>
      <c r="CJ51">
        <f>$I51*cmadjust*Multipliers!K408/1000000</f>
        <v>0</v>
      </c>
      <c r="CK51">
        <f>$I51*cmadjust*Multipliers!L408/1000000</f>
        <v>0</v>
      </c>
      <c r="CL51">
        <f>$I51*cmadjust*Multipliers!M408/1000000</f>
        <v>0</v>
      </c>
      <c r="CM51">
        <f>$I51*cmadjust*Multipliers!N408/1000000</f>
        <v>0</v>
      </c>
      <c r="CN51">
        <f>$I51*cmadjust*Multipliers!O408/1000000</f>
        <v>0</v>
      </c>
      <c r="CP51" t="s">
        <v>403</v>
      </c>
      <c r="CQ51">
        <f>cmadjust*$G51*Multipliers!D408/1000000</f>
        <v>0</v>
      </c>
      <c r="CR51">
        <f>cmadjust*$G51*Multipliers!E408/1000000</f>
        <v>0</v>
      </c>
      <c r="CS51">
        <f>cmadjust*$G51*Multipliers!F408/1000000</f>
        <v>0</v>
      </c>
      <c r="CT51">
        <f>cmadjust*$G51*Multipliers!G408/1000000</f>
        <v>0</v>
      </c>
      <c r="CU51">
        <f>cmadjust*$G51*Multipliers!H408/1000000</f>
        <v>0</v>
      </c>
      <c r="CV51">
        <f>cmadjust*$G51*Multipliers!I408/1000000</f>
        <v>0</v>
      </c>
      <c r="CW51">
        <f>cmadjust*$G51*Multipliers!J408/1000000</f>
        <v>0</v>
      </c>
      <c r="CX51">
        <f>cmadjust*$G51*Multipliers!K408/1000000</f>
        <v>0</v>
      </c>
      <c r="CY51">
        <f>cmadjust*$G51*Multipliers!L408/1000000</f>
        <v>0</v>
      </c>
      <c r="CZ51">
        <f>cmadjust*$G51*Multipliers!M408/1000000</f>
        <v>0</v>
      </c>
      <c r="DA51">
        <f>cmadjust*$G51*Multipliers!N408/1000000</f>
        <v>0</v>
      </c>
      <c r="DB51">
        <f>cmadjust*$G51*Multipliers!O408/1000000</f>
        <v>0</v>
      </c>
    </row>
    <row r="52" spans="3:106" x14ac:dyDescent="0.25">
      <c r="C52" t="s">
        <v>584</v>
      </c>
      <c r="D52">
        <v>0</v>
      </c>
      <c r="E52">
        <v>0</v>
      </c>
      <c r="F52">
        <v>0</v>
      </c>
      <c r="G52">
        <v>0</v>
      </c>
      <c r="H52">
        <v>0</v>
      </c>
      <c r="I52">
        <v>0</v>
      </c>
      <c r="X52" t="s">
        <v>584</v>
      </c>
      <c r="Y52">
        <f>cmadjust*$D52*Multipliers!D409/1000000</f>
        <v>0</v>
      </c>
      <c r="Z52">
        <f>cmadjust*$D52*Multipliers!E409/1000000</f>
        <v>0</v>
      </c>
      <c r="AA52">
        <f>cmadjust*$D52*Multipliers!F409/1000000</f>
        <v>0</v>
      </c>
      <c r="AB52">
        <f>cmadjust*$D52*Multipliers!G409/1000000</f>
        <v>0</v>
      </c>
      <c r="AC52">
        <f>cmadjust*$D52*Multipliers!H409/1000000</f>
        <v>0</v>
      </c>
      <c r="AD52">
        <f>cmadjust*$D52*Multipliers!I409/1000000</f>
        <v>0</v>
      </c>
      <c r="AE52">
        <f>cmadjust*$D52*Multipliers!J409/1000000</f>
        <v>0</v>
      </c>
      <c r="AF52">
        <f>cmadjust*$D52*Multipliers!K409/1000000</f>
        <v>0</v>
      </c>
      <c r="AG52">
        <f>cmadjust*$D52*Multipliers!L409/1000000</f>
        <v>0</v>
      </c>
      <c r="AH52">
        <f>cmadjust*$D52*Multipliers!M409/1000000</f>
        <v>0</v>
      </c>
      <c r="AI52">
        <f>cmadjust*$D52*Multipliers!N409/1000000</f>
        <v>0</v>
      </c>
      <c r="AJ52">
        <f>cmadjust*$D52*Multipliers!O409/1000000</f>
        <v>0</v>
      </c>
      <c r="AL52" t="s">
        <v>584</v>
      </c>
      <c r="AM52">
        <f>cmadjust*$E52*Multipliers!D409/1000000</f>
        <v>0</v>
      </c>
      <c r="AN52">
        <f>cmadjust*$E52*Multipliers!E409/1000000</f>
        <v>0</v>
      </c>
      <c r="AO52">
        <f>cmadjust*$E52*Multipliers!F409/1000000</f>
        <v>0</v>
      </c>
      <c r="AP52">
        <f>cmadjust*$E52*Multipliers!G409/1000000</f>
        <v>0</v>
      </c>
      <c r="AQ52">
        <f>cmadjust*$E52*Multipliers!H409/1000000</f>
        <v>0</v>
      </c>
      <c r="AR52">
        <f>cmadjust*$E52*Multipliers!I409/1000000</f>
        <v>0</v>
      </c>
      <c r="AS52">
        <f>cmadjust*$E52*Multipliers!J409/1000000</f>
        <v>0</v>
      </c>
      <c r="AT52">
        <f>cmadjust*$E52*Multipliers!K409/1000000</f>
        <v>0</v>
      </c>
      <c r="AU52">
        <f>cmadjust*$E52*Multipliers!L409/1000000</f>
        <v>0</v>
      </c>
      <c r="AV52">
        <f>cmadjust*$E52*Multipliers!M409/1000000</f>
        <v>0</v>
      </c>
      <c r="AW52">
        <f>cmadjust*$E52*Multipliers!N409/1000000</f>
        <v>0</v>
      </c>
      <c r="AX52">
        <f>cmadjust*$E52*Multipliers!O409/1000000</f>
        <v>0</v>
      </c>
      <c r="AZ52" t="s">
        <v>584</v>
      </c>
      <c r="BA52">
        <f>cmadjust*$E52*Multipliers!D409/1000000</f>
        <v>0</v>
      </c>
      <c r="BB52">
        <f>cmadjust*$E52*Multipliers!E409/1000000</f>
        <v>0</v>
      </c>
      <c r="BC52">
        <f>cmadjust*$E52*Multipliers!F409/1000000</f>
        <v>0</v>
      </c>
      <c r="BD52">
        <f>cmadjust*$E52*Multipliers!G409/1000000</f>
        <v>0</v>
      </c>
      <c r="BE52">
        <f>cmadjust*$E52*Multipliers!H409/1000000</f>
        <v>0</v>
      </c>
      <c r="BF52">
        <f>cmadjust*$E52*Multipliers!I409/1000000</f>
        <v>0</v>
      </c>
      <c r="BG52">
        <f>cmadjust*$E52*Multipliers!J409/1000000</f>
        <v>0</v>
      </c>
      <c r="BH52">
        <f>cmadjust*$E52*Multipliers!K409/1000000</f>
        <v>0</v>
      </c>
      <c r="BI52">
        <f>cmadjust*$E52*Multipliers!L409/1000000</f>
        <v>0</v>
      </c>
      <c r="BJ52">
        <f>cmadjust*$E52*Multipliers!M409/1000000</f>
        <v>0</v>
      </c>
      <c r="BK52">
        <f>cmadjust*$E52*Multipliers!N409/1000000</f>
        <v>0</v>
      </c>
      <c r="BL52">
        <f>cmadjust*$E52*Multipliers!O409/1000000</f>
        <v>0</v>
      </c>
      <c r="BN52" t="s">
        <v>584</v>
      </c>
      <c r="BO52">
        <f>cmadjust*$H52*Multipliers!D409/1000000</f>
        <v>0</v>
      </c>
      <c r="BP52">
        <f>cmadjust*$H52*Multipliers!E409/1000000</f>
        <v>0</v>
      </c>
      <c r="BQ52">
        <f>cmadjust*$H52*Multipliers!F409/1000000</f>
        <v>0</v>
      </c>
      <c r="BR52">
        <f>cmadjust*$H52*Multipliers!G409/1000000</f>
        <v>0</v>
      </c>
      <c r="BS52">
        <f>cmadjust*$H52*Multipliers!H409/1000000</f>
        <v>0</v>
      </c>
      <c r="BT52">
        <f>cmadjust*$H52*Multipliers!I409/1000000</f>
        <v>0</v>
      </c>
      <c r="BU52">
        <f>cmadjust*$H52*Multipliers!J409/1000000</f>
        <v>0</v>
      </c>
      <c r="BV52">
        <f>cmadjust*$H52*Multipliers!K409/1000000</f>
        <v>0</v>
      </c>
      <c r="BW52">
        <f>cmadjust*$H52*Multipliers!L409/1000000</f>
        <v>0</v>
      </c>
      <c r="BX52">
        <f>cmadjust*$H52*Multipliers!M409/1000000</f>
        <v>0</v>
      </c>
      <c r="BY52">
        <f>cmadjust*$H52*Multipliers!N409/1000000</f>
        <v>0</v>
      </c>
      <c r="BZ52">
        <f>cmadjust*$H52*Multipliers!O409/1000000</f>
        <v>0</v>
      </c>
      <c r="CB52" t="s">
        <v>584</v>
      </c>
      <c r="CC52">
        <f>$I52*cmadjust*Multipliers!D409/1000000</f>
        <v>0</v>
      </c>
      <c r="CD52">
        <f>$I52*cmadjust*Multipliers!E409/1000000</f>
        <v>0</v>
      </c>
      <c r="CE52">
        <f>$I52*cmadjust*Multipliers!F409/1000000</f>
        <v>0</v>
      </c>
      <c r="CF52">
        <f>$I52*cmadjust*Multipliers!G409/1000000</f>
        <v>0</v>
      </c>
      <c r="CG52">
        <f>$I52*cmadjust*Multipliers!H409/1000000</f>
        <v>0</v>
      </c>
      <c r="CH52">
        <f>$I52*cmadjust*Multipliers!I409/1000000</f>
        <v>0</v>
      </c>
      <c r="CI52">
        <f>$I52*cmadjust*Multipliers!J409/1000000</f>
        <v>0</v>
      </c>
      <c r="CJ52">
        <f>$I52*cmadjust*Multipliers!K409/1000000</f>
        <v>0</v>
      </c>
      <c r="CK52">
        <f>$I52*cmadjust*Multipliers!L409/1000000</f>
        <v>0</v>
      </c>
      <c r="CL52">
        <f>$I52*cmadjust*Multipliers!M409/1000000</f>
        <v>0</v>
      </c>
      <c r="CM52">
        <f>$I52*cmadjust*Multipliers!N409/1000000</f>
        <v>0</v>
      </c>
      <c r="CN52">
        <f>$I52*cmadjust*Multipliers!O409/1000000</f>
        <v>0</v>
      </c>
      <c r="CP52" t="s">
        <v>584</v>
      </c>
      <c r="CQ52">
        <f>cmadjust*$G52*Multipliers!D409/1000000</f>
        <v>0</v>
      </c>
      <c r="CR52">
        <f>cmadjust*$G52*Multipliers!E409/1000000</f>
        <v>0</v>
      </c>
      <c r="CS52">
        <f>cmadjust*$G52*Multipliers!F409/1000000</f>
        <v>0</v>
      </c>
      <c r="CT52">
        <f>cmadjust*$G52*Multipliers!G409/1000000</f>
        <v>0</v>
      </c>
      <c r="CU52">
        <f>cmadjust*$G52*Multipliers!H409/1000000</f>
        <v>0</v>
      </c>
      <c r="CV52">
        <f>cmadjust*$G52*Multipliers!I409/1000000</f>
        <v>0</v>
      </c>
      <c r="CW52">
        <f>cmadjust*$G52*Multipliers!J409/1000000</f>
        <v>0</v>
      </c>
      <c r="CX52">
        <f>cmadjust*$G52*Multipliers!K409/1000000</f>
        <v>0</v>
      </c>
      <c r="CY52">
        <f>cmadjust*$G52*Multipliers!L409/1000000</f>
        <v>0</v>
      </c>
      <c r="CZ52">
        <f>cmadjust*$G52*Multipliers!M409/1000000</f>
        <v>0</v>
      </c>
      <c r="DA52">
        <f>cmadjust*$G52*Multipliers!N409/1000000</f>
        <v>0</v>
      </c>
      <c r="DB52">
        <f>cmadjust*$G52*Multipliers!O409/1000000</f>
        <v>0</v>
      </c>
    </row>
    <row r="53" spans="3:106" x14ac:dyDescent="0.25">
      <c r="C53" t="s">
        <v>585</v>
      </c>
      <c r="D53">
        <v>0</v>
      </c>
      <c r="E53">
        <v>0</v>
      </c>
      <c r="F53">
        <v>0</v>
      </c>
      <c r="G53">
        <v>0</v>
      </c>
      <c r="H53">
        <v>0</v>
      </c>
      <c r="I53">
        <v>0</v>
      </c>
      <c r="X53" t="s">
        <v>585</v>
      </c>
      <c r="Y53">
        <f>cmadjust*$D53*Multipliers!D410/1000000</f>
        <v>0</v>
      </c>
      <c r="Z53">
        <f>cmadjust*$D53*Multipliers!E410/1000000</f>
        <v>0</v>
      </c>
      <c r="AA53">
        <f>cmadjust*$D53*Multipliers!F410/1000000</f>
        <v>0</v>
      </c>
      <c r="AB53">
        <f>cmadjust*$D53*Multipliers!G410/1000000</f>
        <v>0</v>
      </c>
      <c r="AC53">
        <f>cmadjust*$D53*Multipliers!H410/1000000</f>
        <v>0</v>
      </c>
      <c r="AD53">
        <f>cmadjust*$D53*Multipliers!I410/1000000</f>
        <v>0</v>
      </c>
      <c r="AE53">
        <f>cmadjust*$D53*Multipliers!J410/1000000</f>
        <v>0</v>
      </c>
      <c r="AF53">
        <f>cmadjust*$D53*Multipliers!K410/1000000</f>
        <v>0</v>
      </c>
      <c r="AG53">
        <f>cmadjust*$D53*Multipliers!L410/1000000</f>
        <v>0</v>
      </c>
      <c r="AH53">
        <f>cmadjust*$D53*Multipliers!M410/1000000</f>
        <v>0</v>
      </c>
      <c r="AI53">
        <f>cmadjust*$D53*Multipliers!N410/1000000</f>
        <v>0</v>
      </c>
      <c r="AJ53">
        <f>cmadjust*$D53*Multipliers!O410/1000000</f>
        <v>0</v>
      </c>
      <c r="AL53" t="s">
        <v>585</v>
      </c>
      <c r="AM53">
        <f>cmadjust*$E53*Multipliers!D410/1000000</f>
        <v>0</v>
      </c>
      <c r="AN53">
        <f>cmadjust*$E53*Multipliers!E410/1000000</f>
        <v>0</v>
      </c>
      <c r="AO53">
        <f>cmadjust*$E53*Multipliers!F410/1000000</f>
        <v>0</v>
      </c>
      <c r="AP53">
        <f>cmadjust*$E53*Multipliers!G410/1000000</f>
        <v>0</v>
      </c>
      <c r="AQ53">
        <f>cmadjust*$E53*Multipliers!H410/1000000</f>
        <v>0</v>
      </c>
      <c r="AR53">
        <f>cmadjust*$E53*Multipliers!I410/1000000</f>
        <v>0</v>
      </c>
      <c r="AS53">
        <f>cmadjust*$E53*Multipliers!J410/1000000</f>
        <v>0</v>
      </c>
      <c r="AT53">
        <f>cmadjust*$E53*Multipliers!K410/1000000</f>
        <v>0</v>
      </c>
      <c r="AU53">
        <f>cmadjust*$E53*Multipliers!L410/1000000</f>
        <v>0</v>
      </c>
      <c r="AV53">
        <f>cmadjust*$E53*Multipliers!M410/1000000</f>
        <v>0</v>
      </c>
      <c r="AW53">
        <f>cmadjust*$E53*Multipliers!N410/1000000</f>
        <v>0</v>
      </c>
      <c r="AX53">
        <f>cmadjust*$E53*Multipliers!O410/1000000</f>
        <v>0</v>
      </c>
      <c r="AZ53" t="s">
        <v>585</v>
      </c>
      <c r="BA53">
        <f>cmadjust*$E53*Multipliers!D410/1000000</f>
        <v>0</v>
      </c>
      <c r="BB53">
        <f>cmadjust*$E53*Multipliers!E410/1000000</f>
        <v>0</v>
      </c>
      <c r="BC53">
        <f>cmadjust*$E53*Multipliers!F410/1000000</f>
        <v>0</v>
      </c>
      <c r="BD53">
        <f>cmadjust*$E53*Multipliers!G410/1000000</f>
        <v>0</v>
      </c>
      <c r="BE53">
        <f>cmadjust*$E53*Multipliers!H410/1000000</f>
        <v>0</v>
      </c>
      <c r="BF53">
        <f>cmadjust*$E53*Multipliers!I410/1000000</f>
        <v>0</v>
      </c>
      <c r="BG53">
        <f>cmadjust*$E53*Multipliers!J410/1000000</f>
        <v>0</v>
      </c>
      <c r="BH53">
        <f>cmadjust*$E53*Multipliers!K410/1000000</f>
        <v>0</v>
      </c>
      <c r="BI53">
        <f>cmadjust*$E53*Multipliers!L410/1000000</f>
        <v>0</v>
      </c>
      <c r="BJ53">
        <f>cmadjust*$E53*Multipliers!M410/1000000</f>
        <v>0</v>
      </c>
      <c r="BK53">
        <f>cmadjust*$E53*Multipliers!N410/1000000</f>
        <v>0</v>
      </c>
      <c r="BL53">
        <f>cmadjust*$E53*Multipliers!O410/1000000</f>
        <v>0</v>
      </c>
      <c r="BN53" t="s">
        <v>585</v>
      </c>
      <c r="BO53">
        <f>cmadjust*$H53*Multipliers!D410/1000000</f>
        <v>0</v>
      </c>
      <c r="BP53">
        <f>cmadjust*$H53*Multipliers!E410/1000000</f>
        <v>0</v>
      </c>
      <c r="BQ53">
        <f>cmadjust*$H53*Multipliers!F410/1000000</f>
        <v>0</v>
      </c>
      <c r="BR53">
        <f>cmadjust*$H53*Multipliers!G410/1000000</f>
        <v>0</v>
      </c>
      <c r="BS53">
        <f>cmadjust*$H53*Multipliers!H410/1000000</f>
        <v>0</v>
      </c>
      <c r="BT53">
        <f>cmadjust*$H53*Multipliers!I410/1000000</f>
        <v>0</v>
      </c>
      <c r="BU53">
        <f>cmadjust*$H53*Multipliers!J410/1000000</f>
        <v>0</v>
      </c>
      <c r="BV53">
        <f>cmadjust*$H53*Multipliers!K410/1000000</f>
        <v>0</v>
      </c>
      <c r="BW53">
        <f>cmadjust*$H53*Multipliers!L410/1000000</f>
        <v>0</v>
      </c>
      <c r="BX53">
        <f>cmadjust*$H53*Multipliers!M410/1000000</f>
        <v>0</v>
      </c>
      <c r="BY53">
        <f>cmadjust*$H53*Multipliers!N410/1000000</f>
        <v>0</v>
      </c>
      <c r="BZ53">
        <f>cmadjust*$H53*Multipliers!O410/1000000</f>
        <v>0</v>
      </c>
      <c r="CB53" t="s">
        <v>585</v>
      </c>
      <c r="CC53">
        <f>$I53*cmadjust*Multipliers!D410/1000000</f>
        <v>0</v>
      </c>
      <c r="CD53">
        <f>$I53*cmadjust*Multipliers!E410/1000000</f>
        <v>0</v>
      </c>
      <c r="CE53">
        <f>$I53*cmadjust*Multipliers!F410/1000000</f>
        <v>0</v>
      </c>
      <c r="CF53">
        <f>$I53*cmadjust*Multipliers!G410/1000000</f>
        <v>0</v>
      </c>
      <c r="CG53">
        <f>$I53*cmadjust*Multipliers!H410/1000000</f>
        <v>0</v>
      </c>
      <c r="CH53">
        <f>$I53*cmadjust*Multipliers!I410/1000000</f>
        <v>0</v>
      </c>
      <c r="CI53">
        <f>$I53*cmadjust*Multipliers!J410/1000000</f>
        <v>0</v>
      </c>
      <c r="CJ53">
        <f>$I53*cmadjust*Multipliers!K410/1000000</f>
        <v>0</v>
      </c>
      <c r="CK53">
        <f>$I53*cmadjust*Multipliers!L410/1000000</f>
        <v>0</v>
      </c>
      <c r="CL53">
        <f>$I53*cmadjust*Multipliers!M410/1000000</f>
        <v>0</v>
      </c>
      <c r="CM53">
        <f>$I53*cmadjust*Multipliers!N410/1000000</f>
        <v>0</v>
      </c>
      <c r="CN53">
        <f>$I53*cmadjust*Multipliers!O410/1000000</f>
        <v>0</v>
      </c>
      <c r="CP53" t="s">
        <v>585</v>
      </c>
      <c r="CQ53">
        <f>cmadjust*$G53*Multipliers!D410/1000000</f>
        <v>0</v>
      </c>
      <c r="CR53">
        <f>cmadjust*$G53*Multipliers!E410/1000000</f>
        <v>0</v>
      </c>
      <c r="CS53">
        <f>cmadjust*$G53*Multipliers!F410/1000000</f>
        <v>0</v>
      </c>
      <c r="CT53">
        <f>cmadjust*$G53*Multipliers!G410/1000000</f>
        <v>0</v>
      </c>
      <c r="CU53">
        <f>cmadjust*$G53*Multipliers!H410/1000000</f>
        <v>0</v>
      </c>
      <c r="CV53">
        <f>cmadjust*$G53*Multipliers!I410/1000000</f>
        <v>0</v>
      </c>
      <c r="CW53">
        <f>cmadjust*$G53*Multipliers!J410/1000000</f>
        <v>0</v>
      </c>
      <c r="CX53">
        <f>cmadjust*$G53*Multipliers!K410/1000000</f>
        <v>0</v>
      </c>
      <c r="CY53">
        <f>cmadjust*$G53*Multipliers!L410/1000000</f>
        <v>0</v>
      </c>
      <c r="CZ53">
        <f>cmadjust*$G53*Multipliers!M410/1000000</f>
        <v>0</v>
      </c>
      <c r="DA53">
        <f>cmadjust*$G53*Multipliers!N410/1000000</f>
        <v>0</v>
      </c>
      <c r="DB53">
        <f>cmadjust*$G53*Multipliers!O410/1000000</f>
        <v>0</v>
      </c>
    </row>
    <row r="54" spans="3:106" x14ac:dyDescent="0.25">
      <c r="C54" t="s">
        <v>586</v>
      </c>
      <c r="D54">
        <v>0</v>
      </c>
      <c r="E54">
        <v>0</v>
      </c>
      <c r="F54">
        <v>0</v>
      </c>
      <c r="G54">
        <v>0</v>
      </c>
      <c r="H54">
        <v>0</v>
      </c>
      <c r="I54">
        <v>0</v>
      </c>
      <c r="X54" t="s">
        <v>586</v>
      </c>
      <c r="Y54">
        <f>cmadjust*$D54*Multipliers!D411/1000000</f>
        <v>0</v>
      </c>
      <c r="Z54">
        <f>cmadjust*$D54*Multipliers!E411/1000000</f>
        <v>0</v>
      </c>
      <c r="AA54">
        <f>cmadjust*$D54*Multipliers!F411/1000000</f>
        <v>0</v>
      </c>
      <c r="AB54">
        <f>cmadjust*$D54*Multipliers!G411/1000000</f>
        <v>0</v>
      </c>
      <c r="AC54">
        <f>cmadjust*$D54*Multipliers!H411/1000000</f>
        <v>0</v>
      </c>
      <c r="AD54">
        <f>cmadjust*$D54*Multipliers!I411/1000000</f>
        <v>0</v>
      </c>
      <c r="AE54">
        <f>cmadjust*$D54*Multipliers!J411/1000000</f>
        <v>0</v>
      </c>
      <c r="AF54">
        <f>cmadjust*$D54*Multipliers!K411/1000000</f>
        <v>0</v>
      </c>
      <c r="AG54">
        <f>cmadjust*$D54*Multipliers!L411/1000000</f>
        <v>0</v>
      </c>
      <c r="AH54">
        <f>cmadjust*$D54*Multipliers!M411/1000000</f>
        <v>0</v>
      </c>
      <c r="AI54">
        <f>cmadjust*$D54*Multipliers!N411/1000000</f>
        <v>0</v>
      </c>
      <c r="AJ54">
        <f>cmadjust*$D54*Multipliers!O411/1000000</f>
        <v>0</v>
      </c>
      <c r="AL54" t="s">
        <v>586</v>
      </c>
      <c r="AM54">
        <f>cmadjust*$E54*Multipliers!D411/1000000</f>
        <v>0</v>
      </c>
      <c r="AN54">
        <f>cmadjust*$E54*Multipliers!E411/1000000</f>
        <v>0</v>
      </c>
      <c r="AO54">
        <f>cmadjust*$E54*Multipliers!F411/1000000</f>
        <v>0</v>
      </c>
      <c r="AP54">
        <f>cmadjust*$E54*Multipliers!G411/1000000</f>
        <v>0</v>
      </c>
      <c r="AQ54">
        <f>cmadjust*$E54*Multipliers!H411/1000000</f>
        <v>0</v>
      </c>
      <c r="AR54">
        <f>cmadjust*$E54*Multipliers!I411/1000000</f>
        <v>0</v>
      </c>
      <c r="AS54">
        <f>cmadjust*$E54*Multipliers!J411/1000000</f>
        <v>0</v>
      </c>
      <c r="AT54">
        <f>cmadjust*$E54*Multipliers!K411/1000000</f>
        <v>0</v>
      </c>
      <c r="AU54">
        <f>cmadjust*$E54*Multipliers!L411/1000000</f>
        <v>0</v>
      </c>
      <c r="AV54">
        <f>cmadjust*$E54*Multipliers!M411/1000000</f>
        <v>0</v>
      </c>
      <c r="AW54">
        <f>cmadjust*$E54*Multipliers!N411/1000000</f>
        <v>0</v>
      </c>
      <c r="AX54">
        <f>cmadjust*$E54*Multipliers!O411/1000000</f>
        <v>0</v>
      </c>
      <c r="AZ54" t="s">
        <v>586</v>
      </c>
      <c r="BA54">
        <f>cmadjust*$E54*Multipliers!D411/1000000</f>
        <v>0</v>
      </c>
      <c r="BB54">
        <f>cmadjust*$E54*Multipliers!E411/1000000</f>
        <v>0</v>
      </c>
      <c r="BC54">
        <f>cmadjust*$E54*Multipliers!F411/1000000</f>
        <v>0</v>
      </c>
      <c r="BD54">
        <f>cmadjust*$E54*Multipliers!G411/1000000</f>
        <v>0</v>
      </c>
      <c r="BE54">
        <f>cmadjust*$E54*Multipliers!H411/1000000</f>
        <v>0</v>
      </c>
      <c r="BF54">
        <f>cmadjust*$E54*Multipliers!I411/1000000</f>
        <v>0</v>
      </c>
      <c r="BG54">
        <f>cmadjust*$E54*Multipliers!J411/1000000</f>
        <v>0</v>
      </c>
      <c r="BH54">
        <f>cmadjust*$E54*Multipliers!K411/1000000</f>
        <v>0</v>
      </c>
      <c r="BI54">
        <f>cmadjust*$E54*Multipliers!L411/1000000</f>
        <v>0</v>
      </c>
      <c r="BJ54">
        <f>cmadjust*$E54*Multipliers!M411/1000000</f>
        <v>0</v>
      </c>
      <c r="BK54">
        <f>cmadjust*$E54*Multipliers!N411/1000000</f>
        <v>0</v>
      </c>
      <c r="BL54">
        <f>cmadjust*$E54*Multipliers!O411/1000000</f>
        <v>0</v>
      </c>
      <c r="BN54" t="s">
        <v>586</v>
      </c>
      <c r="BO54">
        <f>cmadjust*$H54*Multipliers!D411/1000000</f>
        <v>0</v>
      </c>
      <c r="BP54">
        <f>cmadjust*$H54*Multipliers!E411/1000000</f>
        <v>0</v>
      </c>
      <c r="BQ54">
        <f>cmadjust*$H54*Multipliers!F411/1000000</f>
        <v>0</v>
      </c>
      <c r="BR54">
        <f>cmadjust*$H54*Multipliers!G411/1000000</f>
        <v>0</v>
      </c>
      <c r="BS54">
        <f>cmadjust*$H54*Multipliers!H411/1000000</f>
        <v>0</v>
      </c>
      <c r="BT54">
        <f>cmadjust*$H54*Multipliers!I411/1000000</f>
        <v>0</v>
      </c>
      <c r="BU54">
        <f>cmadjust*$H54*Multipliers!J411/1000000</f>
        <v>0</v>
      </c>
      <c r="BV54">
        <f>cmadjust*$H54*Multipliers!K411/1000000</f>
        <v>0</v>
      </c>
      <c r="BW54">
        <f>cmadjust*$H54*Multipliers!L411/1000000</f>
        <v>0</v>
      </c>
      <c r="BX54">
        <f>cmadjust*$H54*Multipliers!M411/1000000</f>
        <v>0</v>
      </c>
      <c r="BY54">
        <f>cmadjust*$H54*Multipliers!N411/1000000</f>
        <v>0</v>
      </c>
      <c r="BZ54">
        <f>cmadjust*$H54*Multipliers!O411/1000000</f>
        <v>0</v>
      </c>
      <c r="CB54" t="s">
        <v>586</v>
      </c>
      <c r="CC54">
        <f>$I54*cmadjust*Multipliers!D411/1000000</f>
        <v>0</v>
      </c>
      <c r="CD54">
        <f>$I54*cmadjust*Multipliers!E411/1000000</f>
        <v>0</v>
      </c>
      <c r="CE54">
        <f>$I54*cmadjust*Multipliers!F411/1000000</f>
        <v>0</v>
      </c>
      <c r="CF54">
        <f>$I54*cmadjust*Multipliers!G411/1000000</f>
        <v>0</v>
      </c>
      <c r="CG54">
        <f>$I54*cmadjust*Multipliers!H411/1000000</f>
        <v>0</v>
      </c>
      <c r="CH54">
        <f>$I54*cmadjust*Multipliers!I411/1000000</f>
        <v>0</v>
      </c>
      <c r="CI54">
        <f>$I54*cmadjust*Multipliers!J411/1000000</f>
        <v>0</v>
      </c>
      <c r="CJ54">
        <f>$I54*cmadjust*Multipliers!K411/1000000</f>
        <v>0</v>
      </c>
      <c r="CK54">
        <f>$I54*cmadjust*Multipliers!L411/1000000</f>
        <v>0</v>
      </c>
      <c r="CL54">
        <f>$I54*cmadjust*Multipliers!M411/1000000</f>
        <v>0</v>
      </c>
      <c r="CM54">
        <f>$I54*cmadjust*Multipliers!N411/1000000</f>
        <v>0</v>
      </c>
      <c r="CN54">
        <f>$I54*cmadjust*Multipliers!O411/1000000</f>
        <v>0</v>
      </c>
      <c r="CP54" t="s">
        <v>586</v>
      </c>
      <c r="CQ54">
        <f>cmadjust*$G54*Multipliers!D411/1000000</f>
        <v>0</v>
      </c>
      <c r="CR54">
        <f>cmadjust*$G54*Multipliers!E411/1000000</f>
        <v>0</v>
      </c>
      <c r="CS54">
        <f>cmadjust*$G54*Multipliers!F411/1000000</f>
        <v>0</v>
      </c>
      <c r="CT54">
        <f>cmadjust*$G54*Multipliers!G411/1000000</f>
        <v>0</v>
      </c>
      <c r="CU54">
        <f>cmadjust*$G54*Multipliers!H411/1000000</f>
        <v>0</v>
      </c>
      <c r="CV54">
        <f>cmadjust*$G54*Multipliers!I411/1000000</f>
        <v>0</v>
      </c>
      <c r="CW54">
        <f>cmadjust*$G54*Multipliers!J411/1000000</f>
        <v>0</v>
      </c>
      <c r="CX54">
        <f>cmadjust*$G54*Multipliers!K411/1000000</f>
        <v>0</v>
      </c>
      <c r="CY54">
        <f>cmadjust*$G54*Multipliers!L411/1000000</f>
        <v>0</v>
      </c>
      <c r="CZ54">
        <f>cmadjust*$G54*Multipliers!M411/1000000</f>
        <v>0</v>
      </c>
      <c r="DA54">
        <f>cmadjust*$G54*Multipliers!N411/1000000</f>
        <v>0</v>
      </c>
      <c r="DB54">
        <f>cmadjust*$G54*Multipliers!O411/1000000</f>
        <v>0</v>
      </c>
    </row>
    <row r="55" spans="3:106" x14ac:dyDescent="0.25">
      <c r="C55" t="s">
        <v>587</v>
      </c>
      <c r="D55">
        <v>0</v>
      </c>
      <c r="E55">
        <v>0</v>
      </c>
      <c r="F55">
        <v>0</v>
      </c>
      <c r="G55">
        <v>0</v>
      </c>
      <c r="H55">
        <v>0</v>
      </c>
      <c r="I55">
        <v>0</v>
      </c>
      <c r="X55" t="s">
        <v>587</v>
      </c>
      <c r="Y55">
        <f>cmadjust*$D55*Multipliers!D412/1000000</f>
        <v>0</v>
      </c>
      <c r="Z55">
        <f>cmadjust*$D55*Multipliers!E412/1000000</f>
        <v>0</v>
      </c>
      <c r="AA55">
        <f>cmadjust*$D55*Multipliers!F412/1000000</f>
        <v>0</v>
      </c>
      <c r="AB55">
        <f>cmadjust*$D55*Multipliers!G412/1000000</f>
        <v>0</v>
      </c>
      <c r="AC55">
        <f>cmadjust*$D55*Multipliers!H412/1000000</f>
        <v>0</v>
      </c>
      <c r="AD55">
        <f>cmadjust*$D55*Multipliers!I412/1000000</f>
        <v>0</v>
      </c>
      <c r="AE55">
        <f>cmadjust*$D55*Multipliers!J412/1000000</f>
        <v>0</v>
      </c>
      <c r="AF55">
        <f>cmadjust*$D55*Multipliers!K412/1000000</f>
        <v>0</v>
      </c>
      <c r="AG55">
        <f>cmadjust*$D55*Multipliers!L412/1000000</f>
        <v>0</v>
      </c>
      <c r="AH55">
        <f>cmadjust*$D55*Multipliers!M412/1000000</f>
        <v>0</v>
      </c>
      <c r="AI55">
        <f>cmadjust*$D55*Multipliers!N412/1000000</f>
        <v>0</v>
      </c>
      <c r="AJ55">
        <f>cmadjust*$D55*Multipliers!O412/1000000</f>
        <v>0</v>
      </c>
      <c r="AL55" t="s">
        <v>587</v>
      </c>
      <c r="AM55">
        <f>cmadjust*$E55*Multipliers!D412/1000000</f>
        <v>0</v>
      </c>
      <c r="AN55">
        <f>cmadjust*$E55*Multipliers!E412/1000000</f>
        <v>0</v>
      </c>
      <c r="AO55">
        <f>cmadjust*$E55*Multipliers!F412/1000000</f>
        <v>0</v>
      </c>
      <c r="AP55">
        <f>cmadjust*$E55*Multipliers!G412/1000000</f>
        <v>0</v>
      </c>
      <c r="AQ55">
        <f>cmadjust*$E55*Multipliers!H412/1000000</f>
        <v>0</v>
      </c>
      <c r="AR55">
        <f>cmadjust*$E55*Multipliers!I412/1000000</f>
        <v>0</v>
      </c>
      <c r="AS55">
        <f>cmadjust*$E55*Multipliers!J412/1000000</f>
        <v>0</v>
      </c>
      <c r="AT55">
        <f>cmadjust*$E55*Multipliers!K412/1000000</f>
        <v>0</v>
      </c>
      <c r="AU55">
        <f>cmadjust*$E55*Multipliers!L412/1000000</f>
        <v>0</v>
      </c>
      <c r="AV55">
        <f>cmadjust*$E55*Multipliers!M412/1000000</f>
        <v>0</v>
      </c>
      <c r="AW55">
        <f>cmadjust*$E55*Multipliers!N412/1000000</f>
        <v>0</v>
      </c>
      <c r="AX55">
        <f>cmadjust*$E55*Multipliers!O412/1000000</f>
        <v>0</v>
      </c>
      <c r="AZ55" t="s">
        <v>587</v>
      </c>
      <c r="BA55">
        <f>cmadjust*$E55*Multipliers!D412/1000000</f>
        <v>0</v>
      </c>
      <c r="BB55">
        <f>cmadjust*$E55*Multipliers!E412/1000000</f>
        <v>0</v>
      </c>
      <c r="BC55">
        <f>cmadjust*$E55*Multipliers!F412/1000000</f>
        <v>0</v>
      </c>
      <c r="BD55">
        <f>cmadjust*$E55*Multipliers!G412/1000000</f>
        <v>0</v>
      </c>
      <c r="BE55">
        <f>cmadjust*$E55*Multipliers!H412/1000000</f>
        <v>0</v>
      </c>
      <c r="BF55">
        <f>cmadjust*$E55*Multipliers!I412/1000000</f>
        <v>0</v>
      </c>
      <c r="BG55">
        <f>cmadjust*$E55*Multipliers!J412/1000000</f>
        <v>0</v>
      </c>
      <c r="BH55">
        <f>cmadjust*$E55*Multipliers!K412/1000000</f>
        <v>0</v>
      </c>
      <c r="BI55">
        <f>cmadjust*$E55*Multipliers!L412/1000000</f>
        <v>0</v>
      </c>
      <c r="BJ55">
        <f>cmadjust*$E55*Multipliers!M412/1000000</f>
        <v>0</v>
      </c>
      <c r="BK55">
        <f>cmadjust*$E55*Multipliers!N412/1000000</f>
        <v>0</v>
      </c>
      <c r="BL55">
        <f>cmadjust*$E55*Multipliers!O412/1000000</f>
        <v>0</v>
      </c>
      <c r="BN55" t="s">
        <v>587</v>
      </c>
      <c r="BO55">
        <f>cmadjust*$H55*Multipliers!D412/1000000</f>
        <v>0</v>
      </c>
      <c r="BP55">
        <f>cmadjust*$H55*Multipliers!E412/1000000</f>
        <v>0</v>
      </c>
      <c r="BQ55">
        <f>cmadjust*$H55*Multipliers!F412/1000000</f>
        <v>0</v>
      </c>
      <c r="BR55">
        <f>cmadjust*$H55*Multipliers!G412/1000000</f>
        <v>0</v>
      </c>
      <c r="BS55">
        <f>cmadjust*$H55*Multipliers!H412/1000000</f>
        <v>0</v>
      </c>
      <c r="BT55">
        <f>cmadjust*$H55*Multipliers!I412/1000000</f>
        <v>0</v>
      </c>
      <c r="BU55">
        <f>cmadjust*$H55*Multipliers!J412/1000000</f>
        <v>0</v>
      </c>
      <c r="BV55">
        <f>cmadjust*$H55*Multipliers!K412/1000000</f>
        <v>0</v>
      </c>
      <c r="BW55">
        <f>cmadjust*$H55*Multipliers!L412/1000000</f>
        <v>0</v>
      </c>
      <c r="BX55">
        <f>cmadjust*$H55*Multipliers!M412/1000000</f>
        <v>0</v>
      </c>
      <c r="BY55">
        <f>cmadjust*$H55*Multipliers!N412/1000000</f>
        <v>0</v>
      </c>
      <c r="BZ55">
        <f>cmadjust*$H55*Multipliers!O412/1000000</f>
        <v>0</v>
      </c>
      <c r="CB55" t="s">
        <v>587</v>
      </c>
      <c r="CC55">
        <f>$I55*cmadjust*Multipliers!D412/1000000</f>
        <v>0</v>
      </c>
      <c r="CD55">
        <f>$I55*cmadjust*Multipliers!E412/1000000</f>
        <v>0</v>
      </c>
      <c r="CE55">
        <f>$I55*cmadjust*Multipliers!F412/1000000</f>
        <v>0</v>
      </c>
      <c r="CF55">
        <f>$I55*cmadjust*Multipliers!G412/1000000</f>
        <v>0</v>
      </c>
      <c r="CG55">
        <f>$I55*cmadjust*Multipliers!H412/1000000</f>
        <v>0</v>
      </c>
      <c r="CH55">
        <f>$I55*cmadjust*Multipliers!I412/1000000</f>
        <v>0</v>
      </c>
      <c r="CI55">
        <f>$I55*cmadjust*Multipliers!J412/1000000</f>
        <v>0</v>
      </c>
      <c r="CJ55">
        <f>$I55*cmadjust*Multipliers!K412/1000000</f>
        <v>0</v>
      </c>
      <c r="CK55">
        <f>$I55*cmadjust*Multipliers!L412/1000000</f>
        <v>0</v>
      </c>
      <c r="CL55">
        <f>$I55*cmadjust*Multipliers!M412/1000000</f>
        <v>0</v>
      </c>
      <c r="CM55">
        <f>$I55*cmadjust*Multipliers!N412/1000000</f>
        <v>0</v>
      </c>
      <c r="CN55">
        <f>$I55*cmadjust*Multipliers!O412/1000000</f>
        <v>0</v>
      </c>
      <c r="CP55" t="s">
        <v>587</v>
      </c>
      <c r="CQ55">
        <f>cmadjust*$G55*Multipliers!D412/1000000</f>
        <v>0</v>
      </c>
      <c r="CR55">
        <f>cmadjust*$G55*Multipliers!E412/1000000</f>
        <v>0</v>
      </c>
      <c r="CS55">
        <f>cmadjust*$G55*Multipliers!F412/1000000</f>
        <v>0</v>
      </c>
      <c r="CT55">
        <f>cmadjust*$G55*Multipliers!G412/1000000</f>
        <v>0</v>
      </c>
      <c r="CU55">
        <f>cmadjust*$G55*Multipliers!H412/1000000</f>
        <v>0</v>
      </c>
      <c r="CV55">
        <f>cmadjust*$G55*Multipliers!I412/1000000</f>
        <v>0</v>
      </c>
      <c r="CW55">
        <f>cmadjust*$G55*Multipliers!J412/1000000</f>
        <v>0</v>
      </c>
      <c r="CX55">
        <f>cmadjust*$G55*Multipliers!K412/1000000</f>
        <v>0</v>
      </c>
      <c r="CY55">
        <f>cmadjust*$G55*Multipliers!L412/1000000</f>
        <v>0</v>
      </c>
      <c r="CZ55">
        <f>cmadjust*$G55*Multipliers!M412/1000000</f>
        <v>0</v>
      </c>
      <c r="DA55">
        <f>cmadjust*$G55*Multipliers!N412/1000000</f>
        <v>0</v>
      </c>
      <c r="DB55">
        <f>cmadjust*$G55*Multipliers!O412/1000000</f>
        <v>0</v>
      </c>
    </row>
    <row r="56" spans="3:106" x14ac:dyDescent="0.25">
      <c r="C56" t="s">
        <v>588</v>
      </c>
      <c r="D56">
        <v>0</v>
      </c>
      <c r="E56">
        <v>0</v>
      </c>
      <c r="F56">
        <v>0</v>
      </c>
      <c r="G56">
        <v>0</v>
      </c>
      <c r="H56">
        <v>0</v>
      </c>
      <c r="I56">
        <v>0</v>
      </c>
      <c r="X56" t="s">
        <v>588</v>
      </c>
      <c r="Y56">
        <f>cmadjust*$D56*Multipliers!D413/1000000</f>
        <v>0</v>
      </c>
      <c r="Z56">
        <f>cmadjust*$D56*Multipliers!E413/1000000</f>
        <v>0</v>
      </c>
      <c r="AA56">
        <f>cmadjust*$D56*Multipliers!F413/1000000</f>
        <v>0</v>
      </c>
      <c r="AB56">
        <f>cmadjust*$D56*Multipliers!G413/1000000</f>
        <v>0</v>
      </c>
      <c r="AC56">
        <f>cmadjust*$D56*Multipliers!H413/1000000</f>
        <v>0</v>
      </c>
      <c r="AD56">
        <f>cmadjust*$D56*Multipliers!I413/1000000</f>
        <v>0</v>
      </c>
      <c r="AE56">
        <f>cmadjust*$D56*Multipliers!J413/1000000</f>
        <v>0</v>
      </c>
      <c r="AF56">
        <f>cmadjust*$D56*Multipliers!K413/1000000</f>
        <v>0</v>
      </c>
      <c r="AG56">
        <f>cmadjust*$D56*Multipliers!L413/1000000</f>
        <v>0</v>
      </c>
      <c r="AH56">
        <f>cmadjust*$D56*Multipliers!M413/1000000</f>
        <v>0</v>
      </c>
      <c r="AI56">
        <f>cmadjust*$D56*Multipliers!N413/1000000</f>
        <v>0</v>
      </c>
      <c r="AJ56">
        <f>cmadjust*$D56*Multipliers!O413/1000000</f>
        <v>0</v>
      </c>
      <c r="AL56" t="s">
        <v>588</v>
      </c>
      <c r="AM56">
        <f>cmadjust*$E56*Multipliers!D413/1000000</f>
        <v>0</v>
      </c>
      <c r="AN56">
        <f>cmadjust*$E56*Multipliers!E413/1000000</f>
        <v>0</v>
      </c>
      <c r="AO56">
        <f>cmadjust*$E56*Multipliers!F413/1000000</f>
        <v>0</v>
      </c>
      <c r="AP56">
        <f>cmadjust*$E56*Multipliers!G413/1000000</f>
        <v>0</v>
      </c>
      <c r="AQ56">
        <f>cmadjust*$E56*Multipliers!H413/1000000</f>
        <v>0</v>
      </c>
      <c r="AR56">
        <f>cmadjust*$E56*Multipliers!I413/1000000</f>
        <v>0</v>
      </c>
      <c r="AS56">
        <f>cmadjust*$E56*Multipliers!J413/1000000</f>
        <v>0</v>
      </c>
      <c r="AT56">
        <f>cmadjust*$E56*Multipliers!K413/1000000</f>
        <v>0</v>
      </c>
      <c r="AU56">
        <f>cmadjust*$E56*Multipliers!L413/1000000</f>
        <v>0</v>
      </c>
      <c r="AV56">
        <f>cmadjust*$E56*Multipliers!M413/1000000</f>
        <v>0</v>
      </c>
      <c r="AW56">
        <f>cmadjust*$E56*Multipliers!N413/1000000</f>
        <v>0</v>
      </c>
      <c r="AX56">
        <f>cmadjust*$E56*Multipliers!O413/1000000</f>
        <v>0</v>
      </c>
      <c r="AZ56" t="s">
        <v>588</v>
      </c>
      <c r="BA56">
        <f>cmadjust*$E56*Multipliers!D413/1000000</f>
        <v>0</v>
      </c>
      <c r="BB56">
        <f>cmadjust*$E56*Multipliers!E413/1000000</f>
        <v>0</v>
      </c>
      <c r="BC56">
        <f>cmadjust*$E56*Multipliers!F413/1000000</f>
        <v>0</v>
      </c>
      <c r="BD56">
        <f>cmadjust*$E56*Multipliers!G413/1000000</f>
        <v>0</v>
      </c>
      <c r="BE56">
        <f>cmadjust*$E56*Multipliers!H413/1000000</f>
        <v>0</v>
      </c>
      <c r="BF56">
        <f>cmadjust*$E56*Multipliers!I413/1000000</f>
        <v>0</v>
      </c>
      <c r="BG56">
        <f>cmadjust*$E56*Multipliers!J413/1000000</f>
        <v>0</v>
      </c>
      <c r="BH56">
        <f>cmadjust*$E56*Multipliers!K413/1000000</f>
        <v>0</v>
      </c>
      <c r="BI56">
        <f>cmadjust*$E56*Multipliers!L413/1000000</f>
        <v>0</v>
      </c>
      <c r="BJ56">
        <f>cmadjust*$E56*Multipliers!M413/1000000</f>
        <v>0</v>
      </c>
      <c r="BK56">
        <f>cmadjust*$E56*Multipliers!N413/1000000</f>
        <v>0</v>
      </c>
      <c r="BL56">
        <f>cmadjust*$E56*Multipliers!O413/1000000</f>
        <v>0</v>
      </c>
      <c r="BN56" t="s">
        <v>588</v>
      </c>
      <c r="BO56">
        <f>cmadjust*$H56*Multipliers!D413/1000000</f>
        <v>0</v>
      </c>
      <c r="BP56">
        <f>cmadjust*$H56*Multipliers!E413/1000000</f>
        <v>0</v>
      </c>
      <c r="BQ56">
        <f>cmadjust*$H56*Multipliers!F413/1000000</f>
        <v>0</v>
      </c>
      <c r="BR56">
        <f>cmadjust*$H56*Multipliers!G413/1000000</f>
        <v>0</v>
      </c>
      <c r="BS56">
        <f>cmadjust*$H56*Multipliers!H413/1000000</f>
        <v>0</v>
      </c>
      <c r="BT56">
        <f>cmadjust*$H56*Multipliers!I413/1000000</f>
        <v>0</v>
      </c>
      <c r="BU56">
        <f>cmadjust*$H56*Multipliers!J413/1000000</f>
        <v>0</v>
      </c>
      <c r="BV56">
        <f>cmadjust*$H56*Multipliers!K413/1000000</f>
        <v>0</v>
      </c>
      <c r="BW56">
        <f>cmadjust*$H56*Multipliers!L413/1000000</f>
        <v>0</v>
      </c>
      <c r="BX56">
        <f>cmadjust*$H56*Multipliers!M413/1000000</f>
        <v>0</v>
      </c>
      <c r="BY56">
        <f>cmadjust*$H56*Multipliers!N413/1000000</f>
        <v>0</v>
      </c>
      <c r="BZ56">
        <f>cmadjust*$H56*Multipliers!O413/1000000</f>
        <v>0</v>
      </c>
      <c r="CB56" t="s">
        <v>588</v>
      </c>
      <c r="CC56">
        <f>$I56*cmadjust*Multipliers!D413/1000000</f>
        <v>0</v>
      </c>
      <c r="CD56">
        <f>$I56*cmadjust*Multipliers!E413/1000000</f>
        <v>0</v>
      </c>
      <c r="CE56">
        <f>$I56*cmadjust*Multipliers!F413/1000000</f>
        <v>0</v>
      </c>
      <c r="CF56">
        <f>$I56*cmadjust*Multipliers!G413/1000000</f>
        <v>0</v>
      </c>
      <c r="CG56">
        <f>$I56*cmadjust*Multipliers!H413/1000000</f>
        <v>0</v>
      </c>
      <c r="CH56">
        <f>$I56*cmadjust*Multipliers!I413/1000000</f>
        <v>0</v>
      </c>
      <c r="CI56">
        <f>$I56*cmadjust*Multipliers!J413/1000000</f>
        <v>0</v>
      </c>
      <c r="CJ56">
        <f>$I56*cmadjust*Multipliers!K413/1000000</f>
        <v>0</v>
      </c>
      <c r="CK56">
        <f>$I56*cmadjust*Multipliers!L413/1000000</f>
        <v>0</v>
      </c>
      <c r="CL56">
        <f>$I56*cmadjust*Multipliers!M413/1000000</f>
        <v>0</v>
      </c>
      <c r="CM56">
        <f>$I56*cmadjust*Multipliers!N413/1000000</f>
        <v>0</v>
      </c>
      <c r="CN56">
        <f>$I56*cmadjust*Multipliers!O413/1000000</f>
        <v>0</v>
      </c>
      <c r="CP56" t="s">
        <v>588</v>
      </c>
      <c r="CQ56">
        <f>cmadjust*$G56*Multipliers!D413/1000000</f>
        <v>0</v>
      </c>
      <c r="CR56">
        <f>cmadjust*$G56*Multipliers!E413/1000000</f>
        <v>0</v>
      </c>
      <c r="CS56">
        <f>cmadjust*$G56*Multipliers!F413/1000000</f>
        <v>0</v>
      </c>
      <c r="CT56">
        <f>cmadjust*$G56*Multipliers!G413/1000000</f>
        <v>0</v>
      </c>
      <c r="CU56">
        <f>cmadjust*$G56*Multipliers!H413/1000000</f>
        <v>0</v>
      </c>
      <c r="CV56">
        <f>cmadjust*$G56*Multipliers!I413/1000000</f>
        <v>0</v>
      </c>
      <c r="CW56">
        <f>cmadjust*$G56*Multipliers!J413/1000000</f>
        <v>0</v>
      </c>
      <c r="CX56">
        <f>cmadjust*$G56*Multipliers!K413/1000000</f>
        <v>0</v>
      </c>
      <c r="CY56">
        <f>cmadjust*$G56*Multipliers!L413/1000000</f>
        <v>0</v>
      </c>
      <c r="CZ56">
        <f>cmadjust*$G56*Multipliers!M413/1000000</f>
        <v>0</v>
      </c>
      <c r="DA56">
        <f>cmadjust*$G56*Multipliers!N413/1000000</f>
        <v>0</v>
      </c>
      <c r="DB56">
        <f>cmadjust*$G56*Multipliers!O413/1000000</f>
        <v>0</v>
      </c>
    </row>
    <row r="57" spans="3:106" x14ac:dyDescent="0.25">
      <c r="C57" t="s">
        <v>348</v>
      </c>
      <c r="D57">
        <v>0</v>
      </c>
      <c r="E57">
        <v>0</v>
      </c>
      <c r="F57">
        <v>0</v>
      </c>
      <c r="G57">
        <v>0</v>
      </c>
      <c r="H57">
        <v>0</v>
      </c>
      <c r="I57">
        <v>0</v>
      </c>
      <c r="X57" t="s">
        <v>348</v>
      </c>
      <c r="Y57">
        <f>cmadjust*$D57*Multipliers!D414/1000000</f>
        <v>0</v>
      </c>
      <c r="Z57">
        <f>cmadjust*$D57*Multipliers!E414/1000000</f>
        <v>0</v>
      </c>
      <c r="AA57">
        <f>cmadjust*$D57*Multipliers!F414/1000000</f>
        <v>0</v>
      </c>
      <c r="AB57">
        <f>cmadjust*$D57*Multipliers!G414/1000000</f>
        <v>0</v>
      </c>
      <c r="AC57">
        <f>cmadjust*$D57*Multipliers!H414/1000000</f>
        <v>0</v>
      </c>
      <c r="AD57">
        <f>cmadjust*$D57*Multipliers!I414/1000000</f>
        <v>0</v>
      </c>
      <c r="AE57">
        <f>cmadjust*$D57*Multipliers!J414/1000000</f>
        <v>0</v>
      </c>
      <c r="AF57">
        <f>cmadjust*$D57*Multipliers!K414/1000000</f>
        <v>0</v>
      </c>
      <c r="AG57">
        <f>cmadjust*$D57*Multipliers!L414/1000000</f>
        <v>0</v>
      </c>
      <c r="AH57">
        <f>cmadjust*$D57*Multipliers!M414/1000000</f>
        <v>0</v>
      </c>
      <c r="AI57">
        <f>cmadjust*$D57*Multipliers!N414/1000000</f>
        <v>0</v>
      </c>
      <c r="AJ57">
        <f>cmadjust*$D57*Multipliers!O414/1000000</f>
        <v>0</v>
      </c>
      <c r="AL57" t="s">
        <v>348</v>
      </c>
      <c r="AM57">
        <f>cmadjust*$E57*Multipliers!D414/1000000</f>
        <v>0</v>
      </c>
      <c r="AN57">
        <f>cmadjust*$E57*Multipliers!E414/1000000</f>
        <v>0</v>
      </c>
      <c r="AO57">
        <f>cmadjust*$E57*Multipliers!F414/1000000</f>
        <v>0</v>
      </c>
      <c r="AP57">
        <f>cmadjust*$E57*Multipliers!G414/1000000</f>
        <v>0</v>
      </c>
      <c r="AQ57">
        <f>cmadjust*$E57*Multipliers!H414/1000000</f>
        <v>0</v>
      </c>
      <c r="AR57">
        <f>cmadjust*$E57*Multipliers!I414/1000000</f>
        <v>0</v>
      </c>
      <c r="AS57">
        <f>cmadjust*$E57*Multipliers!J414/1000000</f>
        <v>0</v>
      </c>
      <c r="AT57">
        <f>cmadjust*$E57*Multipliers!K414/1000000</f>
        <v>0</v>
      </c>
      <c r="AU57">
        <f>cmadjust*$E57*Multipliers!L414/1000000</f>
        <v>0</v>
      </c>
      <c r="AV57">
        <f>cmadjust*$E57*Multipliers!M414/1000000</f>
        <v>0</v>
      </c>
      <c r="AW57">
        <f>cmadjust*$E57*Multipliers!N414/1000000</f>
        <v>0</v>
      </c>
      <c r="AX57">
        <f>cmadjust*$E57*Multipliers!O414/1000000</f>
        <v>0</v>
      </c>
      <c r="AZ57" t="s">
        <v>348</v>
      </c>
      <c r="BA57">
        <f>cmadjust*$E57*Multipliers!D414/1000000</f>
        <v>0</v>
      </c>
      <c r="BB57">
        <f>cmadjust*$E57*Multipliers!E414/1000000</f>
        <v>0</v>
      </c>
      <c r="BC57">
        <f>cmadjust*$E57*Multipliers!F414/1000000</f>
        <v>0</v>
      </c>
      <c r="BD57">
        <f>cmadjust*$E57*Multipliers!G414/1000000</f>
        <v>0</v>
      </c>
      <c r="BE57">
        <f>cmadjust*$E57*Multipliers!H414/1000000</f>
        <v>0</v>
      </c>
      <c r="BF57">
        <f>cmadjust*$E57*Multipliers!I414/1000000</f>
        <v>0</v>
      </c>
      <c r="BG57">
        <f>cmadjust*$E57*Multipliers!J414/1000000</f>
        <v>0</v>
      </c>
      <c r="BH57">
        <f>cmadjust*$E57*Multipliers!K414/1000000</f>
        <v>0</v>
      </c>
      <c r="BI57">
        <f>cmadjust*$E57*Multipliers!L414/1000000</f>
        <v>0</v>
      </c>
      <c r="BJ57">
        <f>cmadjust*$E57*Multipliers!M414/1000000</f>
        <v>0</v>
      </c>
      <c r="BK57">
        <f>cmadjust*$E57*Multipliers!N414/1000000</f>
        <v>0</v>
      </c>
      <c r="BL57">
        <f>cmadjust*$E57*Multipliers!O414/1000000</f>
        <v>0</v>
      </c>
      <c r="BN57" t="s">
        <v>348</v>
      </c>
      <c r="BO57">
        <f>cmadjust*$H57*Multipliers!D414/1000000</f>
        <v>0</v>
      </c>
      <c r="BP57">
        <f>cmadjust*$H57*Multipliers!E414/1000000</f>
        <v>0</v>
      </c>
      <c r="BQ57">
        <f>cmadjust*$H57*Multipliers!F414/1000000</f>
        <v>0</v>
      </c>
      <c r="BR57">
        <f>cmadjust*$H57*Multipliers!G414/1000000</f>
        <v>0</v>
      </c>
      <c r="BS57">
        <f>cmadjust*$H57*Multipliers!H414/1000000</f>
        <v>0</v>
      </c>
      <c r="BT57">
        <f>cmadjust*$H57*Multipliers!I414/1000000</f>
        <v>0</v>
      </c>
      <c r="BU57">
        <f>cmadjust*$H57*Multipliers!J414/1000000</f>
        <v>0</v>
      </c>
      <c r="BV57">
        <f>cmadjust*$H57*Multipliers!K414/1000000</f>
        <v>0</v>
      </c>
      <c r="BW57">
        <f>cmadjust*$H57*Multipliers!L414/1000000</f>
        <v>0</v>
      </c>
      <c r="BX57">
        <f>cmadjust*$H57*Multipliers!M414/1000000</f>
        <v>0</v>
      </c>
      <c r="BY57">
        <f>cmadjust*$H57*Multipliers!N414/1000000</f>
        <v>0</v>
      </c>
      <c r="BZ57">
        <f>cmadjust*$H57*Multipliers!O414/1000000</f>
        <v>0</v>
      </c>
      <c r="CB57" t="s">
        <v>348</v>
      </c>
      <c r="CC57">
        <f>$I57*cmadjust*Multipliers!D414/1000000</f>
        <v>0</v>
      </c>
      <c r="CD57">
        <f>$I57*cmadjust*Multipliers!E414/1000000</f>
        <v>0</v>
      </c>
      <c r="CE57">
        <f>$I57*cmadjust*Multipliers!F414/1000000</f>
        <v>0</v>
      </c>
      <c r="CF57">
        <f>$I57*cmadjust*Multipliers!G414/1000000</f>
        <v>0</v>
      </c>
      <c r="CG57">
        <f>$I57*cmadjust*Multipliers!H414/1000000</f>
        <v>0</v>
      </c>
      <c r="CH57">
        <f>$I57*cmadjust*Multipliers!I414/1000000</f>
        <v>0</v>
      </c>
      <c r="CI57">
        <f>$I57*cmadjust*Multipliers!J414/1000000</f>
        <v>0</v>
      </c>
      <c r="CJ57">
        <f>$I57*cmadjust*Multipliers!K414/1000000</f>
        <v>0</v>
      </c>
      <c r="CK57">
        <f>$I57*cmadjust*Multipliers!L414/1000000</f>
        <v>0</v>
      </c>
      <c r="CL57">
        <f>$I57*cmadjust*Multipliers!M414/1000000</f>
        <v>0</v>
      </c>
      <c r="CM57">
        <f>$I57*cmadjust*Multipliers!N414/1000000</f>
        <v>0</v>
      </c>
      <c r="CN57">
        <f>$I57*cmadjust*Multipliers!O414/1000000</f>
        <v>0</v>
      </c>
      <c r="CP57" t="s">
        <v>348</v>
      </c>
      <c r="CQ57">
        <f>cmadjust*$G57*Multipliers!D414/1000000</f>
        <v>0</v>
      </c>
      <c r="CR57">
        <f>cmadjust*$G57*Multipliers!E414/1000000</f>
        <v>0</v>
      </c>
      <c r="CS57">
        <f>cmadjust*$G57*Multipliers!F414/1000000</f>
        <v>0</v>
      </c>
      <c r="CT57">
        <f>cmadjust*$G57*Multipliers!G414/1000000</f>
        <v>0</v>
      </c>
      <c r="CU57">
        <f>cmadjust*$G57*Multipliers!H414/1000000</f>
        <v>0</v>
      </c>
      <c r="CV57">
        <f>cmadjust*$G57*Multipliers!I414/1000000</f>
        <v>0</v>
      </c>
      <c r="CW57">
        <f>cmadjust*$G57*Multipliers!J414/1000000</f>
        <v>0</v>
      </c>
      <c r="CX57">
        <f>cmadjust*$G57*Multipliers!K414/1000000</f>
        <v>0</v>
      </c>
      <c r="CY57">
        <f>cmadjust*$G57*Multipliers!L414/1000000</f>
        <v>0</v>
      </c>
      <c r="CZ57">
        <f>cmadjust*$G57*Multipliers!M414/1000000</f>
        <v>0</v>
      </c>
      <c r="DA57">
        <f>cmadjust*$G57*Multipliers!N414/1000000</f>
        <v>0</v>
      </c>
      <c r="DB57">
        <f>cmadjust*$G57*Multipliers!O414/1000000</f>
        <v>0</v>
      </c>
    </row>
    <row r="58" spans="3:106" x14ac:dyDescent="0.25">
      <c r="C58" t="s">
        <v>589</v>
      </c>
      <c r="D58">
        <v>0</v>
      </c>
      <c r="E58">
        <v>0</v>
      </c>
      <c r="F58" s="229">
        <f>'General-Calculations'!F91</f>
        <v>0</v>
      </c>
      <c r="G58">
        <v>0</v>
      </c>
      <c r="H58">
        <v>0</v>
      </c>
      <c r="I58">
        <v>0</v>
      </c>
      <c r="X58" t="s">
        <v>589</v>
      </c>
      <c r="Y58">
        <f>cmadjust*$D58*Multipliers!D415/1000000</f>
        <v>0</v>
      </c>
      <c r="Z58">
        <f>cmadjust*$D58*Multipliers!E415/1000000</f>
        <v>0</v>
      </c>
      <c r="AA58">
        <f>cmadjust*$D58*Multipliers!F415/1000000</f>
        <v>0</v>
      </c>
      <c r="AB58">
        <f>cmadjust*$D58*Multipliers!G415/1000000</f>
        <v>0</v>
      </c>
      <c r="AC58">
        <f>cmadjust*$D58*Multipliers!H415/1000000</f>
        <v>0</v>
      </c>
      <c r="AD58">
        <f>cmadjust*$D58*Multipliers!I415/1000000</f>
        <v>0</v>
      </c>
      <c r="AE58">
        <f>cmadjust*$D58*Multipliers!J415/1000000</f>
        <v>0</v>
      </c>
      <c r="AF58">
        <f>cmadjust*$D58*Multipliers!K415/1000000</f>
        <v>0</v>
      </c>
      <c r="AG58">
        <f>cmadjust*$D58*Multipliers!L415/1000000</f>
        <v>0</v>
      </c>
      <c r="AH58">
        <f>cmadjust*$D58*Multipliers!M415/1000000</f>
        <v>0</v>
      </c>
      <c r="AI58">
        <f>cmadjust*$D58*Multipliers!N415/1000000</f>
        <v>0</v>
      </c>
      <c r="AJ58">
        <f>cmadjust*$D58*Multipliers!O415/1000000</f>
        <v>0</v>
      </c>
      <c r="AL58" t="s">
        <v>589</v>
      </c>
      <c r="AM58">
        <f>cmadjust*$E58*Multipliers!D415/1000000</f>
        <v>0</v>
      </c>
      <c r="AN58">
        <f>cmadjust*$E58*Multipliers!E415/1000000</f>
        <v>0</v>
      </c>
      <c r="AO58">
        <f>cmadjust*$E58*Multipliers!F415/1000000</f>
        <v>0</v>
      </c>
      <c r="AP58">
        <f>cmadjust*$E58*Multipliers!G415/1000000</f>
        <v>0</v>
      </c>
      <c r="AQ58">
        <f>cmadjust*$E58*Multipliers!H415/1000000</f>
        <v>0</v>
      </c>
      <c r="AR58">
        <f>cmadjust*$E58*Multipliers!I415/1000000</f>
        <v>0</v>
      </c>
      <c r="AS58">
        <f>cmadjust*$E58*Multipliers!J415/1000000</f>
        <v>0</v>
      </c>
      <c r="AT58">
        <f>cmadjust*$E58*Multipliers!K415/1000000</f>
        <v>0</v>
      </c>
      <c r="AU58">
        <f>cmadjust*$E58*Multipliers!L415/1000000</f>
        <v>0</v>
      </c>
      <c r="AV58">
        <f>cmadjust*$E58*Multipliers!M415/1000000</f>
        <v>0</v>
      </c>
      <c r="AW58">
        <f>cmadjust*$E58*Multipliers!N415/1000000</f>
        <v>0</v>
      </c>
      <c r="AX58">
        <f>cmadjust*$E58*Multipliers!O415/1000000</f>
        <v>0</v>
      </c>
      <c r="AZ58" t="s">
        <v>589</v>
      </c>
      <c r="BA58">
        <f>cmadjust*$E58*Multipliers!D415/1000000</f>
        <v>0</v>
      </c>
      <c r="BB58">
        <f>cmadjust*$E58*Multipliers!E415/1000000</f>
        <v>0</v>
      </c>
      <c r="BC58">
        <f>cmadjust*$E58*Multipliers!F415/1000000</f>
        <v>0</v>
      </c>
      <c r="BD58">
        <f>cmadjust*$E58*Multipliers!G415/1000000</f>
        <v>0</v>
      </c>
      <c r="BE58">
        <f>cmadjust*$E58*Multipliers!H415/1000000</f>
        <v>0</v>
      </c>
      <c r="BF58">
        <f>cmadjust*$E58*Multipliers!I415/1000000</f>
        <v>0</v>
      </c>
      <c r="BG58">
        <f>cmadjust*$E58*Multipliers!J415/1000000</f>
        <v>0</v>
      </c>
      <c r="BH58">
        <f>cmadjust*$E58*Multipliers!K415/1000000</f>
        <v>0</v>
      </c>
      <c r="BI58">
        <f>cmadjust*$E58*Multipliers!L415/1000000</f>
        <v>0</v>
      </c>
      <c r="BJ58">
        <f>cmadjust*$E58*Multipliers!M415/1000000</f>
        <v>0</v>
      </c>
      <c r="BK58">
        <f>cmadjust*$E58*Multipliers!N415/1000000</f>
        <v>0</v>
      </c>
      <c r="BL58">
        <f>cmadjust*$E58*Multipliers!O415/1000000</f>
        <v>0</v>
      </c>
      <c r="BN58" t="s">
        <v>589</v>
      </c>
      <c r="BO58">
        <f>cmadjust*$H58*Multipliers!D415/1000000</f>
        <v>0</v>
      </c>
      <c r="BP58">
        <f>cmadjust*$H58*Multipliers!E415/1000000</f>
        <v>0</v>
      </c>
      <c r="BQ58">
        <f>cmadjust*$H58*Multipliers!F415/1000000</f>
        <v>0</v>
      </c>
      <c r="BR58">
        <f>cmadjust*$H58*Multipliers!G415/1000000</f>
        <v>0</v>
      </c>
      <c r="BS58">
        <f>cmadjust*$H58*Multipliers!H415/1000000</f>
        <v>0</v>
      </c>
      <c r="BT58">
        <f>cmadjust*$H58*Multipliers!I415/1000000</f>
        <v>0</v>
      </c>
      <c r="BU58">
        <f>cmadjust*$H58*Multipliers!J415/1000000</f>
        <v>0</v>
      </c>
      <c r="BV58">
        <f>cmadjust*$H58*Multipliers!K415/1000000</f>
        <v>0</v>
      </c>
      <c r="BW58">
        <f>cmadjust*$H58*Multipliers!L415/1000000</f>
        <v>0</v>
      </c>
      <c r="BX58">
        <f>cmadjust*$H58*Multipliers!M415/1000000</f>
        <v>0</v>
      </c>
      <c r="BY58">
        <f>cmadjust*$H58*Multipliers!N415/1000000</f>
        <v>0</v>
      </c>
      <c r="BZ58">
        <f>cmadjust*$H58*Multipliers!O415/1000000</f>
        <v>0</v>
      </c>
      <c r="CB58" t="s">
        <v>589</v>
      </c>
      <c r="CC58">
        <f>$I58*cmadjust*Multipliers!D415/1000000</f>
        <v>0</v>
      </c>
      <c r="CD58">
        <f>$I58*cmadjust*Multipliers!E415/1000000</f>
        <v>0</v>
      </c>
      <c r="CE58">
        <f>$I58*cmadjust*Multipliers!F415/1000000</f>
        <v>0</v>
      </c>
      <c r="CF58">
        <f>$I58*cmadjust*Multipliers!G415/1000000</f>
        <v>0</v>
      </c>
      <c r="CG58">
        <f>$I58*cmadjust*Multipliers!H415/1000000</f>
        <v>0</v>
      </c>
      <c r="CH58">
        <f>$I58*cmadjust*Multipliers!I415/1000000</f>
        <v>0</v>
      </c>
      <c r="CI58">
        <f>$I58*cmadjust*Multipliers!J415/1000000</f>
        <v>0</v>
      </c>
      <c r="CJ58">
        <f>$I58*cmadjust*Multipliers!K415/1000000</f>
        <v>0</v>
      </c>
      <c r="CK58">
        <f>$I58*cmadjust*Multipliers!L415/1000000</f>
        <v>0</v>
      </c>
      <c r="CL58">
        <f>$I58*cmadjust*Multipliers!M415/1000000</f>
        <v>0</v>
      </c>
      <c r="CM58">
        <f>$I58*cmadjust*Multipliers!N415/1000000</f>
        <v>0</v>
      </c>
      <c r="CN58">
        <f>$I58*cmadjust*Multipliers!O415/1000000</f>
        <v>0</v>
      </c>
      <c r="CP58" t="s">
        <v>589</v>
      </c>
      <c r="CQ58">
        <f>cmadjust*$G58*Multipliers!D415/1000000</f>
        <v>0</v>
      </c>
      <c r="CR58">
        <f>cmadjust*$G58*Multipliers!E415/1000000</f>
        <v>0</v>
      </c>
      <c r="CS58">
        <f>cmadjust*$G58*Multipliers!F415/1000000</f>
        <v>0</v>
      </c>
      <c r="CT58">
        <f>cmadjust*$G58*Multipliers!G415/1000000</f>
        <v>0</v>
      </c>
      <c r="CU58">
        <f>cmadjust*$G58*Multipliers!H415/1000000</f>
        <v>0</v>
      </c>
      <c r="CV58">
        <f>cmadjust*$G58*Multipliers!I415/1000000</f>
        <v>0</v>
      </c>
      <c r="CW58">
        <f>cmadjust*$G58*Multipliers!J415/1000000</f>
        <v>0</v>
      </c>
      <c r="CX58">
        <f>cmadjust*$G58*Multipliers!K415/1000000</f>
        <v>0</v>
      </c>
      <c r="CY58">
        <f>cmadjust*$G58*Multipliers!L415/1000000</f>
        <v>0</v>
      </c>
      <c r="CZ58">
        <f>cmadjust*$G58*Multipliers!M415/1000000</f>
        <v>0</v>
      </c>
      <c r="DA58">
        <f>cmadjust*$G58*Multipliers!N415/1000000</f>
        <v>0</v>
      </c>
      <c r="DB58">
        <f>cmadjust*$G58*Multipliers!O415/1000000</f>
        <v>0</v>
      </c>
    </row>
    <row r="59" spans="3:106" x14ac:dyDescent="0.25">
      <c r="C59" t="s">
        <v>590</v>
      </c>
      <c r="D59">
        <v>0</v>
      </c>
      <c r="E59">
        <v>0</v>
      </c>
      <c r="F59">
        <v>0</v>
      </c>
      <c r="G59">
        <v>0</v>
      </c>
      <c r="H59">
        <v>0</v>
      </c>
      <c r="I59">
        <v>0</v>
      </c>
      <c r="X59" t="s">
        <v>590</v>
      </c>
      <c r="Y59">
        <f>cmadjust*$D59*Multipliers!D416/1000000</f>
        <v>0</v>
      </c>
      <c r="Z59">
        <f>cmadjust*$D59*Multipliers!E416/1000000</f>
        <v>0</v>
      </c>
      <c r="AA59">
        <f>cmadjust*$D59*Multipliers!F416/1000000</f>
        <v>0</v>
      </c>
      <c r="AB59">
        <f>cmadjust*$D59*Multipliers!G416/1000000</f>
        <v>0</v>
      </c>
      <c r="AC59">
        <f>cmadjust*$D59*Multipliers!H416/1000000</f>
        <v>0</v>
      </c>
      <c r="AD59">
        <f>cmadjust*$D59*Multipliers!I416/1000000</f>
        <v>0</v>
      </c>
      <c r="AE59">
        <f>cmadjust*$D59*Multipliers!J416/1000000</f>
        <v>0</v>
      </c>
      <c r="AF59">
        <f>cmadjust*$D59*Multipliers!K416/1000000</f>
        <v>0</v>
      </c>
      <c r="AG59">
        <f>cmadjust*$D59*Multipliers!L416/1000000</f>
        <v>0</v>
      </c>
      <c r="AH59">
        <f>cmadjust*$D59*Multipliers!M416/1000000</f>
        <v>0</v>
      </c>
      <c r="AI59">
        <f>cmadjust*$D59*Multipliers!N416/1000000</f>
        <v>0</v>
      </c>
      <c r="AJ59">
        <f>cmadjust*$D59*Multipliers!O416/1000000</f>
        <v>0</v>
      </c>
      <c r="AL59" t="s">
        <v>590</v>
      </c>
      <c r="AM59">
        <f>cmadjust*$E59*Multipliers!D416/1000000</f>
        <v>0</v>
      </c>
      <c r="AN59">
        <f>cmadjust*$E59*Multipliers!E416/1000000</f>
        <v>0</v>
      </c>
      <c r="AO59">
        <f>cmadjust*$E59*Multipliers!F416/1000000</f>
        <v>0</v>
      </c>
      <c r="AP59">
        <f>cmadjust*$E59*Multipliers!G416/1000000</f>
        <v>0</v>
      </c>
      <c r="AQ59">
        <f>cmadjust*$E59*Multipliers!H416/1000000</f>
        <v>0</v>
      </c>
      <c r="AR59">
        <f>cmadjust*$E59*Multipliers!I416/1000000</f>
        <v>0</v>
      </c>
      <c r="AS59">
        <f>cmadjust*$E59*Multipliers!J416/1000000</f>
        <v>0</v>
      </c>
      <c r="AT59">
        <f>cmadjust*$E59*Multipliers!K416/1000000</f>
        <v>0</v>
      </c>
      <c r="AU59">
        <f>cmadjust*$E59*Multipliers!L416/1000000</f>
        <v>0</v>
      </c>
      <c r="AV59">
        <f>cmadjust*$E59*Multipliers!M416/1000000</f>
        <v>0</v>
      </c>
      <c r="AW59">
        <f>cmadjust*$E59*Multipliers!N416/1000000</f>
        <v>0</v>
      </c>
      <c r="AX59">
        <f>cmadjust*$E59*Multipliers!O416/1000000</f>
        <v>0</v>
      </c>
      <c r="AZ59" t="s">
        <v>590</v>
      </c>
      <c r="BA59">
        <f>cmadjust*$E59*Multipliers!D416/1000000</f>
        <v>0</v>
      </c>
      <c r="BB59">
        <f>cmadjust*$E59*Multipliers!E416/1000000</f>
        <v>0</v>
      </c>
      <c r="BC59">
        <f>cmadjust*$E59*Multipliers!F416/1000000</f>
        <v>0</v>
      </c>
      <c r="BD59">
        <f>cmadjust*$E59*Multipliers!G416/1000000</f>
        <v>0</v>
      </c>
      <c r="BE59">
        <f>cmadjust*$E59*Multipliers!H416/1000000</f>
        <v>0</v>
      </c>
      <c r="BF59">
        <f>cmadjust*$E59*Multipliers!I416/1000000</f>
        <v>0</v>
      </c>
      <c r="BG59">
        <f>cmadjust*$E59*Multipliers!J416/1000000</f>
        <v>0</v>
      </c>
      <c r="BH59">
        <f>cmadjust*$E59*Multipliers!K416/1000000</f>
        <v>0</v>
      </c>
      <c r="BI59">
        <f>cmadjust*$E59*Multipliers!L416/1000000</f>
        <v>0</v>
      </c>
      <c r="BJ59">
        <f>cmadjust*$E59*Multipliers!M416/1000000</f>
        <v>0</v>
      </c>
      <c r="BK59">
        <f>cmadjust*$E59*Multipliers!N416/1000000</f>
        <v>0</v>
      </c>
      <c r="BL59">
        <f>cmadjust*$E59*Multipliers!O416/1000000</f>
        <v>0</v>
      </c>
      <c r="BN59" t="s">
        <v>590</v>
      </c>
      <c r="BO59">
        <f>cmadjust*$H59*Multipliers!D416/1000000</f>
        <v>0</v>
      </c>
      <c r="BP59">
        <f>cmadjust*$H59*Multipliers!E416/1000000</f>
        <v>0</v>
      </c>
      <c r="BQ59">
        <f>cmadjust*$H59*Multipliers!F416/1000000</f>
        <v>0</v>
      </c>
      <c r="BR59">
        <f>cmadjust*$H59*Multipliers!G416/1000000</f>
        <v>0</v>
      </c>
      <c r="BS59">
        <f>cmadjust*$H59*Multipliers!H416/1000000</f>
        <v>0</v>
      </c>
      <c r="BT59">
        <f>cmadjust*$H59*Multipliers!I416/1000000</f>
        <v>0</v>
      </c>
      <c r="BU59">
        <f>cmadjust*$H59*Multipliers!J416/1000000</f>
        <v>0</v>
      </c>
      <c r="BV59">
        <f>cmadjust*$H59*Multipliers!K416/1000000</f>
        <v>0</v>
      </c>
      <c r="BW59">
        <f>cmadjust*$H59*Multipliers!L416/1000000</f>
        <v>0</v>
      </c>
      <c r="BX59">
        <f>cmadjust*$H59*Multipliers!M416/1000000</f>
        <v>0</v>
      </c>
      <c r="BY59">
        <f>cmadjust*$H59*Multipliers!N416/1000000</f>
        <v>0</v>
      </c>
      <c r="BZ59">
        <f>cmadjust*$H59*Multipliers!O416/1000000</f>
        <v>0</v>
      </c>
      <c r="CB59" t="s">
        <v>590</v>
      </c>
      <c r="CC59">
        <f>$I59*cmadjust*Multipliers!D416/1000000</f>
        <v>0</v>
      </c>
      <c r="CD59">
        <f>$I59*cmadjust*Multipliers!E416/1000000</f>
        <v>0</v>
      </c>
      <c r="CE59">
        <f>$I59*cmadjust*Multipliers!F416/1000000</f>
        <v>0</v>
      </c>
      <c r="CF59">
        <f>$I59*cmadjust*Multipliers!G416/1000000</f>
        <v>0</v>
      </c>
      <c r="CG59">
        <f>$I59*cmadjust*Multipliers!H416/1000000</f>
        <v>0</v>
      </c>
      <c r="CH59">
        <f>$I59*cmadjust*Multipliers!I416/1000000</f>
        <v>0</v>
      </c>
      <c r="CI59">
        <f>$I59*cmadjust*Multipliers!J416/1000000</f>
        <v>0</v>
      </c>
      <c r="CJ59">
        <f>$I59*cmadjust*Multipliers!K416/1000000</f>
        <v>0</v>
      </c>
      <c r="CK59">
        <f>$I59*cmadjust*Multipliers!L416/1000000</f>
        <v>0</v>
      </c>
      <c r="CL59">
        <f>$I59*cmadjust*Multipliers!M416/1000000</f>
        <v>0</v>
      </c>
      <c r="CM59">
        <f>$I59*cmadjust*Multipliers!N416/1000000</f>
        <v>0</v>
      </c>
      <c r="CN59">
        <f>$I59*cmadjust*Multipliers!O416/1000000</f>
        <v>0</v>
      </c>
      <c r="CP59" t="s">
        <v>590</v>
      </c>
      <c r="CQ59">
        <f>cmadjust*$G59*Multipliers!D416/1000000</f>
        <v>0</v>
      </c>
      <c r="CR59">
        <f>cmadjust*$G59*Multipliers!E416/1000000</f>
        <v>0</v>
      </c>
      <c r="CS59">
        <f>cmadjust*$G59*Multipliers!F416/1000000</f>
        <v>0</v>
      </c>
      <c r="CT59">
        <f>cmadjust*$G59*Multipliers!G416/1000000</f>
        <v>0</v>
      </c>
      <c r="CU59">
        <f>cmadjust*$G59*Multipliers!H416/1000000</f>
        <v>0</v>
      </c>
      <c r="CV59">
        <f>cmadjust*$G59*Multipliers!I416/1000000</f>
        <v>0</v>
      </c>
      <c r="CW59">
        <f>cmadjust*$G59*Multipliers!J416/1000000</f>
        <v>0</v>
      </c>
      <c r="CX59">
        <f>cmadjust*$G59*Multipliers!K416/1000000</f>
        <v>0</v>
      </c>
      <c r="CY59">
        <f>cmadjust*$G59*Multipliers!L416/1000000</f>
        <v>0</v>
      </c>
      <c r="CZ59">
        <f>cmadjust*$G59*Multipliers!M416/1000000</f>
        <v>0</v>
      </c>
      <c r="DA59">
        <f>cmadjust*$G59*Multipliers!N416/1000000</f>
        <v>0</v>
      </c>
      <c r="DB59">
        <f>cmadjust*$G59*Multipliers!O416/1000000</f>
        <v>0</v>
      </c>
    </row>
    <row r="60" spans="3:106" x14ac:dyDescent="0.25">
      <c r="C60" t="s">
        <v>591</v>
      </c>
      <c r="D60">
        <v>0</v>
      </c>
      <c r="E60">
        <v>0</v>
      </c>
      <c r="F60">
        <v>0</v>
      </c>
      <c r="G60">
        <v>0</v>
      </c>
      <c r="H60">
        <v>0</v>
      </c>
      <c r="I60">
        <v>0</v>
      </c>
      <c r="X60" t="s">
        <v>591</v>
      </c>
      <c r="Y60">
        <f>cmadjust*$D60*Multipliers!D417/1000000</f>
        <v>0</v>
      </c>
      <c r="Z60">
        <f>cmadjust*$D60*Multipliers!E417/1000000</f>
        <v>0</v>
      </c>
      <c r="AA60">
        <f>cmadjust*$D60*Multipliers!F417/1000000</f>
        <v>0</v>
      </c>
      <c r="AB60">
        <f>cmadjust*$D60*Multipliers!G417/1000000</f>
        <v>0</v>
      </c>
      <c r="AC60">
        <f>cmadjust*$D60*Multipliers!H417/1000000</f>
        <v>0</v>
      </c>
      <c r="AD60">
        <f>cmadjust*$D60*Multipliers!I417/1000000</f>
        <v>0</v>
      </c>
      <c r="AE60">
        <f>cmadjust*$D60*Multipliers!J417/1000000</f>
        <v>0</v>
      </c>
      <c r="AF60">
        <f>cmadjust*$D60*Multipliers!K417/1000000</f>
        <v>0</v>
      </c>
      <c r="AG60">
        <f>cmadjust*$D60*Multipliers!L417/1000000</f>
        <v>0</v>
      </c>
      <c r="AH60">
        <f>cmadjust*$D60*Multipliers!M417/1000000</f>
        <v>0</v>
      </c>
      <c r="AI60">
        <f>cmadjust*$D60*Multipliers!N417/1000000</f>
        <v>0</v>
      </c>
      <c r="AJ60">
        <f>cmadjust*$D60*Multipliers!O417/1000000</f>
        <v>0</v>
      </c>
      <c r="AL60" t="s">
        <v>591</v>
      </c>
      <c r="AM60">
        <f>cmadjust*$E60*Multipliers!D417/1000000</f>
        <v>0</v>
      </c>
      <c r="AN60">
        <f>cmadjust*$E60*Multipliers!E417/1000000</f>
        <v>0</v>
      </c>
      <c r="AO60">
        <f>cmadjust*$E60*Multipliers!F417/1000000</f>
        <v>0</v>
      </c>
      <c r="AP60">
        <f>cmadjust*$E60*Multipliers!G417/1000000</f>
        <v>0</v>
      </c>
      <c r="AQ60">
        <f>cmadjust*$E60*Multipliers!H417/1000000</f>
        <v>0</v>
      </c>
      <c r="AR60">
        <f>cmadjust*$E60*Multipliers!I417/1000000</f>
        <v>0</v>
      </c>
      <c r="AS60">
        <f>cmadjust*$E60*Multipliers!J417/1000000</f>
        <v>0</v>
      </c>
      <c r="AT60">
        <f>cmadjust*$E60*Multipliers!K417/1000000</f>
        <v>0</v>
      </c>
      <c r="AU60">
        <f>cmadjust*$E60*Multipliers!L417/1000000</f>
        <v>0</v>
      </c>
      <c r="AV60">
        <f>cmadjust*$E60*Multipliers!M417/1000000</f>
        <v>0</v>
      </c>
      <c r="AW60">
        <f>cmadjust*$E60*Multipliers!N417/1000000</f>
        <v>0</v>
      </c>
      <c r="AX60">
        <f>cmadjust*$E60*Multipliers!O417/1000000</f>
        <v>0</v>
      </c>
      <c r="AZ60" t="s">
        <v>591</v>
      </c>
      <c r="BA60">
        <f>cmadjust*$E60*Multipliers!D417/1000000</f>
        <v>0</v>
      </c>
      <c r="BB60">
        <f>cmadjust*$E60*Multipliers!E417/1000000</f>
        <v>0</v>
      </c>
      <c r="BC60">
        <f>cmadjust*$E60*Multipliers!F417/1000000</f>
        <v>0</v>
      </c>
      <c r="BD60">
        <f>cmadjust*$E60*Multipliers!G417/1000000</f>
        <v>0</v>
      </c>
      <c r="BE60">
        <f>cmadjust*$E60*Multipliers!H417/1000000</f>
        <v>0</v>
      </c>
      <c r="BF60">
        <f>cmadjust*$E60*Multipliers!I417/1000000</f>
        <v>0</v>
      </c>
      <c r="BG60">
        <f>cmadjust*$E60*Multipliers!J417/1000000</f>
        <v>0</v>
      </c>
      <c r="BH60">
        <f>cmadjust*$E60*Multipliers!K417/1000000</f>
        <v>0</v>
      </c>
      <c r="BI60">
        <f>cmadjust*$E60*Multipliers!L417/1000000</f>
        <v>0</v>
      </c>
      <c r="BJ60">
        <f>cmadjust*$E60*Multipliers!M417/1000000</f>
        <v>0</v>
      </c>
      <c r="BK60">
        <f>cmadjust*$E60*Multipliers!N417/1000000</f>
        <v>0</v>
      </c>
      <c r="BL60">
        <f>cmadjust*$E60*Multipliers!O417/1000000</f>
        <v>0</v>
      </c>
      <c r="BN60" t="s">
        <v>591</v>
      </c>
      <c r="BO60">
        <f>cmadjust*$H60*Multipliers!D417/1000000</f>
        <v>0</v>
      </c>
      <c r="BP60">
        <f>cmadjust*$H60*Multipliers!E417/1000000</f>
        <v>0</v>
      </c>
      <c r="BQ60">
        <f>cmadjust*$H60*Multipliers!F417/1000000</f>
        <v>0</v>
      </c>
      <c r="BR60">
        <f>cmadjust*$H60*Multipliers!G417/1000000</f>
        <v>0</v>
      </c>
      <c r="BS60">
        <f>cmadjust*$H60*Multipliers!H417/1000000</f>
        <v>0</v>
      </c>
      <c r="BT60">
        <f>cmadjust*$H60*Multipliers!I417/1000000</f>
        <v>0</v>
      </c>
      <c r="BU60">
        <f>cmadjust*$H60*Multipliers!J417/1000000</f>
        <v>0</v>
      </c>
      <c r="BV60">
        <f>cmadjust*$H60*Multipliers!K417/1000000</f>
        <v>0</v>
      </c>
      <c r="BW60">
        <f>cmadjust*$H60*Multipliers!L417/1000000</f>
        <v>0</v>
      </c>
      <c r="BX60">
        <f>cmadjust*$H60*Multipliers!M417/1000000</f>
        <v>0</v>
      </c>
      <c r="BY60">
        <f>cmadjust*$H60*Multipliers!N417/1000000</f>
        <v>0</v>
      </c>
      <c r="BZ60">
        <f>cmadjust*$H60*Multipliers!O417/1000000</f>
        <v>0</v>
      </c>
      <c r="CB60" t="s">
        <v>591</v>
      </c>
      <c r="CC60">
        <f>$I60*cmadjust*Multipliers!D417/1000000</f>
        <v>0</v>
      </c>
      <c r="CD60">
        <f>$I60*cmadjust*Multipliers!E417/1000000</f>
        <v>0</v>
      </c>
      <c r="CE60">
        <f>$I60*cmadjust*Multipliers!F417/1000000</f>
        <v>0</v>
      </c>
      <c r="CF60">
        <f>$I60*cmadjust*Multipliers!G417/1000000</f>
        <v>0</v>
      </c>
      <c r="CG60">
        <f>$I60*cmadjust*Multipliers!H417/1000000</f>
        <v>0</v>
      </c>
      <c r="CH60">
        <f>$I60*cmadjust*Multipliers!I417/1000000</f>
        <v>0</v>
      </c>
      <c r="CI60">
        <f>$I60*cmadjust*Multipliers!J417/1000000</f>
        <v>0</v>
      </c>
      <c r="CJ60">
        <f>$I60*cmadjust*Multipliers!K417/1000000</f>
        <v>0</v>
      </c>
      <c r="CK60">
        <f>$I60*cmadjust*Multipliers!L417/1000000</f>
        <v>0</v>
      </c>
      <c r="CL60">
        <f>$I60*cmadjust*Multipliers!M417/1000000</f>
        <v>0</v>
      </c>
      <c r="CM60">
        <f>$I60*cmadjust*Multipliers!N417/1000000</f>
        <v>0</v>
      </c>
      <c r="CN60">
        <f>$I60*cmadjust*Multipliers!O417/1000000</f>
        <v>0</v>
      </c>
      <c r="CP60" t="s">
        <v>591</v>
      </c>
      <c r="CQ60">
        <f>cmadjust*$G60*Multipliers!D417/1000000</f>
        <v>0</v>
      </c>
      <c r="CR60">
        <f>cmadjust*$G60*Multipliers!E417/1000000</f>
        <v>0</v>
      </c>
      <c r="CS60">
        <f>cmadjust*$G60*Multipliers!F417/1000000</f>
        <v>0</v>
      </c>
      <c r="CT60">
        <f>cmadjust*$G60*Multipliers!G417/1000000</f>
        <v>0</v>
      </c>
      <c r="CU60">
        <f>cmadjust*$G60*Multipliers!H417/1000000</f>
        <v>0</v>
      </c>
      <c r="CV60">
        <f>cmadjust*$G60*Multipliers!I417/1000000</f>
        <v>0</v>
      </c>
      <c r="CW60">
        <f>cmadjust*$G60*Multipliers!J417/1000000</f>
        <v>0</v>
      </c>
      <c r="CX60">
        <f>cmadjust*$G60*Multipliers!K417/1000000</f>
        <v>0</v>
      </c>
      <c r="CY60">
        <f>cmadjust*$G60*Multipliers!L417/1000000</f>
        <v>0</v>
      </c>
      <c r="CZ60">
        <f>cmadjust*$G60*Multipliers!M417/1000000</f>
        <v>0</v>
      </c>
      <c r="DA60">
        <f>cmadjust*$G60*Multipliers!N417/1000000</f>
        <v>0</v>
      </c>
      <c r="DB60">
        <f>cmadjust*$G60*Multipliers!O417/1000000</f>
        <v>0</v>
      </c>
    </row>
    <row r="61" spans="3:106" x14ac:dyDescent="0.25">
      <c r="C61" t="s">
        <v>592</v>
      </c>
      <c r="D61">
        <v>0</v>
      </c>
      <c r="E61">
        <v>0</v>
      </c>
      <c r="F61">
        <v>0</v>
      </c>
      <c r="G61">
        <v>0</v>
      </c>
      <c r="H61">
        <v>0</v>
      </c>
      <c r="I61">
        <v>0</v>
      </c>
      <c r="X61" t="s">
        <v>592</v>
      </c>
      <c r="Y61">
        <f>cmadjust*$D61*Multipliers!D418/1000000</f>
        <v>0</v>
      </c>
      <c r="Z61">
        <f>cmadjust*$D61*Multipliers!E418/1000000</f>
        <v>0</v>
      </c>
      <c r="AA61">
        <f>cmadjust*$D61*Multipliers!F418/1000000</f>
        <v>0</v>
      </c>
      <c r="AB61">
        <f>cmadjust*$D61*Multipliers!G418/1000000</f>
        <v>0</v>
      </c>
      <c r="AC61">
        <f>cmadjust*$D61*Multipliers!H418/1000000</f>
        <v>0</v>
      </c>
      <c r="AD61">
        <f>cmadjust*$D61*Multipliers!I418/1000000</f>
        <v>0</v>
      </c>
      <c r="AE61">
        <f>cmadjust*$D61*Multipliers!J418/1000000</f>
        <v>0</v>
      </c>
      <c r="AF61">
        <f>cmadjust*$D61*Multipliers!K418/1000000</f>
        <v>0</v>
      </c>
      <c r="AG61">
        <f>cmadjust*$D61*Multipliers!L418/1000000</f>
        <v>0</v>
      </c>
      <c r="AH61">
        <f>cmadjust*$D61*Multipliers!M418/1000000</f>
        <v>0</v>
      </c>
      <c r="AI61">
        <f>cmadjust*$D61*Multipliers!N418/1000000</f>
        <v>0</v>
      </c>
      <c r="AJ61">
        <f>cmadjust*$D61*Multipliers!O418/1000000</f>
        <v>0</v>
      </c>
      <c r="AL61" t="s">
        <v>592</v>
      </c>
      <c r="AM61">
        <f>cmadjust*$E61*Multipliers!D418/1000000</f>
        <v>0</v>
      </c>
      <c r="AN61">
        <f>cmadjust*$E61*Multipliers!E418/1000000</f>
        <v>0</v>
      </c>
      <c r="AO61">
        <f>cmadjust*$E61*Multipliers!F418/1000000</f>
        <v>0</v>
      </c>
      <c r="AP61">
        <f>cmadjust*$E61*Multipliers!G418/1000000</f>
        <v>0</v>
      </c>
      <c r="AQ61">
        <f>cmadjust*$E61*Multipliers!H418/1000000</f>
        <v>0</v>
      </c>
      <c r="AR61">
        <f>cmadjust*$E61*Multipliers!I418/1000000</f>
        <v>0</v>
      </c>
      <c r="AS61">
        <f>cmadjust*$E61*Multipliers!J418/1000000</f>
        <v>0</v>
      </c>
      <c r="AT61">
        <f>cmadjust*$E61*Multipliers!K418/1000000</f>
        <v>0</v>
      </c>
      <c r="AU61">
        <f>cmadjust*$E61*Multipliers!L418/1000000</f>
        <v>0</v>
      </c>
      <c r="AV61">
        <f>cmadjust*$E61*Multipliers!M418/1000000</f>
        <v>0</v>
      </c>
      <c r="AW61">
        <f>cmadjust*$E61*Multipliers!N418/1000000</f>
        <v>0</v>
      </c>
      <c r="AX61">
        <f>cmadjust*$E61*Multipliers!O418/1000000</f>
        <v>0</v>
      </c>
      <c r="AZ61" t="s">
        <v>592</v>
      </c>
      <c r="BA61">
        <f>cmadjust*$E61*Multipliers!D418/1000000</f>
        <v>0</v>
      </c>
      <c r="BB61">
        <f>cmadjust*$E61*Multipliers!E418/1000000</f>
        <v>0</v>
      </c>
      <c r="BC61">
        <f>cmadjust*$E61*Multipliers!F418/1000000</f>
        <v>0</v>
      </c>
      <c r="BD61">
        <f>cmadjust*$E61*Multipliers!G418/1000000</f>
        <v>0</v>
      </c>
      <c r="BE61">
        <f>cmadjust*$E61*Multipliers!H418/1000000</f>
        <v>0</v>
      </c>
      <c r="BF61">
        <f>cmadjust*$E61*Multipliers!I418/1000000</f>
        <v>0</v>
      </c>
      <c r="BG61">
        <f>cmadjust*$E61*Multipliers!J418/1000000</f>
        <v>0</v>
      </c>
      <c r="BH61">
        <f>cmadjust*$E61*Multipliers!K418/1000000</f>
        <v>0</v>
      </c>
      <c r="BI61">
        <f>cmadjust*$E61*Multipliers!L418/1000000</f>
        <v>0</v>
      </c>
      <c r="BJ61">
        <f>cmadjust*$E61*Multipliers!M418/1000000</f>
        <v>0</v>
      </c>
      <c r="BK61">
        <f>cmadjust*$E61*Multipliers!N418/1000000</f>
        <v>0</v>
      </c>
      <c r="BL61">
        <f>cmadjust*$E61*Multipliers!O418/1000000</f>
        <v>0</v>
      </c>
      <c r="BN61" t="s">
        <v>592</v>
      </c>
      <c r="BO61">
        <f>cmadjust*$H61*Multipliers!D418/1000000</f>
        <v>0</v>
      </c>
      <c r="BP61">
        <f>cmadjust*$H61*Multipliers!E418/1000000</f>
        <v>0</v>
      </c>
      <c r="BQ61">
        <f>cmadjust*$H61*Multipliers!F418/1000000</f>
        <v>0</v>
      </c>
      <c r="BR61">
        <f>cmadjust*$H61*Multipliers!G418/1000000</f>
        <v>0</v>
      </c>
      <c r="BS61">
        <f>cmadjust*$H61*Multipliers!H418/1000000</f>
        <v>0</v>
      </c>
      <c r="BT61">
        <f>cmadjust*$H61*Multipliers!I418/1000000</f>
        <v>0</v>
      </c>
      <c r="BU61">
        <f>cmadjust*$H61*Multipliers!J418/1000000</f>
        <v>0</v>
      </c>
      <c r="BV61">
        <f>cmadjust*$H61*Multipliers!K418/1000000</f>
        <v>0</v>
      </c>
      <c r="BW61">
        <f>cmadjust*$H61*Multipliers!L418/1000000</f>
        <v>0</v>
      </c>
      <c r="BX61">
        <f>cmadjust*$H61*Multipliers!M418/1000000</f>
        <v>0</v>
      </c>
      <c r="BY61">
        <f>cmadjust*$H61*Multipliers!N418/1000000</f>
        <v>0</v>
      </c>
      <c r="BZ61">
        <f>cmadjust*$H61*Multipliers!O418/1000000</f>
        <v>0</v>
      </c>
      <c r="CB61" t="s">
        <v>592</v>
      </c>
      <c r="CC61">
        <f>$I61*cmadjust*Multipliers!D418/1000000</f>
        <v>0</v>
      </c>
      <c r="CD61">
        <f>$I61*cmadjust*Multipliers!E418/1000000</f>
        <v>0</v>
      </c>
      <c r="CE61">
        <f>$I61*cmadjust*Multipliers!F418/1000000</f>
        <v>0</v>
      </c>
      <c r="CF61">
        <f>$I61*cmadjust*Multipliers!G418/1000000</f>
        <v>0</v>
      </c>
      <c r="CG61">
        <f>$I61*cmadjust*Multipliers!H418/1000000</f>
        <v>0</v>
      </c>
      <c r="CH61">
        <f>$I61*cmadjust*Multipliers!I418/1000000</f>
        <v>0</v>
      </c>
      <c r="CI61">
        <f>$I61*cmadjust*Multipliers!J418/1000000</f>
        <v>0</v>
      </c>
      <c r="CJ61">
        <f>$I61*cmadjust*Multipliers!K418/1000000</f>
        <v>0</v>
      </c>
      <c r="CK61">
        <f>$I61*cmadjust*Multipliers!L418/1000000</f>
        <v>0</v>
      </c>
      <c r="CL61">
        <f>$I61*cmadjust*Multipliers!M418/1000000</f>
        <v>0</v>
      </c>
      <c r="CM61">
        <f>$I61*cmadjust*Multipliers!N418/1000000</f>
        <v>0</v>
      </c>
      <c r="CN61">
        <f>$I61*cmadjust*Multipliers!O418/1000000</f>
        <v>0</v>
      </c>
      <c r="CP61" t="s">
        <v>592</v>
      </c>
      <c r="CQ61">
        <f>cmadjust*$G61*Multipliers!D418/1000000</f>
        <v>0</v>
      </c>
      <c r="CR61">
        <f>cmadjust*$G61*Multipliers!E418/1000000</f>
        <v>0</v>
      </c>
      <c r="CS61">
        <f>cmadjust*$G61*Multipliers!F418/1000000</f>
        <v>0</v>
      </c>
      <c r="CT61">
        <f>cmadjust*$G61*Multipliers!G418/1000000</f>
        <v>0</v>
      </c>
      <c r="CU61">
        <f>cmadjust*$G61*Multipliers!H418/1000000</f>
        <v>0</v>
      </c>
      <c r="CV61">
        <f>cmadjust*$G61*Multipliers!I418/1000000</f>
        <v>0</v>
      </c>
      <c r="CW61">
        <f>cmadjust*$G61*Multipliers!J418/1000000</f>
        <v>0</v>
      </c>
      <c r="CX61">
        <f>cmadjust*$G61*Multipliers!K418/1000000</f>
        <v>0</v>
      </c>
      <c r="CY61">
        <f>cmadjust*$G61*Multipliers!L418/1000000</f>
        <v>0</v>
      </c>
      <c r="CZ61">
        <f>cmadjust*$G61*Multipliers!M418/1000000</f>
        <v>0</v>
      </c>
      <c r="DA61">
        <f>cmadjust*$G61*Multipliers!N418/1000000</f>
        <v>0</v>
      </c>
      <c r="DB61">
        <f>cmadjust*$G61*Multipliers!O418/1000000</f>
        <v>0</v>
      </c>
    </row>
    <row r="62" spans="3:106" x14ac:dyDescent="0.25">
      <c r="C62" t="s">
        <v>593</v>
      </c>
      <c r="D62" s="229">
        <f>'General-Calculations'!F80</f>
        <v>0</v>
      </c>
      <c r="E62">
        <v>0</v>
      </c>
      <c r="F62">
        <v>0</v>
      </c>
      <c r="G62">
        <v>0</v>
      </c>
      <c r="H62">
        <v>0</v>
      </c>
      <c r="I62">
        <v>0</v>
      </c>
      <c r="X62" t="s">
        <v>593</v>
      </c>
      <c r="Y62">
        <f>cmadjust*$D62*Multipliers!D419/1000000</f>
        <v>0</v>
      </c>
      <c r="Z62">
        <f>cmadjust*$D62*Multipliers!E419/1000000</f>
        <v>0</v>
      </c>
      <c r="AA62">
        <f>cmadjust*$D62*Multipliers!F419/1000000</f>
        <v>0</v>
      </c>
      <c r="AB62">
        <f>cmadjust*$D62*Multipliers!G419/1000000</f>
        <v>0</v>
      </c>
      <c r="AC62">
        <f>cmadjust*$D62*Multipliers!H419/1000000</f>
        <v>0</v>
      </c>
      <c r="AD62">
        <f>cmadjust*$D62*Multipliers!I419/1000000</f>
        <v>0</v>
      </c>
      <c r="AE62">
        <f>cmadjust*$D62*Multipliers!J419/1000000</f>
        <v>0</v>
      </c>
      <c r="AF62">
        <f>cmadjust*$D62*Multipliers!K419/1000000</f>
        <v>0</v>
      </c>
      <c r="AG62">
        <f>cmadjust*$D62*Multipliers!L419/1000000</f>
        <v>0</v>
      </c>
      <c r="AH62">
        <f>cmadjust*$D62*Multipliers!M419/1000000</f>
        <v>0</v>
      </c>
      <c r="AI62">
        <f>cmadjust*$D62*Multipliers!N419/1000000</f>
        <v>0</v>
      </c>
      <c r="AJ62">
        <f>cmadjust*$D62*Multipliers!O419/1000000</f>
        <v>0</v>
      </c>
      <c r="AL62" t="s">
        <v>593</v>
      </c>
      <c r="AM62">
        <f>cmadjust*$E62*Multipliers!D419/1000000</f>
        <v>0</v>
      </c>
      <c r="AN62">
        <f>cmadjust*$E62*Multipliers!E419/1000000</f>
        <v>0</v>
      </c>
      <c r="AO62">
        <f>cmadjust*$E62*Multipliers!F419/1000000</f>
        <v>0</v>
      </c>
      <c r="AP62">
        <f>cmadjust*$E62*Multipliers!G419/1000000</f>
        <v>0</v>
      </c>
      <c r="AQ62">
        <f>cmadjust*$E62*Multipliers!H419/1000000</f>
        <v>0</v>
      </c>
      <c r="AR62">
        <f>cmadjust*$E62*Multipliers!I419/1000000</f>
        <v>0</v>
      </c>
      <c r="AS62">
        <f>cmadjust*$E62*Multipliers!J419/1000000</f>
        <v>0</v>
      </c>
      <c r="AT62">
        <f>cmadjust*$E62*Multipliers!K419/1000000</f>
        <v>0</v>
      </c>
      <c r="AU62">
        <f>cmadjust*$E62*Multipliers!L419/1000000</f>
        <v>0</v>
      </c>
      <c r="AV62">
        <f>cmadjust*$E62*Multipliers!M419/1000000</f>
        <v>0</v>
      </c>
      <c r="AW62">
        <f>cmadjust*$E62*Multipliers!N419/1000000</f>
        <v>0</v>
      </c>
      <c r="AX62">
        <f>cmadjust*$E62*Multipliers!O419/1000000</f>
        <v>0</v>
      </c>
      <c r="AZ62" t="s">
        <v>593</v>
      </c>
      <c r="BA62">
        <f>cmadjust*$E62*Multipliers!D419/1000000</f>
        <v>0</v>
      </c>
      <c r="BB62">
        <f>cmadjust*$E62*Multipliers!E419/1000000</f>
        <v>0</v>
      </c>
      <c r="BC62">
        <f>cmadjust*$E62*Multipliers!F419/1000000</f>
        <v>0</v>
      </c>
      <c r="BD62">
        <f>cmadjust*$E62*Multipliers!G419/1000000</f>
        <v>0</v>
      </c>
      <c r="BE62">
        <f>cmadjust*$E62*Multipliers!H419/1000000</f>
        <v>0</v>
      </c>
      <c r="BF62">
        <f>cmadjust*$E62*Multipliers!I419/1000000</f>
        <v>0</v>
      </c>
      <c r="BG62">
        <f>cmadjust*$E62*Multipliers!J419/1000000</f>
        <v>0</v>
      </c>
      <c r="BH62">
        <f>cmadjust*$E62*Multipliers!K419/1000000</f>
        <v>0</v>
      </c>
      <c r="BI62">
        <f>cmadjust*$E62*Multipliers!L419/1000000</f>
        <v>0</v>
      </c>
      <c r="BJ62">
        <f>cmadjust*$E62*Multipliers!M419/1000000</f>
        <v>0</v>
      </c>
      <c r="BK62">
        <f>cmadjust*$E62*Multipliers!N419/1000000</f>
        <v>0</v>
      </c>
      <c r="BL62">
        <f>cmadjust*$E62*Multipliers!O419/1000000</f>
        <v>0</v>
      </c>
      <c r="BN62" t="s">
        <v>593</v>
      </c>
      <c r="BO62">
        <f>cmadjust*$H62*Multipliers!D419/1000000</f>
        <v>0</v>
      </c>
      <c r="BP62">
        <f>cmadjust*$H62*Multipliers!E419/1000000</f>
        <v>0</v>
      </c>
      <c r="BQ62">
        <f>cmadjust*$H62*Multipliers!F419/1000000</f>
        <v>0</v>
      </c>
      <c r="BR62">
        <f>cmadjust*$H62*Multipliers!G419/1000000</f>
        <v>0</v>
      </c>
      <c r="BS62">
        <f>cmadjust*$H62*Multipliers!H419/1000000</f>
        <v>0</v>
      </c>
      <c r="BT62">
        <f>cmadjust*$H62*Multipliers!I419/1000000</f>
        <v>0</v>
      </c>
      <c r="BU62">
        <f>cmadjust*$H62*Multipliers!J419/1000000</f>
        <v>0</v>
      </c>
      <c r="BV62">
        <f>cmadjust*$H62*Multipliers!K419/1000000</f>
        <v>0</v>
      </c>
      <c r="BW62">
        <f>cmadjust*$H62*Multipliers!L419/1000000</f>
        <v>0</v>
      </c>
      <c r="BX62">
        <f>cmadjust*$H62*Multipliers!M419/1000000</f>
        <v>0</v>
      </c>
      <c r="BY62">
        <f>cmadjust*$H62*Multipliers!N419/1000000</f>
        <v>0</v>
      </c>
      <c r="BZ62">
        <f>cmadjust*$H62*Multipliers!O419/1000000</f>
        <v>0</v>
      </c>
      <c r="CB62" t="s">
        <v>593</v>
      </c>
      <c r="CC62">
        <f>$I62*cmadjust*Multipliers!D419/1000000</f>
        <v>0</v>
      </c>
      <c r="CD62">
        <f>$I62*cmadjust*Multipliers!E419/1000000</f>
        <v>0</v>
      </c>
      <c r="CE62">
        <f>$I62*cmadjust*Multipliers!F419/1000000</f>
        <v>0</v>
      </c>
      <c r="CF62">
        <f>$I62*cmadjust*Multipliers!G419/1000000</f>
        <v>0</v>
      </c>
      <c r="CG62">
        <f>$I62*cmadjust*Multipliers!H419/1000000</f>
        <v>0</v>
      </c>
      <c r="CH62">
        <f>$I62*cmadjust*Multipliers!I419/1000000</f>
        <v>0</v>
      </c>
      <c r="CI62">
        <f>$I62*cmadjust*Multipliers!J419/1000000</f>
        <v>0</v>
      </c>
      <c r="CJ62">
        <f>$I62*cmadjust*Multipliers!K419/1000000</f>
        <v>0</v>
      </c>
      <c r="CK62">
        <f>$I62*cmadjust*Multipliers!L419/1000000</f>
        <v>0</v>
      </c>
      <c r="CL62">
        <f>$I62*cmadjust*Multipliers!M419/1000000</f>
        <v>0</v>
      </c>
      <c r="CM62">
        <f>$I62*cmadjust*Multipliers!N419/1000000</f>
        <v>0</v>
      </c>
      <c r="CN62">
        <f>$I62*cmadjust*Multipliers!O419/1000000</f>
        <v>0</v>
      </c>
      <c r="CP62" t="s">
        <v>593</v>
      </c>
      <c r="CQ62">
        <f>cmadjust*$G62*Multipliers!D419/1000000</f>
        <v>0</v>
      </c>
      <c r="CR62">
        <f>cmadjust*$G62*Multipliers!E419/1000000</f>
        <v>0</v>
      </c>
      <c r="CS62">
        <f>cmadjust*$G62*Multipliers!F419/1000000</f>
        <v>0</v>
      </c>
      <c r="CT62">
        <f>cmadjust*$G62*Multipliers!G419/1000000</f>
        <v>0</v>
      </c>
      <c r="CU62">
        <f>cmadjust*$G62*Multipliers!H419/1000000</f>
        <v>0</v>
      </c>
      <c r="CV62">
        <f>cmadjust*$G62*Multipliers!I419/1000000</f>
        <v>0</v>
      </c>
      <c r="CW62">
        <f>cmadjust*$G62*Multipliers!J419/1000000</f>
        <v>0</v>
      </c>
      <c r="CX62">
        <f>cmadjust*$G62*Multipliers!K419/1000000</f>
        <v>0</v>
      </c>
      <c r="CY62">
        <f>cmadjust*$G62*Multipliers!L419/1000000</f>
        <v>0</v>
      </c>
      <c r="CZ62">
        <f>cmadjust*$G62*Multipliers!M419/1000000</f>
        <v>0</v>
      </c>
      <c r="DA62">
        <f>cmadjust*$G62*Multipliers!N419/1000000</f>
        <v>0</v>
      </c>
      <c r="DB62">
        <f>cmadjust*$G62*Multipliers!O419/1000000</f>
        <v>0</v>
      </c>
    </row>
    <row r="63" spans="3:106" x14ac:dyDescent="0.25">
      <c r="C63" t="s">
        <v>594</v>
      </c>
      <c r="D63" s="229">
        <f>'General-Calculations'!F77</f>
        <v>0</v>
      </c>
      <c r="E63" s="229">
        <f>'General-Calculations'!F88+'General-Calculations'!F85</f>
        <v>0</v>
      </c>
      <c r="F63">
        <v>0</v>
      </c>
      <c r="G63" s="229">
        <f>'General-Calculations'!F130</f>
        <v>0</v>
      </c>
      <c r="H63">
        <v>0</v>
      </c>
      <c r="I63">
        <v>0</v>
      </c>
      <c r="X63" t="s">
        <v>594</v>
      </c>
      <c r="Y63">
        <f>cmadjust*$D63*Multipliers!D420/1000000</f>
        <v>0</v>
      </c>
      <c r="Z63">
        <f>cmadjust*$D63*Multipliers!E420/1000000</f>
        <v>0</v>
      </c>
      <c r="AA63">
        <f>cmadjust*$D63*Multipliers!F420/1000000</f>
        <v>0</v>
      </c>
      <c r="AB63">
        <f>cmadjust*$D63*Multipliers!G420/1000000</f>
        <v>0</v>
      </c>
      <c r="AC63">
        <f>cmadjust*$D63*Multipliers!H420/1000000</f>
        <v>0</v>
      </c>
      <c r="AD63">
        <f>cmadjust*$D63*Multipliers!I420/1000000</f>
        <v>0</v>
      </c>
      <c r="AE63">
        <f>cmadjust*$D63*Multipliers!J420/1000000</f>
        <v>0</v>
      </c>
      <c r="AF63">
        <f>cmadjust*$D63*Multipliers!K420/1000000</f>
        <v>0</v>
      </c>
      <c r="AG63">
        <f>cmadjust*$D63*Multipliers!L420/1000000</f>
        <v>0</v>
      </c>
      <c r="AH63">
        <f>cmadjust*$D63*Multipliers!M420/1000000</f>
        <v>0</v>
      </c>
      <c r="AI63">
        <f>cmadjust*$D63*Multipliers!N420/1000000</f>
        <v>0</v>
      </c>
      <c r="AJ63">
        <f>cmadjust*$D63*Multipliers!O420/1000000</f>
        <v>0</v>
      </c>
      <c r="AL63" t="s">
        <v>594</v>
      </c>
      <c r="AM63">
        <f>cmadjust*$E63*Multipliers!D420/1000000</f>
        <v>0</v>
      </c>
      <c r="AN63">
        <f>cmadjust*$E63*Multipliers!E420/1000000</f>
        <v>0</v>
      </c>
      <c r="AO63">
        <f>cmadjust*$E63*Multipliers!F420/1000000</f>
        <v>0</v>
      </c>
      <c r="AP63">
        <f>cmadjust*$E63*Multipliers!G420/1000000</f>
        <v>0</v>
      </c>
      <c r="AQ63">
        <f>cmadjust*$E63*Multipliers!H420/1000000</f>
        <v>0</v>
      </c>
      <c r="AR63">
        <f>cmadjust*$E63*Multipliers!I420/1000000</f>
        <v>0</v>
      </c>
      <c r="AS63">
        <f>cmadjust*$E63*Multipliers!J420/1000000</f>
        <v>0</v>
      </c>
      <c r="AT63">
        <f>cmadjust*$E63*Multipliers!K420/1000000</f>
        <v>0</v>
      </c>
      <c r="AU63">
        <f>cmadjust*$E63*Multipliers!L420/1000000</f>
        <v>0</v>
      </c>
      <c r="AV63">
        <f>cmadjust*$E63*Multipliers!M420/1000000</f>
        <v>0</v>
      </c>
      <c r="AW63">
        <f>cmadjust*$E63*Multipliers!N420/1000000</f>
        <v>0</v>
      </c>
      <c r="AX63">
        <f>cmadjust*$E63*Multipliers!O420/1000000</f>
        <v>0</v>
      </c>
      <c r="AZ63" t="s">
        <v>594</v>
      </c>
      <c r="BA63">
        <f>cmadjust*$E63*Multipliers!D420/1000000</f>
        <v>0</v>
      </c>
      <c r="BB63">
        <f>cmadjust*$E63*Multipliers!E420/1000000</f>
        <v>0</v>
      </c>
      <c r="BC63">
        <f>cmadjust*$E63*Multipliers!F420/1000000</f>
        <v>0</v>
      </c>
      <c r="BD63">
        <f>cmadjust*$E63*Multipliers!G420/1000000</f>
        <v>0</v>
      </c>
      <c r="BE63">
        <f>cmadjust*$E63*Multipliers!H420/1000000</f>
        <v>0</v>
      </c>
      <c r="BF63">
        <f>cmadjust*$E63*Multipliers!I420/1000000</f>
        <v>0</v>
      </c>
      <c r="BG63">
        <f>cmadjust*$E63*Multipliers!J420/1000000</f>
        <v>0</v>
      </c>
      <c r="BH63">
        <f>cmadjust*$E63*Multipliers!K420/1000000</f>
        <v>0</v>
      </c>
      <c r="BI63">
        <f>cmadjust*$E63*Multipliers!L420/1000000</f>
        <v>0</v>
      </c>
      <c r="BJ63">
        <f>cmadjust*$E63*Multipliers!M420/1000000</f>
        <v>0</v>
      </c>
      <c r="BK63">
        <f>cmadjust*$E63*Multipliers!N420/1000000</f>
        <v>0</v>
      </c>
      <c r="BL63">
        <f>cmadjust*$E63*Multipliers!O420/1000000</f>
        <v>0</v>
      </c>
      <c r="BN63" t="s">
        <v>594</v>
      </c>
      <c r="BO63">
        <f>cmadjust*$H63*Multipliers!D420/1000000</f>
        <v>0</v>
      </c>
      <c r="BP63">
        <f>cmadjust*$H63*Multipliers!E420/1000000</f>
        <v>0</v>
      </c>
      <c r="BQ63">
        <f>cmadjust*$H63*Multipliers!F420/1000000</f>
        <v>0</v>
      </c>
      <c r="BR63">
        <f>cmadjust*$H63*Multipliers!G420/1000000</f>
        <v>0</v>
      </c>
      <c r="BS63">
        <f>cmadjust*$H63*Multipliers!H420/1000000</f>
        <v>0</v>
      </c>
      <c r="BT63">
        <f>cmadjust*$H63*Multipliers!I420/1000000</f>
        <v>0</v>
      </c>
      <c r="BU63">
        <f>cmadjust*$H63*Multipliers!J420/1000000</f>
        <v>0</v>
      </c>
      <c r="BV63">
        <f>cmadjust*$H63*Multipliers!K420/1000000</f>
        <v>0</v>
      </c>
      <c r="BW63">
        <f>cmadjust*$H63*Multipliers!L420/1000000</f>
        <v>0</v>
      </c>
      <c r="BX63">
        <f>cmadjust*$H63*Multipliers!M420/1000000</f>
        <v>0</v>
      </c>
      <c r="BY63">
        <f>cmadjust*$H63*Multipliers!N420/1000000</f>
        <v>0</v>
      </c>
      <c r="BZ63">
        <f>cmadjust*$H63*Multipliers!O420/1000000</f>
        <v>0</v>
      </c>
      <c r="CB63" t="s">
        <v>594</v>
      </c>
      <c r="CC63">
        <f>$I63*cmadjust*Multipliers!D420/1000000</f>
        <v>0</v>
      </c>
      <c r="CD63">
        <f>$I63*cmadjust*Multipliers!E420/1000000</f>
        <v>0</v>
      </c>
      <c r="CE63">
        <f>$I63*cmadjust*Multipliers!F420/1000000</f>
        <v>0</v>
      </c>
      <c r="CF63">
        <f>$I63*cmadjust*Multipliers!G420/1000000</f>
        <v>0</v>
      </c>
      <c r="CG63">
        <f>$I63*cmadjust*Multipliers!H420/1000000</f>
        <v>0</v>
      </c>
      <c r="CH63">
        <f>$I63*cmadjust*Multipliers!I420/1000000</f>
        <v>0</v>
      </c>
      <c r="CI63">
        <f>$I63*cmadjust*Multipliers!J420/1000000</f>
        <v>0</v>
      </c>
      <c r="CJ63">
        <f>$I63*cmadjust*Multipliers!K420/1000000</f>
        <v>0</v>
      </c>
      <c r="CK63">
        <f>$I63*cmadjust*Multipliers!L420/1000000</f>
        <v>0</v>
      </c>
      <c r="CL63">
        <f>$I63*cmadjust*Multipliers!M420/1000000</f>
        <v>0</v>
      </c>
      <c r="CM63">
        <f>$I63*cmadjust*Multipliers!N420/1000000</f>
        <v>0</v>
      </c>
      <c r="CN63">
        <f>$I63*cmadjust*Multipliers!O420/1000000</f>
        <v>0</v>
      </c>
      <c r="CP63" t="s">
        <v>594</v>
      </c>
      <c r="CQ63">
        <f>cmadjust*$G63*Multipliers!D420/1000000</f>
        <v>0</v>
      </c>
      <c r="CR63">
        <f>cmadjust*$G63*Multipliers!E420/1000000</f>
        <v>0</v>
      </c>
      <c r="CS63">
        <f>cmadjust*$G63*Multipliers!F420/1000000</f>
        <v>0</v>
      </c>
      <c r="CT63">
        <f>cmadjust*$G63*Multipliers!G420/1000000</f>
        <v>0</v>
      </c>
      <c r="CU63">
        <f>cmadjust*$G63*Multipliers!H420/1000000</f>
        <v>0</v>
      </c>
      <c r="CV63">
        <f>cmadjust*$G63*Multipliers!I420/1000000</f>
        <v>0</v>
      </c>
      <c r="CW63">
        <f>cmadjust*$G63*Multipliers!J420/1000000</f>
        <v>0</v>
      </c>
      <c r="CX63">
        <f>cmadjust*$G63*Multipliers!K420/1000000</f>
        <v>0</v>
      </c>
      <c r="CY63">
        <f>cmadjust*$G63*Multipliers!L420/1000000</f>
        <v>0</v>
      </c>
      <c r="CZ63">
        <f>cmadjust*$G63*Multipliers!M420/1000000</f>
        <v>0</v>
      </c>
      <c r="DA63">
        <f>cmadjust*$G63*Multipliers!N420/1000000</f>
        <v>0</v>
      </c>
      <c r="DB63">
        <f>cmadjust*$G63*Multipliers!O420/1000000</f>
        <v>0</v>
      </c>
    </row>
    <row r="64" spans="3:106" x14ac:dyDescent="0.25">
      <c r="C64" t="s">
        <v>415</v>
      </c>
      <c r="D64">
        <v>0</v>
      </c>
      <c r="E64">
        <v>0</v>
      </c>
      <c r="F64">
        <v>0</v>
      </c>
      <c r="G64">
        <v>0</v>
      </c>
      <c r="H64">
        <v>0</v>
      </c>
      <c r="I64">
        <v>0</v>
      </c>
      <c r="X64" t="s">
        <v>415</v>
      </c>
      <c r="Y64">
        <f>cmadjust*$D64*Multipliers!D421/1000000</f>
        <v>0</v>
      </c>
      <c r="Z64">
        <f>cmadjust*$D64*Multipliers!E421/1000000</f>
        <v>0</v>
      </c>
      <c r="AA64">
        <f>cmadjust*$D64*Multipliers!F421/1000000</f>
        <v>0</v>
      </c>
      <c r="AB64">
        <f>cmadjust*$D64*Multipliers!G421/1000000</f>
        <v>0</v>
      </c>
      <c r="AC64">
        <f>cmadjust*$D64*Multipliers!H421/1000000</f>
        <v>0</v>
      </c>
      <c r="AD64">
        <f>cmadjust*$D64*Multipliers!I421/1000000</f>
        <v>0</v>
      </c>
      <c r="AE64">
        <f>cmadjust*$D64*Multipliers!J421/1000000</f>
        <v>0</v>
      </c>
      <c r="AF64">
        <f>cmadjust*$D64*Multipliers!K421/1000000</f>
        <v>0</v>
      </c>
      <c r="AG64">
        <f>cmadjust*$D64*Multipliers!L421/1000000</f>
        <v>0</v>
      </c>
      <c r="AH64">
        <f>cmadjust*$D64*Multipliers!M421/1000000</f>
        <v>0</v>
      </c>
      <c r="AI64">
        <f>cmadjust*$D64*Multipliers!N421/1000000</f>
        <v>0</v>
      </c>
      <c r="AJ64">
        <f>cmadjust*$D64*Multipliers!O421/1000000</f>
        <v>0</v>
      </c>
      <c r="AL64" t="s">
        <v>415</v>
      </c>
      <c r="AM64">
        <f>cmadjust*$E64*Multipliers!D421/1000000</f>
        <v>0</v>
      </c>
      <c r="AN64">
        <f>cmadjust*$E64*Multipliers!E421/1000000</f>
        <v>0</v>
      </c>
      <c r="AO64">
        <f>cmadjust*$E64*Multipliers!F421/1000000</f>
        <v>0</v>
      </c>
      <c r="AP64">
        <f>cmadjust*$E64*Multipliers!G421/1000000</f>
        <v>0</v>
      </c>
      <c r="AQ64">
        <f>cmadjust*$E64*Multipliers!H421/1000000</f>
        <v>0</v>
      </c>
      <c r="AR64">
        <f>cmadjust*$E64*Multipliers!I421/1000000</f>
        <v>0</v>
      </c>
      <c r="AS64">
        <f>cmadjust*$E64*Multipliers!J421/1000000</f>
        <v>0</v>
      </c>
      <c r="AT64">
        <f>cmadjust*$E64*Multipliers!K421/1000000</f>
        <v>0</v>
      </c>
      <c r="AU64">
        <f>cmadjust*$E64*Multipliers!L421/1000000</f>
        <v>0</v>
      </c>
      <c r="AV64">
        <f>cmadjust*$E64*Multipliers!M421/1000000</f>
        <v>0</v>
      </c>
      <c r="AW64">
        <f>cmadjust*$E64*Multipliers!N421/1000000</f>
        <v>0</v>
      </c>
      <c r="AX64">
        <f>cmadjust*$E64*Multipliers!O421/1000000</f>
        <v>0</v>
      </c>
      <c r="AZ64" t="s">
        <v>415</v>
      </c>
      <c r="BA64">
        <f>cmadjust*$E64*Multipliers!D421/1000000</f>
        <v>0</v>
      </c>
      <c r="BB64">
        <f>cmadjust*$E64*Multipliers!E421/1000000</f>
        <v>0</v>
      </c>
      <c r="BC64">
        <f>cmadjust*$E64*Multipliers!F421/1000000</f>
        <v>0</v>
      </c>
      <c r="BD64">
        <f>cmadjust*$E64*Multipliers!G421/1000000</f>
        <v>0</v>
      </c>
      <c r="BE64">
        <f>cmadjust*$E64*Multipliers!H421/1000000</f>
        <v>0</v>
      </c>
      <c r="BF64">
        <f>cmadjust*$E64*Multipliers!I421/1000000</f>
        <v>0</v>
      </c>
      <c r="BG64">
        <f>cmadjust*$E64*Multipliers!J421/1000000</f>
        <v>0</v>
      </c>
      <c r="BH64">
        <f>cmadjust*$E64*Multipliers!K421/1000000</f>
        <v>0</v>
      </c>
      <c r="BI64">
        <f>cmadjust*$E64*Multipliers!L421/1000000</f>
        <v>0</v>
      </c>
      <c r="BJ64">
        <f>cmadjust*$E64*Multipliers!M421/1000000</f>
        <v>0</v>
      </c>
      <c r="BK64">
        <f>cmadjust*$E64*Multipliers!N421/1000000</f>
        <v>0</v>
      </c>
      <c r="BL64">
        <f>cmadjust*$E64*Multipliers!O421/1000000</f>
        <v>0</v>
      </c>
      <c r="BN64" t="s">
        <v>415</v>
      </c>
      <c r="BO64">
        <f>cmadjust*$H64*Multipliers!D421/1000000</f>
        <v>0</v>
      </c>
      <c r="BP64">
        <f>cmadjust*$H64*Multipliers!E421/1000000</f>
        <v>0</v>
      </c>
      <c r="BQ64">
        <f>cmadjust*$H64*Multipliers!F421/1000000</f>
        <v>0</v>
      </c>
      <c r="BR64">
        <f>cmadjust*$H64*Multipliers!G421/1000000</f>
        <v>0</v>
      </c>
      <c r="BS64">
        <f>cmadjust*$H64*Multipliers!H421/1000000</f>
        <v>0</v>
      </c>
      <c r="BT64">
        <f>cmadjust*$H64*Multipliers!I421/1000000</f>
        <v>0</v>
      </c>
      <c r="BU64">
        <f>cmadjust*$H64*Multipliers!J421/1000000</f>
        <v>0</v>
      </c>
      <c r="BV64">
        <f>cmadjust*$H64*Multipliers!K421/1000000</f>
        <v>0</v>
      </c>
      <c r="BW64">
        <f>cmadjust*$H64*Multipliers!L421/1000000</f>
        <v>0</v>
      </c>
      <c r="BX64">
        <f>cmadjust*$H64*Multipliers!M421/1000000</f>
        <v>0</v>
      </c>
      <c r="BY64">
        <f>cmadjust*$H64*Multipliers!N421/1000000</f>
        <v>0</v>
      </c>
      <c r="BZ64">
        <f>cmadjust*$H64*Multipliers!O421/1000000</f>
        <v>0</v>
      </c>
      <c r="CB64" t="s">
        <v>415</v>
      </c>
      <c r="CC64">
        <f>$I64*cmadjust*Multipliers!D421/1000000</f>
        <v>0</v>
      </c>
      <c r="CD64">
        <f>$I64*cmadjust*Multipliers!E421/1000000</f>
        <v>0</v>
      </c>
      <c r="CE64">
        <f>$I64*cmadjust*Multipliers!F421/1000000</f>
        <v>0</v>
      </c>
      <c r="CF64">
        <f>$I64*cmadjust*Multipliers!G421/1000000</f>
        <v>0</v>
      </c>
      <c r="CG64">
        <f>$I64*cmadjust*Multipliers!H421/1000000</f>
        <v>0</v>
      </c>
      <c r="CH64">
        <f>$I64*cmadjust*Multipliers!I421/1000000</f>
        <v>0</v>
      </c>
      <c r="CI64">
        <f>$I64*cmadjust*Multipliers!J421/1000000</f>
        <v>0</v>
      </c>
      <c r="CJ64">
        <f>$I64*cmadjust*Multipliers!K421/1000000</f>
        <v>0</v>
      </c>
      <c r="CK64">
        <f>$I64*cmadjust*Multipliers!L421/1000000</f>
        <v>0</v>
      </c>
      <c r="CL64">
        <f>$I64*cmadjust*Multipliers!M421/1000000</f>
        <v>0</v>
      </c>
      <c r="CM64">
        <f>$I64*cmadjust*Multipliers!N421/1000000</f>
        <v>0</v>
      </c>
      <c r="CN64">
        <f>$I64*cmadjust*Multipliers!O421/1000000</f>
        <v>0</v>
      </c>
      <c r="CP64" t="s">
        <v>415</v>
      </c>
      <c r="CQ64">
        <f>cmadjust*$G64*Multipliers!D421/1000000</f>
        <v>0</v>
      </c>
      <c r="CR64">
        <f>cmadjust*$G64*Multipliers!E421/1000000</f>
        <v>0</v>
      </c>
      <c r="CS64">
        <f>cmadjust*$G64*Multipliers!F421/1000000</f>
        <v>0</v>
      </c>
      <c r="CT64">
        <f>cmadjust*$G64*Multipliers!G421/1000000</f>
        <v>0</v>
      </c>
      <c r="CU64">
        <f>cmadjust*$G64*Multipliers!H421/1000000</f>
        <v>0</v>
      </c>
      <c r="CV64">
        <f>cmadjust*$G64*Multipliers!I421/1000000</f>
        <v>0</v>
      </c>
      <c r="CW64">
        <f>cmadjust*$G64*Multipliers!J421/1000000</f>
        <v>0</v>
      </c>
      <c r="CX64">
        <f>cmadjust*$G64*Multipliers!K421/1000000</f>
        <v>0</v>
      </c>
      <c r="CY64">
        <f>cmadjust*$G64*Multipliers!L421/1000000</f>
        <v>0</v>
      </c>
      <c r="CZ64">
        <f>cmadjust*$G64*Multipliers!M421/1000000</f>
        <v>0</v>
      </c>
      <c r="DA64">
        <f>cmadjust*$G64*Multipliers!N421/1000000</f>
        <v>0</v>
      </c>
      <c r="DB64">
        <f>cmadjust*$G64*Multipliers!O421/1000000</f>
        <v>0</v>
      </c>
    </row>
    <row r="65" spans="3:106" x14ac:dyDescent="0.25">
      <c r="C65" t="s">
        <v>595</v>
      </c>
      <c r="D65">
        <v>0</v>
      </c>
      <c r="E65">
        <v>0</v>
      </c>
      <c r="F65">
        <v>0</v>
      </c>
      <c r="G65">
        <v>0</v>
      </c>
      <c r="H65">
        <v>0</v>
      </c>
      <c r="I65">
        <v>0</v>
      </c>
      <c r="X65" t="s">
        <v>595</v>
      </c>
      <c r="Y65">
        <f>cmadjust*$D65*Multipliers!D422/1000000</f>
        <v>0</v>
      </c>
      <c r="Z65">
        <f>cmadjust*$D65*Multipliers!E422/1000000</f>
        <v>0</v>
      </c>
      <c r="AA65">
        <f>cmadjust*$D65*Multipliers!F422/1000000</f>
        <v>0</v>
      </c>
      <c r="AB65">
        <f>cmadjust*$D65*Multipliers!G422/1000000</f>
        <v>0</v>
      </c>
      <c r="AC65">
        <f>cmadjust*$D65*Multipliers!H422/1000000</f>
        <v>0</v>
      </c>
      <c r="AD65">
        <f>cmadjust*$D65*Multipliers!I422/1000000</f>
        <v>0</v>
      </c>
      <c r="AE65">
        <f>cmadjust*$D65*Multipliers!J422/1000000</f>
        <v>0</v>
      </c>
      <c r="AF65">
        <f>cmadjust*$D65*Multipliers!K422/1000000</f>
        <v>0</v>
      </c>
      <c r="AG65">
        <f>cmadjust*$D65*Multipliers!L422/1000000</f>
        <v>0</v>
      </c>
      <c r="AH65">
        <f>cmadjust*$D65*Multipliers!M422/1000000</f>
        <v>0</v>
      </c>
      <c r="AI65">
        <f>cmadjust*$D65*Multipliers!N422/1000000</f>
        <v>0</v>
      </c>
      <c r="AJ65">
        <f>cmadjust*$D65*Multipliers!O422/1000000</f>
        <v>0</v>
      </c>
      <c r="AL65" t="s">
        <v>595</v>
      </c>
      <c r="AM65">
        <f>cmadjust*$E65*Multipliers!D422/1000000</f>
        <v>0</v>
      </c>
      <c r="AN65">
        <f>cmadjust*$E65*Multipliers!E422/1000000</f>
        <v>0</v>
      </c>
      <c r="AO65">
        <f>cmadjust*$E65*Multipliers!F422/1000000</f>
        <v>0</v>
      </c>
      <c r="AP65">
        <f>cmadjust*$E65*Multipliers!G422/1000000</f>
        <v>0</v>
      </c>
      <c r="AQ65">
        <f>cmadjust*$E65*Multipliers!H422/1000000</f>
        <v>0</v>
      </c>
      <c r="AR65">
        <f>cmadjust*$E65*Multipliers!I422/1000000</f>
        <v>0</v>
      </c>
      <c r="AS65">
        <f>cmadjust*$E65*Multipliers!J422/1000000</f>
        <v>0</v>
      </c>
      <c r="AT65">
        <f>cmadjust*$E65*Multipliers!K422/1000000</f>
        <v>0</v>
      </c>
      <c r="AU65">
        <f>cmadjust*$E65*Multipliers!L422/1000000</f>
        <v>0</v>
      </c>
      <c r="AV65">
        <f>cmadjust*$E65*Multipliers!M422/1000000</f>
        <v>0</v>
      </c>
      <c r="AW65">
        <f>cmadjust*$E65*Multipliers!N422/1000000</f>
        <v>0</v>
      </c>
      <c r="AX65">
        <f>cmadjust*$E65*Multipliers!O422/1000000</f>
        <v>0</v>
      </c>
      <c r="AZ65" t="s">
        <v>595</v>
      </c>
      <c r="BA65">
        <f>cmadjust*$E65*Multipliers!D422/1000000</f>
        <v>0</v>
      </c>
      <c r="BB65">
        <f>cmadjust*$E65*Multipliers!E422/1000000</f>
        <v>0</v>
      </c>
      <c r="BC65">
        <f>cmadjust*$E65*Multipliers!F422/1000000</f>
        <v>0</v>
      </c>
      <c r="BD65">
        <f>cmadjust*$E65*Multipliers!G422/1000000</f>
        <v>0</v>
      </c>
      <c r="BE65">
        <f>cmadjust*$E65*Multipliers!H422/1000000</f>
        <v>0</v>
      </c>
      <c r="BF65">
        <f>cmadjust*$E65*Multipliers!I422/1000000</f>
        <v>0</v>
      </c>
      <c r="BG65">
        <f>cmadjust*$E65*Multipliers!J422/1000000</f>
        <v>0</v>
      </c>
      <c r="BH65">
        <f>cmadjust*$E65*Multipliers!K422/1000000</f>
        <v>0</v>
      </c>
      <c r="BI65">
        <f>cmadjust*$E65*Multipliers!L422/1000000</f>
        <v>0</v>
      </c>
      <c r="BJ65">
        <f>cmadjust*$E65*Multipliers!M422/1000000</f>
        <v>0</v>
      </c>
      <c r="BK65">
        <f>cmadjust*$E65*Multipliers!N422/1000000</f>
        <v>0</v>
      </c>
      <c r="BL65">
        <f>cmadjust*$E65*Multipliers!O422/1000000</f>
        <v>0</v>
      </c>
      <c r="BN65" t="s">
        <v>595</v>
      </c>
      <c r="BO65">
        <f>cmadjust*$H65*Multipliers!D422/1000000</f>
        <v>0</v>
      </c>
      <c r="BP65">
        <f>cmadjust*$H65*Multipliers!E422/1000000</f>
        <v>0</v>
      </c>
      <c r="BQ65">
        <f>cmadjust*$H65*Multipliers!F422/1000000</f>
        <v>0</v>
      </c>
      <c r="BR65">
        <f>cmadjust*$H65*Multipliers!G422/1000000</f>
        <v>0</v>
      </c>
      <c r="BS65">
        <f>cmadjust*$H65*Multipliers!H422/1000000</f>
        <v>0</v>
      </c>
      <c r="BT65">
        <f>cmadjust*$H65*Multipliers!I422/1000000</f>
        <v>0</v>
      </c>
      <c r="BU65">
        <f>cmadjust*$H65*Multipliers!J422/1000000</f>
        <v>0</v>
      </c>
      <c r="BV65">
        <f>cmadjust*$H65*Multipliers!K422/1000000</f>
        <v>0</v>
      </c>
      <c r="BW65">
        <f>cmadjust*$H65*Multipliers!L422/1000000</f>
        <v>0</v>
      </c>
      <c r="BX65">
        <f>cmadjust*$H65*Multipliers!M422/1000000</f>
        <v>0</v>
      </c>
      <c r="BY65">
        <f>cmadjust*$H65*Multipliers!N422/1000000</f>
        <v>0</v>
      </c>
      <c r="BZ65">
        <f>cmadjust*$H65*Multipliers!O422/1000000</f>
        <v>0</v>
      </c>
      <c r="CB65" t="s">
        <v>595</v>
      </c>
      <c r="CC65">
        <f>$I65*cmadjust*Multipliers!D422/1000000</f>
        <v>0</v>
      </c>
      <c r="CD65">
        <f>$I65*cmadjust*Multipliers!E422/1000000</f>
        <v>0</v>
      </c>
      <c r="CE65">
        <f>$I65*cmadjust*Multipliers!F422/1000000</f>
        <v>0</v>
      </c>
      <c r="CF65">
        <f>$I65*cmadjust*Multipliers!G422/1000000</f>
        <v>0</v>
      </c>
      <c r="CG65">
        <f>$I65*cmadjust*Multipliers!H422/1000000</f>
        <v>0</v>
      </c>
      <c r="CH65">
        <f>$I65*cmadjust*Multipliers!I422/1000000</f>
        <v>0</v>
      </c>
      <c r="CI65">
        <f>$I65*cmadjust*Multipliers!J422/1000000</f>
        <v>0</v>
      </c>
      <c r="CJ65">
        <f>$I65*cmadjust*Multipliers!K422/1000000</f>
        <v>0</v>
      </c>
      <c r="CK65">
        <f>$I65*cmadjust*Multipliers!L422/1000000</f>
        <v>0</v>
      </c>
      <c r="CL65">
        <f>$I65*cmadjust*Multipliers!M422/1000000</f>
        <v>0</v>
      </c>
      <c r="CM65">
        <f>$I65*cmadjust*Multipliers!N422/1000000</f>
        <v>0</v>
      </c>
      <c r="CN65">
        <f>$I65*cmadjust*Multipliers!O422/1000000</f>
        <v>0</v>
      </c>
      <c r="CP65" t="s">
        <v>595</v>
      </c>
      <c r="CQ65">
        <f>cmadjust*$G65*Multipliers!D422/1000000</f>
        <v>0</v>
      </c>
      <c r="CR65">
        <f>cmadjust*$G65*Multipliers!E422/1000000</f>
        <v>0</v>
      </c>
      <c r="CS65">
        <f>cmadjust*$G65*Multipliers!F422/1000000</f>
        <v>0</v>
      </c>
      <c r="CT65">
        <f>cmadjust*$G65*Multipliers!G422/1000000</f>
        <v>0</v>
      </c>
      <c r="CU65">
        <f>cmadjust*$G65*Multipliers!H422/1000000</f>
        <v>0</v>
      </c>
      <c r="CV65">
        <f>cmadjust*$G65*Multipliers!I422/1000000</f>
        <v>0</v>
      </c>
      <c r="CW65">
        <f>cmadjust*$G65*Multipliers!J422/1000000</f>
        <v>0</v>
      </c>
      <c r="CX65">
        <f>cmadjust*$G65*Multipliers!K422/1000000</f>
        <v>0</v>
      </c>
      <c r="CY65">
        <f>cmadjust*$G65*Multipliers!L422/1000000</f>
        <v>0</v>
      </c>
      <c r="CZ65">
        <f>cmadjust*$G65*Multipliers!M422/1000000</f>
        <v>0</v>
      </c>
      <c r="DA65">
        <f>cmadjust*$G65*Multipliers!N422/1000000</f>
        <v>0</v>
      </c>
      <c r="DB65">
        <f>cmadjust*$G65*Multipliers!O422/1000000</f>
        <v>0</v>
      </c>
    </row>
    <row r="66" spans="3:106" x14ac:dyDescent="0.25">
      <c r="C66" t="s">
        <v>417</v>
      </c>
      <c r="D66">
        <v>0</v>
      </c>
      <c r="E66">
        <v>0</v>
      </c>
      <c r="F66">
        <v>0</v>
      </c>
      <c r="G66">
        <v>0</v>
      </c>
      <c r="H66">
        <v>0</v>
      </c>
      <c r="I66">
        <v>0</v>
      </c>
      <c r="X66" t="s">
        <v>417</v>
      </c>
      <c r="Y66">
        <f>cmadjust*$D66*Multipliers!D423/1000000</f>
        <v>0</v>
      </c>
      <c r="Z66">
        <f>cmadjust*$D66*Multipliers!E423/1000000</f>
        <v>0</v>
      </c>
      <c r="AA66">
        <f>cmadjust*$D66*Multipliers!F423/1000000</f>
        <v>0</v>
      </c>
      <c r="AB66">
        <f>cmadjust*$D66*Multipliers!G423/1000000</f>
        <v>0</v>
      </c>
      <c r="AC66">
        <f>cmadjust*$D66*Multipliers!H423/1000000</f>
        <v>0</v>
      </c>
      <c r="AD66">
        <f>cmadjust*$D66*Multipliers!I423/1000000</f>
        <v>0</v>
      </c>
      <c r="AE66">
        <f>cmadjust*$D66*Multipliers!J423/1000000</f>
        <v>0</v>
      </c>
      <c r="AF66">
        <f>cmadjust*$D66*Multipliers!K423/1000000</f>
        <v>0</v>
      </c>
      <c r="AG66">
        <f>cmadjust*$D66*Multipliers!L423/1000000</f>
        <v>0</v>
      </c>
      <c r="AH66">
        <f>cmadjust*$D66*Multipliers!M423/1000000</f>
        <v>0</v>
      </c>
      <c r="AI66">
        <f>cmadjust*$D66*Multipliers!N423/1000000</f>
        <v>0</v>
      </c>
      <c r="AJ66">
        <f>cmadjust*$D66*Multipliers!O423/1000000</f>
        <v>0</v>
      </c>
      <c r="AL66" t="s">
        <v>417</v>
      </c>
      <c r="AM66">
        <f>cmadjust*$E66*Multipliers!D423/1000000</f>
        <v>0</v>
      </c>
      <c r="AN66">
        <f>cmadjust*$E66*Multipliers!E423/1000000</f>
        <v>0</v>
      </c>
      <c r="AO66">
        <f>cmadjust*$E66*Multipliers!F423/1000000</f>
        <v>0</v>
      </c>
      <c r="AP66">
        <f>cmadjust*$E66*Multipliers!G423/1000000</f>
        <v>0</v>
      </c>
      <c r="AQ66">
        <f>cmadjust*$E66*Multipliers!H423/1000000</f>
        <v>0</v>
      </c>
      <c r="AR66">
        <f>cmadjust*$E66*Multipliers!I423/1000000</f>
        <v>0</v>
      </c>
      <c r="AS66">
        <f>cmadjust*$E66*Multipliers!J423/1000000</f>
        <v>0</v>
      </c>
      <c r="AT66">
        <f>cmadjust*$E66*Multipliers!K423/1000000</f>
        <v>0</v>
      </c>
      <c r="AU66">
        <f>cmadjust*$E66*Multipliers!L423/1000000</f>
        <v>0</v>
      </c>
      <c r="AV66">
        <f>cmadjust*$E66*Multipliers!M423/1000000</f>
        <v>0</v>
      </c>
      <c r="AW66">
        <f>cmadjust*$E66*Multipliers!N423/1000000</f>
        <v>0</v>
      </c>
      <c r="AX66">
        <f>cmadjust*$E66*Multipliers!O423/1000000</f>
        <v>0</v>
      </c>
      <c r="AZ66" t="s">
        <v>417</v>
      </c>
      <c r="BA66">
        <f>cmadjust*$E66*Multipliers!D423/1000000</f>
        <v>0</v>
      </c>
      <c r="BB66">
        <f>cmadjust*$E66*Multipliers!E423/1000000</f>
        <v>0</v>
      </c>
      <c r="BC66">
        <f>cmadjust*$E66*Multipliers!F423/1000000</f>
        <v>0</v>
      </c>
      <c r="BD66">
        <f>cmadjust*$E66*Multipliers!G423/1000000</f>
        <v>0</v>
      </c>
      <c r="BE66">
        <f>cmadjust*$E66*Multipliers!H423/1000000</f>
        <v>0</v>
      </c>
      <c r="BF66">
        <f>cmadjust*$E66*Multipliers!I423/1000000</f>
        <v>0</v>
      </c>
      <c r="BG66">
        <f>cmadjust*$E66*Multipliers!J423/1000000</f>
        <v>0</v>
      </c>
      <c r="BH66">
        <f>cmadjust*$E66*Multipliers!K423/1000000</f>
        <v>0</v>
      </c>
      <c r="BI66">
        <f>cmadjust*$E66*Multipliers!L423/1000000</f>
        <v>0</v>
      </c>
      <c r="BJ66">
        <f>cmadjust*$E66*Multipliers!M423/1000000</f>
        <v>0</v>
      </c>
      <c r="BK66">
        <f>cmadjust*$E66*Multipliers!N423/1000000</f>
        <v>0</v>
      </c>
      <c r="BL66">
        <f>cmadjust*$E66*Multipliers!O423/1000000</f>
        <v>0</v>
      </c>
      <c r="BN66" t="s">
        <v>417</v>
      </c>
      <c r="BO66">
        <f>cmadjust*$H66*Multipliers!D423/1000000</f>
        <v>0</v>
      </c>
      <c r="BP66">
        <f>cmadjust*$H66*Multipliers!E423/1000000</f>
        <v>0</v>
      </c>
      <c r="BQ66">
        <f>cmadjust*$H66*Multipliers!F423/1000000</f>
        <v>0</v>
      </c>
      <c r="BR66">
        <f>cmadjust*$H66*Multipliers!G423/1000000</f>
        <v>0</v>
      </c>
      <c r="BS66">
        <f>cmadjust*$H66*Multipliers!H423/1000000</f>
        <v>0</v>
      </c>
      <c r="BT66">
        <f>cmadjust*$H66*Multipliers!I423/1000000</f>
        <v>0</v>
      </c>
      <c r="BU66">
        <f>cmadjust*$H66*Multipliers!J423/1000000</f>
        <v>0</v>
      </c>
      <c r="BV66">
        <f>cmadjust*$H66*Multipliers!K423/1000000</f>
        <v>0</v>
      </c>
      <c r="BW66">
        <f>cmadjust*$H66*Multipliers!L423/1000000</f>
        <v>0</v>
      </c>
      <c r="BX66">
        <f>cmadjust*$H66*Multipliers!M423/1000000</f>
        <v>0</v>
      </c>
      <c r="BY66">
        <f>cmadjust*$H66*Multipliers!N423/1000000</f>
        <v>0</v>
      </c>
      <c r="BZ66">
        <f>cmadjust*$H66*Multipliers!O423/1000000</f>
        <v>0</v>
      </c>
      <c r="CB66" t="s">
        <v>417</v>
      </c>
      <c r="CC66">
        <f>$I66*cmadjust*Multipliers!D423/1000000</f>
        <v>0</v>
      </c>
      <c r="CD66">
        <f>$I66*cmadjust*Multipliers!E423/1000000</f>
        <v>0</v>
      </c>
      <c r="CE66">
        <f>$I66*cmadjust*Multipliers!F423/1000000</f>
        <v>0</v>
      </c>
      <c r="CF66">
        <f>$I66*cmadjust*Multipliers!G423/1000000</f>
        <v>0</v>
      </c>
      <c r="CG66">
        <f>$I66*cmadjust*Multipliers!H423/1000000</f>
        <v>0</v>
      </c>
      <c r="CH66">
        <f>$I66*cmadjust*Multipliers!I423/1000000</f>
        <v>0</v>
      </c>
      <c r="CI66">
        <f>$I66*cmadjust*Multipliers!J423/1000000</f>
        <v>0</v>
      </c>
      <c r="CJ66">
        <f>$I66*cmadjust*Multipliers!K423/1000000</f>
        <v>0</v>
      </c>
      <c r="CK66">
        <f>$I66*cmadjust*Multipliers!L423/1000000</f>
        <v>0</v>
      </c>
      <c r="CL66">
        <f>$I66*cmadjust*Multipliers!M423/1000000</f>
        <v>0</v>
      </c>
      <c r="CM66">
        <f>$I66*cmadjust*Multipliers!N423/1000000</f>
        <v>0</v>
      </c>
      <c r="CN66">
        <f>$I66*cmadjust*Multipliers!O423/1000000</f>
        <v>0</v>
      </c>
      <c r="CP66" t="s">
        <v>417</v>
      </c>
      <c r="CQ66">
        <f>cmadjust*$G66*Multipliers!D423/1000000</f>
        <v>0</v>
      </c>
      <c r="CR66">
        <f>cmadjust*$G66*Multipliers!E423/1000000</f>
        <v>0</v>
      </c>
      <c r="CS66">
        <f>cmadjust*$G66*Multipliers!F423/1000000</f>
        <v>0</v>
      </c>
      <c r="CT66">
        <f>cmadjust*$G66*Multipliers!G423/1000000</f>
        <v>0</v>
      </c>
      <c r="CU66">
        <f>cmadjust*$G66*Multipliers!H423/1000000</f>
        <v>0</v>
      </c>
      <c r="CV66">
        <f>cmadjust*$G66*Multipliers!I423/1000000</f>
        <v>0</v>
      </c>
      <c r="CW66">
        <f>cmadjust*$G66*Multipliers!J423/1000000</f>
        <v>0</v>
      </c>
      <c r="CX66">
        <f>cmadjust*$G66*Multipliers!K423/1000000</f>
        <v>0</v>
      </c>
      <c r="CY66">
        <f>cmadjust*$G66*Multipliers!L423/1000000</f>
        <v>0</v>
      </c>
      <c r="CZ66">
        <f>cmadjust*$G66*Multipliers!M423/1000000</f>
        <v>0</v>
      </c>
      <c r="DA66">
        <f>cmadjust*$G66*Multipliers!N423/1000000</f>
        <v>0</v>
      </c>
      <c r="DB66">
        <f>cmadjust*$G66*Multipliers!O423/1000000</f>
        <v>0</v>
      </c>
    </row>
    <row r="67" spans="3:106" x14ac:dyDescent="0.25">
      <c r="C67" t="s">
        <v>418</v>
      </c>
      <c r="D67">
        <v>0</v>
      </c>
      <c r="E67">
        <v>0</v>
      </c>
      <c r="F67">
        <v>0</v>
      </c>
      <c r="G67">
        <v>0</v>
      </c>
      <c r="H67">
        <v>0</v>
      </c>
      <c r="I67">
        <v>0</v>
      </c>
      <c r="X67" t="s">
        <v>418</v>
      </c>
      <c r="Y67">
        <f>cmadjust*$D67*Multipliers!D424/1000000</f>
        <v>0</v>
      </c>
      <c r="Z67">
        <f>cmadjust*$D67*Multipliers!E424/1000000</f>
        <v>0</v>
      </c>
      <c r="AA67">
        <f>cmadjust*$D67*Multipliers!F424/1000000</f>
        <v>0</v>
      </c>
      <c r="AB67">
        <f>cmadjust*$D67*Multipliers!G424/1000000</f>
        <v>0</v>
      </c>
      <c r="AC67">
        <f>cmadjust*$D67*Multipliers!H424/1000000</f>
        <v>0</v>
      </c>
      <c r="AD67">
        <f>cmadjust*$D67*Multipliers!I424/1000000</f>
        <v>0</v>
      </c>
      <c r="AE67">
        <f>cmadjust*$D67*Multipliers!J424/1000000</f>
        <v>0</v>
      </c>
      <c r="AF67">
        <f>cmadjust*$D67*Multipliers!K424/1000000</f>
        <v>0</v>
      </c>
      <c r="AG67">
        <f>cmadjust*$D67*Multipliers!L424/1000000</f>
        <v>0</v>
      </c>
      <c r="AH67">
        <f>cmadjust*$D67*Multipliers!M424/1000000</f>
        <v>0</v>
      </c>
      <c r="AI67">
        <f>cmadjust*$D67*Multipliers!N424/1000000</f>
        <v>0</v>
      </c>
      <c r="AJ67">
        <f>cmadjust*$D67*Multipliers!O424/1000000</f>
        <v>0</v>
      </c>
      <c r="AL67" t="s">
        <v>418</v>
      </c>
      <c r="AM67">
        <f>cmadjust*$E67*Multipliers!D424/1000000</f>
        <v>0</v>
      </c>
      <c r="AN67">
        <f>cmadjust*$E67*Multipliers!E424/1000000</f>
        <v>0</v>
      </c>
      <c r="AO67">
        <f>cmadjust*$E67*Multipliers!F424/1000000</f>
        <v>0</v>
      </c>
      <c r="AP67">
        <f>cmadjust*$E67*Multipliers!G424/1000000</f>
        <v>0</v>
      </c>
      <c r="AQ67">
        <f>cmadjust*$E67*Multipliers!H424/1000000</f>
        <v>0</v>
      </c>
      <c r="AR67">
        <f>cmadjust*$E67*Multipliers!I424/1000000</f>
        <v>0</v>
      </c>
      <c r="AS67">
        <f>cmadjust*$E67*Multipliers!J424/1000000</f>
        <v>0</v>
      </c>
      <c r="AT67">
        <f>cmadjust*$E67*Multipliers!K424/1000000</f>
        <v>0</v>
      </c>
      <c r="AU67">
        <f>cmadjust*$E67*Multipliers!L424/1000000</f>
        <v>0</v>
      </c>
      <c r="AV67">
        <f>cmadjust*$E67*Multipliers!M424/1000000</f>
        <v>0</v>
      </c>
      <c r="AW67">
        <f>cmadjust*$E67*Multipliers!N424/1000000</f>
        <v>0</v>
      </c>
      <c r="AX67">
        <f>cmadjust*$E67*Multipliers!O424/1000000</f>
        <v>0</v>
      </c>
      <c r="AZ67" t="s">
        <v>418</v>
      </c>
      <c r="BA67">
        <f>cmadjust*$E67*Multipliers!D424/1000000</f>
        <v>0</v>
      </c>
      <c r="BB67">
        <f>cmadjust*$E67*Multipliers!E424/1000000</f>
        <v>0</v>
      </c>
      <c r="BC67">
        <f>cmadjust*$E67*Multipliers!F424/1000000</f>
        <v>0</v>
      </c>
      <c r="BD67">
        <f>cmadjust*$E67*Multipliers!G424/1000000</f>
        <v>0</v>
      </c>
      <c r="BE67">
        <f>cmadjust*$E67*Multipliers!H424/1000000</f>
        <v>0</v>
      </c>
      <c r="BF67">
        <f>cmadjust*$E67*Multipliers!I424/1000000</f>
        <v>0</v>
      </c>
      <c r="BG67">
        <f>cmadjust*$E67*Multipliers!J424/1000000</f>
        <v>0</v>
      </c>
      <c r="BH67">
        <f>cmadjust*$E67*Multipliers!K424/1000000</f>
        <v>0</v>
      </c>
      <c r="BI67">
        <f>cmadjust*$E67*Multipliers!L424/1000000</f>
        <v>0</v>
      </c>
      <c r="BJ67">
        <f>cmadjust*$E67*Multipliers!M424/1000000</f>
        <v>0</v>
      </c>
      <c r="BK67">
        <f>cmadjust*$E67*Multipliers!N424/1000000</f>
        <v>0</v>
      </c>
      <c r="BL67">
        <f>cmadjust*$E67*Multipliers!O424/1000000</f>
        <v>0</v>
      </c>
      <c r="BN67" t="s">
        <v>418</v>
      </c>
      <c r="BO67">
        <f>cmadjust*$H67*Multipliers!D424/1000000</f>
        <v>0</v>
      </c>
      <c r="BP67">
        <f>cmadjust*$H67*Multipliers!E424/1000000</f>
        <v>0</v>
      </c>
      <c r="BQ67">
        <f>cmadjust*$H67*Multipliers!F424/1000000</f>
        <v>0</v>
      </c>
      <c r="BR67">
        <f>cmadjust*$H67*Multipliers!G424/1000000</f>
        <v>0</v>
      </c>
      <c r="BS67">
        <f>cmadjust*$H67*Multipliers!H424/1000000</f>
        <v>0</v>
      </c>
      <c r="BT67">
        <f>cmadjust*$H67*Multipliers!I424/1000000</f>
        <v>0</v>
      </c>
      <c r="BU67">
        <f>cmadjust*$H67*Multipliers!J424/1000000</f>
        <v>0</v>
      </c>
      <c r="BV67">
        <f>cmadjust*$H67*Multipliers!K424/1000000</f>
        <v>0</v>
      </c>
      <c r="BW67">
        <f>cmadjust*$H67*Multipliers!L424/1000000</f>
        <v>0</v>
      </c>
      <c r="BX67">
        <f>cmadjust*$H67*Multipliers!M424/1000000</f>
        <v>0</v>
      </c>
      <c r="BY67">
        <f>cmadjust*$H67*Multipliers!N424/1000000</f>
        <v>0</v>
      </c>
      <c r="BZ67">
        <f>cmadjust*$H67*Multipliers!O424/1000000</f>
        <v>0</v>
      </c>
      <c r="CB67" t="s">
        <v>418</v>
      </c>
      <c r="CC67">
        <f>$I67*cmadjust*Multipliers!D424/1000000</f>
        <v>0</v>
      </c>
      <c r="CD67">
        <f>$I67*cmadjust*Multipliers!E424/1000000</f>
        <v>0</v>
      </c>
      <c r="CE67">
        <f>$I67*cmadjust*Multipliers!F424/1000000</f>
        <v>0</v>
      </c>
      <c r="CF67">
        <f>$I67*cmadjust*Multipliers!G424/1000000</f>
        <v>0</v>
      </c>
      <c r="CG67">
        <f>$I67*cmadjust*Multipliers!H424/1000000</f>
        <v>0</v>
      </c>
      <c r="CH67">
        <f>$I67*cmadjust*Multipliers!I424/1000000</f>
        <v>0</v>
      </c>
      <c r="CI67">
        <f>$I67*cmadjust*Multipliers!J424/1000000</f>
        <v>0</v>
      </c>
      <c r="CJ67">
        <f>$I67*cmadjust*Multipliers!K424/1000000</f>
        <v>0</v>
      </c>
      <c r="CK67">
        <f>$I67*cmadjust*Multipliers!L424/1000000</f>
        <v>0</v>
      </c>
      <c r="CL67">
        <f>$I67*cmadjust*Multipliers!M424/1000000</f>
        <v>0</v>
      </c>
      <c r="CM67">
        <f>$I67*cmadjust*Multipliers!N424/1000000</f>
        <v>0</v>
      </c>
      <c r="CN67">
        <f>$I67*cmadjust*Multipliers!O424/1000000</f>
        <v>0</v>
      </c>
      <c r="CP67" t="s">
        <v>418</v>
      </c>
      <c r="CQ67">
        <f>cmadjust*$G67*Multipliers!D424/1000000</f>
        <v>0</v>
      </c>
      <c r="CR67">
        <f>cmadjust*$G67*Multipliers!E424/1000000</f>
        <v>0</v>
      </c>
      <c r="CS67">
        <f>cmadjust*$G67*Multipliers!F424/1000000</f>
        <v>0</v>
      </c>
      <c r="CT67">
        <f>cmadjust*$G67*Multipliers!G424/1000000</f>
        <v>0</v>
      </c>
      <c r="CU67">
        <f>cmadjust*$G67*Multipliers!H424/1000000</f>
        <v>0</v>
      </c>
      <c r="CV67">
        <f>cmadjust*$G67*Multipliers!I424/1000000</f>
        <v>0</v>
      </c>
      <c r="CW67">
        <f>cmadjust*$G67*Multipliers!J424/1000000</f>
        <v>0</v>
      </c>
      <c r="CX67">
        <f>cmadjust*$G67*Multipliers!K424/1000000</f>
        <v>0</v>
      </c>
      <c r="CY67">
        <f>cmadjust*$G67*Multipliers!L424/1000000</f>
        <v>0</v>
      </c>
      <c r="CZ67">
        <f>cmadjust*$G67*Multipliers!M424/1000000</f>
        <v>0</v>
      </c>
      <c r="DA67">
        <f>cmadjust*$G67*Multipliers!N424/1000000</f>
        <v>0</v>
      </c>
      <c r="DB67">
        <f>cmadjust*$G67*Multipliers!O424/1000000</f>
        <v>0</v>
      </c>
    </row>
    <row r="68" spans="3:106" x14ac:dyDescent="0.25">
      <c r="C68" t="s">
        <v>596</v>
      </c>
      <c r="D68">
        <v>0</v>
      </c>
      <c r="E68">
        <v>0</v>
      </c>
      <c r="F68">
        <v>0</v>
      </c>
      <c r="G68">
        <v>0</v>
      </c>
      <c r="H68">
        <v>0</v>
      </c>
      <c r="I68" s="229">
        <f>SUM('General-Calculations'!F116:F121)</f>
        <v>0</v>
      </c>
      <c r="X68" t="s">
        <v>596</v>
      </c>
      <c r="Y68">
        <f>cmadjust*$D68*Multipliers!D425/1000000</f>
        <v>0</v>
      </c>
      <c r="Z68">
        <f>cmadjust*$D68*Multipliers!E425/1000000</f>
        <v>0</v>
      </c>
      <c r="AA68">
        <f>cmadjust*$D68*Multipliers!F425/1000000</f>
        <v>0</v>
      </c>
      <c r="AB68">
        <f>cmadjust*$D68*Multipliers!G425/1000000</f>
        <v>0</v>
      </c>
      <c r="AC68">
        <f>cmadjust*$D68*Multipliers!H425/1000000</f>
        <v>0</v>
      </c>
      <c r="AD68">
        <f>cmadjust*$D68*Multipliers!I425/1000000</f>
        <v>0</v>
      </c>
      <c r="AE68">
        <f>cmadjust*$D68*Multipliers!J425/1000000</f>
        <v>0</v>
      </c>
      <c r="AF68">
        <f>cmadjust*$D68*Multipliers!K425/1000000</f>
        <v>0</v>
      </c>
      <c r="AG68">
        <f>cmadjust*$D68*Multipliers!L425/1000000</f>
        <v>0</v>
      </c>
      <c r="AH68">
        <f>cmadjust*$D68*Multipliers!M425/1000000</f>
        <v>0</v>
      </c>
      <c r="AI68">
        <f>cmadjust*$D68*Multipliers!N425/1000000</f>
        <v>0</v>
      </c>
      <c r="AJ68">
        <f>cmadjust*$D68*Multipliers!O425/1000000</f>
        <v>0</v>
      </c>
      <c r="AL68" t="s">
        <v>596</v>
      </c>
      <c r="AM68">
        <f>cmadjust*$E68*Multipliers!D425/1000000</f>
        <v>0</v>
      </c>
      <c r="AN68">
        <f>cmadjust*$E68*Multipliers!E425/1000000</f>
        <v>0</v>
      </c>
      <c r="AO68">
        <f>cmadjust*$E68*Multipliers!F425/1000000</f>
        <v>0</v>
      </c>
      <c r="AP68">
        <f>cmadjust*$E68*Multipliers!G425/1000000</f>
        <v>0</v>
      </c>
      <c r="AQ68">
        <f>cmadjust*$E68*Multipliers!H425/1000000</f>
        <v>0</v>
      </c>
      <c r="AR68">
        <f>cmadjust*$E68*Multipliers!I425/1000000</f>
        <v>0</v>
      </c>
      <c r="AS68">
        <f>cmadjust*$E68*Multipliers!J425/1000000</f>
        <v>0</v>
      </c>
      <c r="AT68">
        <f>cmadjust*$E68*Multipliers!K425/1000000</f>
        <v>0</v>
      </c>
      <c r="AU68">
        <f>cmadjust*$E68*Multipliers!L425/1000000</f>
        <v>0</v>
      </c>
      <c r="AV68">
        <f>cmadjust*$E68*Multipliers!M425/1000000</f>
        <v>0</v>
      </c>
      <c r="AW68">
        <f>cmadjust*$E68*Multipliers!N425/1000000</f>
        <v>0</v>
      </c>
      <c r="AX68">
        <f>cmadjust*$E68*Multipliers!O425/1000000</f>
        <v>0</v>
      </c>
      <c r="AZ68" t="s">
        <v>596</v>
      </c>
      <c r="BA68">
        <f>cmadjust*$E68*Multipliers!D425/1000000</f>
        <v>0</v>
      </c>
      <c r="BB68">
        <f>cmadjust*$E68*Multipliers!E425/1000000</f>
        <v>0</v>
      </c>
      <c r="BC68">
        <f>cmadjust*$E68*Multipliers!F425/1000000</f>
        <v>0</v>
      </c>
      <c r="BD68">
        <f>cmadjust*$E68*Multipliers!G425/1000000</f>
        <v>0</v>
      </c>
      <c r="BE68">
        <f>cmadjust*$E68*Multipliers!H425/1000000</f>
        <v>0</v>
      </c>
      <c r="BF68">
        <f>cmadjust*$E68*Multipliers!I425/1000000</f>
        <v>0</v>
      </c>
      <c r="BG68">
        <f>cmadjust*$E68*Multipliers!J425/1000000</f>
        <v>0</v>
      </c>
      <c r="BH68">
        <f>cmadjust*$E68*Multipliers!K425/1000000</f>
        <v>0</v>
      </c>
      <c r="BI68">
        <f>cmadjust*$E68*Multipliers!L425/1000000</f>
        <v>0</v>
      </c>
      <c r="BJ68">
        <f>cmadjust*$E68*Multipliers!M425/1000000</f>
        <v>0</v>
      </c>
      <c r="BK68">
        <f>cmadjust*$E68*Multipliers!N425/1000000</f>
        <v>0</v>
      </c>
      <c r="BL68">
        <f>cmadjust*$E68*Multipliers!O425/1000000</f>
        <v>0</v>
      </c>
      <c r="BN68" t="s">
        <v>596</v>
      </c>
      <c r="BO68">
        <f>cmadjust*$H68*Multipliers!D425/1000000</f>
        <v>0</v>
      </c>
      <c r="BP68">
        <f>cmadjust*$H68*Multipliers!E425/1000000</f>
        <v>0</v>
      </c>
      <c r="BQ68">
        <f>cmadjust*$H68*Multipliers!F425/1000000</f>
        <v>0</v>
      </c>
      <c r="BR68">
        <f>cmadjust*$H68*Multipliers!G425/1000000</f>
        <v>0</v>
      </c>
      <c r="BS68">
        <f>cmadjust*$H68*Multipliers!H425/1000000</f>
        <v>0</v>
      </c>
      <c r="BT68">
        <f>cmadjust*$H68*Multipliers!I425/1000000</f>
        <v>0</v>
      </c>
      <c r="BU68">
        <f>cmadjust*$H68*Multipliers!J425/1000000</f>
        <v>0</v>
      </c>
      <c r="BV68">
        <f>cmadjust*$H68*Multipliers!K425/1000000</f>
        <v>0</v>
      </c>
      <c r="BW68">
        <f>cmadjust*$H68*Multipliers!L425/1000000</f>
        <v>0</v>
      </c>
      <c r="BX68">
        <f>cmadjust*$H68*Multipliers!M425/1000000</f>
        <v>0</v>
      </c>
      <c r="BY68">
        <f>cmadjust*$H68*Multipliers!N425/1000000</f>
        <v>0</v>
      </c>
      <c r="BZ68">
        <f>cmadjust*$H68*Multipliers!O425/1000000</f>
        <v>0</v>
      </c>
      <c r="CB68" t="s">
        <v>596</v>
      </c>
      <c r="CC68">
        <f>$I68*cmadjust*Multipliers!D425/1000000</f>
        <v>0</v>
      </c>
      <c r="CD68">
        <f>$I68*cmadjust*Multipliers!E425/1000000</f>
        <v>0</v>
      </c>
      <c r="CE68">
        <f>$I68*cmadjust*Multipliers!F425/1000000</f>
        <v>0</v>
      </c>
      <c r="CF68">
        <f>$I68*cmadjust*Multipliers!G425/1000000</f>
        <v>0</v>
      </c>
      <c r="CG68">
        <f>$I68*cmadjust*Multipliers!H425/1000000</f>
        <v>0</v>
      </c>
      <c r="CH68">
        <f>$I68*cmadjust*Multipliers!I425/1000000</f>
        <v>0</v>
      </c>
      <c r="CI68">
        <f>$I68*cmadjust*Multipliers!J425/1000000</f>
        <v>0</v>
      </c>
      <c r="CJ68">
        <f>$I68*cmadjust*Multipliers!K425/1000000</f>
        <v>0</v>
      </c>
      <c r="CK68">
        <f>$I68*cmadjust*Multipliers!L425/1000000</f>
        <v>0</v>
      </c>
      <c r="CL68">
        <f>$I68*cmadjust*Multipliers!M425/1000000</f>
        <v>0</v>
      </c>
      <c r="CM68">
        <f>$I68*cmadjust*Multipliers!N425/1000000</f>
        <v>0</v>
      </c>
      <c r="CN68">
        <f>$I68*cmadjust*Multipliers!O425/1000000</f>
        <v>0</v>
      </c>
      <c r="CP68" t="s">
        <v>596</v>
      </c>
      <c r="CQ68">
        <f>cmadjust*$G68*Multipliers!D425/1000000</f>
        <v>0</v>
      </c>
      <c r="CR68">
        <f>cmadjust*$G68*Multipliers!E425/1000000</f>
        <v>0</v>
      </c>
      <c r="CS68">
        <f>cmadjust*$G68*Multipliers!F425/1000000</f>
        <v>0</v>
      </c>
      <c r="CT68">
        <f>cmadjust*$G68*Multipliers!G425/1000000</f>
        <v>0</v>
      </c>
      <c r="CU68">
        <f>cmadjust*$G68*Multipliers!H425/1000000</f>
        <v>0</v>
      </c>
      <c r="CV68">
        <f>cmadjust*$G68*Multipliers!I425/1000000</f>
        <v>0</v>
      </c>
      <c r="CW68">
        <f>cmadjust*$G68*Multipliers!J425/1000000</f>
        <v>0</v>
      </c>
      <c r="CX68">
        <f>cmadjust*$G68*Multipliers!K425/1000000</f>
        <v>0</v>
      </c>
      <c r="CY68">
        <f>cmadjust*$G68*Multipliers!L425/1000000</f>
        <v>0</v>
      </c>
      <c r="CZ68">
        <f>cmadjust*$G68*Multipliers!M425/1000000</f>
        <v>0</v>
      </c>
      <c r="DA68">
        <f>cmadjust*$G68*Multipliers!N425/1000000</f>
        <v>0</v>
      </c>
      <c r="DB68">
        <f>cmadjust*$G68*Multipliers!O425/1000000</f>
        <v>0</v>
      </c>
    </row>
    <row r="69" spans="3:106" x14ac:dyDescent="0.25">
      <c r="C69" t="s">
        <v>597</v>
      </c>
      <c r="D69">
        <v>0</v>
      </c>
      <c r="E69">
        <v>0</v>
      </c>
      <c r="F69">
        <v>0</v>
      </c>
      <c r="G69">
        <v>0</v>
      </c>
      <c r="H69" s="229">
        <f>('General-Calculations'!F97+'General-Calculations'!F100+'General-Calculations'!F103+'General-Calculations'!F106+'General-Calculations'!F109+'General-Calculations'!F112)</f>
        <v>0</v>
      </c>
      <c r="I69">
        <v>0</v>
      </c>
      <c r="X69" t="s">
        <v>597</v>
      </c>
      <c r="Y69">
        <f>cmadjust*$D69*Multipliers!D426/1000000</f>
        <v>0</v>
      </c>
      <c r="Z69">
        <f>cmadjust*$D69*Multipliers!E426/1000000</f>
        <v>0</v>
      </c>
      <c r="AA69">
        <f>cmadjust*$D69*Multipliers!F426/1000000</f>
        <v>0</v>
      </c>
      <c r="AB69">
        <f>cmadjust*$D69*Multipliers!G426/1000000</f>
        <v>0</v>
      </c>
      <c r="AC69">
        <f>cmadjust*$D69*Multipliers!H426/1000000</f>
        <v>0</v>
      </c>
      <c r="AD69">
        <f>cmadjust*$D69*Multipliers!I426/1000000</f>
        <v>0</v>
      </c>
      <c r="AE69">
        <f>cmadjust*$D69*Multipliers!J426/1000000</f>
        <v>0</v>
      </c>
      <c r="AF69">
        <f>cmadjust*$D69*Multipliers!K426/1000000</f>
        <v>0</v>
      </c>
      <c r="AG69">
        <f>cmadjust*$D69*Multipliers!L426/1000000</f>
        <v>0</v>
      </c>
      <c r="AH69">
        <f>cmadjust*$D69*Multipliers!M426/1000000</f>
        <v>0</v>
      </c>
      <c r="AI69">
        <f>cmadjust*$D69*Multipliers!N426/1000000</f>
        <v>0</v>
      </c>
      <c r="AJ69">
        <f>cmadjust*$D69*Multipliers!O426/1000000</f>
        <v>0</v>
      </c>
      <c r="AL69" t="s">
        <v>597</v>
      </c>
      <c r="AM69">
        <f>cmadjust*$E69*Multipliers!D426/1000000</f>
        <v>0</v>
      </c>
      <c r="AN69">
        <f>cmadjust*$E69*Multipliers!E426/1000000</f>
        <v>0</v>
      </c>
      <c r="AO69">
        <f>cmadjust*$E69*Multipliers!F426/1000000</f>
        <v>0</v>
      </c>
      <c r="AP69">
        <f>cmadjust*$E69*Multipliers!G426/1000000</f>
        <v>0</v>
      </c>
      <c r="AQ69">
        <f>cmadjust*$E69*Multipliers!H426/1000000</f>
        <v>0</v>
      </c>
      <c r="AR69">
        <f>cmadjust*$E69*Multipliers!I426/1000000</f>
        <v>0</v>
      </c>
      <c r="AS69">
        <f>cmadjust*$E69*Multipliers!J426/1000000</f>
        <v>0</v>
      </c>
      <c r="AT69">
        <f>cmadjust*$E69*Multipliers!K426/1000000</f>
        <v>0</v>
      </c>
      <c r="AU69">
        <f>cmadjust*$E69*Multipliers!L426/1000000</f>
        <v>0</v>
      </c>
      <c r="AV69">
        <f>cmadjust*$E69*Multipliers!M426/1000000</f>
        <v>0</v>
      </c>
      <c r="AW69">
        <f>cmadjust*$E69*Multipliers!N426/1000000</f>
        <v>0</v>
      </c>
      <c r="AX69">
        <f>cmadjust*$E69*Multipliers!O426/1000000</f>
        <v>0</v>
      </c>
      <c r="AZ69" t="s">
        <v>597</v>
      </c>
      <c r="BA69">
        <f>cmadjust*$E69*Multipliers!D426/1000000</f>
        <v>0</v>
      </c>
      <c r="BB69">
        <f>cmadjust*$E69*Multipliers!E426/1000000</f>
        <v>0</v>
      </c>
      <c r="BC69">
        <f>cmadjust*$E69*Multipliers!F426/1000000</f>
        <v>0</v>
      </c>
      <c r="BD69">
        <f>cmadjust*$E69*Multipliers!G426/1000000</f>
        <v>0</v>
      </c>
      <c r="BE69">
        <f>cmadjust*$E69*Multipliers!H426/1000000</f>
        <v>0</v>
      </c>
      <c r="BF69">
        <f>cmadjust*$E69*Multipliers!I426/1000000</f>
        <v>0</v>
      </c>
      <c r="BG69">
        <f>cmadjust*$E69*Multipliers!J426/1000000</f>
        <v>0</v>
      </c>
      <c r="BH69">
        <f>cmadjust*$E69*Multipliers!K426/1000000</f>
        <v>0</v>
      </c>
      <c r="BI69">
        <f>cmadjust*$E69*Multipliers!L426/1000000</f>
        <v>0</v>
      </c>
      <c r="BJ69">
        <f>cmadjust*$E69*Multipliers!M426/1000000</f>
        <v>0</v>
      </c>
      <c r="BK69">
        <f>cmadjust*$E69*Multipliers!N426/1000000</f>
        <v>0</v>
      </c>
      <c r="BL69">
        <f>cmadjust*$E69*Multipliers!O426/1000000</f>
        <v>0</v>
      </c>
      <c r="BN69" t="s">
        <v>597</v>
      </c>
      <c r="BO69">
        <f>cmadjust*$H69*Multipliers!D426/1000000</f>
        <v>0</v>
      </c>
      <c r="BP69">
        <f>cmadjust*$H69*Multipliers!E426/1000000</f>
        <v>0</v>
      </c>
      <c r="BQ69">
        <f>cmadjust*$H69*Multipliers!F426/1000000</f>
        <v>0</v>
      </c>
      <c r="BR69">
        <f>cmadjust*$H69*Multipliers!G426/1000000</f>
        <v>0</v>
      </c>
      <c r="BS69">
        <f>cmadjust*$H69*Multipliers!H426/1000000</f>
        <v>0</v>
      </c>
      <c r="BT69">
        <f>cmadjust*$H69*Multipliers!I426/1000000</f>
        <v>0</v>
      </c>
      <c r="BU69">
        <f>cmadjust*$H69*Multipliers!J426/1000000</f>
        <v>0</v>
      </c>
      <c r="BV69">
        <f>cmadjust*$H69*Multipliers!K426/1000000</f>
        <v>0</v>
      </c>
      <c r="BW69">
        <f>cmadjust*$H69*Multipliers!L426/1000000</f>
        <v>0</v>
      </c>
      <c r="BX69">
        <f>cmadjust*$H69*Multipliers!M426/1000000</f>
        <v>0</v>
      </c>
      <c r="BY69">
        <f>cmadjust*$H69*Multipliers!N426/1000000</f>
        <v>0</v>
      </c>
      <c r="BZ69">
        <f>cmadjust*$H69*Multipliers!O426/1000000</f>
        <v>0</v>
      </c>
      <c r="CB69" t="s">
        <v>597</v>
      </c>
      <c r="CC69">
        <f>$I69*cmadjust*Multipliers!D426/1000000</f>
        <v>0</v>
      </c>
      <c r="CD69">
        <f>$I69*cmadjust*Multipliers!E426/1000000</f>
        <v>0</v>
      </c>
      <c r="CE69">
        <f>$I69*cmadjust*Multipliers!F426/1000000</f>
        <v>0</v>
      </c>
      <c r="CF69">
        <f>$I69*cmadjust*Multipliers!G426/1000000</f>
        <v>0</v>
      </c>
      <c r="CG69">
        <f>$I69*cmadjust*Multipliers!H426/1000000</f>
        <v>0</v>
      </c>
      <c r="CH69">
        <f>$I69*cmadjust*Multipliers!I426/1000000</f>
        <v>0</v>
      </c>
      <c r="CI69">
        <f>$I69*cmadjust*Multipliers!J426/1000000</f>
        <v>0</v>
      </c>
      <c r="CJ69">
        <f>$I69*cmadjust*Multipliers!K426/1000000</f>
        <v>0</v>
      </c>
      <c r="CK69">
        <f>$I69*cmadjust*Multipliers!L426/1000000</f>
        <v>0</v>
      </c>
      <c r="CL69">
        <f>$I69*cmadjust*Multipliers!M426/1000000</f>
        <v>0</v>
      </c>
      <c r="CM69">
        <f>$I69*cmadjust*Multipliers!N426/1000000</f>
        <v>0</v>
      </c>
      <c r="CN69">
        <f>$I69*cmadjust*Multipliers!O426/1000000</f>
        <v>0</v>
      </c>
      <c r="CP69" t="s">
        <v>597</v>
      </c>
      <c r="CQ69">
        <f>cmadjust*$G69*Multipliers!D426/1000000</f>
        <v>0</v>
      </c>
      <c r="CR69">
        <f>cmadjust*$G69*Multipliers!E426/1000000</f>
        <v>0</v>
      </c>
      <c r="CS69">
        <f>cmadjust*$G69*Multipliers!F426/1000000</f>
        <v>0</v>
      </c>
      <c r="CT69">
        <f>cmadjust*$G69*Multipliers!G426/1000000</f>
        <v>0</v>
      </c>
      <c r="CU69">
        <f>cmadjust*$G69*Multipliers!H426/1000000</f>
        <v>0</v>
      </c>
      <c r="CV69">
        <f>cmadjust*$G69*Multipliers!I426/1000000</f>
        <v>0</v>
      </c>
      <c r="CW69">
        <f>cmadjust*$G69*Multipliers!J426/1000000</f>
        <v>0</v>
      </c>
      <c r="CX69">
        <f>cmadjust*$G69*Multipliers!K426/1000000</f>
        <v>0</v>
      </c>
      <c r="CY69">
        <f>cmadjust*$G69*Multipliers!L426/1000000</f>
        <v>0</v>
      </c>
      <c r="CZ69">
        <f>cmadjust*$G69*Multipliers!M426/1000000</f>
        <v>0</v>
      </c>
      <c r="DA69">
        <f>cmadjust*$G69*Multipliers!N426/1000000</f>
        <v>0</v>
      </c>
      <c r="DB69">
        <f>cmadjust*$G69*Multipliers!O426/1000000</f>
        <v>0</v>
      </c>
    </row>
    <row r="70" spans="3:106" x14ac:dyDescent="0.25">
      <c r="C70" t="s">
        <v>598</v>
      </c>
      <c r="D70">
        <v>0</v>
      </c>
      <c r="E70">
        <v>0</v>
      </c>
      <c r="F70">
        <v>0</v>
      </c>
      <c r="G70">
        <v>0</v>
      </c>
      <c r="H70" s="229">
        <f>'General-Calculations'!F139+'General-Calculations'!F140+'General-Calculations'!F142</f>
        <v>0</v>
      </c>
      <c r="I70">
        <v>0</v>
      </c>
      <c r="X70" t="s">
        <v>598</v>
      </c>
      <c r="Y70">
        <f>cmadjust*$D70*Multipliers!D427/1000000</f>
        <v>0</v>
      </c>
      <c r="Z70">
        <f>cmadjust*$D70*Multipliers!E427/1000000</f>
        <v>0</v>
      </c>
      <c r="AA70">
        <f>cmadjust*$D70*Multipliers!F427/1000000</f>
        <v>0</v>
      </c>
      <c r="AB70">
        <f>cmadjust*$D70*Multipliers!G427/1000000</f>
        <v>0</v>
      </c>
      <c r="AC70">
        <f>cmadjust*$D70*Multipliers!H427/1000000</f>
        <v>0</v>
      </c>
      <c r="AD70">
        <f>cmadjust*$D70*Multipliers!I427/1000000</f>
        <v>0</v>
      </c>
      <c r="AE70">
        <f>cmadjust*$D70*Multipliers!J427/1000000</f>
        <v>0</v>
      </c>
      <c r="AF70">
        <f>cmadjust*$D70*Multipliers!K427/1000000</f>
        <v>0</v>
      </c>
      <c r="AG70">
        <f>cmadjust*$D70*Multipliers!L427/1000000</f>
        <v>0</v>
      </c>
      <c r="AH70">
        <f>cmadjust*$D70*Multipliers!M427/1000000</f>
        <v>0</v>
      </c>
      <c r="AI70">
        <f>cmadjust*$D70*Multipliers!N427/1000000</f>
        <v>0</v>
      </c>
      <c r="AJ70">
        <f>cmadjust*$D70*Multipliers!O427/1000000</f>
        <v>0</v>
      </c>
      <c r="AL70" t="s">
        <v>598</v>
      </c>
      <c r="AM70">
        <f>cmadjust*$E70*Multipliers!D427/1000000</f>
        <v>0</v>
      </c>
      <c r="AN70">
        <f>cmadjust*$E70*Multipliers!E427/1000000</f>
        <v>0</v>
      </c>
      <c r="AO70">
        <f>cmadjust*$E70*Multipliers!F427/1000000</f>
        <v>0</v>
      </c>
      <c r="AP70">
        <f>cmadjust*$E70*Multipliers!G427/1000000</f>
        <v>0</v>
      </c>
      <c r="AQ70">
        <f>cmadjust*$E70*Multipliers!H427/1000000</f>
        <v>0</v>
      </c>
      <c r="AR70">
        <f>cmadjust*$E70*Multipliers!I427/1000000</f>
        <v>0</v>
      </c>
      <c r="AS70">
        <f>cmadjust*$E70*Multipliers!J427/1000000</f>
        <v>0</v>
      </c>
      <c r="AT70">
        <f>cmadjust*$E70*Multipliers!K427/1000000</f>
        <v>0</v>
      </c>
      <c r="AU70">
        <f>cmadjust*$E70*Multipliers!L427/1000000</f>
        <v>0</v>
      </c>
      <c r="AV70">
        <f>cmadjust*$E70*Multipliers!M427/1000000</f>
        <v>0</v>
      </c>
      <c r="AW70">
        <f>cmadjust*$E70*Multipliers!N427/1000000</f>
        <v>0</v>
      </c>
      <c r="AX70">
        <f>cmadjust*$E70*Multipliers!O427/1000000</f>
        <v>0</v>
      </c>
      <c r="AZ70" t="s">
        <v>598</v>
      </c>
      <c r="BA70">
        <f>cmadjust*$E70*Multipliers!D427/1000000</f>
        <v>0</v>
      </c>
      <c r="BB70">
        <f>cmadjust*$E70*Multipliers!E427/1000000</f>
        <v>0</v>
      </c>
      <c r="BC70">
        <f>cmadjust*$E70*Multipliers!F427/1000000</f>
        <v>0</v>
      </c>
      <c r="BD70">
        <f>cmadjust*$E70*Multipliers!G427/1000000</f>
        <v>0</v>
      </c>
      <c r="BE70">
        <f>cmadjust*$E70*Multipliers!H427/1000000</f>
        <v>0</v>
      </c>
      <c r="BF70">
        <f>cmadjust*$E70*Multipliers!I427/1000000</f>
        <v>0</v>
      </c>
      <c r="BG70">
        <f>cmadjust*$E70*Multipliers!J427/1000000</f>
        <v>0</v>
      </c>
      <c r="BH70">
        <f>cmadjust*$E70*Multipliers!K427/1000000</f>
        <v>0</v>
      </c>
      <c r="BI70">
        <f>cmadjust*$E70*Multipliers!L427/1000000</f>
        <v>0</v>
      </c>
      <c r="BJ70">
        <f>cmadjust*$E70*Multipliers!M427/1000000</f>
        <v>0</v>
      </c>
      <c r="BK70">
        <f>cmadjust*$E70*Multipliers!N427/1000000</f>
        <v>0</v>
      </c>
      <c r="BL70">
        <f>cmadjust*$E70*Multipliers!O427/1000000</f>
        <v>0</v>
      </c>
      <c r="BN70" t="s">
        <v>598</v>
      </c>
      <c r="BO70">
        <f>cmadjust*$H70*Multipliers!D427/1000000</f>
        <v>0</v>
      </c>
      <c r="BP70">
        <f>cmadjust*$H70*Multipliers!E427/1000000</f>
        <v>0</v>
      </c>
      <c r="BQ70">
        <f>cmadjust*$H70*Multipliers!F427/1000000</f>
        <v>0</v>
      </c>
      <c r="BR70">
        <f>cmadjust*$H70*Multipliers!G427/1000000</f>
        <v>0</v>
      </c>
      <c r="BS70">
        <f>cmadjust*$H70*Multipliers!H427/1000000</f>
        <v>0</v>
      </c>
      <c r="BT70">
        <f>cmadjust*$H70*Multipliers!I427/1000000</f>
        <v>0</v>
      </c>
      <c r="BU70">
        <f>cmadjust*$H70*Multipliers!J427/1000000</f>
        <v>0</v>
      </c>
      <c r="BV70">
        <f>cmadjust*$H70*Multipliers!K427/1000000</f>
        <v>0</v>
      </c>
      <c r="BW70">
        <f>cmadjust*$H70*Multipliers!L427/1000000</f>
        <v>0</v>
      </c>
      <c r="BX70">
        <f>cmadjust*$H70*Multipliers!M427/1000000</f>
        <v>0</v>
      </c>
      <c r="BY70">
        <f>cmadjust*$H70*Multipliers!N427/1000000</f>
        <v>0</v>
      </c>
      <c r="BZ70">
        <f>cmadjust*$H70*Multipliers!O427/1000000</f>
        <v>0</v>
      </c>
      <c r="CB70" t="s">
        <v>598</v>
      </c>
      <c r="CC70">
        <f>$I70*cmadjust*Multipliers!D427/1000000</f>
        <v>0</v>
      </c>
      <c r="CD70">
        <f>$I70*cmadjust*Multipliers!E427/1000000</f>
        <v>0</v>
      </c>
      <c r="CE70">
        <f>$I70*cmadjust*Multipliers!F427/1000000</f>
        <v>0</v>
      </c>
      <c r="CF70">
        <f>$I70*cmadjust*Multipliers!G427/1000000</f>
        <v>0</v>
      </c>
      <c r="CG70">
        <f>$I70*cmadjust*Multipliers!H427/1000000</f>
        <v>0</v>
      </c>
      <c r="CH70">
        <f>$I70*cmadjust*Multipliers!I427/1000000</f>
        <v>0</v>
      </c>
      <c r="CI70">
        <f>$I70*cmadjust*Multipliers!J427/1000000</f>
        <v>0</v>
      </c>
      <c r="CJ70">
        <f>$I70*cmadjust*Multipliers!K427/1000000</f>
        <v>0</v>
      </c>
      <c r="CK70">
        <f>$I70*cmadjust*Multipliers!L427/1000000</f>
        <v>0</v>
      </c>
      <c r="CL70">
        <f>$I70*cmadjust*Multipliers!M427/1000000</f>
        <v>0</v>
      </c>
      <c r="CM70">
        <f>$I70*cmadjust*Multipliers!N427/1000000</f>
        <v>0</v>
      </c>
      <c r="CN70">
        <f>$I70*cmadjust*Multipliers!O427/1000000</f>
        <v>0</v>
      </c>
      <c r="CP70" t="s">
        <v>598</v>
      </c>
      <c r="CQ70">
        <f>cmadjust*$G70*Multipliers!D427/1000000</f>
        <v>0</v>
      </c>
      <c r="CR70">
        <f>cmadjust*$G70*Multipliers!E427/1000000</f>
        <v>0</v>
      </c>
      <c r="CS70">
        <f>cmadjust*$G70*Multipliers!F427/1000000</f>
        <v>0</v>
      </c>
      <c r="CT70">
        <f>cmadjust*$G70*Multipliers!G427/1000000</f>
        <v>0</v>
      </c>
      <c r="CU70">
        <f>cmadjust*$G70*Multipliers!H427/1000000</f>
        <v>0</v>
      </c>
      <c r="CV70">
        <f>cmadjust*$G70*Multipliers!I427/1000000</f>
        <v>0</v>
      </c>
      <c r="CW70">
        <f>cmadjust*$G70*Multipliers!J427/1000000</f>
        <v>0</v>
      </c>
      <c r="CX70">
        <f>cmadjust*$G70*Multipliers!K427/1000000</f>
        <v>0</v>
      </c>
      <c r="CY70">
        <f>cmadjust*$G70*Multipliers!L427/1000000</f>
        <v>0</v>
      </c>
      <c r="CZ70">
        <f>cmadjust*$G70*Multipliers!M427/1000000</f>
        <v>0</v>
      </c>
      <c r="DA70">
        <f>cmadjust*$G70*Multipliers!N427/1000000</f>
        <v>0</v>
      </c>
      <c r="DB70">
        <f>cmadjust*$G70*Multipliers!O427/1000000</f>
        <v>0</v>
      </c>
    </row>
    <row r="71" spans="3:106" x14ac:dyDescent="0.25">
      <c r="C71" t="s">
        <v>599</v>
      </c>
      <c r="D71">
        <v>0</v>
      </c>
      <c r="E71">
        <v>0</v>
      </c>
      <c r="F71">
        <v>0</v>
      </c>
      <c r="G71">
        <v>0</v>
      </c>
      <c r="H71">
        <v>0</v>
      </c>
      <c r="I71">
        <v>0</v>
      </c>
      <c r="X71" t="s">
        <v>599</v>
      </c>
      <c r="Y71">
        <f>cmadjust*$D71*Multipliers!D428/1000000</f>
        <v>0</v>
      </c>
      <c r="Z71">
        <f>cmadjust*$D71*Multipliers!E428/1000000</f>
        <v>0</v>
      </c>
      <c r="AA71">
        <f>cmadjust*$D71*Multipliers!F428/1000000</f>
        <v>0</v>
      </c>
      <c r="AB71">
        <f>cmadjust*$D71*Multipliers!G428/1000000</f>
        <v>0</v>
      </c>
      <c r="AC71">
        <f>cmadjust*$D71*Multipliers!H428/1000000</f>
        <v>0</v>
      </c>
      <c r="AD71">
        <f>cmadjust*$D71*Multipliers!I428/1000000</f>
        <v>0</v>
      </c>
      <c r="AE71">
        <f>cmadjust*$D71*Multipliers!J428/1000000</f>
        <v>0</v>
      </c>
      <c r="AF71">
        <f>cmadjust*$D71*Multipliers!K428/1000000</f>
        <v>0</v>
      </c>
      <c r="AG71">
        <f>cmadjust*$D71*Multipliers!L428/1000000</f>
        <v>0</v>
      </c>
      <c r="AH71">
        <f>cmadjust*$D71*Multipliers!M428/1000000</f>
        <v>0</v>
      </c>
      <c r="AI71">
        <f>cmadjust*$D71*Multipliers!N428/1000000</f>
        <v>0</v>
      </c>
      <c r="AJ71">
        <f>cmadjust*$D71*Multipliers!O428/1000000</f>
        <v>0</v>
      </c>
      <c r="AL71" t="s">
        <v>599</v>
      </c>
      <c r="AM71">
        <f>cmadjust*$E71*Multipliers!D428/1000000</f>
        <v>0</v>
      </c>
      <c r="AN71">
        <f>cmadjust*$E71*Multipliers!E428/1000000</f>
        <v>0</v>
      </c>
      <c r="AO71">
        <f>cmadjust*$E71*Multipliers!F428/1000000</f>
        <v>0</v>
      </c>
      <c r="AP71">
        <f>cmadjust*$E71*Multipliers!G428/1000000</f>
        <v>0</v>
      </c>
      <c r="AQ71">
        <f>cmadjust*$E71*Multipliers!H428/1000000</f>
        <v>0</v>
      </c>
      <c r="AR71">
        <f>cmadjust*$E71*Multipliers!I428/1000000</f>
        <v>0</v>
      </c>
      <c r="AS71">
        <f>cmadjust*$E71*Multipliers!J428/1000000</f>
        <v>0</v>
      </c>
      <c r="AT71">
        <f>cmadjust*$E71*Multipliers!K428/1000000</f>
        <v>0</v>
      </c>
      <c r="AU71">
        <f>cmadjust*$E71*Multipliers!L428/1000000</f>
        <v>0</v>
      </c>
      <c r="AV71">
        <f>cmadjust*$E71*Multipliers!M428/1000000</f>
        <v>0</v>
      </c>
      <c r="AW71">
        <f>cmadjust*$E71*Multipliers!N428/1000000</f>
        <v>0</v>
      </c>
      <c r="AX71">
        <f>cmadjust*$E71*Multipliers!O428/1000000</f>
        <v>0</v>
      </c>
      <c r="AZ71" t="s">
        <v>599</v>
      </c>
      <c r="BA71">
        <f>cmadjust*$E71*Multipliers!D428/1000000</f>
        <v>0</v>
      </c>
      <c r="BB71">
        <f>cmadjust*$E71*Multipliers!E428/1000000</f>
        <v>0</v>
      </c>
      <c r="BC71">
        <f>cmadjust*$E71*Multipliers!F428/1000000</f>
        <v>0</v>
      </c>
      <c r="BD71">
        <f>cmadjust*$E71*Multipliers!G428/1000000</f>
        <v>0</v>
      </c>
      <c r="BE71">
        <f>cmadjust*$E71*Multipliers!H428/1000000</f>
        <v>0</v>
      </c>
      <c r="BF71">
        <f>cmadjust*$E71*Multipliers!I428/1000000</f>
        <v>0</v>
      </c>
      <c r="BG71">
        <f>cmadjust*$E71*Multipliers!J428/1000000</f>
        <v>0</v>
      </c>
      <c r="BH71">
        <f>cmadjust*$E71*Multipliers!K428/1000000</f>
        <v>0</v>
      </c>
      <c r="BI71">
        <f>cmadjust*$E71*Multipliers!L428/1000000</f>
        <v>0</v>
      </c>
      <c r="BJ71">
        <f>cmadjust*$E71*Multipliers!M428/1000000</f>
        <v>0</v>
      </c>
      <c r="BK71">
        <f>cmadjust*$E71*Multipliers!N428/1000000</f>
        <v>0</v>
      </c>
      <c r="BL71">
        <f>cmadjust*$E71*Multipliers!O428/1000000</f>
        <v>0</v>
      </c>
      <c r="BN71" t="s">
        <v>599</v>
      </c>
      <c r="BO71">
        <f>cmadjust*$H71*Multipliers!D428/1000000</f>
        <v>0</v>
      </c>
      <c r="BP71">
        <f>cmadjust*$H71*Multipliers!E428/1000000</f>
        <v>0</v>
      </c>
      <c r="BQ71">
        <f>cmadjust*$H71*Multipliers!F428/1000000</f>
        <v>0</v>
      </c>
      <c r="BR71">
        <f>cmadjust*$H71*Multipliers!G428/1000000</f>
        <v>0</v>
      </c>
      <c r="BS71">
        <f>cmadjust*$H71*Multipliers!H428/1000000</f>
        <v>0</v>
      </c>
      <c r="BT71">
        <f>cmadjust*$H71*Multipliers!I428/1000000</f>
        <v>0</v>
      </c>
      <c r="BU71">
        <f>cmadjust*$H71*Multipliers!J428/1000000</f>
        <v>0</v>
      </c>
      <c r="BV71">
        <f>cmadjust*$H71*Multipliers!K428/1000000</f>
        <v>0</v>
      </c>
      <c r="BW71">
        <f>cmadjust*$H71*Multipliers!L428/1000000</f>
        <v>0</v>
      </c>
      <c r="BX71">
        <f>cmadjust*$H71*Multipliers!M428/1000000</f>
        <v>0</v>
      </c>
      <c r="BY71">
        <f>cmadjust*$H71*Multipliers!N428/1000000</f>
        <v>0</v>
      </c>
      <c r="BZ71">
        <f>cmadjust*$H71*Multipliers!O428/1000000</f>
        <v>0</v>
      </c>
      <c r="CB71" t="s">
        <v>599</v>
      </c>
      <c r="CC71">
        <f>$I71*cmadjust*Multipliers!D428/1000000</f>
        <v>0</v>
      </c>
      <c r="CD71">
        <f>$I71*cmadjust*Multipliers!E428/1000000</f>
        <v>0</v>
      </c>
      <c r="CE71">
        <f>$I71*cmadjust*Multipliers!F428/1000000</f>
        <v>0</v>
      </c>
      <c r="CF71">
        <f>$I71*cmadjust*Multipliers!G428/1000000</f>
        <v>0</v>
      </c>
      <c r="CG71">
        <f>$I71*cmadjust*Multipliers!H428/1000000</f>
        <v>0</v>
      </c>
      <c r="CH71">
        <f>$I71*cmadjust*Multipliers!I428/1000000</f>
        <v>0</v>
      </c>
      <c r="CI71">
        <f>$I71*cmadjust*Multipliers!J428/1000000</f>
        <v>0</v>
      </c>
      <c r="CJ71">
        <f>$I71*cmadjust*Multipliers!K428/1000000</f>
        <v>0</v>
      </c>
      <c r="CK71">
        <f>$I71*cmadjust*Multipliers!L428/1000000</f>
        <v>0</v>
      </c>
      <c r="CL71">
        <f>$I71*cmadjust*Multipliers!M428/1000000</f>
        <v>0</v>
      </c>
      <c r="CM71">
        <f>$I71*cmadjust*Multipliers!N428/1000000</f>
        <v>0</v>
      </c>
      <c r="CN71">
        <f>$I71*cmadjust*Multipliers!O428/1000000</f>
        <v>0</v>
      </c>
      <c r="CP71" t="s">
        <v>599</v>
      </c>
      <c r="CQ71">
        <f>cmadjust*$G71*Multipliers!D428/1000000</f>
        <v>0</v>
      </c>
      <c r="CR71">
        <f>cmadjust*$G71*Multipliers!E428/1000000</f>
        <v>0</v>
      </c>
      <c r="CS71">
        <f>cmadjust*$G71*Multipliers!F428/1000000</f>
        <v>0</v>
      </c>
      <c r="CT71">
        <f>cmadjust*$G71*Multipliers!G428/1000000</f>
        <v>0</v>
      </c>
      <c r="CU71">
        <f>cmadjust*$G71*Multipliers!H428/1000000</f>
        <v>0</v>
      </c>
      <c r="CV71">
        <f>cmadjust*$G71*Multipliers!I428/1000000</f>
        <v>0</v>
      </c>
      <c r="CW71">
        <f>cmadjust*$G71*Multipliers!J428/1000000</f>
        <v>0</v>
      </c>
      <c r="CX71">
        <f>cmadjust*$G71*Multipliers!K428/1000000</f>
        <v>0</v>
      </c>
      <c r="CY71">
        <f>cmadjust*$G71*Multipliers!L428/1000000</f>
        <v>0</v>
      </c>
      <c r="CZ71">
        <f>cmadjust*$G71*Multipliers!M428/1000000</f>
        <v>0</v>
      </c>
      <c r="DA71">
        <f>cmadjust*$G71*Multipliers!N428/1000000</f>
        <v>0</v>
      </c>
      <c r="DB71">
        <f>cmadjust*$G71*Multipliers!O428/1000000</f>
        <v>0</v>
      </c>
    </row>
    <row r="72" spans="3:106" x14ac:dyDescent="0.25">
      <c r="C72" t="s">
        <v>423</v>
      </c>
      <c r="D72">
        <v>0</v>
      </c>
      <c r="E72">
        <v>0</v>
      </c>
      <c r="F72">
        <v>0</v>
      </c>
      <c r="G72">
        <v>0</v>
      </c>
      <c r="H72" s="468">
        <f>'General-Calculations'!F124+'General-Calculations'!F137+'General-Calculations'!F138+'General-Calculations'!W50</f>
        <v>0</v>
      </c>
      <c r="I72">
        <v>0</v>
      </c>
      <c r="X72" t="s">
        <v>423</v>
      </c>
      <c r="Y72">
        <f>cmadjust*$D72*Multipliers!D429/1000000</f>
        <v>0</v>
      </c>
      <c r="Z72">
        <f>cmadjust*$D72*Multipliers!E429/1000000</f>
        <v>0</v>
      </c>
      <c r="AA72">
        <f>cmadjust*$D72*Multipliers!F429/1000000</f>
        <v>0</v>
      </c>
      <c r="AB72">
        <f>cmadjust*$D72*Multipliers!G429/1000000</f>
        <v>0</v>
      </c>
      <c r="AC72">
        <f>cmadjust*$D72*Multipliers!H429/1000000</f>
        <v>0</v>
      </c>
      <c r="AD72">
        <f>cmadjust*$D72*Multipliers!I429/1000000</f>
        <v>0</v>
      </c>
      <c r="AE72">
        <f>cmadjust*$D72*Multipliers!J429/1000000</f>
        <v>0</v>
      </c>
      <c r="AF72">
        <f>cmadjust*$D72*Multipliers!K429/1000000</f>
        <v>0</v>
      </c>
      <c r="AG72">
        <f>cmadjust*$D72*Multipliers!L429/1000000</f>
        <v>0</v>
      </c>
      <c r="AH72">
        <f>cmadjust*$D72*Multipliers!M429/1000000</f>
        <v>0</v>
      </c>
      <c r="AI72">
        <f>cmadjust*$D72*Multipliers!N429/1000000</f>
        <v>0</v>
      </c>
      <c r="AJ72">
        <f>cmadjust*$D72*Multipliers!O429/1000000</f>
        <v>0</v>
      </c>
      <c r="AL72" t="s">
        <v>423</v>
      </c>
      <c r="AM72">
        <f>cmadjust*$E72*Multipliers!D429/1000000</f>
        <v>0</v>
      </c>
      <c r="AN72">
        <f>cmadjust*$E72*Multipliers!E429/1000000</f>
        <v>0</v>
      </c>
      <c r="AO72">
        <f>cmadjust*$E72*Multipliers!F429/1000000</f>
        <v>0</v>
      </c>
      <c r="AP72">
        <f>cmadjust*$E72*Multipliers!G429/1000000</f>
        <v>0</v>
      </c>
      <c r="AQ72">
        <f>cmadjust*$E72*Multipliers!H429/1000000</f>
        <v>0</v>
      </c>
      <c r="AR72">
        <f>cmadjust*$E72*Multipliers!I429/1000000</f>
        <v>0</v>
      </c>
      <c r="AS72">
        <f>cmadjust*$E72*Multipliers!J429/1000000</f>
        <v>0</v>
      </c>
      <c r="AT72">
        <f>cmadjust*$E72*Multipliers!K429/1000000</f>
        <v>0</v>
      </c>
      <c r="AU72">
        <f>cmadjust*$E72*Multipliers!L429/1000000</f>
        <v>0</v>
      </c>
      <c r="AV72">
        <f>cmadjust*$E72*Multipliers!M429/1000000</f>
        <v>0</v>
      </c>
      <c r="AW72">
        <f>cmadjust*$E72*Multipliers!N429/1000000</f>
        <v>0</v>
      </c>
      <c r="AX72">
        <f>cmadjust*$E72*Multipliers!O429/1000000</f>
        <v>0</v>
      </c>
      <c r="AZ72" t="s">
        <v>423</v>
      </c>
      <c r="BA72">
        <f>cmadjust*$E72*Multipliers!D429/1000000</f>
        <v>0</v>
      </c>
      <c r="BB72">
        <f>cmadjust*$E72*Multipliers!E429/1000000</f>
        <v>0</v>
      </c>
      <c r="BC72">
        <f>cmadjust*$E72*Multipliers!F429/1000000</f>
        <v>0</v>
      </c>
      <c r="BD72">
        <f>cmadjust*$E72*Multipliers!G429/1000000</f>
        <v>0</v>
      </c>
      <c r="BE72">
        <f>cmadjust*$E72*Multipliers!H429/1000000</f>
        <v>0</v>
      </c>
      <c r="BF72">
        <f>cmadjust*$E72*Multipliers!I429/1000000</f>
        <v>0</v>
      </c>
      <c r="BG72">
        <f>cmadjust*$E72*Multipliers!J429/1000000</f>
        <v>0</v>
      </c>
      <c r="BH72">
        <f>cmadjust*$E72*Multipliers!K429/1000000</f>
        <v>0</v>
      </c>
      <c r="BI72">
        <f>cmadjust*$E72*Multipliers!L429/1000000</f>
        <v>0</v>
      </c>
      <c r="BJ72">
        <f>cmadjust*$E72*Multipliers!M429/1000000</f>
        <v>0</v>
      </c>
      <c r="BK72">
        <f>cmadjust*$E72*Multipliers!N429/1000000</f>
        <v>0</v>
      </c>
      <c r="BL72">
        <f>cmadjust*$E72*Multipliers!O429/1000000</f>
        <v>0</v>
      </c>
      <c r="BN72" t="s">
        <v>423</v>
      </c>
      <c r="BO72">
        <f>cmadjust*$H72*Multipliers!D429/1000000</f>
        <v>0</v>
      </c>
      <c r="BP72">
        <f>cmadjust*$H72*Multipliers!E429/1000000</f>
        <v>0</v>
      </c>
      <c r="BQ72">
        <f>cmadjust*$H72*Multipliers!F429/1000000</f>
        <v>0</v>
      </c>
      <c r="BR72">
        <f>cmadjust*$H72*Multipliers!G429/1000000</f>
        <v>0</v>
      </c>
      <c r="BS72">
        <f>cmadjust*$H72*Multipliers!H429/1000000</f>
        <v>0</v>
      </c>
      <c r="BT72">
        <f>cmadjust*$H72*Multipliers!I429/1000000</f>
        <v>0</v>
      </c>
      <c r="BU72">
        <f>cmadjust*$H72*Multipliers!J429/1000000</f>
        <v>0</v>
      </c>
      <c r="BV72">
        <f>cmadjust*$H72*Multipliers!K429/1000000</f>
        <v>0</v>
      </c>
      <c r="BW72">
        <f>cmadjust*$H72*Multipliers!L429/1000000</f>
        <v>0</v>
      </c>
      <c r="BX72">
        <f>cmadjust*$H72*Multipliers!M429/1000000</f>
        <v>0</v>
      </c>
      <c r="BY72">
        <f>cmadjust*$H72*Multipliers!N429/1000000</f>
        <v>0</v>
      </c>
      <c r="BZ72">
        <f>cmadjust*$H72*Multipliers!O429/1000000</f>
        <v>0</v>
      </c>
      <c r="CB72" t="s">
        <v>423</v>
      </c>
      <c r="CC72">
        <f>$I72*cmadjust*Multipliers!D429/1000000</f>
        <v>0</v>
      </c>
      <c r="CD72">
        <f>$I72*cmadjust*Multipliers!E429/1000000</f>
        <v>0</v>
      </c>
      <c r="CE72">
        <f>$I72*cmadjust*Multipliers!F429/1000000</f>
        <v>0</v>
      </c>
      <c r="CF72">
        <f>$I72*cmadjust*Multipliers!G429/1000000</f>
        <v>0</v>
      </c>
      <c r="CG72">
        <f>$I72*cmadjust*Multipliers!H429/1000000</f>
        <v>0</v>
      </c>
      <c r="CH72">
        <f>$I72*cmadjust*Multipliers!I429/1000000</f>
        <v>0</v>
      </c>
      <c r="CI72">
        <f>$I72*cmadjust*Multipliers!J429/1000000</f>
        <v>0</v>
      </c>
      <c r="CJ72">
        <f>$I72*cmadjust*Multipliers!K429/1000000</f>
        <v>0</v>
      </c>
      <c r="CK72">
        <f>$I72*cmadjust*Multipliers!L429/1000000</f>
        <v>0</v>
      </c>
      <c r="CL72">
        <f>$I72*cmadjust*Multipliers!M429/1000000</f>
        <v>0</v>
      </c>
      <c r="CM72">
        <f>$I72*cmadjust*Multipliers!N429/1000000</f>
        <v>0</v>
      </c>
      <c r="CN72">
        <f>$I72*cmadjust*Multipliers!O429/1000000</f>
        <v>0</v>
      </c>
      <c r="CP72" t="s">
        <v>423</v>
      </c>
      <c r="CQ72">
        <f>cmadjust*$G72*Multipliers!D429/1000000</f>
        <v>0</v>
      </c>
      <c r="CR72">
        <f>cmadjust*$G72*Multipliers!E429/1000000</f>
        <v>0</v>
      </c>
      <c r="CS72">
        <f>cmadjust*$G72*Multipliers!F429/1000000</f>
        <v>0</v>
      </c>
      <c r="CT72">
        <f>cmadjust*$G72*Multipliers!G429/1000000</f>
        <v>0</v>
      </c>
      <c r="CU72">
        <f>cmadjust*$G72*Multipliers!H429/1000000</f>
        <v>0</v>
      </c>
      <c r="CV72">
        <f>cmadjust*$G72*Multipliers!I429/1000000</f>
        <v>0</v>
      </c>
      <c r="CW72">
        <f>cmadjust*$G72*Multipliers!J429/1000000</f>
        <v>0</v>
      </c>
      <c r="CX72">
        <f>cmadjust*$G72*Multipliers!K429/1000000</f>
        <v>0</v>
      </c>
      <c r="CY72">
        <f>cmadjust*$G72*Multipliers!L429/1000000</f>
        <v>0</v>
      </c>
      <c r="CZ72">
        <f>cmadjust*$G72*Multipliers!M429/1000000</f>
        <v>0</v>
      </c>
      <c r="DA72">
        <f>cmadjust*$G72*Multipliers!N429/1000000</f>
        <v>0</v>
      </c>
      <c r="DB72">
        <f>cmadjust*$G72*Multipliers!O429/1000000</f>
        <v>0</v>
      </c>
    </row>
    <row r="73" spans="3:106" x14ac:dyDescent="0.25">
      <c r="C73" t="s">
        <v>600</v>
      </c>
      <c r="D73">
        <v>0</v>
      </c>
      <c r="E73">
        <v>0</v>
      </c>
      <c r="F73">
        <v>0</v>
      </c>
      <c r="G73">
        <v>0</v>
      </c>
      <c r="H73" s="229">
        <f>SUM('General-Calculations'!F126:F129)+'General-Calculations'!F133+'General-Calculations'!F136</f>
        <v>0</v>
      </c>
      <c r="I73">
        <v>0</v>
      </c>
      <c r="X73" t="s">
        <v>600</v>
      </c>
      <c r="Y73">
        <f>cmadjust*$D73*Multipliers!D430/1000000</f>
        <v>0</v>
      </c>
      <c r="Z73">
        <f>cmadjust*$D73*Multipliers!E430/1000000</f>
        <v>0</v>
      </c>
      <c r="AA73">
        <f>cmadjust*$D73*Multipliers!F430/1000000</f>
        <v>0</v>
      </c>
      <c r="AB73">
        <f>cmadjust*$D73*Multipliers!G430/1000000</f>
        <v>0</v>
      </c>
      <c r="AC73">
        <f>cmadjust*$D73*Multipliers!H430/1000000</f>
        <v>0</v>
      </c>
      <c r="AD73">
        <f>cmadjust*$D73*Multipliers!I430/1000000</f>
        <v>0</v>
      </c>
      <c r="AE73">
        <f>cmadjust*$D73*Multipliers!J430/1000000</f>
        <v>0</v>
      </c>
      <c r="AF73">
        <f>cmadjust*$D73*Multipliers!K430/1000000</f>
        <v>0</v>
      </c>
      <c r="AG73">
        <f>cmadjust*$D73*Multipliers!L430/1000000</f>
        <v>0</v>
      </c>
      <c r="AH73">
        <f>cmadjust*$D73*Multipliers!M430/1000000</f>
        <v>0</v>
      </c>
      <c r="AI73">
        <f>cmadjust*$D73*Multipliers!N430/1000000</f>
        <v>0</v>
      </c>
      <c r="AJ73">
        <f>cmadjust*$D73*Multipliers!O430/1000000</f>
        <v>0</v>
      </c>
      <c r="AL73" t="s">
        <v>600</v>
      </c>
      <c r="AM73">
        <f>cmadjust*$E73*Multipliers!D430/1000000</f>
        <v>0</v>
      </c>
      <c r="AN73">
        <f>cmadjust*$E73*Multipliers!E430/1000000</f>
        <v>0</v>
      </c>
      <c r="AO73">
        <f>cmadjust*$E73*Multipliers!F430/1000000</f>
        <v>0</v>
      </c>
      <c r="AP73">
        <f>cmadjust*$E73*Multipliers!G430/1000000</f>
        <v>0</v>
      </c>
      <c r="AQ73">
        <f>cmadjust*$E73*Multipliers!H430/1000000</f>
        <v>0</v>
      </c>
      <c r="AR73">
        <f>cmadjust*$E73*Multipliers!I430/1000000</f>
        <v>0</v>
      </c>
      <c r="AS73">
        <f>cmadjust*$E73*Multipliers!J430/1000000</f>
        <v>0</v>
      </c>
      <c r="AT73">
        <f>cmadjust*$E73*Multipliers!K430/1000000</f>
        <v>0</v>
      </c>
      <c r="AU73">
        <f>cmadjust*$E73*Multipliers!L430/1000000</f>
        <v>0</v>
      </c>
      <c r="AV73">
        <f>cmadjust*$E73*Multipliers!M430/1000000</f>
        <v>0</v>
      </c>
      <c r="AW73">
        <f>cmadjust*$E73*Multipliers!N430/1000000</f>
        <v>0</v>
      </c>
      <c r="AX73">
        <f>cmadjust*$E73*Multipliers!O430/1000000</f>
        <v>0</v>
      </c>
      <c r="AZ73" t="s">
        <v>600</v>
      </c>
      <c r="BA73">
        <f>cmadjust*$E73*Multipliers!D430/1000000</f>
        <v>0</v>
      </c>
      <c r="BB73">
        <f>cmadjust*$E73*Multipliers!E430/1000000</f>
        <v>0</v>
      </c>
      <c r="BC73">
        <f>cmadjust*$E73*Multipliers!F430/1000000</f>
        <v>0</v>
      </c>
      <c r="BD73">
        <f>cmadjust*$E73*Multipliers!G430/1000000</f>
        <v>0</v>
      </c>
      <c r="BE73">
        <f>cmadjust*$E73*Multipliers!H430/1000000</f>
        <v>0</v>
      </c>
      <c r="BF73">
        <f>cmadjust*$E73*Multipliers!I430/1000000</f>
        <v>0</v>
      </c>
      <c r="BG73">
        <f>cmadjust*$E73*Multipliers!J430/1000000</f>
        <v>0</v>
      </c>
      <c r="BH73">
        <f>cmadjust*$E73*Multipliers!K430/1000000</f>
        <v>0</v>
      </c>
      <c r="BI73">
        <f>cmadjust*$E73*Multipliers!L430/1000000</f>
        <v>0</v>
      </c>
      <c r="BJ73">
        <f>cmadjust*$E73*Multipliers!M430/1000000</f>
        <v>0</v>
      </c>
      <c r="BK73">
        <f>cmadjust*$E73*Multipliers!N430/1000000</f>
        <v>0</v>
      </c>
      <c r="BL73">
        <f>cmadjust*$E73*Multipliers!O430/1000000</f>
        <v>0</v>
      </c>
      <c r="BN73" t="s">
        <v>600</v>
      </c>
      <c r="BO73">
        <f>cmadjust*$H73*Multipliers!D430/1000000</f>
        <v>0</v>
      </c>
      <c r="BP73">
        <f>cmadjust*$H73*Multipliers!E430/1000000</f>
        <v>0</v>
      </c>
      <c r="BQ73">
        <f>cmadjust*$H73*Multipliers!F430/1000000</f>
        <v>0</v>
      </c>
      <c r="BR73">
        <f>cmadjust*$H73*Multipliers!G430/1000000</f>
        <v>0</v>
      </c>
      <c r="BS73">
        <f>cmadjust*$H73*Multipliers!H430/1000000</f>
        <v>0</v>
      </c>
      <c r="BT73">
        <f>cmadjust*$H73*Multipliers!I430/1000000</f>
        <v>0</v>
      </c>
      <c r="BU73">
        <f>cmadjust*$H73*Multipliers!J430/1000000</f>
        <v>0</v>
      </c>
      <c r="BV73">
        <f>cmadjust*$H73*Multipliers!K430/1000000</f>
        <v>0</v>
      </c>
      <c r="BW73">
        <f>cmadjust*$H73*Multipliers!L430/1000000</f>
        <v>0</v>
      </c>
      <c r="BX73">
        <f>cmadjust*$H73*Multipliers!M430/1000000</f>
        <v>0</v>
      </c>
      <c r="BY73">
        <f>cmadjust*$H73*Multipliers!N430/1000000</f>
        <v>0</v>
      </c>
      <c r="BZ73">
        <f>cmadjust*$H73*Multipliers!O430/1000000</f>
        <v>0</v>
      </c>
      <c r="CB73" t="s">
        <v>600</v>
      </c>
      <c r="CC73">
        <f>$I73*cmadjust*Multipliers!D430/1000000</f>
        <v>0</v>
      </c>
      <c r="CD73">
        <f>$I73*cmadjust*Multipliers!E430/1000000</f>
        <v>0</v>
      </c>
      <c r="CE73">
        <f>$I73*cmadjust*Multipliers!F430/1000000</f>
        <v>0</v>
      </c>
      <c r="CF73">
        <f>$I73*cmadjust*Multipliers!G430/1000000</f>
        <v>0</v>
      </c>
      <c r="CG73">
        <f>$I73*cmadjust*Multipliers!H430/1000000</f>
        <v>0</v>
      </c>
      <c r="CH73">
        <f>$I73*cmadjust*Multipliers!I430/1000000</f>
        <v>0</v>
      </c>
      <c r="CI73">
        <f>$I73*cmadjust*Multipliers!J430/1000000</f>
        <v>0</v>
      </c>
      <c r="CJ73">
        <f>$I73*cmadjust*Multipliers!K430/1000000</f>
        <v>0</v>
      </c>
      <c r="CK73">
        <f>$I73*cmadjust*Multipliers!L430/1000000</f>
        <v>0</v>
      </c>
      <c r="CL73">
        <f>$I73*cmadjust*Multipliers!M430/1000000</f>
        <v>0</v>
      </c>
      <c r="CM73">
        <f>$I73*cmadjust*Multipliers!N430/1000000</f>
        <v>0</v>
      </c>
      <c r="CN73">
        <f>$I73*cmadjust*Multipliers!O430/1000000</f>
        <v>0</v>
      </c>
      <c r="CP73" t="s">
        <v>600</v>
      </c>
      <c r="CQ73">
        <f>cmadjust*$G73*Multipliers!D430/1000000</f>
        <v>0</v>
      </c>
      <c r="CR73">
        <f>cmadjust*$G73*Multipliers!E430/1000000</f>
        <v>0</v>
      </c>
      <c r="CS73">
        <f>cmadjust*$G73*Multipliers!F430/1000000</f>
        <v>0</v>
      </c>
      <c r="CT73">
        <f>cmadjust*$G73*Multipliers!G430/1000000</f>
        <v>0</v>
      </c>
      <c r="CU73">
        <f>cmadjust*$G73*Multipliers!H430/1000000</f>
        <v>0</v>
      </c>
      <c r="CV73">
        <f>cmadjust*$G73*Multipliers!I430/1000000</f>
        <v>0</v>
      </c>
      <c r="CW73">
        <f>cmadjust*$G73*Multipliers!J430/1000000</f>
        <v>0</v>
      </c>
      <c r="CX73">
        <f>cmadjust*$G73*Multipliers!K430/1000000</f>
        <v>0</v>
      </c>
      <c r="CY73">
        <f>cmadjust*$G73*Multipliers!L430/1000000</f>
        <v>0</v>
      </c>
      <c r="CZ73">
        <f>cmadjust*$G73*Multipliers!M430/1000000</f>
        <v>0</v>
      </c>
      <c r="DA73">
        <f>cmadjust*$G73*Multipliers!N430/1000000</f>
        <v>0</v>
      </c>
      <c r="DB73">
        <f>cmadjust*$G73*Multipliers!O430/1000000</f>
        <v>0</v>
      </c>
    </row>
    <row r="74" spans="3:106" x14ac:dyDescent="0.25">
      <c r="C74" t="s">
        <v>601</v>
      </c>
      <c r="D74">
        <v>0</v>
      </c>
      <c r="E74">
        <v>0</v>
      </c>
      <c r="F74">
        <v>0</v>
      </c>
      <c r="G74">
        <v>0</v>
      </c>
      <c r="H74">
        <v>0</v>
      </c>
      <c r="I74">
        <v>0</v>
      </c>
      <c r="X74" t="s">
        <v>601</v>
      </c>
      <c r="Y74">
        <f>cmadjust*$D74*Multipliers!D431/1000000</f>
        <v>0</v>
      </c>
      <c r="Z74">
        <f>cmadjust*$D74*Multipliers!E431/1000000</f>
        <v>0</v>
      </c>
      <c r="AA74">
        <f>cmadjust*$D74*Multipliers!F431/1000000</f>
        <v>0</v>
      </c>
      <c r="AB74">
        <f>cmadjust*$D74*Multipliers!G431/1000000</f>
        <v>0</v>
      </c>
      <c r="AC74">
        <f>cmadjust*$D74*Multipliers!H431/1000000</f>
        <v>0</v>
      </c>
      <c r="AD74">
        <f>cmadjust*$D74*Multipliers!I431/1000000</f>
        <v>0</v>
      </c>
      <c r="AE74">
        <f>cmadjust*$D74*Multipliers!J431/1000000</f>
        <v>0</v>
      </c>
      <c r="AF74">
        <f>cmadjust*$D74*Multipliers!K431/1000000</f>
        <v>0</v>
      </c>
      <c r="AG74">
        <f>cmadjust*$D74*Multipliers!L431/1000000</f>
        <v>0</v>
      </c>
      <c r="AH74">
        <f>cmadjust*$D74*Multipliers!M431/1000000</f>
        <v>0</v>
      </c>
      <c r="AI74">
        <f>cmadjust*$D74*Multipliers!N431/1000000</f>
        <v>0</v>
      </c>
      <c r="AJ74">
        <f>cmadjust*$D74*Multipliers!O431/1000000</f>
        <v>0</v>
      </c>
      <c r="AL74" t="s">
        <v>601</v>
      </c>
      <c r="AM74">
        <f>cmadjust*$E74*Multipliers!D431/1000000</f>
        <v>0</v>
      </c>
      <c r="AN74">
        <f>cmadjust*$E74*Multipliers!E431/1000000</f>
        <v>0</v>
      </c>
      <c r="AO74">
        <f>cmadjust*$E74*Multipliers!F431/1000000</f>
        <v>0</v>
      </c>
      <c r="AP74">
        <f>cmadjust*$E74*Multipliers!G431/1000000</f>
        <v>0</v>
      </c>
      <c r="AQ74">
        <f>cmadjust*$E74*Multipliers!H431/1000000</f>
        <v>0</v>
      </c>
      <c r="AR74">
        <f>cmadjust*$E74*Multipliers!I431/1000000</f>
        <v>0</v>
      </c>
      <c r="AS74">
        <f>cmadjust*$E74*Multipliers!J431/1000000</f>
        <v>0</v>
      </c>
      <c r="AT74">
        <f>cmadjust*$E74*Multipliers!K431/1000000</f>
        <v>0</v>
      </c>
      <c r="AU74">
        <f>cmadjust*$E74*Multipliers!L431/1000000</f>
        <v>0</v>
      </c>
      <c r="AV74">
        <f>cmadjust*$E74*Multipliers!M431/1000000</f>
        <v>0</v>
      </c>
      <c r="AW74">
        <f>cmadjust*$E74*Multipliers!N431/1000000</f>
        <v>0</v>
      </c>
      <c r="AX74">
        <f>cmadjust*$E74*Multipliers!O431/1000000</f>
        <v>0</v>
      </c>
      <c r="AZ74" t="s">
        <v>601</v>
      </c>
      <c r="BA74">
        <f>cmadjust*$E74*Multipliers!D431/1000000</f>
        <v>0</v>
      </c>
      <c r="BB74">
        <f>cmadjust*$E74*Multipliers!E431/1000000</f>
        <v>0</v>
      </c>
      <c r="BC74">
        <f>cmadjust*$E74*Multipliers!F431/1000000</f>
        <v>0</v>
      </c>
      <c r="BD74">
        <f>cmadjust*$E74*Multipliers!G431/1000000</f>
        <v>0</v>
      </c>
      <c r="BE74">
        <f>cmadjust*$E74*Multipliers!H431/1000000</f>
        <v>0</v>
      </c>
      <c r="BF74">
        <f>cmadjust*$E74*Multipliers!I431/1000000</f>
        <v>0</v>
      </c>
      <c r="BG74">
        <f>cmadjust*$E74*Multipliers!J431/1000000</f>
        <v>0</v>
      </c>
      <c r="BH74">
        <f>cmadjust*$E74*Multipliers!K431/1000000</f>
        <v>0</v>
      </c>
      <c r="BI74">
        <f>cmadjust*$E74*Multipliers!L431/1000000</f>
        <v>0</v>
      </c>
      <c r="BJ74">
        <f>cmadjust*$E74*Multipliers!M431/1000000</f>
        <v>0</v>
      </c>
      <c r="BK74">
        <f>cmadjust*$E74*Multipliers!N431/1000000</f>
        <v>0</v>
      </c>
      <c r="BL74">
        <f>cmadjust*$E74*Multipliers!O431/1000000</f>
        <v>0</v>
      </c>
      <c r="BN74" t="s">
        <v>601</v>
      </c>
      <c r="BO74">
        <f>cmadjust*$H74*Multipliers!D431/1000000</f>
        <v>0</v>
      </c>
      <c r="BP74">
        <f>cmadjust*$H74*Multipliers!E431/1000000</f>
        <v>0</v>
      </c>
      <c r="BQ74">
        <f>cmadjust*$H74*Multipliers!F431/1000000</f>
        <v>0</v>
      </c>
      <c r="BR74">
        <f>cmadjust*$H74*Multipliers!G431/1000000</f>
        <v>0</v>
      </c>
      <c r="BS74">
        <f>cmadjust*$H74*Multipliers!H431/1000000</f>
        <v>0</v>
      </c>
      <c r="BT74">
        <f>cmadjust*$H74*Multipliers!I431/1000000</f>
        <v>0</v>
      </c>
      <c r="BU74">
        <f>cmadjust*$H74*Multipliers!J431/1000000</f>
        <v>0</v>
      </c>
      <c r="BV74">
        <f>cmadjust*$H74*Multipliers!K431/1000000</f>
        <v>0</v>
      </c>
      <c r="BW74">
        <f>cmadjust*$H74*Multipliers!L431/1000000</f>
        <v>0</v>
      </c>
      <c r="BX74">
        <f>cmadjust*$H74*Multipliers!M431/1000000</f>
        <v>0</v>
      </c>
      <c r="BY74">
        <f>cmadjust*$H74*Multipliers!N431/1000000</f>
        <v>0</v>
      </c>
      <c r="BZ74">
        <f>cmadjust*$H74*Multipliers!O431/1000000</f>
        <v>0</v>
      </c>
      <c r="CB74" t="s">
        <v>601</v>
      </c>
      <c r="CC74">
        <f>$I74*cmadjust*Multipliers!D431/1000000</f>
        <v>0</v>
      </c>
      <c r="CD74">
        <f>$I74*cmadjust*Multipliers!E431/1000000</f>
        <v>0</v>
      </c>
      <c r="CE74">
        <f>$I74*cmadjust*Multipliers!F431/1000000</f>
        <v>0</v>
      </c>
      <c r="CF74">
        <f>$I74*cmadjust*Multipliers!G431/1000000</f>
        <v>0</v>
      </c>
      <c r="CG74">
        <f>$I74*cmadjust*Multipliers!H431/1000000</f>
        <v>0</v>
      </c>
      <c r="CH74">
        <f>$I74*cmadjust*Multipliers!I431/1000000</f>
        <v>0</v>
      </c>
      <c r="CI74">
        <f>$I74*cmadjust*Multipliers!J431/1000000</f>
        <v>0</v>
      </c>
      <c r="CJ74">
        <f>$I74*cmadjust*Multipliers!K431/1000000</f>
        <v>0</v>
      </c>
      <c r="CK74">
        <f>$I74*cmadjust*Multipliers!L431/1000000</f>
        <v>0</v>
      </c>
      <c r="CL74">
        <f>$I74*cmadjust*Multipliers!M431/1000000</f>
        <v>0</v>
      </c>
      <c r="CM74">
        <f>$I74*cmadjust*Multipliers!N431/1000000</f>
        <v>0</v>
      </c>
      <c r="CN74">
        <f>$I74*cmadjust*Multipliers!O431/1000000</f>
        <v>0</v>
      </c>
      <c r="CP74" t="s">
        <v>601</v>
      </c>
      <c r="CQ74">
        <f>cmadjust*$G74*Multipliers!D431/1000000</f>
        <v>0</v>
      </c>
      <c r="CR74">
        <f>cmadjust*$G74*Multipliers!E431/1000000</f>
        <v>0</v>
      </c>
      <c r="CS74">
        <f>cmadjust*$G74*Multipliers!F431/1000000</f>
        <v>0</v>
      </c>
      <c r="CT74">
        <f>cmadjust*$G74*Multipliers!G431/1000000</f>
        <v>0</v>
      </c>
      <c r="CU74">
        <f>cmadjust*$G74*Multipliers!H431/1000000</f>
        <v>0</v>
      </c>
      <c r="CV74">
        <f>cmadjust*$G74*Multipliers!I431/1000000</f>
        <v>0</v>
      </c>
      <c r="CW74">
        <f>cmadjust*$G74*Multipliers!J431/1000000</f>
        <v>0</v>
      </c>
      <c r="CX74">
        <f>cmadjust*$G74*Multipliers!K431/1000000</f>
        <v>0</v>
      </c>
      <c r="CY74">
        <f>cmadjust*$G74*Multipliers!L431/1000000</f>
        <v>0</v>
      </c>
      <c r="CZ74">
        <f>cmadjust*$G74*Multipliers!M431/1000000</f>
        <v>0</v>
      </c>
      <c r="DA74">
        <f>cmadjust*$G74*Multipliers!N431/1000000</f>
        <v>0</v>
      </c>
      <c r="DB74">
        <f>cmadjust*$G74*Multipliers!O431/1000000</f>
        <v>0</v>
      </c>
    </row>
    <row r="75" spans="3:106" x14ac:dyDescent="0.25">
      <c r="C75" t="s">
        <v>602</v>
      </c>
      <c r="D75">
        <v>0</v>
      </c>
      <c r="E75">
        <v>0</v>
      </c>
      <c r="F75">
        <v>0</v>
      </c>
      <c r="G75">
        <v>0</v>
      </c>
      <c r="H75" s="229">
        <f>'General-Calculations'!F125+'General-Calculations'!F144</f>
        <v>0</v>
      </c>
      <c r="I75">
        <v>0</v>
      </c>
      <c r="X75" t="s">
        <v>602</v>
      </c>
      <c r="Y75">
        <f>cmadjust*$D75*Multipliers!D432/1000000</f>
        <v>0</v>
      </c>
      <c r="Z75">
        <f>cmadjust*$D75*Multipliers!E432/1000000</f>
        <v>0</v>
      </c>
      <c r="AA75">
        <f>cmadjust*$D75*Multipliers!F432/1000000</f>
        <v>0</v>
      </c>
      <c r="AB75">
        <f>cmadjust*$D75*Multipliers!G432/1000000</f>
        <v>0</v>
      </c>
      <c r="AC75">
        <f>cmadjust*$D75*Multipliers!H432/1000000</f>
        <v>0</v>
      </c>
      <c r="AD75">
        <f>cmadjust*$D75*Multipliers!I432/1000000</f>
        <v>0</v>
      </c>
      <c r="AE75">
        <f>cmadjust*$D75*Multipliers!J432/1000000</f>
        <v>0</v>
      </c>
      <c r="AF75">
        <f>cmadjust*$D75*Multipliers!K432/1000000</f>
        <v>0</v>
      </c>
      <c r="AG75">
        <f>cmadjust*$D75*Multipliers!L432/1000000</f>
        <v>0</v>
      </c>
      <c r="AH75">
        <f>cmadjust*$D75*Multipliers!M432/1000000</f>
        <v>0</v>
      </c>
      <c r="AI75">
        <f>cmadjust*$D75*Multipliers!N432/1000000</f>
        <v>0</v>
      </c>
      <c r="AJ75">
        <f>cmadjust*$D75*Multipliers!O432/1000000</f>
        <v>0</v>
      </c>
      <c r="AL75" t="s">
        <v>602</v>
      </c>
      <c r="AM75">
        <f>cmadjust*$E75*Multipliers!D432/1000000</f>
        <v>0</v>
      </c>
      <c r="AN75">
        <f>cmadjust*$E75*Multipliers!E432/1000000</f>
        <v>0</v>
      </c>
      <c r="AO75">
        <f>cmadjust*$E75*Multipliers!F432/1000000</f>
        <v>0</v>
      </c>
      <c r="AP75">
        <f>cmadjust*$E75*Multipliers!G432/1000000</f>
        <v>0</v>
      </c>
      <c r="AQ75">
        <f>cmadjust*$E75*Multipliers!H432/1000000</f>
        <v>0</v>
      </c>
      <c r="AR75">
        <f>cmadjust*$E75*Multipliers!I432/1000000</f>
        <v>0</v>
      </c>
      <c r="AS75">
        <f>cmadjust*$E75*Multipliers!J432/1000000</f>
        <v>0</v>
      </c>
      <c r="AT75">
        <f>cmadjust*$E75*Multipliers!K432/1000000</f>
        <v>0</v>
      </c>
      <c r="AU75">
        <f>cmadjust*$E75*Multipliers!L432/1000000</f>
        <v>0</v>
      </c>
      <c r="AV75">
        <f>cmadjust*$E75*Multipliers!M432/1000000</f>
        <v>0</v>
      </c>
      <c r="AW75">
        <f>cmadjust*$E75*Multipliers!N432/1000000</f>
        <v>0</v>
      </c>
      <c r="AX75">
        <f>cmadjust*$E75*Multipliers!O432/1000000</f>
        <v>0</v>
      </c>
      <c r="AZ75" t="s">
        <v>602</v>
      </c>
      <c r="BA75">
        <f>cmadjust*$E75*Multipliers!D432/1000000</f>
        <v>0</v>
      </c>
      <c r="BB75">
        <f>cmadjust*$E75*Multipliers!E432/1000000</f>
        <v>0</v>
      </c>
      <c r="BC75">
        <f>cmadjust*$E75*Multipliers!F432/1000000</f>
        <v>0</v>
      </c>
      <c r="BD75">
        <f>cmadjust*$E75*Multipliers!G432/1000000</f>
        <v>0</v>
      </c>
      <c r="BE75">
        <f>cmadjust*$E75*Multipliers!H432/1000000</f>
        <v>0</v>
      </c>
      <c r="BF75">
        <f>cmadjust*$E75*Multipliers!I432/1000000</f>
        <v>0</v>
      </c>
      <c r="BG75">
        <f>cmadjust*$E75*Multipliers!J432/1000000</f>
        <v>0</v>
      </c>
      <c r="BH75">
        <f>cmadjust*$E75*Multipliers!K432/1000000</f>
        <v>0</v>
      </c>
      <c r="BI75">
        <f>cmadjust*$E75*Multipliers!L432/1000000</f>
        <v>0</v>
      </c>
      <c r="BJ75">
        <f>cmadjust*$E75*Multipliers!M432/1000000</f>
        <v>0</v>
      </c>
      <c r="BK75">
        <f>cmadjust*$E75*Multipliers!N432/1000000</f>
        <v>0</v>
      </c>
      <c r="BL75">
        <f>cmadjust*$E75*Multipliers!O432/1000000</f>
        <v>0</v>
      </c>
      <c r="BN75" t="s">
        <v>602</v>
      </c>
      <c r="BO75">
        <f>cmadjust*$H75*Multipliers!D432/1000000</f>
        <v>0</v>
      </c>
      <c r="BP75">
        <f>cmadjust*$H75*Multipliers!E432/1000000</f>
        <v>0</v>
      </c>
      <c r="BQ75">
        <f>cmadjust*$H75*Multipliers!F432/1000000</f>
        <v>0</v>
      </c>
      <c r="BR75">
        <f>cmadjust*$H75*Multipliers!G432/1000000</f>
        <v>0</v>
      </c>
      <c r="BS75">
        <f>cmadjust*$H75*Multipliers!H432/1000000</f>
        <v>0</v>
      </c>
      <c r="BT75">
        <f>cmadjust*$H75*Multipliers!I432/1000000</f>
        <v>0</v>
      </c>
      <c r="BU75">
        <f>cmadjust*$H75*Multipliers!J432/1000000</f>
        <v>0</v>
      </c>
      <c r="BV75">
        <f>cmadjust*$H75*Multipliers!K432/1000000</f>
        <v>0</v>
      </c>
      <c r="BW75">
        <f>cmadjust*$H75*Multipliers!L432/1000000</f>
        <v>0</v>
      </c>
      <c r="BX75">
        <f>cmadjust*$H75*Multipliers!M432/1000000</f>
        <v>0</v>
      </c>
      <c r="BY75">
        <f>cmadjust*$H75*Multipliers!N432/1000000</f>
        <v>0</v>
      </c>
      <c r="BZ75">
        <f>cmadjust*$H75*Multipliers!O432/1000000</f>
        <v>0</v>
      </c>
      <c r="CB75" t="s">
        <v>602</v>
      </c>
      <c r="CC75">
        <f>$I75*cmadjust*Multipliers!D432/1000000</f>
        <v>0</v>
      </c>
      <c r="CD75">
        <f>$I75*cmadjust*Multipliers!E432/1000000</f>
        <v>0</v>
      </c>
      <c r="CE75">
        <f>$I75*cmadjust*Multipliers!F432/1000000</f>
        <v>0</v>
      </c>
      <c r="CF75">
        <f>$I75*cmadjust*Multipliers!G432/1000000</f>
        <v>0</v>
      </c>
      <c r="CG75">
        <f>$I75*cmadjust*Multipliers!H432/1000000</f>
        <v>0</v>
      </c>
      <c r="CH75">
        <f>$I75*cmadjust*Multipliers!I432/1000000</f>
        <v>0</v>
      </c>
      <c r="CI75">
        <f>$I75*cmadjust*Multipliers!J432/1000000</f>
        <v>0</v>
      </c>
      <c r="CJ75">
        <f>$I75*cmadjust*Multipliers!K432/1000000</f>
        <v>0</v>
      </c>
      <c r="CK75">
        <f>$I75*cmadjust*Multipliers!L432/1000000</f>
        <v>0</v>
      </c>
      <c r="CL75">
        <f>$I75*cmadjust*Multipliers!M432/1000000</f>
        <v>0</v>
      </c>
      <c r="CM75">
        <f>$I75*cmadjust*Multipliers!N432/1000000</f>
        <v>0</v>
      </c>
      <c r="CN75">
        <f>$I75*cmadjust*Multipliers!O432/1000000</f>
        <v>0</v>
      </c>
      <c r="CP75" t="s">
        <v>602</v>
      </c>
      <c r="CQ75">
        <f>cmadjust*$G75*Multipliers!D432/1000000</f>
        <v>0</v>
      </c>
      <c r="CR75">
        <f>cmadjust*$G75*Multipliers!E432/1000000</f>
        <v>0</v>
      </c>
      <c r="CS75">
        <f>cmadjust*$G75*Multipliers!F432/1000000</f>
        <v>0</v>
      </c>
      <c r="CT75">
        <f>cmadjust*$G75*Multipliers!G432/1000000</f>
        <v>0</v>
      </c>
      <c r="CU75">
        <f>cmadjust*$G75*Multipliers!H432/1000000</f>
        <v>0</v>
      </c>
      <c r="CV75">
        <f>cmadjust*$G75*Multipliers!I432/1000000</f>
        <v>0</v>
      </c>
      <c r="CW75">
        <f>cmadjust*$G75*Multipliers!J432/1000000</f>
        <v>0</v>
      </c>
      <c r="CX75">
        <f>cmadjust*$G75*Multipliers!K432/1000000</f>
        <v>0</v>
      </c>
      <c r="CY75">
        <f>cmadjust*$G75*Multipliers!L432/1000000</f>
        <v>0</v>
      </c>
      <c r="CZ75">
        <f>cmadjust*$G75*Multipliers!M432/1000000</f>
        <v>0</v>
      </c>
      <c r="DA75">
        <f>cmadjust*$G75*Multipliers!N432/1000000</f>
        <v>0</v>
      </c>
      <c r="DB75">
        <f>cmadjust*$G75*Multipliers!O432/1000000</f>
        <v>0</v>
      </c>
    </row>
    <row r="76" spans="3:106" x14ac:dyDescent="0.25">
      <c r="W76" t="s">
        <v>375</v>
      </c>
      <c r="X76">
        <f t="shared" ref="X76:AI76" si="8">SUM(Y49:Y75)</f>
        <v>0</v>
      </c>
      <c r="Y76">
        <f t="shared" si="8"/>
        <v>0</v>
      </c>
      <c r="Z76">
        <f t="shared" si="8"/>
        <v>0</v>
      </c>
      <c r="AA76">
        <f t="shared" si="8"/>
        <v>0</v>
      </c>
      <c r="AB76">
        <f t="shared" si="8"/>
        <v>0</v>
      </c>
      <c r="AC76">
        <f t="shared" si="8"/>
        <v>0</v>
      </c>
      <c r="AD76">
        <f t="shared" si="8"/>
        <v>0</v>
      </c>
      <c r="AE76">
        <f t="shared" si="8"/>
        <v>0</v>
      </c>
      <c r="AF76">
        <f t="shared" si="8"/>
        <v>0</v>
      </c>
      <c r="AG76">
        <f t="shared" si="8"/>
        <v>0</v>
      </c>
      <c r="AH76">
        <f t="shared" si="8"/>
        <v>0</v>
      </c>
      <c r="AI76">
        <f t="shared" si="8"/>
        <v>0</v>
      </c>
      <c r="AK76" t="s">
        <v>375</v>
      </c>
      <c r="AL76">
        <f t="shared" ref="AL76:AW76" si="9">SUM(AM49:AM75)</f>
        <v>0</v>
      </c>
      <c r="AM76">
        <f t="shared" si="9"/>
        <v>0</v>
      </c>
      <c r="AN76">
        <f t="shared" si="9"/>
        <v>0</v>
      </c>
      <c r="AO76">
        <f t="shared" si="9"/>
        <v>0</v>
      </c>
      <c r="AP76">
        <f t="shared" si="9"/>
        <v>0</v>
      </c>
      <c r="AQ76">
        <f t="shared" si="9"/>
        <v>0</v>
      </c>
      <c r="AR76">
        <f t="shared" si="9"/>
        <v>0</v>
      </c>
      <c r="AS76">
        <f t="shared" si="9"/>
        <v>0</v>
      </c>
      <c r="AT76">
        <f t="shared" si="9"/>
        <v>0</v>
      </c>
      <c r="AU76">
        <f t="shared" si="9"/>
        <v>0</v>
      </c>
      <c r="AV76">
        <f t="shared" si="9"/>
        <v>0</v>
      </c>
      <c r="AW76">
        <f t="shared" si="9"/>
        <v>0</v>
      </c>
      <c r="AY76" t="s">
        <v>375</v>
      </c>
      <c r="AZ76">
        <f t="shared" ref="AZ76:BK76" si="10">SUM(BA49:BA75)</f>
        <v>0</v>
      </c>
      <c r="BA76">
        <f t="shared" si="10"/>
        <v>0</v>
      </c>
      <c r="BB76">
        <f t="shared" si="10"/>
        <v>0</v>
      </c>
      <c r="BC76">
        <f t="shared" si="10"/>
        <v>0</v>
      </c>
      <c r="BD76">
        <f t="shared" si="10"/>
        <v>0</v>
      </c>
      <c r="BE76">
        <f t="shared" si="10"/>
        <v>0</v>
      </c>
      <c r="BF76">
        <f t="shared" si="10"/>
        <v>0</v>
      </c>
      <c r="BG76">
        <f t="shared" si="10"/>
        <v>0</v>
      </c>
      <c r="BH76">
        <f t="shared" si="10"/>
        <v>0</v>
      </c>
      <c r="BI76">
        <f t="shared" si="10"/>
        <v>0</v>
      </c>
      <c r="BJ76">
        <f t="shared" si="10"/>
        <v>0</v>
      </c>
      <c r="BK76">
        <f t="shared" si="10"/>
        <v>0</v>
      </c>
      <c r="BM76" t="s">
        <v>375</v>
      </c>
      <c r="BN76">
        <f t="shared" ref="BN76:BY76" si="11">SUM(BO49:BO75)</f>
        <v>0</v>
      </c>
      <c r="BO76">
        <f t="shared" si="11"/>
        <v>0</v>
      </c>
      <c r="BP76">
        <f t="shared" si="11"/>
        <v>0</v>
      </c>
      <c r="BQ76">
        <f t="shared" si="11"/>
        <v>0</v>
      </c>
      <c r="BR76">
        <f t="shared" si="11"/>
        <v>0</v>
      </c>
      <c r="BS76">
        <f t="shared" si="11"/>
        <v>0</v>
      </c>
      <c r="BT76">
        <f t="shared" si="11"/>
        <v>0</v>
      </c>
      <c r="BU76">
        <f t="shared" si="11"/>
        <v>0</v>
      </c>
      <c r="BV76">
        <f t="shared" si="11"/>
        <v>0</v>
      </c>
      <c r="BW76">
        <f t="shared" si="11"/>
        <v>0</v>
      </c>
      <c r="BX76">
        <f t="shared" si="11"/>
        <v>0</v>
      </c>
      <c r="BY76">
        <f t="shared" si="11"/>
        <v>0</v>
      </c>
      <c r="CA76" t="s">
        <v>375</v>
      </c>
      <c r="CB76">
        <f t="shared" ref="CB76:CM76" si="12">SUM(CC49:CC75)</f>
        <v>0</v>
      </c>
      <c r="CC76">
        <f t="shared" si="12"/>
        <v>0</v>
      </c>
      <c r="CD76">
        <f t="shared" si="12"/>
        <v>0</v>
      </c>
      <c r="CE76">
        <f t="shared" si="12"/>
        <v>0</v>
      </c>
      <c r="CF76">
        <f t="shared" si="12"/>
        <v>0</v>
      </c>
      <c r="CG76">
        <f t="shared" si="12"/>
        <v>0</v>
      </c>
      <c r="CH76">
        <f t="shared" si="12"/>
        <v>0</v>
      </c>
      <c r="CI76">
        <f t="shared" si="12"/>
        <v>0</v>
      </c>
      <c r="CJ76">
        <f t="shared" si="12"/>
        <v>0</v>
      </c>
      <c r="CK76">
        <f t="shared" si="12"/>
        <v>0</v>
      </c>
      <c r="CL76">
        <f t="shared" si="12"/>
        <v>0</v>
      </c>
      <c r="CM76">
        <f t="shared" si="12"/>
        <v>0</v>
      </c>
      <c r="CO76" t="s">
        <v>375</v>
      </c>
      <c r="CP76">
        <f t="shared" ref="CP76:DA76" si="13">SUM(CQ49:CQ75)</f>
        <v>0</v>
      </c>
      <c r="CQ76">
        <f t="shared" si="13"/>
        <v>0</v>
      </c>
      <c r="CR76">
        <f t="shared" si="13"/>
        <v>0</v>
      </c>
      <c r="CS76">
        <f t="shared" si="13"/>
        <v>0</v>
      </c>
      <c r="CT76">
        <f t="shared" si="13"/>
        <v>0</v>
      </c>
      <c r="CU76">
        <f t="shared" si="13"/>
        <v>0</v>
      </c>
      <c r="CV76">
        <f t="shared" si="13"/>
        <v>0</v>
      </c>
      <c r="CW76">
        <f t="shared" si="13"/>
        <v>0</v>
      </c>
      <c r="CX76">
        <f t="shared" si="13"/>
        <v>0</v>
      </c>
      <c r="CY76">
        <f t="shared" si="13"/>
        <v>0</v>
      </c>
      <c r="CZ76">
        <f t="shared" si="13"/>
        <v>0</v>
      </c>
      <c r="DA76">
        <f t="shared" si="13"/>
        <v>0</v>
      </c>
    </row>
    <row r="78" spans="3:106" x14ac:dyDescent="0.25">
      <c r="W78" t="str">
        <f>X46</f>
        <v>Foundation</v>
      </c>
      <c r="X78" t="s">
        <v>357</v>
      </c>
      <c r="Y78" t="s">
        <v>499</v>
      </c>
      <c r="Z78" t="s">
        <v>359</v>
      </c>
      <c r="AA78" t="s">
        <v>580</v>
      </c>
      <c r="AK78" t="str">
        <f>AL46</f>
        <v>Cables</v>
      </c>
      <c r="AL78" t="s">
        <v>357</v>
      </c>
      <c r="AM78" t="s">
        <v>499</v>
      </c>
      <c r="AN78" t="s">
        <v>359</v>
      </c>
      <c r="AO78" t="s">
        <v>580</v>
      </c>
      <c r="AY78" t="str">
        <f>AZ46</f>
        <v>Substation</v>
      </c>
      <c r="AZ78" t="s">
        <v>357</v>
      </c>
      <c r="BA78" t="s">
        <v>499</v>
      </c>
      <c r="BB78" t="s">
        <v>359</v>
      </c>
      <c r="BC78" t="s">
        <v>580</v>
      </c>
      <c r="BM78" t="str">
        <f>BN46</f>
        <v>Other</v>
      </c>
      <c r="BN78" t="s">
        <v>357</v>
      </c>
      <c r="BO78" t="s">
        <v>499</v>
      </c>
      <c r="BP78" t="s">
        <v>359</v>
      </c>
      <c r="BQ78" t="s">
        <v>580</v>
      </c>
      <c r="CA78" t="str">
        <f>CB46</f>
        <v>Ports &amp; Staging</v>
      </c>
      <c r="CB78" t="s">
        <v>357</v>
      </c>
      <c r="CC78" t="s">
        <v>499</v>
      </c>
      <c r="CD78" t="s">
        <v>359</v>
      </c>
      <c r="CE78" t="s">
        <v>580</v>
      </c>
      <c r="CO78" t="str">
        <f>CP46</f>
        <v>Onshore Transmission</v>
      </c>
      <c r="CP78" t="s">
        <v>357</v>
      </c>
      <c r="CQ78" t="s">
        <v>499</v>
      </c>
      <c r="CR78" t="s">
        <v>359</v>
      </c>
      <c r="CS78" t="s">
        <v>580</v>
      </c>
    </row>
    <row r="79" spans="3:106" x14ac:dyDescent="0.25">
      <c r="W79" t="s">
        <v>604</v>
      </c>
      <c r="X79">
        <f>SUM(X76:Y76)</f>
        <v>0</v>
      </c>
      <c r="Y79">
        <f>SUM(AA76:AB76)</f>
        <v>0</v>
      </c>
      <c r="Z79">
        <f>SUM(AD76:AE76)</f>
        <v>0</v>
      </c>
      <c r="AA79">
        <f>SUM(AG76:AH76)</f>
        <v>0</v>
      </c>
      <c r="AK79" t="s">
        <v>604</v>
      </c>
      <c r="AL79">
        <f>SUM(AL76:AM76)</f>
        <v>0</v>
      </c>
      <c r="AM79">
        <f>SUM(AO76:AP76)</f>
        <v>0</v>
      </c>
      <c r="AN79">
        <f>SUM(AR76:AS76)</f>
        <v>0</v>
      </c>
      <c r="AO79">
        <f>SUM(AU76:AV76)</f>
        <v>0</v>
      </c>
      <c r="AY79" t="s">
        <v>604</v>
      </c>
      <c r="AZ79">
        <f>SUM(AZ76:BA76)</f>
        <v>0</v>
      </c>
      <c r="BA79">
        <f>SUM(BC76:BD76)</f>
        <v>0</v>
      </c>
      <c r="BB79">
        <f>SUM(BF76:BG76)</f>
        <v>0</v>
      </c>
      <c r="BC79">
        <f>SUM(BI76:BJ76)</f>
        <v>0</v>
      </c>
      <c r="BM79" t="s">
        <v>604</v>
      </c>
      <c r="BN79">
        <f>SUM(BN76:BO76)</f>
        <v>0</v>
      </c>
      <c r="BO79">
        <f>SUM(BQ76:BR76)</f>
        <v>0</v>
      </c>
      <c r="BP79">
        <f>SUM(BT76:BU76)</f>
        <v>0</v>
      </c>
      <c r="BQ79">
        <f>SUM(BW76:BX76)</f>
        <v>0</v>
      </c>
      <c r="CA79" t="s">
        <v>604</v>
      </c>
      <c r="CB79">
        <f>SUM(CB76:CC76)</f>
        <v>0</v>
      </c>
      <c r="CC79">
        <f>SUM(CE76:CF76)</f>
        <v>0</v>
      </c>
      <c r="CD79">
        <f>SUM(CH76:CI76)</f>
        <v>0</v>
      </c>
      <c r="CE79">
        <f>SUM(CK76:CL76)</f>
        <v>0</v>
      </c>
      <c r="CO79" t="s">
        <v>604</v>
      </c>
      <c r="CP79">
        <f>SUM(CP76:CQ76)</f>
        <v>0</v>
      </c>
      <c r="CQ79">
        <f>SUM(CS76:CT76)</f>
        <v>0</v>
      </c>
      <c r="CR79">
        <f>SUM(CV76:CW76)</f>
        <v>0</v>
      </c>
      <c r="CS79">
        <f>SUM(CY76:CZ76)</f>
        <v>0</v>
      </c>
    </row>
    <row r="80" spans="3:106" x14ac:dyDescent="0.25">
      <c r="W80" t="s">
        <v>374</v>
      </c>
      <c r="X80">
        <f>Z76</f>
        <v>0</v>
      </c>
      <c r="Y80">
        <f>AC76</f>
        <v>0</v>
      </c>
      <c r="Z80">
        <f>AF76</f>
        <v>0</v>
      </c>
      <c r="AA80">
        <f>AI76</f>
        <v>0</v>
      </c>
      <c r="AK80" t="s">
        <v>374</v>
      </c>
      <c r="AL80">
        <f>AN76</f>
        <v>0</v>
      </c>
      <c r="AM80">
        <f>AQ76</f>
        <v>0</v>
      </c>
      <c r="AN80">
        <f>AT76</f>
        <v>0</v>
      </c>
      <c r="AO80">
        <f>AW76</f>
        <v>0</v>
      </c>
      <c r="AY80" t="s">
        <v>374</v>
      </c>
      <c r="AZ80">
        <f>BB76</f>
        <v>0</v>
      </c>
      <c r="BA80">
        <f>BE76</f>
        <v>0</v>
      </c>
      <c r="BB80">
        <f>BH76</f>
        <v>0</v>
      </c>
      <c r="BC80">
        <f>BK76</f>
        <v>0</v>
      </c>
      <c r="BM80" t="s">
        <v>374</v>
      </c>
      <c r="BN80">
        <f>BP76</f>
        <v>0</v>
      </c>
      <c r="BO80">
        <f>BS76</f>
        <v>0</v>
      </c>
      <c r="BP80">
        <f>BV76</f>
        <v>0</v>
      </c>
      <c r="BQ80">
        <f>BY76</f>
        <v>0</v>
      </c>
      <c r="CA80" t="s">
        <v>374</v>
      </c>
      <c r="CB80">
        <f>CD76</f>
        <v>0</v>
      </c>
      <c r="CC80">
        <f>CG76</f>
        <v>0</v>
      </c>
      <c r="CD80">
        <f>CJ76</f>
        <v>0</v>
      </c>
      <c r="CE80">
        <f>CM76</f>
        <v>0</v>
      </c>
      <c r="CO80" t="s">
        <v>374</v>
      </c>
      <c r="CP80">
        <f>CR76</f>
        <v>0</v>
      </c>
      <c r="CQ80">
        <f>CU76</f>
        <v>0</v>
      </c>
      <c r="CR80">
        <f>CX76</f>
        <v>0</v>
      </c>
      <c r="CS80">
        <f>DA76</f>
        <v>0</v>
      </c>
    </row>
    <row r="83" spans="3:21" x14ac:dyDescent="0.25">
      <c r="J83" s="54" t="s">
        <v>374</v>
      </c>
    </row>
    <row r="84" spans="3:21" x14ac:dyDescent="0.25">
      <c r="J84" t="s">
        <v>357</v>
      </c>
      <c r="M84" t="s">
        <v>499</v>
      </c>
      <c r="P84" t="s">
        <v>359</v>
      </c>
      <c r="S84" t="s">
        <v>580</v>
      </c>
    </row>
    <row r="85" spans="3:21" x14ac:dyDescent="0.25">
      <c r="C85" s="54" t="s">
        <v>609</v>
      </c>
      <c r="J85" t="s">
        <v>581</v>
      </c>
      <c r="K85" t="s">
        <v>582</v>
      </c>
      <c r="L85" t="s">
        <v>374</v>
      </c>
      <c r="M85" t="s">
        <v>581</v>
      </c>
      <c r="N85" t="s">
        <v>582</v>
      </c>
      <c r="O85" t="s">
        <v>374</v>
      </c>
      <c r="P85" t="s">
        <v>581</v>
      </c>
      <c r="Q85" t="s">
        <v>582</v>
      </c>
      <c r="R85" t="s">
        <v>374</v>
      </c>
      <c r="S85" t="s">
        <v>581</v>
      </c>
      <c r="T85" t="s">
        <v>582</v>
      </c>
      <c r="U85" t="s">
        <v>374</v>
      </c>
    </row>
    <row r="86" spans="3:21" x14ac:dyDescent="0.25">
      <c r="D86" s="54" t="s">
        <v>610</v>
      </c>
      <c r="E86" s="54" t="s">
        <v>611</v>
      </c>
      <c r="F86" s="416" t="s">
        <v>612</v>
      </c>
      <c r="I86" t="s">
        <v>400</v>
      </c>
      <c r="J86" s="199">
        <f>cmadjust*$F87*Multipliers!D406</f>
        <v>0</v>
      </c>
      <c r="K86" s="199">
        <f>cmadjust*$F87*Multipliers!E406</f>
        <v>0</v>
      </c>
      <c r="L86" s="199">
        <f>cmadjust*$F87*Multipliers!F406</f>
        <v>0</v>
      </c>
      <c r="M86" s="199">
        <f>cmadjust*$F87*Multipliers!G406</f>
        <v>0</v>
      </c>
      <c r="N86" s="199">
        <f>cmadjust*$F87*Multipliers!H406</f>
        <v>0</v>
      </c>
      <c r="O86" s="199">
        <f>cmadjust*$F87*Multipliers!I406</f>
        <v>0</v>
      </c>
      <c r="P86" s="199">
        <f>cmadjust*$F87*Multipliers!J406</f>
        <v>0</v>
      </c>
      <c r="Q86" s="199">
        <f>cmadjust*$F87*Multipliers!K406</f>
        <v>0</v>
      </c>
      <c r="R86" s="199">
        <f>cmadjust*$F87*Multipliers!L406</f>
        <v>0</v>
      </c>
      <c r="S86" s="199">
        <f>cmadjust*$F87*Multipliers!M406</f>
        <v>0</v>
      </c>
      <c r="T86" s="199">
        <f>cmadjust*$F87*Multipliers!N406</f>
        <v>0</v>
      </c>
      <c r="U86" s="199">
        <f>cmadjust*$F87*Multipliers!O406</f>
        <v>0</v>
      </c>
    </row>
    <row r="87" spans="3:21" x14ac:dyDescent="0.25">
      <c r="C87" t="s">
        <v>400</v>
      </c>
      <c r="D87" s="226">
        <f>SUM('General-Calculations'!L47:L51)*Multipliers!U406</f>
        <v>0</v>
      </c>
      <c r="E87">
        <f>SUM($D$36:$BD$36)*Multipliers!U406/1000000</f>
        <v>0</v>
      </c>
      <c r="F87" s="422">
        <f>SUM(D87:E87)</f>
        <v>0</v>
      </c>
      <c r="I87" t="s">
        <v>583</v>
      </c>
      <c r="J87" s="199">
        <f>cmadjust*$F88*Multipliers!D407</f>
        <v>0</v>
      </c>
      <c r="K87" s="199">
        <f>cmadjust*$F88*Multipliers!E407</f>
        <v>0</v>
      </c>
      <c r="L87" s="199">
        <f>cmadjust*$F88*Multipliers!F407</f>
        <v>0</v>
      </c>
      <c r="M87" s="199">
        <f>cmadjust*$F88*Multipliers!G407</f>
        <v>0</v>
      </c>
      <c r="N87" s="199">
        <f>cmadjust*$F88*Multipliers!H407</f>
        <v>0</v>
      </c>
      <c r="O87" s="199">
        <f>cmadjust*$F88*Multipliers!I407</f>
        <v>0</v>
      </c>
      <c r="P87" s="199">
        <f>cmadjust*$F88*Multipliers!J407</f>
        <v>0</v>
      </c>
      <c r="Q87" s="199">
        <f>cmadjust*$F88*Multipliers!K407</f>
        <v>0</v>
      </c>
      <c r="R87" s="199">
        <f>cmadjust*$F88*Multipliers!L407</f>
        <v>0</v>
      </c>
      <c r="S87" s="199">
        <f>cmadjust*$F88*Multipliers!M407</f>
        <v>0</v>
      </c>
      <c r="T87" s="199">
        <f>cmadjust*$F88*Multipliers!N407</f>
        <v>0</v>
      </c>
      <c r="U87" s="199">
        <f>cmadjust*$F88*Multipliers!O407</f>
        <v>0</v>
      </c>
    </row>
    <row r="88" spans="3:21" x14ac:dyDescent="0.25">
      <c r="C88" t="s">
        <v>583</v>
      </c>
      <c r="D88" s="226">
        <f>SUM('General-Calculations'!L48:L52)*Multipliers!U407</f>
        <v>0</v>
      </c>
      <c r="E88">
        <f>SUM($D$36:$BD$36)*Multipliers!U407/1000000</f>
        <v>0</v>
      </c>
      <c r="F88" s="422">
        <f t="shared" ref="F88:F113" si="14">SUM(D88:E88)</f>
        <v>0</v>
      </c>
      <c r="I88" t="s">
        <v>403</v>
      </c>
      <c r="J88" s="199">
        <f>cmadjust*$F89*Multipliers!D408</f>
        <v>0</v>
      </c>
      <c r="K88" s="199">
        <f>cmadjust*$F89*Multipliers!E408</f>
        <v>0</v>
      </c>
      <c r="L88" s="199">
        <f>cmadjust*$F89*Multipliers!F408</f>
        <v>0</v>
      </c>
      <c r="M88" s="199">
        <f>cmadjust*$F89*Multipliers!G408</f>
        <v>0</v>
      </c>
      <c r="N88" s="199">
        <f>cmadjust*$F89*Multipliers!H408</f>
        <v>0</v>
      </c>
      <c r="O88" s="199">
        <f>cmadjust*$F89*Multipliers!I408</f>
        <v>0</v>
      </c>
      <c r="P88" s="199">
        <f>cmadjust*$F89*Multipliers!J408</f>
        <v>0</v>
      </c>
      <c r="Q88" s="199">
        <f>cmadjust*$F89*Multipliers!K408</f>
        <v>0</v>
      </c>
      <c r="R88" s="199">
        <f>cmadjust*$F89*Multipliers!L408</f>
        <v>0</v>
      </c>
      <c r="S88" s="199">
        <f>cmadjust*$F89*Multipliers!M408</f>
        <v>0</v>
      </c>
      <c r="T88" s="199">
        <f>cmadjust*$F89*Multipliers!N408</f>
        <v>0</v>
      </c>
      <c r="U88" s="199">
        <f>cmadjust*$F89*Multipliers!O408</f>
        <v>0</v>
      </c>
    </row>
    <row r="89" spans="3:21" x14ac:dyDescent="0.25">
      <c r="C89" t="s">
        <v>403</v>
      </c>
      <c r="D89" s="226">
        <f>SUM('General-Calculations'!L49:L53)*Multipliers!U408</f>
        <v>0</v>
      </c>
      <c r="E89">
        <f>SUM($D$36:$BD$36)*Multipliers!U408/1000000</f>
        <v>0</v>
      </c>
      <c r="F89" s="422">
        <f t="shared" si="14"/>
        <v>0</v>
      </c>
      <c r="I89" t="s">
        <v>584</v>
      </c>
      <c r="J89" s="199">
        <f>cmadjust*$F90*Multipliers!D409</f>
        <v>0</v>
      </c>
      <c r="K89" s="199">
        <f>cmadjust*$F90*Multipliers!E409</f>
        <v>0</v>
      </c>
      <c r="L89" s="199">
        <f>cmadjust*$F90*Multipliers!F409</f>
        <v>0</v>
      </c>
      <c r="M89" s="199">
        <f>cmadjust*$F90*Multipliers!G409</f>
        <v>0</v>
      </c>
      <c r="N89" s="199">
        <f>cmadjust*$F90*Multipliers!H409</f>
        <v>0</v>
      </c>
      <c r="O89" s="199">
        <f>cmadjust*$F90*Multipliers!I409</f>
        <v>0</v>
      </c>
      <c r="P89" s="199">
        <f>cmadjust*$F90*Multipliers!J409</f>
        <v>0</v>
      </c>
      <c r="Q89" s="199">
        <f>cmadjust*$F90*Multipliers!K409</f>
        <v>0</v>
      </c>
      <c r="R89" s="199">
        <f>cmadjust*$F90*Multipliers!L409</f>
        <v>0</v>
      </c>
      <c r="S89" s="199">
        <f>cmadjust*$F90*Multipliers!M409</f>
        <v>0</v>
      </c>
      <c r="T89" s="199">
        <f>cmadjust*$F90*Multipliers!N409</f>
        <v>0</v>
      </c>
      <c r="U89" s="199">
        <f>cmadjust*$F90*Multipliers!O409</f>
        <v>0</v>
      </c>
    </row>
    <row r="90" spans="3:21" x14ac:dyDescent="0.25">
      <c r="C90" t="s">
        <v>584</v>
      </c>
      <c r="D90" s="226">
        <f>SUM('General-Calculations'!L50:L54)*Multipliers!U409</f>
        <v>0</v>
      </c>
      <c r="E90">
        <f>SUM($D$36:$BD$36)*Multipliers!U409/1000000</f>
        <v>0</v>
      </c>
      <c r="F90" s="422">
        <f t="shared" si="14"/>
        <v>0</v>
      </c>
      <c r="I90" t="s">
        <v>585</v>
      </c>
      <c r="J90" s="199">
        <f>cmadjust*$F91*Multipliers!D410</f>
        <v>0</v>
      </c>
      <c r="K90" s="199">
        <f>cmadjust*$F91*Multipliers!E410</f>
        <v>0</v>
      </c>
      <c r="L90" s="199">
        <f>cmadjust*$F91*Multipliers!F410</f>
        <v>0</v>
      </c>
      <c r="M90" s="199">
        <f>cmadjust*$F91*Multipliers!G410</f>
        <v>0</v>
      </c>
      <c r="N90" s="199">
        <f>cmadjust*$F91*Multipliers!H410</f>
        <v>0</v>
      </c>
      <c r="O90" s="199">
        <f>cmadjust*$F91*Multipliers!I410</f>
        <v>0</v>
      </c>
      <c r="P90" s="199">
        <f>cmadjust*$F91*Multipliers!J410</f>
        <v>0</v>
      </c>
      <c r="Q90" s="199">
        <f>cmadjust*$F91*Multipliers!K410</f>
        <v>0</v>
      </c>
      <c r="R90" s="199">
        <f>cmadjust*$F91*Multipliers!L410</f>
        <v>0</v>
      </c>
      <c r="S90" s="199">
        <f>cmadjust*$F91*Multipliers!M410</f>
        <v>0</v>
      </c>
      <c r="T90" s="199">
        <f>cmadjust*$F91*Multipliers!N410</f>
        <v>0</v>
      </c>
      <c r="U90" s="199">
        <f>cmadjust*$F91*Multipliers!O410</f>
        <v>0</v>
      </c>
    </row>
    <row r="91" spans="3:21" x14ac:dyDescent="0.25">
      <c r="C91" t="s">
        <v>585</v>
      </c>
      <c r="D91" s="226">
        <f>SUM('General-Calculations'!L51:L55)*Multipliers!U410</f>
        <v>0</v>
      </c>
      <c r="E91">
        <f>SUM($D$36:$BD$36)*Multipliers!U410/1000000</f>
        <v>0</v>
      </c>
      <c r="F91" s="422">
        <f t="shared" si="14"/>
        <v>0</v>
      </c>
      <c r="I91" t="s">
        <v>586</v>
      </c>
      <c r="J91" s="199">
        <f>cmadjust*$F92*Multipliers!D411</f>
        <v>0</v>
      </c>
      <c r="K91" s="199">
        <f>cmadjust*$F92*Multipliers!E411</f>
        <v>0</v>
      </c>
      <c r="L91" s="199">
        <f>cmadjust*$F92*Multipliers!F411</f>
        <v>0</v>
      </c>
      <c r="M91" s="199">
        <f>cmadjust*$F92*Multipliers!G411</f>
        <v>0</v>
      </c>
      <c r="N91" s="199">
        <f>cmadjust*$F92*Multipliers!H411</f>
        <v>0</v>
      </c>
      <c r="O91" s="199">
        <f>cmadjust*$F92*Multipliers!I411</f>
        <v>0</v>
      </c>
      <c r="P91" s="199">
        <f>cmadjust*$F92*Multipliers!J411</f>
        <v>0</v>
      </c>
      <c r="Q91" s="199">
        <f>cmadjust*$F92*Multipliers!K411</f>
        <v>0</v>
      </c>
      <c r="R91" s="199">
        <f>cmadjust*$F92*Multipliers!L411</f>
        <v>0</v>
      </c>
      <c r="S91" s="199">
        <f>cmadjust*$F92*Multipliers!M411</f>
        <v>0</v>
      </c>
      <c r="T91" s="199">
        <f>cmadjust*$F92*Multipliers!N411</f>
        <v>0</v>
      </c>
      <c r="U91" s="199">
        <f>cmadjust*$F92*Multipliers!O411</f>
        <v>0</v>
      </c>
    </row>
    <row r="92" spans="3:21" x14ac:dyDescent="0.25">
      <c r="C92" t="s">
        <v>586</v>
      </c>
      <c r="D92" s="226">
        <f>SUM('General-Calculations'!L52:L56)*Multipliers!U411</f>
        <v>0</v>
      </c>
      <c r="E92">
        <f>SUM($D$36:$BD$36)*Multipliers!U411/1000000</f>
        <v>0</v>
      </c>
      <c r="F92" s="422">
        <f t="shared" si="14"/>
        <v>0</v>
      </c>
      <c r="I92" t="s">
        <v>587</v>
      </c>
      <c r="J92" s="199">
        <f>cmadjust*$F93*Multipliers!D412</f>
        <v>0</v>
      </c>
      <c r="K92" s="199">
        <f>cmadjust*$F93*Multipliers!E412</f>
        <v>0</v>
      </c>
      <c r="L92" s="199">
        <f>cmadjust*$F93*Multipliers!F412</f>
        <v>0</v>
      </c>
      <c r="M92" s="199">
        <f>cmadjust*$F93*Multipliers!G412</f>
        <v>0</v>
      </c>
      <c r="N92" s="199">
        <f>cmadjust*$F93*Multipliers!H412</f>
        <v>0</v>
      </c>
      <c r="O92" s="199">
        <f>cmadjust*$F93*Multipliers!I412</f>
        <v>0</v>
      </c>
      <c r="P92" s="199">
        <f>cmadjust*$F93*Multipliers!J412</f>
        <v>0</v>
      </c>
      <c r="Q92" s="199">
        <f>cmadjust*$F93*Multipliers!K412</f>
        <v>0</v>
      </c>
      <c r="R92" s="199">
        <f>cmadjust*$F93*Multipliers!L412</f>
        <v>0</v>
      </c>
      <c r="S92" s="199">
        <f>cmadjust*$F93*Multipliers!M412</f>
        <v>0</v>
      </c>
      <c r="T92" s="199">
        <f>cmadjust*$F93*Multipliers!N412</f>
        <v>0</v>
      </c>
      <c r="U92" s="199">
        <f>cmadjust*$F93*Multipliers!O412</f>
        <v>0</v>
      </c>
    </row>
    <row r="93" spans="3:21" x14ac:dyDescent="0.25">
      <c r="C93" t="s">
        <v>587</v>
      </c>
      <c r="D93" s="226">
        <f>SUM('General-Calculations'!L53:L57)*Multipliers!U412</f>
        <v>0</v>
      </c>
      <c r="E93">
        <f>SUM($D$36:$BD$36)*Multipliers!U412/1000000</f>
        <v>0</v>
      </c>
      <c r="F93" s="422">
        <f t="shared" si="14"/>
        <v>0</v>
      </c>
      <c r="I93" t="s">
        <v>588</v>
      </c>
      <c r="J93" s="199">
        <f>cmadjust*$F94*Multipliers!D413</f>
        <v>0</v>
      </c>
      <c r="K93" s="199">
        <f>cmadjust*$F94*Multipliers!E413</f>
        <v>0</v>
      </c>
      <c r="L93" s="199">
        <f>cmadjust*$F94*Multipliers!F413</f>
        <v>0</v>
      </c>
      <c r="M93" s="199">
        <f>cmadjust*$F94*Multipliers!G413</f>
        <v>0</v>
      </c>
      <c r="N93" s="199">
        <f>cmadjust*$F94*Multipliers!H413</f>
        <v>0</v>
      </c>
      <c r="O93" s="199">
        <f>cmadjust*$F94*Multipliers!I413</f>
        <v>0</v>
      </c>
      <c r="P93" s="199">
        <f>cmadjust*$F94*Multipliers!J413</f>
        <v>0</v>
      </c>
      <c r="Q93" s="199">
        <f>cmadjust*$F94*Multipliers!K413</f>
        <v>0</v>
      </c>
      <c r="R93" s="199">
        <f>cmadjust*$F94*Multipliers!L413</f>
        <v>0</v>
      </c>
      <c r="S93" s="199">
        <f>cmadjust*$F94*Multipliers!M413</f>
        <v>0</v>
      </c>
      <c r="T93" s="199">
        <f>cmadjust*$F94*Multipliers!N413</f>
        <v>0</v>
      </c>
      <c r="U93" s="199">
        <f>cmadjust*$F94*Multipliers!O413</f>
        <v>0</v>
      </c>
    </row>
    <row r="94" spans="3:21" x14ac:dyDescent="0.25">
      <c r="C94" t="s">
        <v>588</v>
      </c>
      <c r="D94" s="226">
        <f>SUM('General-Calculations'!L54:L58)*Multipliers!U413</f>
        <v>0</v>
      </c>
      <c r="E94">
        <f>SUM($D$36:$BD$36)*Multipliers!U413/1000000</f>
        <v>0</v>
      </c>
      <c r="F94" s="422">
        <f t="shared" si="14"/>
        <v>0</v>
      </c>
      <c r="I94" t="s">
        <v>348</v>
      </c>
      <c r="J94" s="199">
        <f>cmadjust*$F95*Multipliers!D414</f>
        <v>0</v>
      </c>
      <c r="K94" s="199">
        <f>cmadjust*$F95*Multipliers!E414</f>
        <v>0</v>
      </c>
      <c r="L94" s="199">
        <f>cmadjust*$F95*Multipliers!F414</f>
        <v>0</v>
      </c>
      <c r="M94" s="199">
        <f>cmadjust*$F95*Multipliers!G414</f>
        <v>0</v>
      </c>
      <c r="N94" s="199">
        <f>cmadjust*$F95*Multipliers!H414</f>
        <v>0</v>
      </c>
      <c r="O94" s="199">
        <f>cmadjust*$F95*Multipliers!I414</f>
        <v>0</v>
      </c>
      <c r="P94" s="199">
        <f>cmadjust*$F95*Multipliers!J414</f>
        <v>0</v>
      </c>
      <c r="Q94" s="199">
        <f>cmadjust*$F95*Multipliers!K414</f>
        <v>0</v>
      </c>
      <c r="R94" s="199">
        <f>cmadjust*$F95*Multipliers!L414</f>
        <v>0</v>
      </c>
      <c r="S94" s="199">
        <f>cmadjust*$F95*Multipliers!M414</f>
        <v>0</v>
      </c>
      <c r="T94" s="199">
        <f>cmadjust*$F95*Multipliers!N414</f>
        <v>0</v>
      </c>
      <c r="U94" s="199">
        <f>cmadjust*$F95*Multipliers!O414</f>
        <v>0</v>
      </c>
    </row>
    <row r="95" spans="3:21" x14ac:dyDescent="0.25">
      <c r="C95" t="s">
        <v>348</v>
      </c>
      <c r="D95" s="226">
        <f>SUM('General-Calculations'!L55:L59)*Multipliers!U414</f>
        <v>0</v>
      </c>
      <c r="E95">
        <f>SUM($D$36:$BD$36)*Multipliers!U414/1000000</f>
        <v>0</v>
      </c>
      <c r="F95" s="422">
        <f t="shared" si="14"/>
        <v>0</v>
      </c>
      <c r="I95" t="s">
        <v>589</v>
      </c>
      <c r="J95" s="199">
        <f>cmadjust*$F96*Multipliers!D415</f>
        <v>0</v>
      </c>
      <c r="K95" s="199">
        <f>cmadjust*$F96*Multipliers!E415</f>
        <v>0</v>
      </c>
      <c r="L95" s="199">
        <f>cmadjust*$F96*Multipliers!F415</f>
        <v>0</v>
      </c>
      <c r="M95" s="199">
        <f>cmadjust*$F96*Multipliers!G415</f>
        <v>0</v>
      </c>
      <c r="N95" s="199">
        <f>cmadjust*$F96*Multipliers!H415</f>
        <v>0</v>
      </c>
      <c r="O95" s="199">
        <f>cmadjust*$F96*Multipliers!I415</f>
        <v>0</v>
      </c>
      <c r="P95" s="199">
        <f>cmadjust*$F96*Multipliers!J415</f>
        <v>0</v>
      </c>
      <c r="Q95" s="199">
        <f>cmadjust*$F96*Multipliers!K415</f>
        <v>0</v>
      </c>
      <c r="R95" s="199">
        <f>cmadjust*$F96*Multipliers!L415</f>
        <v>0</v>
      </c>
      <c r="S95" s="199">
        <f>cmadjust*$F96*Multipliers!M415</f>
        <v>0</v>
      </c>
      <c r="T95" s="199">
        <f>cmadjust*$F96*Multipliers!N415</f>
        <v>0</v>
      </c>
      <c r="U95" s="199">
        <f>cmadjust*$F96*Multipliers!O415</f>
        <v>0</v>
      </c>
    </row>
    <row r="96" spans="3:21" x14ac:dyDescent="0.25">
      <c r="C96" t="s">
        <v>589</v>
      </c>
      <c r="D96" s="226">
        <f>SUM('General-Calculations'!L56:L60)*Multipliers!U415</f>
        <v>0</v>
      </c>
      <c r="E96">
        <f>SUM($D$36:$BD$36)*Multipliers!U415/1000000</f>
        <v>0</v>
      </c>
      <c r="F96" s="422">
        <f t="shared" si="14"/>
        <v>0</v>
      </c>
      <c r="I96" t="s">
        <v>590</v>
      </c>
      <c r="J96" s="199">
        <f>cmadjust*$F97*Multipliers!D416</f>
        <v>0</v>
      </c>
      <c r="K96" s="199">
        <f>cmadjust*$F97*Multipliers!E416</f>
        <v>0</v>
      </c>
      <c r="L96" s="199">
        <f>cmadjust*$F97*Multipliers!F416</f>
        <v>0</v>
      </c>
      <c r="M96" s="199">
        <f>cmadjust*$F97*Multipliers!G416</f>
        <v>0</v>
      </c>
      <c r="N96" s="199">
        <f>cmadjust*$F97*Multipliers!H416</f>
        <v>0</v>
      </c>
      <c r="O96" s="199">
        <f>cmadjust*$F97*Multipliers!I416</f>
        <v>0</v>
      </c>
      <c r="P96" s="199">
        <f>cmadjust*$F97*Multipliers!J416</f>
        <v>0</v>
      </c>
      <c r="Q96" s="199">
        <f>cmadjust*$F97*Multipliers!K416</f>
        <v>0</v>
      </c>
      <c r="R96" s="199">
        <f>cmadjust*$F97*Multipliers!L416</f>
        <v>0</v>
      </c>
      <c r="S96" s="199">
        <f>cmadjust*$F97*Multipliers!M416</f>
        <v>0</v>
      </c>
      <c r="T96" s="199">
        <f>cmadjust*$F97*Multipliers!N416</f>
        <v>0</v>
      </c>
      <c r="U96" s="199">
        <f>cmadjust*$F97*Multipliers!O416</f>
        <v>0</v>
      </c>
    </row>
    <row r="97" spans="3:21" x14ac:dyDescent="0.25">
      <c r="C97" t="s">
        <v>590</v>
      </c>
      <c r="D97" s="226">
        <f>SUM('General-Calculations'!L57:L61)*Multipliers!U416</f>
        <v>0</v>
      </c>
      <c r="E97">
        <f>SUM($D$36:$BD$36)*Multipliers!U416/1000000</f>
        <v>0</v>
      </c>
      <c r="F97" s="422">
        <f t="shared" si="14"/>
        <v>0</v>
      </c>
      <c r="I97" t="s">
        <v>591</v>
      </c>
      <c r="J97" s="199">
        <f>cmadjust*$F98*Multipliers!D417</f>
        <v>0</v>
      </c>
      <c r="K97" s="199">
        <f>cmadjust*$F98*Multipliers!E417</f>
        <v>0</v>
      </c>
      <c r="L97" s="199">
        <f>cmadjust*$F98*Multipliers!F417</f>
        <v>0</v>
      </c>
      <c r="M97" s="199">
        <f>cmadjust*$F98*Multipliers!G417</f>
        <v>0</v>
      </c>
      <c r="N97" s="199">
        <f>cmadjust*$F98*Multipliers!H417</f>
        <v>0</v>
      </c>
      <c r="O97" s="199">
        <f>cmadjust*$F98*Multipliers!I417</f>
        <v>0</v>
      </c>
      <c r="P97" s="199">
        <f>cmadjust*$F98*Multipliers!J417</f>
        <v>0</v>
      </c>
      <c r="Q97" s="199">
        <f>cmadjust*$F98*Multipliers!K417</f>
        <v>0</v>
      </c>
      <c r="R97" s="199">
        <f>cmadjust*$F98*Multipliers!L417</f>
        <v>0</v>
      </c>
      <c r="S97" s="199">
        <f>cmadjust*$F98*Multipliers!M417</f>
        <v>0</v>
      </c>
      <c r="T97" s="199">
        <f>cmadjust*$F98*Multipliers!N417</f>
        <v>0</v>
      </c>
      <c r="U97" s="199">
        <f>cmadjust*$F98*Multipliers!O417</f>
        <v>0</v>
      </c>
    </row>
    <row r="98" spans="3:21" x14ac:dyDescent="0.25">
      <c r="C98" t="s">
        <v>591</v>
      </c>
      <c r="D98" s="226">
        <f>SUM('General-Calculations'!L58:L62)*Multipliers!U417</f>
        <v>0</v>
      </c>
      <c r="E98">
        <f>SUM($D$36:$BD$36)*Multipliers!U417/1000000</f>
        <v>0</v>
      </c>
      <c r="F98" s="422">
        <f t="shared" si="14"/>
        <v>0</v>
      </c>
      <c r="I98" t="s">
        <v>592</v>
      </c>
      <c r="J98" s="199">
        <f>cmadjust*$F99*Multipliers!D418</f>
        <v>0</v>
      </c>
      <c r="K98" s="199">
        <f>cmadjust*$F99*Multipliers!E418</f>
        <v>0</v>
      </c>
      <c r="L98" s="199">
        <f>cmadjust*$F99*Multipliers!F418</f>
        <v>0</v>
      </c>
      <c r="M98" s="199">
        <f>cmadjust*$F99*Multipliers!G418</f>
        <v>0</v>
      </c>
      <c r="N98" s="199">
        <f>cmadjust*$F99*Multipliers!H418</f>
        <v>0</v>
      </c>
      <c r="O98" s="199">
        <f>cmadjust*$F99*Multipliers!I418</f>
        <v>0</v>
      </c>
      <c r="P98" s="199">
        <f>cmadjust*$F99*Multipliers!J418</f>
        <v>0</v>
      </c>
      <c r="Q98" s="199">
        <f>cmadjust*$F99*Multipliers!K418</f>
        <v>0</v>
      </c>
      <c r="R98" s="199">
        <f>cmadjust*$F99*Multipliers!L418</f>
        <v>0</v>
      </c>
      <c r="S98" s="199">
        <f>cmadjust*$F99*Multipliers!M418</f>
        <v>0</v>
      </c>
      <c r="T98" s="199">
        <f>cmadjust*$F99*Multipliers!N418</f>
        <v>0</v>
      </c>
      <c r="U98" s="199">
        <f>cmadjust*$F99*Multipliers!O418</f>
        <v>0</v>
      </c>
    </row>
    <row r="99" spans="3:21" x14ac:dyDescent="0.25">
      <c r="C99" t="s">
        <v>592</v>
      </c>
      <c r="D99" s="226">
        <f>SUM('General-Calculations'!L59:L63)*Multipliers!U418</f>
        <v>0</v>
      </c>
      <c r="E99">
        <f>SUM($D$36:$BD$36)*Multipliers!U418/1000000</f>
        <v>0</v>
      </c>
      <c r="F99" s="422">
        <f t="shared" si="14"/>
        <v>0</v>
      </c>
      <c r="I99" t="s">
        <v>593</v>
      </c>
      <c r="J99" s="199">
        <f>cmadjust*$F100*Multipliers!D419</f>
        <v>0</v>
      </c>
      <c r="K99" s="199">
        <f>cmadjust*$F100*Multipliers!E419</f>
        <v>0</v>
      </c>
      <c r="L99" s="199">
        <f>cmadjust*$F100*Multipliers!F419</f>
        <v>0</v>
      </c>
      <c r="M99" s="199">
        <f>cmadjust*$F100*Multipliers!G419</f>
        <v>0</v>
      </c>
      <c r="N99" s="199">
        <f>cmadjust*$F100*Multipliers!H419</f>
        <v>0</v>
      </c>
      <c r="O99" s="199">
        <f>cmadjust*$F100*Multipliers!I419</f>
        <v>0</v>
      </c>
      <c r="P99" s="199">
        <f>cmadjust*$F100*Multipliers!J419</f>
        <v>0</v>
      </c>
      <c r="Q99" s="199">
        <f>cmadjust*$F100*Multipliers!K419</f>
        <v>0</v>
      </c>
      <c r="R99" s="199">
        <f>cmadjust*$F100*Multipliers!L419</f>
        <v>0</v>
      </c>
      <c r="S99" s="199">
        <f>cmadjust*$F100*Multipliers!M419</f>
        <v>0</v>
      </c>
      <c r="T99" s="199">
        <f>cmadjust*$F100*Multipliers!N419</f>
        <v>0</v>
      </c>
      <c r="U99" s="199">
        <f>cmadjust*$F100*Multipliers!O419</f>
        <v>0</v>
      </c>
    </row>
    <row r="100" spans="3:21" x14ac:dyDescent="0.25">
      <c r="C100" t="s">
        <v>593</v>
      </c>
      <c r="D100" s="226">
        <f>SUM('General-Calculations'!L60:L64)*Multipliers!U419</f>
        <v>0</v>
      </c>
      <c r="E100">
        <f>SUM($D$36:$BD$36)*Multipliers!U419/1000000</f>
        <v>0</v>
      </c>
      <c r="F100" s="422">
        <f t="shared" si="14"/>
        <v>0</v>
      </c>
      <c r="I100" t="s">
        <v>594</v>
      </c>
      <c r="J100" s="199">
        <f>cmadjust*$F101*Multipliers!D420</f>
        <v>0</v>
      </c>
      <c r="K100" s="199">
        <f>cmadjust*$F101*Multipliers!E420</f>
        <v>0</v>
      </c>
      <c r="L100" s="199">
        <f>cmadjust*$F101*Multipliers!F420</f>
        <v>0</v>
      </c>
      <c r="M100" s="199">
        <f>cmadjust*$F101*Multipliers!G420</f>
        <v>0</v>
      </c>
      <c r="N100" s="199">
        <f>cmadjust*$F101*Multipliers!H420</f>
        <v>0</v>
      </c>
      <c r="O100" s="199">
        <f>cmadjust*$F101*Multipliers!I420</f>
        <v>0</v>
      </c>
      <c r="P100" s="199">
        <f>cmadjust*$F101*Multipliers!J420</f>
        <v>0</v>
      </c>
      <c r="Q100" s="199">
        <f>cmadjust*$F101*Multipliers!K420</f>
        <v>0</v>
      </c>
      <c r="R100" s="199">
        <f>cmadjust*$F101*Multipliers!L420</f>
        <v>0</v>
      </c>
      <c r="S100" s="199">
        <f>cmadjust*$F101*Multipliers!M420</f>
        <v>0</v>
      </c>
      <c r="T100" s="199">
        <f>cmadjust*$F101*Multipliers!N420</f>
        <v>0</v>
      </c>
      <c r="U100" s="199">
        <f>cmadjust*$F101*Multipliers!O420</f>
        <v>0</v>
      </c>
    </row>
    <row r="101" spans="3:21" x14ac:dyDescent="0.25">
      <c r="C101" t="s">
        <v>594</v>
      </c>
      <c r="D101" s="226">
        <f>SUM('General-Calculations'!L61:L65)*Multipliers!U420</f>
        <v>0</v>
      </c>
      <c r="E101">
        <f>SUM($D$36:$BD$36)*Multipliers!U420/1000000</f>
        <v>0</v>
      </c>
      <c r="F101" s="422">
        <f t="shared" si="14"/>
        <v>0</v>
      </c>
      <c r="I101" t="s">
        <v>415</v>
      </c>
      <c r="J101" s="199">
        <f>cmadjust*$F102*Multipliers!D421</f>
        <v>0</v>
      </c>
      <c r="K101" s="199">
        <f>cmadjust*$F102*Multipliers!E421</f>
        <v>0</v>
      </c>
      <c r="L101" s="199">
        <f>cmadjust*$F102*Multipliers!F421</f>
        <v>0</v>
      </c>
      <c r="M101" s="199">
        <f>cmadjust*$F102*Multipliers!G421</f>
        <v>0</v>
      </c>
      <c r="N101" s="199">
        <f>cmadjust*$F102*Multipliers!H421</f>
        <v>0</v>
      </c>
      <c r="O101" s="199">
        <f>cmadjust*$F102*Multipliers!I421</f>
        <v>0</v>
      </c>
      <c r="P101" s="199">
        <f>cmadjust*$F102*Multipliers!J421</f>
        <v>0</v>
      </c>
      <c r="Q101" s="199">
        <f>cmadjust*$F102*Multipliers!K421</f>
        <v>0</v>
      </c>
      <c r="R101" s="199">
        <f>cmadjust*$F102*Multipliers!L421</f>
        <v>0</v>
      </c>
      <c r="S101" s="199">
        <f>cmadjust*$F102*Multipliers!M421</f>
        <v>0</v>
      </c>
      <c r="T101" s="199">
        <f>cmadjust*$F102*Multipliers!N421</f>
        <v>0</v>
      </c>
      <c r="U101" s="199">
        <f>cmadjust*$F102*Multipliers!O421</f>
        <v>0</v>
      </c>
    </row>
    <row r="102" spans="3:21" x14ac:dyDescent="0.25">
      <c r="C102" t="s">
        <v>415</v>
      </c>
      <c r="D102" s="226">
        <f>SUM('General-Calculations'!L62:L66)*Multipliers!U421</f>
        <v>0</v>
      </c>
      <c r="E102">
        <f>SUM($D$36:$BD$36)*Multipliers!U421/1000000</f>
        <v>0</v>
      </c>
      <c r="F102" s="422">
        <f t="shared" si="14"/>
        <v>0</v>
      </c>
      <c r="I102" t="s">
        <v>595</v>
      </c>
      <c r="J102" s="199">
        <f>cmadjust*$F103*Multipliers!D422</f>
        <v>0</v>
      </c>
      <c r="K102" s="199">
        <f>cmadjust*$F103*Multipliers!E422</f>
        <v>0</v>
      </c>
      <c r="L102" s="199">
        <f>cmadjust*$F103*Multipliers!F422</f>
        <v>0</v>
      </c>
      <c r="M102" s="199">
        <f>cmadjust*$F103*Multipliers!G422</f>
        <v>0</v>
      </c>
      <c r="N102" s="199">
        <f>cmadjust*$F103*Multipliers!H422</f>
        <v>0</v>
      </c>
      <c r="O102" s="199">
        <f>cmadjust*$F103*Multipliers!I422</f>
        <v>0</v>
      </c>
      <c r="P102" s="199">
        <f>cmadjust*$F103*Multipliers!J422</f>
        <v>0</v>
      </c>
      <c r="Q102" s="199">
        <f>cmadjust*$F103*Multipliers!K422</f>
        <v>0</v>
      </c>
      <c r="R102" s="199">
        <f>cmadjust*$F103*Multipliers!L422</f>
        <v>0</v>
      </c>
      <c r="S102" s="199">
        <f>cmadjust*$F103*Multipliers!M422</f>
        <v>0</v>
      </c>
      <c r="T102" s="199">
        <f>cmadjust*$F103*Multipliers!N422</f>
        <v>0</v>
      </c>
      <c r="U102" s="199">
        <f>cmadjust*$F103*Multipliers!O422</f>
        <v>0</v>
      </c>
    </row>
    <row r="103" spans="3:21" x14ac:dyDescent="0.25">
      <c r="C103" t="s">
        <v>595</v>
      </c>
      <c r="D103" s="226">
        <f>SUM('General-Calculations'!L63:L67)*Multipliers!U422</f>
        <v>0</v>
      </c>
      <c r="E103">
        <f>SUM($D$36:$BD$36)*Multipliers!U422/1000000</f>
        <v>0</v>
      </c>
      <c r="F103" s="422">
        <f t="shared" si="14"/>
        <v>0</v>
      </c>
      <c r="I103" t="s">
        <v>417</v>
      </c>
      <c r="J103" s="199">
        <f>cmadjust*$F104*Multipliers!D423</f>
        <v>0</v>
      </c>
      <c r="K103" s="199">
        <f>cmadjust*$F104*Multipliers!E423</f>
        <v>0</v>
      </c>
      <c r="L103" s="199">
        <f>cmadjust*$F104*Multipliers!F423</f>
        <v>0</v>
      </c>
      <c r="M103" s="199">
        <f>cmadjust*$F104*Multipliers!G423</f>
        <v>0</v>
      </c>
      <c r="N103" s="199">
        <f>cmadjust*$F104*Multipliers!H423</f>
        <v>0</v>
      </c>
      <c r="O103" s="199">
        <f>cmadjust*$F104*Multipliers!I423</f>
        <v>0</v>
      </c>
      <c r="P103" s="199">
        <f>cmadjust*$F104*Multipliers!J423</f>
        <v>0</v>
      </c>
      <c r="Q103" s="199">
        <f>cmadjust*$F104*Multipliers!K423</f>
        <v>0</v>
      </c>
      <c r="R103" s="199">
        <f>cmadjust*$F104*Multipliers!L423</f>
        <v>0</v>
      </c>
      <c r="S103" s="199">
        <f>cmadjust*$F104*Multipliers!M423</f>
        <v>0</v>
      </c>
      <c r="T103" s="199">
        <f>cmadjust*$F104*Multipliers!N423</f>
        <v>0</v>
      </c>
      <c r="U103" s="199">
        <f>cmadjust*$F104*Multipliers!O423</f>
        <v>0</v>
      </c>
    </row>
    <row r="104" spans="3:21" x14ac:dyDescent="0.25">
      <c r="C104" t="s">
        <v>417</v>
      </c>
      <c r="D104" s="226">
        <f>SUM('General-Calculations'!L64:L68)*Multipliers!U423</f>
        <v>0</v>
      </c>
      <c r="E104">
        <f>SUM($D$36:$BD$36)*Multipliers!U423/1000000</f>
        <v>0</v>
      </c>
      <c r="F104" s="422">
        <f t="shared" si="14"/>
        <v>0</v>
      </c>
      <c r="I104" t="s">
        <v>418</v>
      </c>
      <c r="J104" s="199">
        <f>cmadjust*$F105*Multipliers!D424</f>
        <v>0</v>
      </c>
      <c r="K104" s="199">
        <f>cmadjust*$F105*Multipliers!E424</f>
        <v>0</v>
      </c>
      <c r="L104" s="199">
        <f>cmadjust*$F105*Multipliers!F424</f>
        <v>0</v>
      </c>
      <c r="M104" s="199">
        <f>cmadjust*$F105*Multipliers!G424</f>
        <v>0</v>
      </c>
      <c r="N104" s="199">
        <f>cmadjust*$F105*Multipliers!H424</f>
        <v>0</v>
      </c>
      <c r="O104" s="199">
        <f>cmadjust*$F105*Multipliers!I424</f>
        <v>0</v>
      </c>
      <c r="P104" s="199">
        <f>cmadjust*$F105*Multipliers!J424</f>
        <v>0</v>
      </c>
      <c r="Q104" s="199">
        <f>cmadjust*$F105*Multipliers!K424</f>
        <v>0</v>
      </c>
      <c r="R104" s="199">
        <f>cmadjust*$F105*Multipliers!L424</f>
        <v>0</v>
      </c>
      <c r="S104" s="199">
        <f>cmadjust*$F105*Multipliers!M424</f>
        <v>0</v>
      </c>
      <c r="T104" s="199">
        <f>cmadjust*$F105*Multipliers!N424</f>
        <v>0</v>
      </c>
      <c r="U104" s="199">
        <f>cmadjust*$F105*Multipliers!O424</f>
        <v>0</v>
      </c>
    </row>
    <row r="105" spans="3:21" x14ac:dyDescent="0.25">
      <c r="C105" t="s">
        <v>418</v>
      </c>
      <c r="D105" s="226">
        <f>SUM('General-Calculations'!L65:L69)*Multipliers!U424</f>
        <v>0</v>
      </c>
      <c r="E105">
        <f>SUM($D$36:$BD$36)*Multipliers!U424/1000000</f>
        <v>0</v>
      </c>
      <c r="F105" s="422">
        <f t="shared" si="14"/>
        <v>0</v>
      </c>
      <c r="I105" t="s">
        <v>596</v>
      </c>
      <c r="J105" s="199">
        <f>cmadjust*$F106*Multipliers!D425</f>
        <v>0</v>
      </c>
      <c r="K105" s="199">
        <f>cmadjust*$F106*Multipliers!E425</f>
        <v>0</v>
      </c>
      <c r="L105" s="199">
        <f>cmadjust*$F106*Multipliers!F425</f>
        <v>0</v>
      </c>
      <c r="M105" s="199">
        <f>cmadjust*$F106*Multipliers!G425</f>
        <v>0</v>
      </c>
      <c r="N105" s="199">
        <f>cmadjust*$F106*Multipliers!H425</f>
        <v>0</v>
      </c>
      <c r="O105" s="199">
        <f>cmadjust*$F106*Multipliers!I425</f>
        <v>0</v>
      </c>
      <c r="P105" s="199">
        <f>cmadjust*$F106*Multipliers!J425</f>
        <v>0</v>
      </c>
      <c r="Q105" s="199">
        <f>cmadjust*$F106*Multipliers!K425</f>
        <v>0</v>
      </c>
      <c r="R105" s="199">
        <f>cmadjust*$F106*Multipliers!L425</f>
        <v>0</v>
      </c>
      <c r="S105" s="199">
        <f>cmadjust*$F106*Multipliers!M425</f>
        <v>0</v>
      </c>
      <c r="T105" s="199">
        <f>cmadjust*$F106*Multipliers!N425</f>
        <v>0</v>
      </c>
      <c r="U105" s="199">
        <f>cmadjust*$F106*Multipliers!O425</f>
        <v>0</v>
      </c>
    </row>
    <row r="106" spans="3:21" x14ac:dyDescent="0.25">
      <c r="C106" t="s">
        <v>596</v>
      </c>
      <c r="D106" s="226">
        <f>SUM('General-Calculations'!L66:L70)*Multipliers!U425</f>
        <v>0</v>
      </c>
      <c r="E106">
        <f>SUM($D$36:$BD$36)*Multipliers!U425/1000000</f>
        <v>0</v>
      </c>
      <c r="F106" s="422">
        <f t="shared" si="14"/>
        <v>0</v>
      </c>
      <c r="I106" t="s">
        <v>597</v>
      </c>
      <c r="J106" s="199">
        <f>cmadjust*$F107*Multipliers!D426</f>
        <v>0</v>
      </c>
      <c r="K106" s="199">
        <f>cmadjust*$F107*Multipliers!E426</f>
        <v>0</v>
      </c>
      <c r="L106" s="199">
        <f>cmadjust*$F107*Multipliers!F426</f>
        <v>0</v>
      </c>
      <c r="M106" s="199">
        <f>cmadjust*$F107*Multipliers!G426</f>
        <v>0</v>
      </c>
      <c r="N106" s="199">
        <f>cmadjust*$F107*Multipliers!H426</f>
        <v>0</v>
      </c>
      <c r="O106" s="199">
        <f>cmadjust*$F107*Multipliers!I426</f>
        <v>0</v>
      </c>
      <c r="P106" s="199">
        <f>cmadjust*$F107*Multipliers!J426</f>
        <v>0</v>
      </c>
      <c r="Q106" s="199">
        <f>cmadjust*$F107*Multipliers!K426</f>
        <v>0</v>
      </c>
      <c r="R106" s="199">
        <f>cmadjust*$F107*Multipliers!L426</f>
        <v>0</v>
      </c>
      <c r="S106" s="199">
        <f>cmadjust*$F107*Multipliers!M426</f>
        <v>0</v>
      </c>
      <c r="T106" s="199">
        <f>cmadjust*$F107*Multipliers!N426</f>
        <v>0</v>
      </c>
      <c r="U106" s="199">
        <f>cmadjust*$F107*Multipliers!O426</f>
        <v>0</v>
      </c>
    </row>
    <row r="107" spans="3:21" x14ac:dyDescent="0.25">
      <c r="C107" t="s">
        <v>597</v>
      </c>
      <c r="D107" s="226">
        <f>SUM('General-Calculations'!L67:L71)*Multipliers!U426</f>
        <v>0</v>
      </c>
      <c r="E107">
        <f>SUM($D$36:$BD$36)*Multipliers!U426/1000000</f>
        <v>0</v>
      </c>
      <c r="F107" s="422">
        <f>SUM(D107:E107)</f>
        <v>0</v>
      </c>
      <c r="I107" t="s">
        <v>598</v>
      </c>
      <c r="J107" s="199">
        <f>cmadjust*$F108*Multipliers!D427</f>
        <v>0</v>
      </c>
      <c r="K107" s="199">
        <f>cmadjust*$F108*Multipliers!E427</f>
        <v>0</v>
      </c>
      <c r="L107" s="199">
        <f>cmadjust*$F108*Multipliers!F427</f>
        <v>0</v>
      </c>
      <c r="M107" s="199">
        <f>cmadjust*$F108*Multipliers!G427</f>
        <v>0</v>
      </c>
      <c r="N107" s="199">
        <f>cmadjust*$F108*Multipliers!H427</f>
        <v>0</v>
      </c>
      <c r="O107" s="199">
        <f>cmadjust*$F108*Multipliers!I427</f>
        <v>0</v>
      </c>
      <c r="P107" s="199">
        <f>cmadjust*$F108*Multipliers!J427</f>
        <v>0</v>
      </c>
      <c r="Q107" s="199">
        <f>cmadjust*$F108*Multipliers!K427</f>
        <v>0</v>
      </c>
      <c r="R107" s="199">
        <f>cmadjust*$F108*Multipliers!L427</f>
        <v>0</v>
      </c>
      <c r="S107" s="199">
        <f>cmadjust*$F108*Multipliers!M427</f>
        <v>0</v>
      </c>
      <c r="T107" s="199">
        <f>cmadjust*$F108*Multipliers!N427</f>
        <v>0</v>
      </c>
      <c r="U107" s="199">
        <f>cmadjust*$F108*Multipliers!O427</f>
        <v>0</v>
      </c>
    </row>
    <row r="108" spans="3:21" x14ac:dyDescent="0.25">
      <c r="C108" t="s">
        <v>598</v>
      </c>
      <c r="D108" s="226">
        <f>SUM('General-Calculations'!L68:L72)*Multipliers!U427</f>
        <v>0</v>
      </c>
      <c r="E108">
        <f>SUM($D$36:$BD$36)*Multipliers!U427/1000000</f>
        <v>0</v>
      </c>
      <c r="F108" s="422">
        <f t="shared" si="14"/>
        <v>0</v>
      </c>
      <c r="I108" t="s">
        <v>599</v>
      </c>
      <c r="J108" s="199">
        <f>cmadjust*$F109*Multipliers!D428</f>
        <v>0</v>
      </c>
      <c r="K108" s="199">
        <f>cmadjust*$F109*Multipliers!E428</f>
        <v>0</v>
      </c>
      <c r="L108" s="199">
        <f>cmadjust*$F109*Multipliers!F428</f>
        <v>0</v>
      </c>
      <c r="M108" s="199">
        <f>cmadjust*$F109*Multipliers!G428</f>
        <v>0</v>
      </c>
      <c r="N108" s="199">
        <f>cmadjust*$F109*Multipliers!H428</f>
        <v>0</v>
      </c>
      <c r="O108" s="199">
        <f>cmadjust*$F109*Multipliers!I428</f>
        <v>0</v>
      </c>
      <c r="P108" s="199">
        <f>cmadjust*$F109*Multipliers!J428</f>
        <v>0</v>
      </c>
      <c r="Q108" s="199">
        <f>cmadjust*$F109*Multipliers!K428</f>
        <v>0</v>
      </c>
      <c r="R108" s="199">
        <f>cmadjust*$F109*Multipliers!L428</f>
        <v>0</v>
      </c>
      <c r="S108" s="199">
        <f>cmadjust*$F109*Multipliers!M428</f>
        <v>0</v>
      </c>
      <c r="T108" s="199">
        <f>cmadjust*$F109*Multipliers!N428</f>
        <v>0</v>
      </c>
      <c r="U108" s="199">
        <f>cmadjust*$F109*Multipliers!O428</f>
        <v>0</v>
      </c>
    </row>
    <row r="109" spans="3:21" x14ac:dyDescent="0.25">
      <c r="C109" t="s">
        <v>599</v>
      </c>
      <c r="D109" s="226">
        <f>SUM('General-Calculations'!L69:L73)*Multipliers!U428</f>
        <v>0</v>
      </c>
      <c r="E109">
        <f>SUM($D$36:$BD$36)*Multipliers!U428/1000000</f>
        <v>0</v>
      </c>
      <c r="F109" s="422">
        <f t="shared" si="14"/>
        <v>0</v>
      </c>
      <c r="I109" t="s">
        <v>423</v>
      </c>
      <c r="J109" s="199">
        <f>cmadjust*$F110*Multipliers!D429</f>
        <v>0</v>
      </c>
      <c r="K109" s="199">
        <f>cmadjust*$F110*Multipliers!E429</f>
        <v>0</v>
      </c>
      <c r="L109" s="199">
        <f>cmadjust*$F110*Multipliers!F429</f>
        <v>0</v>
      </c>
      <c r="M109" s="199">
        <f>cmadjust*$F110*Multipliers!G429</f>
        <v>0</v>
      </c>
      <c r="N109" s="199">
        <f>cmadjust*$F110*Multipliers!H429</f>
        <v>0</v>
      </c>
      <c r="O109" s="199">
        <f>cmadjust*$F110*Multipliers!I429</f>
        <v>0</v>
      </c>
      <c r="P109" s="199">
        <f>cmadjust*$F110*Multipliers!J429</f>
        <v>0</v>
      </c>
      <c r="Q109" s="199">
        <f>cmadjust*$F110*Multipliers!K429</f>
        <v>0</v>
      </c>
      <c r="R109" s="199">
        <f>cmadjust*$F110*Multipliers!L429</f>
        <v>0</v>
      </c>
      <c r="S109" s="199">
        <f>cmadjust*$F110*Multipliers!M429</f>
        <v>0</v>
      </c>
      <c r="T109" s="199">
        <f>cmadjust*$F110*Multipliers!N429</f>
        <v>0</v>
      </c>
      <c r="U109" s="199">
        <f>cmadjust*$F110*Multipliers!O429</f>
        <v>0</v>
      </c>
    </row>
    <row r="110" spans="3:21" x14ac:dyDescent="0.25">
      <c r="C110" t="s">
        <v>423</v>
      </c>
      <c r="D110" s="226">
        <f>SUM('General-Calculations'!L70:L74)*Multipliers!U429</f>
        <v>0</v>
      </c>
      <c r="E110">
        <f>SUM($D$36:$BD$36)*Multipliers!U429/1000000</f>
        <v>0</v>
      </c>
      <c r="F110" s="422">
        <f t="shared" si="14"/>
        <v>0</v>
      </c>
      <c r="I110" t="s">
        <v>600</v>
      </c>
      <c r="J110" s="199">
        <f>cmadjust*$F111*Multipliers!D430</f>
        <v>0</v>
      </c>
      <c r="K110" s="199">
        <f>cmadjust*$F111*Multipliers!E430</f>
        <v>0</v>
      </c>
      <c r="L110" s="199">
        <f>cmadjust*$F111*Multipliers!F430</f>
        <v>0</v>
      </c>
      <c r="M110" s="199">
        <f>cmadjust*$F111*Multipliers!G430</f>
        <v>0</v>
      </c>
      <c r="N110" s="199">
        <f>cmadjust*$F111*Multipliers!H430</f>
        <v>0</v>
      </c>
      <c r="O110" s="199">
        <f>cmadjust*$F111*Multipliers!I430</f>
        <v>0</v>
      </c>
      <c r="P110" s="199">
        <f>cmadjust*$F111*Multipliers!J430</f>
        <v>0</v>
      </c>
      <c r="Q110" s="199">
        <f>cmadjust*$F111*Multipliers!K430</f>
        <v>0</v>
      </c>
      <c r="R110" s="199">
        <f>cmadjust*$F111*Multipliers!L430</f>
        <v>0</v>
      </c>
      <c r="S110" s="199">
        <f>cmadjust*$F111*Multipliers!M430</f>
        <v>0</v>
      </c>
      <c r="T110" s="199">
        <f>cmadjust*$F111*Multipliers!N430</f>
        <v>0</v>
      </c>
      <c r="U110" s="199">
        <f>cmadjust*$F111*Multipliers!O430</f>
        <v>0</v>
      </c>
    </row>
    <row r="111" spans="3:21" x14ac:dyDescent="0.25">
      <c r="C111" t="s">
        <v>600</v>
      </c>
      <c r="D111" s="226">
        <f>SUM('General-Calculations'!L71:L75)*Multipliers!U430</f>
        <v>0</v>
      </c>
      <c r="E111">
        <f>SUM($D$36:$BD$36)*Multipliers!U430/1000000</f>
        <v>0</v>
      </c>
      <c r="F111" s="422">
        <f t="shared" si="14"/>
        <v>0</v>
      </c>
      <c r="I111" t="s">
        <v>601</v>
      </c>
      <c r="J111" s="199">
        <f>cmadjust*$F112*Multipliers!D431</f>
        <v>0</v>
      </c>
      <c r="K111" s="199">
        <f>cmadjust*$F112*Multipliers!E431</f>
        <v>0</v>
      </c>
      <c r="L111" s="199">
        <f>cmadjust*$F112*Multipliers!F431</f>
        <v>0</v>
      </c>
      <c r="M111" s="199">
        <f>cmadjust*$F112*Multipliers!G431</f>
        <v>0</v>
      </c>
      <c r="N111" s="199">
        <f>cmadjust*$F112*Multipliers!H431</f>
        <v>0</v>
      </c>
      <c r="O111" s="199">
        <f>cmadjust*$F112*Multipliers!I431</f>
        <v>0</v>
      </c>
      <c r="P111" s="199">
        <f>cmadjust*$F112*Multipliers!J431</f>
        <v>0</v>
      </c>
      <c r="Q111" s="199">
        <f>cmadjust*$F112*Multipliers!K431</f>
        <v>0</v>
      </c>
      <c r="R111" s="199">
        <f>cmadjust*$F112*Multipliers!L431</f>
        <v>0</v>
      </c>
      <c r="S111" s="199">
        <f>cmadjust*$F112*Multipliers!M431</f>
        <v>0</v>
      </c>
      <c r="T111" s="199">
        <f>cmadjust*$F112*Multipliers!N431</f>
        <v>0</v>
      </c>
      <c r="U111" s="199">
        <f>cmadjust*$F112*Multipliers!O431</f>
        <v>0</v>
      </c>
    </row>
    <row r="112" spans="3:21" x14ac:dyDescent="0.25">
      <c r="C112" t="s">
        <v>601</v>
      </c>
      <c r="D112" s="226">
        <f>SUM('General-Calculations'!L72:L76)*Multipliers!U431</f>
        <v>0</v>
      </c>
      <c r="E112">
        <f>SUM($D$36:$BD$36)*Multipliers!U431/1000000</f>
        <v>0</v>
      </c>
      <c r="F112" s="422">
        <f t="shared" si="14"/>
        <v>0</v>
      </c>
      <c r="I112" t="s">
        <v>602</v>
      </c>
      <c r="J112" s="199">
        <f>cmadjust*$F113*Multipliers!D432</f>
        <v>0</v>
      </c>
      <c r="K112" s="199">
        <f>cmadjust*$F113*Multipliers!E432</f>
        <v>0</v>
      </c>
      <c r="L112" s="199">
        <f>cmadjust*$F113*Multipliers!F432</f>
        <v>0</v>
      </c>
      <c r="M112" s="199">
        <f>cmadjust*$F113*Multipliers!G432</f>
        <v>0</v>
      </c>
      <c r="N112" s="199">
        <f>cmadjust*$F113*Multipliers!H432</f>
        <v>0</v>
      </c>
      <c r="O112" s="199">
        <f>cmadjust*$F113*Multipliers!I432</f>
        <v>0</v>
      </c>
      <c r="P112" s="199">
        <f>cmadjust*$F113*Multipliers!J432</f>
        <v>0</v>
      </c>
      <c r="Q112" s="199">
        <f>cmadjust*$F113*Multipliers!K432</f>
        <v>0</v>
      </c>
      <c r="R112" s="199">
        <f>cmadjust*$F113*Multipliers!L432</f>
        <v>0</v>
      </c>
      <c r="S112" s="199">
        <f>cmadjust*$F113*Multipliers!M432</f>
        <v>0</v>
      </c>
      <c r="T112" s="199">
        <f>cmadjust*$F113*Multipliers!N432</f>
        <v>0</v>
      </c>
      <c r="U112" s="199">
        <f>cmadjust*$F113*Multipliers!O432</f>
        <v>0</v>
      </c>
    </row>
    <row r="113" spans="3:21" x14ac:dyDescent="0.25">
      <c r="C113" t="s">
        <v>602</v>
      </c>
      <c r="D113" s="226">
        <f>SUM('General-Calculations'!L73:L77)*Multipliers!U432</f>
        <v>0</v>
      </c>
      <c r="E113">
        <f>SUM($D$36:$BD$36)*Multipliers!U432/1000000</f>
        <v>0</v>
      </c>
      <c r="F113" s="423">
        <f t="shared" si="14"/>
        <v>0</v>
      </c>
      <c r="I113" t="s">
        <v>375</v>
      </c>
      <c r="J113" s="228">
        <f>SUM(J86:J112)</f>
        <v>0</v>
      </c>
      <c r="K113" s="228">
        <f t="shared" ref="K113:U113" si="15">SUM(K86:K112)</f>
        <v>0</v>
      </c>
      <c r="L113" s="228">
        <f t="shared" si="15"/>
        <v>0</v>
      </c>
      <c r="M113" s="228">
        <f t="shared" si="15"/>
        <v>0</v>
      </c>
      <c r="N113" s="228">
        <f t="shared" si="15"/>
        <v>0</v>
      </c>
      <c r="O113" s="228">
        <f t="shared" si="15"/>
        <v>0</v>
      </c>
      <c r="P113" s="228">
        <f t="shared" si="15"/>
        <v>0</v>
      </c>
      <c r="Q113" s="228">
        <f t="shared" si="15"/>
        <v>0</v>
      </c>
      <c r="R113" s="228">
        <f t="shared" si="15"/>
        <v>0</v>
      </c>
      <c r="S113" s="228">
        <f t="shared" si="15"/>
        <v>0</v>
      </c>
      <c r="T113" s="228">
        <f t="shared" si="15"/>
        <v>0</v>
      </c>
      <c r="U113" s="228">
        <f t="shared" si="15"/>
        <v>0</v>
      </c>
    </row>
    <row r="115" spans="3:21" x14ac:dyDescent="0.25">
      <c r="I115" t="str">
        <f>J83</f>
        <v>Induced</v>
      </c>
      <c r="J115" t="s">
        <v>357</v>
      </c>
      <c r="K115" t="s">
        <v>499</v>
      </c>
      <c r="L115" t="s">
        <v>359</v>
      </c>
      <c r="M115" t="s">
        <v>580</v>
      </c>
    </row>
    <row r="116" spans="3:21" x14ac:dyDescent="0.25">
      <c r="I116" t="s">
        <v>604</v>
      </c>
    </row>
    <row r="117" spans="3:21" x14ac:dyDescent="0.25">
      <c r="I117" t="s">
        <v>374</v>
      </c>
      <c r="J117" s="228">
        <f>SUM(J113:L113)</f>
        <v>0</v>
      </c>
      <c r="K117" s="228">
        <f>SUM(M113:O113)</f>
        <v>0</v>
      </c>
      <c r="L117" s="228">
        <f>SUM(P113:R113)</f>
        <v>0</v>
      </c>
      <c r="M117" s="228">
        <f>SUM(S113:U113)</f>
        <v>0</v>
      </c>
    </row>
    <row r="122" spans="3:21" x14ac:dyDescent="0.25">
      <c r="E122" t="s">
        <v>357</v>
      </c>
      <c r="F122" t="s">
        <v>499</v>
      </c>
      <c r="G122" t="s">
        <v>359</v>
      </c>
      <c r="H122" t="s">
        <v>580</v>
      </c>
    </row>
    <row r="123" spans="3:21" x14ac:dyDescent="0.25">
      <c r="C123" s="264" t="s">
        <v>604</v>
      </c>
      <c r="D123" s="264" t="s">
        <v>367</v>
      </c>
      <c r="E123" s="270">
        <f>BH39</f>
        <v>0</v>
      </c>
      <c r="F123" s="600">
        <f>BI39*mcadjust</f>
        <v>0</v>
      </c>
      <c r="G123" s="600">
        <f>BJ39*mcadjust</f>
        <v>0</v>
      </c>
      <c r="H123" s="600">
        <f>BK39*mcadjust</f>
        <v>0</v>
      </c>
    </row>
    <row r="124" spans="3:21" x14ac:dyDescent="0.25">
      <c r="C124" s="264"/>
      <c r="D124" s="264" t="s">
        <v>152</v>
      </c>
      <c r="E124" s="270">
        <f>BU39</f>
        <v>0</v>
      </c>
      <c r="F124" s="600">
        <f>BV39*mcadjust</f>
        <v>0</v>
      </c>
      <c r="G124" s="600">
        <f>BW39*mcadjust</f>
        <v>0</v>
      </c>
      <c r="H124" s="600">
        <f>BX39*mcadjust</f>
        <v>0</v>
      </c>
    </row>
    <row r="125" spans="3:21" x14ac:dyDescent="0.25">
      <c r="C125" s="264"/>
      <c r="D125" s="264" t="s">
        <v>370</v>
      </c>
      <c r="E125" s="270">
        <f>CH39</f>
        <v>0</v>
      </c>
      <c r="F125" s="600">
        <f>CI39*mcadjust</f>
        <v>0</v>
      </c>
      <c r="G125" s="600">
        <f>CJ39*mcadjust</f>
        <v>0</v>
      </c>
      <c r="H125" s="600">
        <f>CK39*mcadjust</f>
        <v>0</v>
      </c>
    </row>
    <row r="126" spans="3:21" x14ac:dyDescent="0.25">
      <c r="C126" s="264"/>
      <c r="D126" s="264" t="s">
        <v>205</v>
      </c>
      <c r="E126">
        <f>X79</f>
        <v>0</v>
      </c>
      <c r="F126" s="226">
        <f>Y79*mcadjust</f>
        <v>0</v>
      </c>
      <c r="G126" s="226">
        <f>Z79*mcadjust</f>
        <v>0</v>
      </c>
      <c r="H126" s="226">
        <f>AA79*mcadjust</f>
        <v>0</v>
      </c>
    </row>
    <row r="127" spans="3:21" x14ac:dyDescent="0.25">
      <c r="C127" s="264"/>
      <c r="D127" s="264" t="s">
        <v>371</v>
      </c>
      <c r="E127">
        <f>AL79</f>
        <v>0</v>
      </c>
      <c r="F127" s="226">
        <f>AM79*mcadjust</f>
        <v>0</v>
      </c>
      <c r="G127" s="226">
        <f>AN79*mcadjust</f>
        <v>0</v>
      </c>
      <c r="H127" s="226">
        <f>AO79*mcadjust</f>
        <v>0</v>
      </c>
    </row>
    <row r="128" spans="3:21" x14ac:dyDescent="0.25">
      <c r="C128" s="264"/>
      <c r="D128" s="264" t="s">
        <v>372</v>
      </c>
      <c r="E128">
        <f>AZ79</f>
        <v>0</v>
      </c>
      <c r="F128" s="226">
        <f>BA79*mcadjust</f>
        <v>0</v>
      </c>
      <c r="G128" s="226">
        <f>BB79*mcadjust</f>
        <v>0</v>
      </c>
      <c r="H128" s="226">
        <f>BC79*mcadjust</f>
        <v>0</v>
      </c>
    </row>
    <row r="129" spans="3:8" x14ac:dyDescent="0.25">
      <c r="C129" s="264"/>
      <c r="D129" s="2" t="s">
        <v>225</v>
      </c>
      <c r="E129">
        <f>CP79</f>
        <v>0</v>
      </c>
      <c r="F129" s="226">
        <f t="shared" ref="F129:H129" si="16">CQ79</f>
        <v>0</v>
      </c>
      <c r="G129" s="226">
        <f t="shared" si="16"/>
        <v>0</v>
      </c>
      <c r="H129" s="226">
        <f t="shared" si="16"/>
        <v>0</v>
      </c>
    </row>
    <row r="130" spans="3:8" x14ac:dyDescent="0.25">
      <c r="C130" s="264"/>
      <c r="D130" s="2" t="s">
        <v>606</v>
      </c>
      <c r="E130">
        <f>CB79</f>
        <v>0</v>
      </c>
      <c r="F130" s="226">
        <f>CC79*mcadjust</f>
        <v>0</v>
      </c>
      <c r="G130" s="226">
        <f>CD79*mcadjust</f>
        <v>0</v>
      </c>
      <c r="H130" s="226">
        <f>CE79*mcadjust</f>
        <v>0</v>
      </c>
    </row>
    <row r="131" spans="3:8" x14ac:dyDescent="0.25">
      <c r="C131" s="264"/>
      <c r="D131" s="264" t="s">
        <v>373</v>
      </c>
      <c r="E131">
        <f>BN79</f>
        <v>0</v>
      </c>
      <c r="F131" s="226">
        <f>BO79*mcadjust</f>
        <v>0</v>
      </c>
      <c r="G131" s="226">
        <f>BP79*mcadjust</f>
        <v>0</v>
      </c>
      <c r="H131" s="226">
        <f>BQ79*mcadjust</f>
        <v>0</v>
      </c>
    </row>
    <row r="132" spans="3:8" x14ac:dyDescent="0.25">
      <c r="C132" s="263"/>
      <c r="D132" s="265" t="s">
        <v>613</v>
      </c>
      <c r="F132" s="266"/>
      <c r="G132" s="266"/>
      <c r="H132" s="266"/>
    </row>
    <row r="133" spans="3:8" x14ac:dyDescent="0.25">
      <c r="C133" s="916" t="s">
        <v>374</v>
      </c>
      <c r="D133" s="916"/>
      <c r="E133" s="269">
        <f>SUM(E136:E145)</f>
        <v>0</v>
      </c>
      <c r="F133" s="269">
        <f>SUM(F136:F145)</f>
        <v>0</v>
      </c>
      <c r="G133" s="269">
        <f>SUM(G136:G145)</f>
        <v>0</v>
      </c>
      <c r="H133" s="269">
        <f>SUM(H136:H145)</f>
        <v>0</v>
      </c>
    </row>
    <row r="136" spans="3:8" x14ac:dyDescent="0.25">
      <c r="C136" t="s">
        <v>374</v>
      </c>
      <c r="D136" s="264" t="s">
        <v>367</v>
      </c>
      <c r="E136" s="270">
        <f>BH40</f>
        <v>0</v>
      </c>
      <c r="F136" s="270">
        <f>BI40*mcadjust</f>
        <v>0</v>
      </c>
      <c r="G136" s="270">
        <f>BJ40*mcadjust</f>
        <v>0</v>
      </c>
      <c r="H136" s="270">
        <f>BK40*mcadjust</f>
        <v>0</v>
      </c>
    </row>
    <row r="137" spans="3:8" x14ac:dyDescent="0.25">
      <c r="D137" s="264" t="s">
        <v>152</v>
      </c>
      <c r="E137" s="270">
        <f>BU40</f>
        <v>0</v>
      </c>
      <c r="F137" s="270">
        <f>BV40*mcadjust</f>
        <v>0</v>
      </c>
      <c r="G137" s="270">
        <f>BW40*mcadjust</f>
        <v>0</v>
      </c>
      <c r="H137" s="270">
        <f>BX40*mcadjust</f>
        <v>0</v>
      </c>
    </row>
    <row r="138" spans="3:8" x14ac:dyDescent="0.25">
      <c r="D138" s="264" t="s">
        <v>370</v>
      </c>
      <c r="E138" s="270">
        <f>CH40</f>
        <v>0</v>
      </c>
      <c r="F138" s="270">
        <f>CI40*mcadjust</f>
        <v>0</v>
      </c>
      <c r="G138" s="270">
        <f>CJ40*mcadjust</f>
        <v>0</v>
      </c>
      <c r="H138" s="270">
        <f>CK40*mcadjust</f>
        <v>0</v>
      </c>
    </row>
    <row r="139" spans="3:8" x14ac:dyDescent="0.25">
      <c r="D139" s="264" t="s">
        <v>205</v>
      </c>
      <c r="E139">
        <f>X80</f>
        <v>0</v>
      </c>
      <c r="F139">
        <f>Y80*mcadjust</f>
        <v>0</v>
      </c>
      <c r="G139">
        <f>Z80*mcadjust</f>
        <v>0</v>
      </c>
      <c r="H139">
        <f>AA80*mcadjust</f>
        <v>0</v>
      </c>
    </row>
    <row r="140" spans="3:8" x14ac:dyDescent="0.25">
      <c r="D140" s="264" t="s">
        <v>371</v>
      </c>
      <c r="E140">
        <f>AL80</f>
        <v>0</v>
      </c>
      <c r="F140">
        <f>AM80*mcadjust</f>
        <v>0</v>
      </c>
      <c r="G140">
        <f>AN80*mcadjust</f>
        <v>0</v>
      </c>
      <c r="H140">
        <f>AO80*mcadjust</f>
        <v>0</v>
      </c>
    </row>
    <row r="141" spans="3:8" x14ac:dyDescent="0.25">
      <c r="D141" s="264" t="s">
        <v>372</v>
      </c>
      <c r="E141">
        <f>AZ80</f>
        <v>0</v>
      </c>
      <c r="F141">
        <f>BA80*mcadjust</f>
        <v>0</v>
      </c>
      <c r="G141">
        <f>BB80*mcadjust</f>
        <v>0</v>
      </c>
      <c r="H141">
        <f>BC80*mcadjust</f>
        <v>0</v>
      </c>
    </row>
    <row r="142" spans="3:8" x14ac:dyDescent="0.25">
      <c r="D142" s="2" t="s">
        <v>225</v>
      </c>
      <c r="E142">
        <f>CP80</f>
        <v>0</v>
      </c>
      <c r="F142">
        <f t="shared" ref="F142:H142" si="17">CQ80</f>
        <v>0</v>
      </c>
      <c r="G142">
        <f t="shared" si="17"/>
        <v>0</v>
      </c>
      <c r="H142">
        <f t="shared" si="17"/>
        <v>0</v>
      </c>
    </row>
    <row r="143" spans="3:8" x14ac:dyDescent="0.25">
      <c r="D143" s="2" t="s">
        <v>606</v>
      </c>
      <c r="E143">
        <f>CB80</f>
        <v>0</v>
      </c>
      <c r="F143">
        <f t="shared" ref="F143:H143" si="18">CC80</f>
        <v>0</v>
      </c>
      <c r="G143">
        <f t="shared" si="18"/>
        <v>0</v>
      </c>
      <c r="H143">
        <f t="shared" si="18"/>
        <v>0</v>
      </c>
    </row>
    <row r="144" spans="3:8" x14ac:dyDescent="0.25">
      <c r="D144" s="264" t="s">
        <v>373</v>
      </c>
      <c r="E144">
        <f>BN80</f>
        <v>0</v>
      </c>
      <c r="F144">
        <f>BO80*mcadjust</f>
        <v>0</v>
      </c>
      <c r="G144">
        <f>BP80*mcadjust</f>
        <v>0</v>
      </c>
      <c r="H144">
        <f>BQ80*mcadjust</f>
        <v>0</v>
      </c>
    </row>
    <row r="145" spans="3:26" x14ac:dyDescent="0.25">
      <c r="D145" s="2" t="s">
        <v>374</v>
      </c>
      <c r="E145" s="228">
        <f>J117</f>
        <v>0</v>
      </c>
      <c r="F145" s="228">
        <f>K117*mcadjust</f>
        <v>0</v>
      </c>
      <c r="G145" s="228">
        <f>L117*mcadjust</f>
        <v>0</v>
      </c>
      <c r="H145" s="228">
        <f>M117*mcadjust</f>
        <v>0</v>
      </c>
    </row>
    <row r="150" spans="3:26" x14ac:dyDescent="0.25">
      <c r="C150" s="54" t="s">
        <v>614</v>
      </c>
    </row>
    <row r="151" spans="3:26" x14ac:dyDescent="0.25">
      <c r="D151" s="1" t="s">
        <v>153</v>
      </c>
      <c r="E151" s="1" t="s">
        <v>154</v>
      </c>
      <c r="F151" s="1" t="s">
        <v>155</v>
      </c>
      <c r="G151" s="425" t="s">
        <v>159</v>
      </c>
      <c r="H151" s="1" t="s">
        <v>160</v>
      </c>
      <c r="I151" s="1" t="s">
        <v>162</v>
      </c>
      <c r="J151" s="1" t="s">
        <v>615</v>
      </c>
      <c r="K151" s="1" t="s">
        <v>616</v>
      </c>
      <c r="O151" t="s">
        <v>357</v>
      </c>
      <c r="R151" t="s">
        <v>499</v>
      </c>
      <c r="U151" t="s">
        <v>359</v>
      </c>
      <c r="X151" t="s">
        <v>580</v>
      </c>
    </row>
    <row r="152" spans="3:26" x14ac:dyDescent="0.25">
      <c r="C152" t="s">
        <v>375</v>
      </c>
      <c r="D152" s="226">
        <f>'General-Calculations'!F156</f>
        <v>0</v>
      </c>
      <c r="E152" s="226">
        <f>'General-Calculations'!F157</f>
        <v>0</v>
      </c>
      <c r="F152" s="226">
        <f>'General-Calculations'!F158</f>
        <v>0</v>
      </c>
      <c r="G152" s="226">
        <f>'General-Calculations'!F161</f>
        <v>0</v>
      </c>
      <c r="H152" s="226">
        <f>'General-Calculations'!F163</f>
        <v>0</v>
      </c>
      <c r="I152" s="226">
        <f>'General-Calculations'!F164</f>
        <v>0</v>
      </c>
      <c r="J152" s="226">
        <f>'General-Calculations'!F165+'General-Calculations'!W49+'General-Calculations'!AB49</f>
        <v>0</v>
      </c>
      <c r="K152" s="226">
        <f>SUM(D152:J152)</f>
        <v>0</v>
      </c>
      <c r="O152" t="s">
        <v>581</v>
      </c>
      <c r="P152" t="s">
        <v>582</v>
      </c>
      <c r="Q152" t="s">
        <v>374</v>
      </c>
      <c r="R152" t="s">
        <v>581</v>
      </c>
      <c r="S152" t="s">
        <v>582</v>
      </c>
      <c r="T152" t="s">
        <v>374</v>
      </c>
      <c r="U152" t="s">
        <v>581</v>
      </c>
      <c r="V152" t="s">
        <v>582</v>
      </c>
      <c r="W152" t="s">
        <v>374</v>
      </c>
      <c r="X152" t="s">
        <v>581</v>
      </c>
      <c r="Y152" t="s">
        <v>582</v>
      </c>
      <c r="Z152" t="s">
        <v>374</v>
      </c>
    </row>
    <row r="153" spans="3:26" x14ac:dyDescent="0.25">
      <c r="C153" t="s">
        <v>400</v>
      </c>
      <c r="D153" s="226"/>
      <c r="E153" s="226"/>
      <c r="F153" s="226"/>
      <c r="G153" s="226"/>
      <c r="H153" s="226"/>
      <c r="I153" s="226"/>
      <c r="J153" s="226"/>
      <c r="K153" s="226">
        <f t="shared" ref="K153:K179" si="19">SUM(D153:J153)</f>
        <v>0</v>
      </c>
      <c r="N153" t="s">
        <v>400</v>
      </c>
      <c r="O153" s="228">
        <f>cmadjust*$K153*Multipliers!D406/1000000</f>
        <v>0</v>
      </c>
      <c r="P153" s="228">
        <f>cmadjust*$K153*Multipliers!E406/1000000</f>
        <v>0</v>
      </c>
      <c r="Q153" s="228">
        <f>cmadjust*$K153*Multipliers!F406/1000000</f>
        <v>0</v>
      </c>
      <c r="R153" s="228">
        <f>cmadjust*$K153*Multipliers!G406/1000000</f>
        <v>0</v>
      </c>
      <c r="S153" s="228">
        <f>cmadjust*$K153*Multipliers!H406/1000000</f>
        <v>0</v>
      </c>
      <c r="T153" s="228">
        <f>cmadjust*$K153*Multipliers!I406/1000000</f>
        <v>0</v>
      </c>
      <c r="U153" s="228">
        <f>cmadjust*$K153*Multipliers!J406/1000000</f>
        <v>0</v>
      </c>
      <c r="V153" s="228">
        <f>cmadjust*$K153*Multipliers!K406/1000000</f>
        <v>0</v>
      </c>
      <c r="W153" s="228">
        <f>cmadjust*$K153*Multipliers!L406/1000000</f>
        <v>0</v>
      </c>
      <c r="X153" s="228">
        <f>cmadjust*$K153*Multipliers!M406/1000000</f>
        <v>0</v>
      </c>
      <c r="Y153" s="228">
        <f>cmadjust*$K153*Multipliers!N406/1000000</f>
        <v>0</v>
      </c>
      <c r="Z153" s="228">
        <f>cmadjust*$K153*Multipliers!O406/1000000</f>
        <v>0</v>
      </c>
    </row>
    <row r="154" spans="3:26" x14ac:dyDescent="0.25">
      <c r="C154" t="s">
        <v>583</v>
      </c>
      <c r="D154" s="226"/>
      <c r="E154" s="226"/>
      <c r="F154" s="226"/>
      <c r="G154" s="226"/>
      <c r="H154" s="226"/>
      <c r="I154" s="226"/>
      <c r="J154" s="226"/>
      <c r="K154" s="226">
        <f t="shared" si="19"/>
        <v>0</v>
      </c>
      <c r="N154" t="s">
        <v>583</v>
      </c>
      <c r="O154" s="228">
        <f>cmadjust*$K154*Multipliers!D407/1000000</f>
        <v>0</v>
      </c>
      <c r="P154" s="228">
        <f>cmadjust*$K154*Multipliers!E407/1000000</f>
        <v>0</v>
      </c>
      <c r="Q154" s="228">
        <f>cmadjust*$K154*Multipliers!F407/1000000</f>
        <v>0</v>
      </c>
      <c r="R154" s="228">
        <f>cmadjust*$K154*Multipliers!G407/1000000</f>
        <v>0</v>
      </c>
      <c r="S154" s="228">
        <f>cmadjust*$K154*Multipliers!H407/1000000</f>
        <v>0</v>
      </c>
      <c r="T154" s="228">
        <f>cmadjust*$K154*Multipliers!I407/1000000</f>
        <v>0</v>
      </c>
      <c r="U154" s="228">
        <f>cmadjust*$K154*Multipliers!J407/1000000</f>
        <v>0</v>
      </c>
      <c r="V154" s="228">
        <f>cmadjust*$K154*Multipliers!K407/1000000</f>
        <v>0</v>
      </c>
      <c r="W154" s="228">
        <f>cmadjust*$K154*Multipliers!L407/1000000</f>
        <v>0</v>
      </c>
      <c r="X154" s="228">
        <f>cmadjust*$K154*Multipliers!M407/1000000</f>
        <v>0</v>
      </c>
      <c r="Y154" s="228">
        <f>cmadjust*$K154*Multipliers!N407/1000000</f>
        <v>0</v>
      </c>
      <c r="Z154" s="228">
        <f>cmadjust*$K154*Multipliers!O407/1000000</f>
        <v>0</v>
      </c>
    </row>
    <row r="155" spans="3:26" x14ac:dyDescent="0.25">
      <c r="C155" t="s">
        <v>403</v>
      </c>
      <c r="D155" s="226"/>
      <c r="E155" s="226"/>
      <c r="F155" s="226"/>
      <c r="G155" s="226"/>
      <c r="H155" s="226"/>
      <c r="I155" s="226"/>
      <c r="J155" s="226"/>
      <c r="K155" s="226">
        <f t="shared" si="19"/>
        <v>0</v>
      </c>
      <c r="N155" t="s">
        <v>403</v>
      </c>
      <c r="O155" s="228">
        <f>cmadjust*$K155*Multipliers!D408/1000000</f>
        <v>0</v>
      </c>
      <c r="P155" s="228">
        <f>cmadjust*$K155*Multipliers!E408/1000000</f>
        <v>0</v>
      </c>
      <c r="Q155" s="228">
        <f>cmadjust*$K155*Multipliers!F408/1000000</f>
        <v>0</v>
      </c>
      <c r="R155" s="228">
        <f>cmadjust*$K155*Multipliers!G408/1000000</f>
        <v>0</v>
      </c>
      <c r="S155" s="228">
        <f>cmadjust*$K155*Multipliers!H408/1000000</f>
        <v>0</v>
      </c>
      <c r="T155" s="228">
        <f>cmadjust*$K155*Multipliers!I408/1000000</f>
        <v>0</v>
      </c>
      <c r="U155" s="228">
        <f>cmadjust*$K155*Multipliers!J408/1000000</f>
        <v>0</v>
      </c>
      <c r="V155" s="228">
        <f>cmadjust*$K155*Multipliers!K408/1000000</f>
        <v>0</v>
      </c>
      <c r="W155" s="228">
        <f>cmadjust*$K155*Multipliers!L408/1000000</f>
        <v>0</v>
      </c>
      <c r="X155" s="228">
        <f>cmadjust*$K155*Multipliers!M408/1000000</f>
        <v>0</v>
      </c>
      <c r="Y155" s="228">
        <f>cmadjust*$K155*Multipliers!N408/1000000</f>
        <v>0</v>
      </c>
      <c r="Z155" s="228">
        <f>cmadjust*$K155*Multipliers!O408/1000000</f>
        <v>0</v>
      </c>
    </row>
    <row r="156" spans="3:26" x14ac:dyDescent="0.25">
      <c r="C156" t="s">
        <v>584</v>
      </c>
      <c r="D156" s="226"/>
      <c r="E156" s="226"/>
      <c r="F156" s="226"/>
      <c r="G156" s="226"/>
      <c r="H156" s="226"/>
      <c r="I156" s="226"/>
      <c r="J156" s="226"/>
      <c r="K156" s="226">
        <f t="shared" si="19"/>
        <v>0</v>
      </c>
      <c r="N156" t="s">
        <v>584</v>
      </c>
      <c r="O156" s="228">
        <f>cmadjust*$K156*Multipliers!D409/1000000</f>
        <v>0</v>
      </c>
      <c r="P156" s="228">
        <f>cmadjust*$K156*Multipliers!E409/1000000</f>
        <v>0</v>
      </c>
      <c r="Q156" s="228">
        <f>cmadjust*$K156*Multipliers!F409/1000000</f>
        <v>0</v>
      </c>
      <c r="R156" s="228">
        <f>cmadjust*$K156*Multipliers!G409/1000000</f>
        <v>0</v>
      </c>
      <c r="S156" s="228">
        <f>cmadjust*$K156*Multipliers!H409/1000000</f>
        <v>0</v>
      </c>
      <c r="T156" s="228">
        <f>cmadjust*$K156*Multipliers!I409/1000000</f>
        <v>0</v>
      </c>
      <c r="U156" s="228">
        <f>cmadjust*$K156*Multipliers!J409/1000000</f>
        <v>0</v>
      </c>
      <c r="V156" s="228">
        <f>cmadjust*$K156*Multipliers!K409/1000000</f>
        <v>0</v>
      </c>
      <c r="W156" s="228">
        <f>cmadjust*$K156*Multipliers!L409/1000000</f>
        <v>0</v>
      </c>
      <c r="X156" s="228">
        <f>cmadjust*$K156*Multipliers!M409/1000000</f>
        <v>0</v>
      </c>
      <c r="Y156" s="228">
        <f>cmadjust*$K156*Multipliers!N409/1000000</f>
        <v>0</v>
      </c>
      <c r="Z156" s="228">
        <f>cmadjust*$K156*Multipliers!O409/1000000</f>
        <v>0</v>
      </c>
    </row>
    <row r="157" spans="3:26" x14ac:dyDescent="0.25">
      <c r="C157" t="s">
        <v>585</v>
      </c>
      <c r="D157" s="226"/>
      <c r="E157" s="226"/>
      <c r="F157" s="226"/>
      <c r="G157" s="226"/>
      <c r="H157" s="226"/>
      <c r="I157" s="226"/>
      <c r="J157" s="226"/>
      <c r="K157" s="226">
        <f t="shared" si="19"/>
        <v>0</v>
      </c>
      <c r="N157" t="s">
        <v>585</v>
      </c>
      <c r="O157" s="228">
        <f>cmadjust*$K157*Multipliers!D410/1000000</f>
        <v>0</v>
      </c>
      <c r="P157" s="228">
        <f>cmadjust*$K157*Multipliers!E410/1000000</f>
        <v>0</v>
      </c>
      <c r="Q157" s="228">
        <f>cmadjust*$K157*Multipliers!F410/1000000</f>
        <v>0</v>
      </c>
      <c r="R157" s="228">
        <f>cmadjust*$K157*Multipliers!G410/1000000</f>
        <v>0</v>
      </c>
      <c r="S157" s="228">
        <f>cmadjust*$K157*Multipliers!H410/1000000</f>
        <v>0</v>
      </c>
      <c r="T157" s="228">
        <f>cmadjust*$K157*Multipliers!I410/1000000</f>
        <v>0</v>
      </c>
      <c r="U157" s="228">
        <f>cmadjust*$K157*Multipliers!J410/1000000</f>
        <v>0</v>
      </c>
      <c r="V157" s="228">
        <f>cmadjust*$K157*Multipliers!K410/1000000</f>
        <v>0</v>
      </c>
      <c r="W157" s="228">
        <f>cmadjust*$K157*Multipliers!L410/1000000</f>
        <v>0</v>
      </c>
      <c r="X157" s="228">
        <f>cmadjust*$K157*Multipliers!M410/1000000</f>
        <v>0</v>
      </c>
      <c r="Y157" s="228">
        <f>cmadjust*$K157*Multipliers!N410/1000000</f>
        <v>0</v>
      </c>
      <c r="Z157" s="228">
        <f>cmadjust*$K157*Multipliers!O410/1000000</f>
        <v>0</v>
      </c>
    </row>
    <row r="158" spans="3:26" x14ac:dyDescent="0.25">
      <c r="C158" t="s">
        <v>586</v>
      </c>
      <c r="D158" s="226"/>
      <c r="E158" s="226"/>
      <c r="F158" s="226"/>
      <c r="G158" s="226"/>
      <c r="H158" s="226"/>
      <c r="I158" s="226"/>
      <c r="J158" s="226"/>
      <c r="K158" s="226">
        <f t="shared" si="19"/>
        <v>0</v>
      </c>
      <c r="N158" t="s">
        <v>586</v>
      </c>
      <c r="O158" s="228">
        <f>cmadjust*$K158*Multipliers!D411/1000000</f>
        <v>0</v>
      </c>
      <c r="P158" s="228">
        <f>cmadjust*$K158*Multipliers!E411/1000000</f>
        <v>0</v>
      </c>
      <c r="Q158" s="228">
        <f>cmadjust*$K158*Multipliers!F411/1000000</f>
        <v>0</v>
      </c>
      <c r="R158" s="228">
        <f>cmadjust*$K158*Multipliers!G411/1000000</f>
        <v>0</v>
      </c>
      <c r="S158" s="228">
        <f>cmadjust*$K158*Multipliers!H411/1000000</f>
        <v>0</v>
      </c>
      <c r="T158" s="228">
        <f>cmadjust*$K158*Multipliers!I411/1000000</f>
        <v>0</v>
      </c>
      <c r="U158" s="228">
        <f>cmadjust*$K158*Multipliers!J411/1000000</f>
        <v>0</v>
      </c>
      <c r="V158" s="228">
        <f>cmadjust*$K158*Multipliers!K411/1000000</f>
        <v>0</v>
      </c>
      <c r="W158" s="228">
        <f>cmadjust*$K158*Multipliers!L411/1000000</f>
        <v>0</v>
      </c>
      <c r="X158" s="228">
        <f>cmadjust*$K158*Multipliers!M411/1000000</f>
        <v>0</v>
      </c>
      <c r="Y158" s="228">
        <f>cmadjust*$K158*Multipliers!N411/1000000</f>
        <v>0</v>
      </c>
      <c r="Z158" s="228">
        <f>cmadjust*$K158*Multipliers!O411/1000000</f>
        <v>0</v>
      </c>
    </row>
    <row r="159" spans="3:26" x14ac:dyDescent="0.25">
      <c r="C159" t="s">
        <v>587</v>
      </c>
      <c r="D159" s="226"/>
      <c r="E159" s="226"/>
      <c r="F159" s="226"/>
      <c r="G159" s="226"/>
      <c r="H159" s="226"/>
      <c r="I159" s="226"/>
      <c r="J159" s="226"/>
      <c r="K159" s="226">
        <f t="shared" si="19"/>
        <v>0</v>
      </c>
      <c r="N159" t="s">
        <v>587</v>
      </c>
      <c r="O159" s="228">
        <f>cmadjust*$K159*Multipliers!D412/1000000</f>
        <v>0</v>
      </c>
      <c r="P159" s="228">
        <f>cmadjust*$K159*Multipliers!E412/1000000</f>
        <v>0</v>
      </c>
      <c r="Q159" s="228">
        <f>cmadjust*$K159*Multipliers!F412/1000000</f>
        <v>0</v>
      </c>
      <c r="R159" s="228">
        <f>cmadjust*$K159*Multipliers!G412/1000000</f>
        <v>0</v>
      </c>
      <c r="S159" s="228">
        <f>cmadjust*$K159*Multipliers!H412/1000000</f>
        <v>0</v>
      </c>
      <c r="T159" s="228">
        <f>cmadjust*$K159*Multipliers!I412/1000000</f>
        <v>0</v>
      </c>
      <c r="U159" s="228">
        <f>cmadjust*$K159*Multipliers!J412/1000000</f>
        <v>0</v>
      </c>
      <c r="V159" s="228">
        <f>cmadjust*$K159*Multipliers!K412/1000000</f>
        <v>0</v>
      </c>
      <c r="W159" s="228">
        <f>cmadjust*$K159*Multipliers!L412/1000000</f>
        <v>0</v>
      </c>
      <c r="X159" s="228">
        <f>cmadjust*$K159*Multipliers!M412/1000000</f>
        <v>0</v>
      </c>
      <c r="Y159" s="228">
        <f>cmadjust*$K159*Multipliers!N412/1000000</f>
        <v>0</v>
      </c>
      <c r="Z159" s="228">
        <f>cmadjust*$K159*Multipliers!O412/1000000</f>
        <v>0</v>
      </c>
    </row>
    <row r="160" spans="3:26" x14ac:dyDescent="0.25">
      <c r="C160" t="s">
        <v>588</v>
      </c>
      <c r="D160" s="226"/>
      <c r="E160" s="226"/>
      <c r="F160" s="226"/>
      <c r="G160" s="226"/>
      <c r="H160" s="226"/>
      <c r="I160" s="226"/>
      <c r="J160" s="226"/>
      <c r="K160" s="226">
        <f t="shared" si="19"/>
        <v>0</v>
      </c>
      <c r="N160" t="s">
        <v>588</v>
      </c>
      <c r="O160" s="228">
        <f>cmadjust*$K160*Multipliers!D413/1000000</f>
        <v>0</v>
      </c>
      <c r="P160" s="228">
        <f>cmadjust*$K160*Multipliers!E413/1000000</f>
        <v>0</v>
      </c>
      <c r="Q160" s="228">
        <f>cmadjust*$K160*Multipliers!F413/1000000</f>
        <v>0</v>
      </c>
      <c r="R160" s="228">
        <f>cmadjust*$K160*Multipliers!G413/1000000</f>
        <v>0</v>
      </c>
      <c r="S160" s="228">
        <f>cmadjust*$K160*Multipliers!H413/1000000</f>
        <v>0</v>
      </c>
      <c r="T160" s="228">
        <f>cmadjust*$K160*Multipliers!I413/1000000</f>
        <v>0</v>
      </c>
      <c r="U160" s="228">
        <f>cmadjust*$K160*Multipliers!J413/1000000</f>
        <v>0</v>
      </c>
      <c r="V160" s="228">
        <f>cmadjust*$K160*Multipliers!K413/1000000</f>
        <v>0</v>
      </c>
      <c r="W160" s="228">
        <f>cmadjust*$K160*Multipliers!L413/1000000</f>
        <v>0</v>
      </c>
      <c r="X160" s="228">
        <f>cmadjust*$K160*Multipliers!M413/1000000</f>
        <v>0</v>
      </c>
      <c r="Y160" s="228">
        <f>cmadjust*$K160*Multipliers!N413/1000000</f>
        <v>0</v>
      </c>
      <c r="Z160" s="228">
        <f>cmadjust*$K160*Multipliers!O413/1000000</f>
        <v>0</v>
      </c>
    </row>
    <row r="161" spans="3:26" x14ac:dyDescent="0.25">
      <c r="C161" t="s">
        <v>348</v>
      </c>
      <c r="D161" s="226"/>
      <c r="E161" s="226"/>
      <c r="F161" s="226"/>
      <c r="G161" s="226"/>
      <c r="H161" s="226"/>
      <c r="I161" s="226"/>
      <c r="J161" s="226"/>
      <c r="K161" s="226">
        <f t="shared" si="19"/>
        <v>0</v>
      </c>
      <c r="N161" t="s">
        <v>348</v>
      </c>
      <c r="O161" s="228">
        <f>cmadjust*$K161*Multipliers!D414/1000000</f>
        <v>0</v>
      </c>
      <c r="P161" s="228">
        <f>cmadjust*$K161*Multipliers!E414/1000000</f>
        <v>0</v>
      </c>
      <c r="Q161" s="228">
        <f>cmadjust*$K161*Multipliers!F414/1000000</f>
        <v>0</v>
      </c>
      <c r="R161" s="228">
        <f>cmadjust*$K161*Multipliers!G414/1000000</f>
        <v>0</v>
      </c>
      <c r="S161" s="228">
        <f>cmadjust*$K161*Multipliers!H414/1000000</f>
        <v>0</v>
      </c>
      <c r="T161" s="228">
        <f>cmadjust*$K161*Multipliers!I414/1000000</f>
        <v>0</v>
      </c>
      <c r="U161" s="228">
        <f>cmadjust*$K161*Multipliers!J414/1000000</f>
        <v>0</v>
      </c>
      <c r="V161" s="228">
        <f>cmadjust*$K161*Multipliers!K414/1000000</f>
        <v>0</v>
      </c>
      <c r="W161" s="228">
        <f>cmadjust*$K161*Multipliers!L414/1000000</f>
        <v>0</v>
      </c>
      <c r="X161" s="228">
        <f>cmadjust*$K161*Multipliers!M414/1000000</f>
        <v>0</v>
      </c>
      <c r="Y161" s="228">
        <f>cmadjust*$K161*Multipliers!N414/1000000</f>
        <v>0</v>
      </c>
      <c r="Z161" s="228">
        <f>cmadjust*$K161*Multipliers!O414/1000000</f>
        <v>0</v>
      </c>
    </row>
    <row r="162" spans="3:26" x14ac:dyDescent="0.25">
      <c r="C162" t="s">
        <v>589</v>
      </c>
      <c r="D162" s="226"/>
      <c r="E162" s="226"/>
      <c r="F162" s="226">
        <f>F152</f>
        <v>0</v>
      </c>
      <c r="G162" s="226">
        <f>G152</f>
        <v>0</v>
      </c>
      <c r="H162" s="226"/>
      <c r="I162" s="226"/>
      <c r="J162" s="226"/>
      <c r="K162" s="226">
        <f t="shared" si="19"/>
        <v>0</v>
      </c>
      <c r="N162" t="s">
        <v>589</v>
      </c>
      <c r="O162" s="228">
        <f>cmadjust*$K162*Multipliers!D415/1000000</f>
        <v>0</v>
      </c>
      <c r="P162" s="228">
        <f>cmadjust*$K162*Multipliers!E415/1000000</f>
        <v>0</v>
      </c>
      <c r="Q162" s="228">
        <f>cmadjust*$K162*Multipliers!F415/1000000</f>
        <v>0</v>
      </c>
      <c r="R162" s="228">
        <f>cmadjust*$K162*Multipliers!G415/1000000</f>
        <v>0</v>
      </c>
      <c r="S162" s="228">
        <f>cmadjust*$K162*Multipliers!H415/1000000</f>
        <v>0</v>
      </c>
      <c r="T162" s="228">
        <f>cmadjust*$K162*Multipliers!I415/1000000</f>
        <v>0</v>
      </c>
      <c r="U162" s="228">
        <f>cmadjust*$K162*Multipliers!J415/1000000</f>
        <v>0</v>
      </c>
      <c r="V162" s="228">
        <f>cmadjust*$K162*Multipliers!K415/1000000</f>
        <v>0</v>
      </c>
      <c r="W162" s="228">
        <f>cmadjust*$K162*Multipliers!L415/1000000</f>
        <v>0</v>
      </c>
      <c r="X162" s="228">
        <f>cmadjust*$K162*Multipliers!M415/1000000</f>
        <v>0</v>
      </c>
      <c r="Y162" s="228">
        <f>cmadjust*$K162*Multipliers!N415/1000000</f>
        <v>0</v>
      </c>
      <c r="Z162" s="228">
        <f>cmadjust*$K162*Multipliers!O415/1000000</f>
        <v>0</v>
      </c>
    </row>
    <row r="163" spans="3:26" x14ac:dyDescent="0.25">
      <c r="C163" t="s">
        <v>590</v>
      </c>
      <c r="D163" s="226"/>
      <c r="E163" s="226"/>
      <c r="F163" s="226"/>
      <c r="G163" s="226"/>
      <c r="H163" s="226"/>
      <c r="I163" s="226"/>
      <c r="J163" s="226"/>
      <c r="K163" s="226">
        <f t="shared" si="19"/>
        <v>0</v>
      </c>
      <c r="N163" t="s">
        <v>590</v>
      </c>
      <c r="O163" s="228">
        <f>cmadjust*$K163*Multipliers!D416/1000000</f>
        <v>0</v>
      </c>
      <c r="P163" s="228">
        <f>cmadjust*$K163*Multipliers!E416/1000000</f>
        <v>0</v>
      </c>
      <c r="Q163" s="228">
        <f>cmadjust*$K163*Multipliers!F416/1000000</f>
        <v>0</v>
      </c>
      <c r="R163" s="228">
        <f>cmadjust*$K163*Multipliers!G416/1000000</f>
        <v>0</v>
      </c>
      <c r="S163" s="228">
        <f>cmadjust*$K163*Multipliers!H416/1000000</f>
        <v>0</v>
      </c>
      <c r="T163" s="228">
        <f>cmadjust*$K163*Multipliers!I416/1000000</f>
        <v>0</v>
      </c>
      <c r="U163" s="228">
        <f>cmadjust*$K163*Multipliers!J416/1000000</f>
        <v>0</v>
      </c>
      <c r="V163" s="228">
        <f>cmadjust*$K163*Multipliers!K416/1000000</f>
        <v>0</v>
      </c>
      <c r="W163" s="228">
        <f>cmadjust*$K163*Multipliers!L416/1000000</f>
        <v>0</v>
      </c>
      <c r="X163" s="228">
        <f>cmadjust*$K163*Multipliers!M416/1000000</f>
        <v>0</v>
      </c>
      <c r="Y163" s="228">
        <f>cmadjust*$K163*Multipliers!N416/1000000</f>
        <v>0</v>
      </c>
      <c r="Z163" s="228">
        <f>cmadjust*$K163*Multipliers!O416/1000000</f>
        <v>0</v>
      </c>
    </row>
    <row r="164" spans="3:26" x14ac:dyDescent="0.25">
      <c r="C164" t="s">
        <v>591</v>
      </c>
      <c r="D164" s="226">
        <f>D152*'General-Calculations'!AY19*'General-Calculations'!BD19</f>
        <v>0</v>
      </c>
      <c r="E164" s="226"/>
      <c r="F164" s="226"/>
      <c r="G164" s="226"/>
      <c r="H164" s="226"/>
      <c r="I164" s="226"/>
      <c r="J164" s="226"/>
      <c r="K164" s="226">
        <f t="shared" si="19"/>
        <v>0</v>
      </c>
      <c r="N164" t="s">
        <v>591</v>
      </c>
      <c r="O164" s="228">
        <f>cmadjust*$K164*Multipliers!D417/1000000</f>
        <v>0</v>
      </c>
      <c r="P164" s="228">
        <f>cmadjust*$K164*Multipliers!E417/1000000</f>
        <v>0</v>
      </c>
      <c r="Q164" s="228">
        <f>cmadjust*$K164*Multipliers!F417/1000000</f>
        <v>0</v>
      </c>
      <c r="R164" s="228">
        <f>cmadjust*$K164*Multipliers!G417/1000000</f>
        <v>0</v>
      </c>
      <c r="S164" s="228">
        <f>cmadjust*$K164*Multipliers!H417/1000000</f>
        <v>0</v>
      </c>
      <c r="T164" s="228">
        <f>cmadjust*$K164*Multipliers!I417/1000000</f>
        <v>0</v>
      </c>
      <c r="U164" s="228">
        <f>cmadjust*$K164*Multipliers!J417/1000000</f>
        <v>0</v>
      </c>
      <c r="V164" s="228">
        <f>cmadjust*$K164*Multipliers!K417/1000000</f>
        <v>0</v>
      </c>
      <c r="W164" s="228">
        <f>cmadjust*$K164*Multipliers!L417/1000000</f>
        <v>0</v>
      </c>
      <c r="X164" s="228">
        <f>cmadjust*$K164*Multipliers!M417/1000000</f>
        <v>0</v>
      </c>
      <c r="Y164" s="228">
        <f>cmadjust*$K164*Multipliers!N417/1000000</f>
        <v>0</v>
      </c>
      <c r="Z164" s="228">
        <f>cmadjust*$K164*Multipliers!O417/1000000</f>
        <v>0</v>
      </c>
    </row>
    <row r="165" spans="3:26" x14ac:dyDescent="0.25">
      <c r="C165" t="s">
        <v>592</v>
      </c>
      <c r="D165" s="226">
        <f>D152*'General-Calculations'!AY20</f>
        <v>0</v>
      </c>
      <c r="E165" s="226"/>
      <c r="F165" s="226"/>
      <c r="G165" s="226"/>
      <c r="H165" s="226"/>
      <c r="I165" s="226"/>
      <c r="J165" s="226"/>
      <c r="K165" s="226">
        <f t="shared" si="19"/>
        <v>0</v>
      </c>
      <c r="N165" t="s">
        <v>592</v>
      </c>
      <c r="O165" s="228">
        <f>cmadjust*$K165*Multipliers!D418/1000000</f>
        <v>0</v>
      </c>
      <c r="P165" s="228">
        <f>cmadjust*$K165*Multipliers!E418/1000000</f>
        <v>0</v>
      </c>
      <c r="Q165" s="228">
        <f>cmadjust*$K165*Multipliers!F418/1000000</f>
        <v>0</v>
      </c>
      <c r="R165" s="228">
        <f>cmadjust*$K165*Multipliers!G418/1000000</f>
        <v>0</v>
      </c>
      <c r="S165" s="228">
        <f>cmadjust*$K165*Multipliers!H418/1000000</f>
        <v>0</v>
      </c>
      <c r="T165" s="228">
        <f>cmadjust*$K165*Multipliers!I418/1000000</f>
        <v>0</v>
      </c>
      <c r="U165" s="228">
        <f>cmadjust*$K165*Multipliers!J418/1000000</f>
        <v>0</v>
      </c>
      <c r="V165" s="228">
        <f>cmadjust*$K165*Multipliers!K418/1000000</f>
        <v>0</v>
      </c>
      <c r="W165" s="228">
        <f>cmadjust*$K165*Multipliers!L418/1000000</f>
        <v>0</v>
      </c>
      <c r="X165" s="228">
        <f>cmadjust*$K165*Multipliers!M418/1000000</f>
        <v>0</v>
      </c>
      <c r="Y165" s="228">
        <f>cmadjust*$K165*Multipliers!N418/1000000</f>
        <v>0</v>
      </c>
      <c r="Z165" s="228">
        <f>cmadjust*$K165*Multipliers!O418/1000000</f>
        <v>0</v>
      </c>
    </row>
    <row r="166" spans="3:26" x14ac:dyDescent="0.25">
      <c r="C166" t="s">
        <v>593</v>
      </c>
      <c r="D166" s="226"/>
      <c r="E166" s="226"/>
      <c r="F166" s="226"/>
      <c r="G166" s="226"/>
      <c r="H166" s="226"/>
      <c r="I166" s="226"/>
      <c r="J166" s="226"/>
      <c r="K166" s="226">
        <f t="shared" si="19"/>
        <v>0</v>
      </c>
      <c r="N166" t="s">
        <v>593</v>
      </c>
      <c r="O166" s="228">
        <f>cmadjust*$K166*Multipliers!D419/1000000</f>
        <v>0</v>
      </c>
      <c r="P166" s="228">
        <f>cmadjust*$K166*Multipliers!E419/1000000</f>
        <v>0</v>
      </c>
      <c r="Q166" s="228">
        <f>cmadjust*$K166*Multipliers!F419/1000000</f>
        <v>0</v>
      </c>
      <c r="R166" s="228">
        <f>cmadjust*$K166*Multipliers!G419/1000000</f>
        <v>0</v>
      </c>
      <c r="S166" s="228">
        <f>cmadjust*$K166*Multipliers!H419/1000000</f>
        <v>0</v>
      </c>
      <c r="T166" s="228">
        <f>cmadjust*$K166*Multipliers!I419/1000000</f>
        <v>0</v>
      </c>
      <c r="U166" s="228">
        <f>cmadjust*$K166*Multipliers!J419/1000000</f>
        <v>0</v>
      </c>
      <c r="V166" s="228">
        <f>cmadjust*$K166*Multipliers!K419/1000000</f>
        <v>0</v>
      </c>
      <c r="W166" s="228">
        <f>cmadjust*$K166*Multipliers!L419/1000000</f>
        <v>0</v>
      </c>
      <c r="X166" s="228">
        <f>cmadjust*$K166*Multipliers!M419/1000000</f>
        <v>0</v>
      </c>
      <c r="Y166" s="228">
        <f>cmadjust*$K166*Multipliers!N419/1000000</f>
        <v>0</v>
      </c>
      <c r="Z166" s="228">
        <f>cmadjust*$K166*Multipliers!O419/1000000</f>
        <v>0</v>
      </c>
    </row>
    <row r="167" spans="3:26" x14ac:dyDescent="0.25">
      <c r="C167" t="s">
        <v>594</v>
      </c>
      <c r="D167" s="226">
        <f>'General-Calculations'!AY19*'General-Calculations'!BC19*'Multiplier-Calculations'!D152</f>
        <v>0</v>
      </c>
      <c r="E167" s="226"/>
      <c r="F167" s="226"/>
      <c r="G167" s="226"/>
      <c r="H167" s="226"/>
      <c r="I167" s="226"/>
      <c r="J167" s="226"/>
      <c r="K167" s="226">
        <f t="shared" si="19"/>
        <v>0</v>
      </c>
      <c r="N167" t="s">
        <v>594</v>
      </c>
      <c r="O167" s="228">
        <f>cmadjust*$K167*Multipliers!D420/1000000</f>
        <v>0</v>
      </c>
      <c r="P167" s="228">
        <f>cmadjust*$K167*Multipliers!E420/1000000</f>
        <v>0</v>
      </c>
      <c r="Q167" s="228">
        <f>cmadjust*$K167*Multipliers!F420/1000000</f>
        <v>0</v>
      </c>
      <c r="R167" s="228">
        <f>cmadjust*$K167*Multipliers!G420/1000000</f>
        <v>0</v>
      </c>
      <c r="S167" s="228">
        <f>cmadjust*$K167*Multipliers!H420/1000000</f>
        <v>0</v>
      </c>
      <c r="T167" s="228">
        <f>cmadjust*$K167*Multipliers!I420/1000000</f>
        <v>0</v>
      </c>
      <c r="U167" s="228">
        <f>cmadjust*$K167*Multipliers!J420/1000000</f>
        <v>0</v>
      </c>
      <c r="V167" s="228">
        <f>cmadjust*$K167*Multipliers!K420/1000000</f>
        <v>0</v>
      </c>
      <c r="W167" s="228">
        <f>cmadjust*$K167*Multipliers!L420/1000000</f>
        <v>0</v>
      </c>
      <c r="X167" s="228">
        <f>cmadjust*$K167*Multipliers!M420/1000000</f>
        <v>0</v>
      </c>
      <c r="Y167" s="228">
        <f>cmadjust*$K167*Multipliers!N420/1000000</f>
        <v>0</v>
      </c>
      <c r="Z167" s="228">
        <f>cmadjust*$K167*Multipliers!O420/1000000</f>
        <v>0</v>
      </c>
    </row>
    <row r="168" spans="3:26" x14ac:dyDescent="0.25">
      <c r="C168" t="s">
        <v>415</v>
      </c>
      <c r="D168" s="226">
        <f>D152*'General-Calculations'!AY19*'General-Calculations'!BB19</f>
        <v>0</v>
      </c>
      <c r="E168" s="226"/>
      <c r="F168" s="226"/>
      <c r="G168" s="226"/>
      <c r="H168" s="226"/>
      <c r="I168" s="226"/>
      <c r="J168" s="226"/>
      <c r="K168" s="226">
        <f t="shared" si="19"/>
        <v>0</v>
      </c>
      <c r="N168" t="s">
        <v>415</v>
      </c>
      <c r="O168" s="228">
        <f>cmadjust*$K168*Multipliers!D421/1000000</f>
        <v>0</v>
      </c>
      <c r="P168" s="228">
        <f>cmadjust*$K168*Multipliers!E421/1000000</f>
        <v>0</v>
      </c>
      <c r="Q168" s="228">
        <f>cmadjust*$K168*Multipliers!F421/1000000</f>
        <v>0</v>
      </c>
      <c r="R168" s="228">
        <f>cmadjust*$K168*Multipliers!G421/1000000</f>
        <v>0</v>
      </c>
      <c r="S168" s="228">
        <f>cmadjust*$K168*Multipliers!H421/1000000</f>
        <v>0</v>
      </c>
      <c r="T168" s="228">
        <f>cmadjust*$K168*Multipliers!I421/1000000</f>
        <v>0</v>
      </c>
      <c r="U168" s="228">
        <f>cmadjust*$K168*Multipliers!J421/1000000</f>
        <v>0</v>
      </c>
      <c r="V168" s="228">
        <f>cmadjust*$K168*Multipliers!K421/1000000</f>
        <v>0</v>
      </c>
      <c r="W168" s="228">
        <f>cmadjust*$K168*Multipliers!L421/1000000</f>
        <v>0</v>
      </c>
      <c r="X168" s="228">
        <f>cmadjust*$K168*Multipliers!M421/1000000</f>
        <v>0</v>
      </c>
      <c r="Y168" s="228">
        <f>cmadjust*$K168*Multipliers!N421/1000000</f>
        <v>0</v>
      </c>
      <c r="Z168" s="228">
        <f>cmadjust*$K168*Multipliers!O421/1000000</f>
        <v>0</v>
      </c>
    </row>
    <row r="169" spans="3:26" x14ac:dyDescent="0.25">
      <c r="C169" t="s">
        <v>595</v>
      </c>
      <c r="D169" s="226"/>
      <c r="E169" s="226"/>
      <c r="F169" s="226"/>
      <c r="G169" s="226"/>
      <c r="H169" s="226"/>
      <c r="I169" s="226"/>
      <c r="J169" s="226"/>
      <c r="K169" s="226">
        <f t="shared" si="19"/>
        <v>0</v>
      </c>
      <c r="N169" t="s">
        <v>595</v>
      </c>
      <c r="O169" s="228">
        <f>cmadjust*$K169*Multipliers!D422/1000000</f>
        <v>0</v>
      </c>
      <c r="P169" s="228">
        <f>cmadjust*$K169*Multipliers!E422/1000000</f>
        <v>0</v>
      </c>
      <c r="Q169" s="228">
        <f>cmadjust*$K169*Multipliers!F422/1000000</f>
        <v>0</v>
      </c>
      <c r="R169" s="228">
        <f>cmadjust*$K169*Multipliers!G422/1000000</f>
        <v>0</v>
      </c>
      <c r="S169" s="228">
        <f>cmadjust*$K169*Multipliers!H422/1000000</f>
        <v>0</v>
      </c>
      <c r="T169" s="228">
        <f>cmadjust*$K169*Multipliers!I422/1000000</f>
        <v>0</v>
      </c>
      <c r="U169" s="228">
        <f>cmadjust*$K169*Multipliers!J422/1000000</f>
        <v>0</v>
      </c>
      <c r="V169" s="228">
        <f>cmadjust*$K169*Multipliers!K422/1000000</f>
        <v>0</v>
      </c>
      <c r="W169" s="228">
        <f>cmadjust*$K169*Multipliers!L422/1000000</f>
        <v>0</v>
      </c>
      <c r="X169" s="228">
        <f>cmadjust*$K169*Multipliers!M422/1000000</f>
        <v>0</v>
      </c>
      <c r="Y169" s="228">
        <f>cmadjust*$K169*Multipliers!N422/1000000</f>
        <v>0</v>
      </c>
      <c r="Z169" s="228">
        <f>cmadjust*$K169*Multipliers!O422/1000000</f>
        <v>0</v>
      </c>
    </row>
    <row r="170" spans="3:26" x14ac:dyDescent="0.25">
      <c r="C170" t="s">
        <v>417</v>
      </c>
      <c r="D170" s="226">
        <f>D152*'General-Calculations'!AY19*'General-Calculations'!BA19</f>
        <v>0</v>
      </c>
      <c r="E170" s="226"/>
      <c r="F170" s="226"/>
      <c r="G170" s="226"/>
      <c r="H170" s="226"/>
      <c r="I170" s="226"/>
      <c r="J170" s="226"/>
      <c r="K170" s="226">
        <f t="shared" si="19"/>
        <v>0</v>
      </c>
      <c r="N170" t="s">
        <v>417</v>
      </c>
      <c r="O170" s="228">
        <f>cmadjust*$K170*Multipliers!D423/1000000</f>
        <v>0</v>
      </c>
      <c r="P170" s="228">
        <f>cmadjust*$K170*Multipliers!E423/1000000</f>
        <v>0</v>
      </c>
      <c r="Q170" s="228">
        <f>cmadjust*$K170*Multipliers!F423/1000000</f>
        <v>0</v>
      </c>
      <c r="R170" s="228">
        <f>cmadjust*$K170*Multipliers!G423/1000000</f>
        <v>0</v>
      </c>
      <c r="S170" s="228">
        <f>cmadjust*$K170*Multipliers!H423/1000000</f>
        <v>0</v>
      </c>
      <c r="T170" s="228">
        <f>cmadjust*$K170*Multipliers!I423/1000000</f>
        <v>0</v>
      </c>
      <c r="U170" s="228">
        <f>cmadjust*$K170*Multipliers!J423/1000000</f>
        <v>0</v>
      </c>
      <c r="V170" s="228">
        <f>cmadjust*$K170*Multipliers!K423/1000000</f>
        <v>0</v>
      </c>
      <c r="W170" s="228">
        <f>cmadjust*$K170*Multipliers!L423/1000000</f>
        <v>0</v>
      </c>
      <c r="X170" s="228">
        <f>cmadjust*$K170*Multipliers!M423/1000000</f>
        <v>0</v>
      </c>
      <c r="Y170" s="228">
        <f>cmadjust*$K170*Multipliers!N423/1000000</f>
        <v>0</v>
      </c>
      <c r="Z170" s="228">
        <f>cmadjust*$K170*Multipliers!O423/1000000</f>
        <v>0</v>
      </c>
    </row>
    <row r="171" spans="3:26" x14ac:dyDescent="0.25">
      <c r="C171" t="s">
        <v>418</v>
      </c>
      <c r="D171" s="226"/>
      <c r="E171" s="226"/>
      <c r="F171" s="226"/>
      <c r="G171" s="226"/>
      <c r="H171" s="226"/>
      <c r="I171" s="226"/>
      <c r="J171" s="226"/>
      <c r="K171" s="226">
        <f t="shared" si="19"/>
        <v>0</v>
      </c>
      <c r="N171" t="s">
        <v>418</v>
      </c>
      <c r="O171" s="228">
        <f>cmadjust*$K171*Multipliers!D424/1000000</f>
        <v>0</v>
      </c>
      <c r="P171" s="228">
        <f>cmadjust*$K171*Multipliers!E424/1000000</f>
        <v>0</v>
      </c>
      <c r="Q171" s="228">
        <f>cmadjust*$K171*Multipliers!F424/1000000</f>
        <v>0</v>
      </c>
      <c r="R171" s="228">
        <f>cmadjust*$K171*Multipliers!G424/1000000</f>
        <v>0</v>
      </c>
      <c r="S171" s="228">
        <f>cmadjust*$K171*Multipliers!H424/1000000</f>
        <v>0</v>
      </c>
      <c r="T171" s="228">
        <f>cmadjust*$K171*Multipliers!I424/1000000</f>
        <v>0</v>
      </c>
      <c r="U171" s="228">
        <f>cmadjust*$K171*Multipliers!J424/1000000</f>
        <v>0</v>
      </c>
      <c r="V171" s="228">
        <f>cmadjust*$K171*Multipliers!K424/1000000</f>
        <v>0</v>
      </c>
      <c r="W171" s="228">
        <f>cmadjust*$K171*Multipliers!L424/1000000</f>
        <v>0</v>
      </c>
      <c r="X171" s="228">
        <f>cmadjust*$K171*Multipliers!M424/1000000</f>
        <v>0</v>
      </c>
      <c r="Y171" s="228">
        <f>cmadjust*$K171*Multipliers!N424/1000000</f>
        <v>0</v>
      </c>
      <c r="Z171" s="228">
        <f>cmadjust*$K171*Multipliers!O424/1000000</f>
        <v>0</v>
      </c>
    </row>
    <row r="172" spans="3:26" x14ac:dyDescent="0.25">
      <c r="C172" t="s">
        <v>596</v>
      </c>
      <c r="D172" s="226"/>
      <c r="E172" s="226"/>
      <c r="F172" s="226"/>
      <c r="G172" s="226"/>
      <c r="H172" s="226"/>
      <c r="I172" s="226"/>
      <c r="J172" s="226"/>
      <c r="K172" s="226">
        <f t="shared" si="19"/>
        <v>0</v>
      </c>
      <c r="N172" t="s">
        <v>596</v>
      </c>
      <c r="O172" s="228">
        <f>cmadjust*$K172*Multipliers!D425/1000000</f>
        <v>0</v>
      </c>
      <c r="P172" s="228">
        <f>cmadjust*$K172*Multipliers!E425/1000000</f>
        <v>0</v>
      </c>
      <c r="Q172" s="228">
        <f>cmadjust*$K172*Multipliers!F425/1000000</f>
        <v>0</v>
      </c>
      <c r="R172" s="228">
        <f>cmadjust*$K172*Multipliers!G425/1000000</f>
        <v>0</v>
      </c>
      <c r="S172" s="228">
        <f>cmadjust*$K172*Multipliers!H425/1000000</f>
        <v>0</v>
      </c>
      <c r="T172" s="228">
        <f>cmadjust*$K172*Multipliers!I425/1000000</f>
        <v>0</v>
      </c>
      <c r="U172" s="228">
        <f>cmadjust*$K172*Multipliers!J425/1000000</f>
        <v>0</v>
      </c>
      <c r="V172" s="228">
        <f>cmadjust*$K172*Multipliers!K425/1000000</f>
        <v>0</v>
      </c>
      <c r="W172" s="228">
        <f>cmadjust*$K172*Multipliers!L425/1000000</f>
        <v>0</v>
      </c>
      <c r="X172" s="228">
        <f>cmadjust*$K172*Multipliers!M425/1000000</f>
        <v>0</v>
      </c>
      <c r="Y172" s="228">
        <f>cmadjust*$K172*Multipliers!N425/1000000</f>
        <v>0</v>
      </c>
      <c r="Z172" s="228">
        <f>cmadjust*$K172*Multipliers!O425/1000000</f>
        <v>0</v>
      </c>
    </row>
    <row r="173" spans="3:26" x14ac:dyDescent="0.25">
      <c r="C173" t="s">
        <v>597</v>
      </c>
      <c r="D173" s="226"/>
      <c r="E173" s="226">
        <f>E152</f>
        <v>0</v>
      </c>
      <c r="F173" s="226"/>
      <c r="G173" s="226"/>
      <c r="H173" s="226"/>
      <c r="I173" s="226"/>
      <c r="J173" s="226"/>
      <c r="K173" s="226">
        <f t="shared" si="19"/>
        <v>0</v>
      </c>
      <c r="N173" t="s">
        <v>597</v>
      </c>
      <c r="O173" s="228">
        <f>cmadjust*$K173*Multipliers!D426/1000000</f>
        <v>0</v>
      </c>
      <c r="P173" s="228">
        <f>cmadjust*$K173*Multipliers!E426/1000000</f>
        <v>0</v>
      </c>
      <c r="Q173" s="228">
        <f>cmadjust*$K173*Multipliers!F426/1000000</f>
        <v>0</v>
      </c>
      <c r="R173" s="228">
        <f>cmadjust*$K173*Multipliers!G426/1000000</f>
        <v>0</v>
      </c>
      <c r="S173" s="228">
        <f>cmadjust*$K173*Multipliers!H426/1000000</f>
        <v>0</v>
      </c>
      <c r="T173" s="228">
        <f>cmadjust*$K173*Multipliers!I426/1000000</f>
        <v>0</v>
      </c>
      <c r="U173" s="228">
        <f>cmadjust*$K173*Multipliers!J426/1000000</f>
        <v>0</v>
      </c>
      <c r="V173" s="228">
        <f>cmadjust*$K173*Multipliers!K426/1000000</f>
        <v>0</v>
      </c>
      <c r="W173" s="228">
        <f>cmadjust*$K173*Multipliers!L426/1000000</f>
        <v>0</v>
      </c>
      <c r="X173" s="228">
        <f>cmadjust*$K173*Multipliers!M426/1000000</f>
        <v>0</v>
      </c>
      <c r="Y173" s="228">
        <f>cmadjust*$K173*Multipliers!N426/1000000</f>
        <v>0</v>
      </c>
      <c r="Z173" s="228">
        <f>cmadjust*$K173*Multipliers!O426/1000000</f>
        <v>0</v>
      </c>
    </row>
    <row r="174" spans="3:26" x14ac:dyDescent="0.25">
      <c r="C174" t="s">
        <v>598</v>
      </c>
      <c r="D174" s="226"/>
      <c r="E174" s="226"/>
      <c r="F174" s="226"/>
      <c r="G174" s="226"/>
      <c r="H174" s="226"/>
      <c r="I174" s="226"/>
      <c r="J174" s="226"/>
      <c r="K174" s="226">
        <f t="shared" si="19"/>
        <v>0</v>
      </c>
      <c r="N174" t="s">
        <v>598</v>
      </c>
      <c r="O174" s="228">
        <f>cmadjust*$K174*Multipliers!D427/1000000</f>
        <v>0</v>
      </c>
      <c r="P174" s="228">
        <f>cmadjust*$K174*Multipliers!E427/1000000</f>
        <v>0</v>
      </c>
      <c r="Q174" s="228">
        <f>cmadjust*$K174*Multipliers!F427/1000000</f>
        <v>0</v>
      </c>
      <c r="R174" s="228">
        <f>cmadjust*$K174*Multipliers!G427/1000000</f>
        <v>0</v>
      </c>
      <c r="S174" s="228">
        <f>cmadjust*$K174*Multipliers!H427/1000000</f>
        <v>0</v>
      </c>
      <c r="T174" s="228">
        <f>cmadjust*$K174*Multipliers!I427/1000000</f>
        <v>0</v>
      </c>
      <c r="U174" s="228">
        <f>cmadjust*$K174*Multipliers!J427/1000000</f>
        <v>0</v>
      </c>
      <c r="V174" s="228">
        <f>cmadjust*$K174*Multipliers!K427/1000000</f>
        <v>0</v>
      </c>
      <c r="W174" s="228">
        <f>cmadjust*$K174*Multipliers!L427/1000000</f>
        <v>0</v>
      </c>
      <c r="X174" s="228">
        <f>cmadjust*$K174*Multipliers!M427/1000000</f>
        <v>0</v>
      </c>
      <c r="Y174" s="228">
        <f>cmadjust*$K174*Multipliers!N427/1000000</f>
        <v>0</v>
      </c>
      <c r="Z174" s="228">
        <f>cmadjust*$K174*Multipliers!O427/1000000</f>
        <v>0</v>
      </c>
    </row>
    <row r="175" spans="3:26" x14ac:dyDescent="0.25">
      <c r="C175" t="s">
        <v>599</v>
      </c>
      <c r="D175" s="226"/>
      <c r="E175" s="226"/>
      <c r="F175" s="226"/>
      <c r="G175" s="226"/>
      <c r="H175" s="226"/>
      <c r="I175" s="226"/>
      <c r="J175" s="226"/>
      <c r="K175" s="226">
        <f t="shared" si="19"/>
        <v>0</v>
      </c>
      <c r="N175" t="s">
        <v>599</v>
      </c>
      <c r="O175" s="228">
        <f>cmadjust*$K175*Multipliers!D428/1000000</f>
        <v>0</v>
      </c>
      <c r="P175" s="228">
        <f>cmadjust*$K175*Multipliers!E428/1000000</f>
        <v>0</v>
      </c>
      <c r="Q175" s="228">
        <f>cmadjust*$K175*Multipliers!F428/1000000</f>
        <v>0</v>
      </c>
      <c r="R175" s="228">
        <f>cmadjust*$K175*Multipliers!G428/1000000</f>
        <v>0</v>
      </c>
      <c r="S175" s="228">
        <f>cmadjust*$K175*Multipliers!H428/1000000</f>
        <v>0</v>
      </c>
      <c r="T175" s="228">
        <f>cmadjust*$K175*Multipliers!I428/1000000</f>
        <v>0</v>
      </c>
      <c r="U175" s="228">
        <f>cmadjust*$K175*Multipliers!J428/1000000</f>
        <v>0</v>
      </c>
      <c r="V175" s="228">
        <f>cmadjust*$K175*Multipliers!K428/1000000</f>
        <v>0</v>
      </c>
      <c r="W175" s="228">
        <f>cmadjust*$K175*Multipliers!L428/1000000</f>
        <v>0</v>
      </c>
      <c r="X175" s="228">
        <f>cmadjust*$K175*Multipliers!M428/1000000</f>
        <v>0</v>
      </c>
      <c r="Y175" s="228">
        <f>cmadjust*$K175*Multipliers!N428/1000000</f>
        <v>0</v>
      </c>
      <c r="Z175" s="228">
        <f>cmadjust*$K175*Multipliers!O428/1000000</f>
        <v>0</v>
      </c>
    </row>
    <row r="176" spans="3:26" x14ac:dyDescent="0.25">
      <c r="C176" t="s">
        <v>423</v>
      </c>
      <c r="D176" s="226"/>
      <c r="E176" s="226"/>
      <c r="F176" s="226"/>
      <c r="G176" s="226"/>
      <c r="H176" s="226"/>
      <c r="I176" s="226">
        <f>I152</f>
        <v>0</v>
      </c>
      <c r="J176" s="226">
        <f>J152</f>
        <v>0</v>
      </c>
      <c r="K176" s="226">
        <f t="shared" si="19"/>
        <v>0</v>
      </c>
      <c r="N176" t="s">
        <v>423</v>
      </c>
      <c r="O176" s="228">
        <f>cmadjust*$K176*Multipliers!D429/1000000</f>
        <v>0</v>
      </c>
      <c r="P176" s="228">
        <f>cmadjust*$K176*Multipliers!E429/1000000</f>
        <v>0</v>
      </c>
      <c r="Q176" s="228">
        <f>cmadjust*$K176*Multipliers!F429/1000000</f>
        <v>0</v>
      </c>
      <c r="R176" s="228">
        <f>cmadjust*$K176*Multipliers!G429/1000000</f>
        <v>0</v>
      </c>
      <c r="S176" s="228">
        <f>cmadjust*$K176*Multipliers!H429/1000000</f>
        <v>0</v>
      </c>
      <c r="T176" s="228">
        <f>cmadjust*$K176*Multipliers!I429/1000000</f>
        <v>0</v>
      </c>
      <c r="U176" s="228">
        <f>cmadjust*$K176*Multipliers!J429/1000000</f>
        <v>0</v>
      </c>
      <c r="V176" s="228">
        <f>cmadjust*$K176*Multipliers!K429/1000000</f>
        <v>0</v>
      </c>
      <c r="W176" s="228">
        <f>cmadjust*$K176*Multipliers!L429/1000000</f>
        <v>0</v>
      </c>
      <c r="X176" s="228">
        <f>cmadjust*$K176*Multipliers!M429/1000000</f>
        <v>0</v>
      </c>
      <c r="Y176" s="228">
        <f>cmadjust*$K176*Multipliers!N429/1000000</f>
        <v>0</v>
      </c>
      <c r="Z176" s="228">
        <f>cmadjust*$K176*Multipliers!O429/1000000</f>
        <v>0</v>
      </c>
    </row>
    <row r="177" spans="3:26" x14ac:dyDescent="0.25">
      <c r="C177" t="s">
        <v>600</v>
      </c>
      <c r="D177" s="226"/>
      <c r="E177" s="226"/>
      <c r="F177" s="226"/>
      <c r="G177" s="226"/>
      <c r="H177" s="226">
        <f>H152</f>
        <v>0</v>
      </c>
      <c r="I177" s="226"/>
      <c r="J177" s="226"/>
      <c r="K177" s="226">
        <f t="shared" si="19"/>
        <v>0</v>
      </c>
      <c r="N177" t="s">
        <v>600</v>
      </c>
      <c r="O177" s="228">
        <f>cmadjust*$K177*Multipliers!D430/1000000</f>
        <v>0</v>
      </c>
      <c r="P177" s="228">
        <f>cmadjust*$K177*Multipliers!E430/1000000</f>
        <v>0</v>
      </c>
      <c r="Q177" s="228">
        <f>cmadjust*$K177*Multipliers!F430/1000000</f>
        <v>0</v>
      </c>
      <c r="R177" s="228">
        <f>cmadjust*$K177*Multipliers!G430/1000000</f>
        <v>0</v>
      </c>
      <c r="S177" s="228">
        <f>cmadjust*$K177*Multipliers!H430/1000000</f>
        <v>0</v>
      </c>
      <c r="T177" s="228">
        <f>cmadjust*$K177*Multipliers!I430/1000000</f>
        <v>0</v>
      </c>
      <c r="U177" s="228">
        <f>cmadjust*$K177*Multipliers!J430/1000000</f>
        <v>0</v>
      </c>
      <c r="V177" s="228">
        <f>cmadjust*$K177*Multipliers!K430/1000000</f>
        <v>0</v>
      </c>
      <c r="W177" s="228">
        <f>cmadjust*$K177*Multipliers!L430/1000000</f>
        <v>0</v>
      </c>
      <c r="X177" s="228">
        <f>cmadjust*$K177*Multipliers!M430/1000000</f>
        <v>0</v>
      </c>
      <c r="Y177" s="228">
        <f>cmadjust*$K177*Multipliers!N430/1000000</f>
        <v>0</v>
      </c>
      <c r="Z177" s="228">
        <f>cmadjust*$K177*Multipliers!O430/1000000</f>
        <v>0</v>
      </c>
    </row>
    <row r="178" spans="3:26" x14ac:dyDescent="0.25">
      <c r="C178" t="s">
        <v>601</v>
      </c>
      <c r="D178" s="226"/>
      <c r="E178" s="226"/>
      <c r="F178" s="226"/>
      <c r="G178" s="226"/>
      <c r="H178" s="226"/>
      <c r="I178" s="226"/>
      <c r="J178" s="226"/>
      <c r="K178" s="226">
        <f t="shared" si="19"/>
        <v>0</v>
      </c>
      <c r="N178" t="s">
        <v>601</v>
      </c>
      <c r="O178" s="228">
        <f>cmadjust*$K178*Multipliers!D431/1000000</f>
        <v>0</v>
      </c>
      <c r="P178" s="228">
        <f>cmadjust*$K178*Multipliers!E431/1000000</f>
        <v>0</v>
      </c>
      <c r="Q178" s="228">
        <f>cmadjust*$K178*Multipliers!F431/1000000</f>
        <v>0</v>
      </c>
      <c r="R178" s="228">
        <f>cmadjust*$K178*Multipliers!G431/1000000</f>
        <v>0</v>
      </c>
      <c r="S178" s="228">
        <f>cmadjust*$K178*Multipliers!H431/1000000</f>
        <v>0</v>
      </c>
      <c r="T178" s="228">
        <f>cmadjust*$K178*Multipliers!I431/1000000</f>
        <v>0</v>
      </c>
      <c r="U178" s="228">
        <f>cmadjust*$K178*Multipliers!J431/1000000</f>
        <v>0</v>
      </c>
      <c r="V178" s="228">
        <f>cmadjust*$K178*Multipliers!K431/1000000</f>
        <v>0</v>
      </c>
      <c r="W178" s="228">
        <f>cmadjust*$K178*Multipliers!L431/1000000</f>
        <v>0</v>
      </c>
      <c r="X178" s="228">
        <f>cmadjust*$K178*Multipliers!M431/1000000</f>
        <v>0</v>
      </c>
      <c r="Y178" s="228">
        <f>cmadjust*$K178*Multipliers!N431/1000000</f>
        <v>0</v>
      </c>
      <c r="Z178" s="228">
        <f>cmadjust*$K178*Multipliers!O431/1000000</f>
        <v>0</v>
      </c>
    </row>
    <row r="179" spans="3:26" x14ac:dyDescent="0.25">
      <c r="C179" t="s">
        <v>602</v>
      </c>
      <c r="D179" s="226"/>
      <c r="E179" s="226"/>
      <c r="F179" s="226"/>
      <c r="G179" s="226"/>
      <c r="H179" s="226"/>
      <c r="I179" s="226"/>
      <c r="J179" s="226">
        <f>'General-Calculations'!F167+'General-Calculations'!X72</f>
        <v>0</v>
      </c>
      <c r="K179" s="226">
        <f t="shared" si="19"/>
        <v>0</v>
      </c>
      <c r="N179" t="s">
        <v>602</v>
      </c>
      <c r="O179" s="228">
        <f>cmadjust*$K179*Multipliers!D432/1000000</f>
        <v>0</v>
      </c>
      <c r="P179" s="228">
        <f>cmadjust*$K179*Multipliers!E432/1000000</f>
        <v>0</v>
      </c>
      <c r="Q179" s="228">
        <f>cmadjust*$K179*Multipliers!F432/1000000</f>
        <v>0</v>
      </c>
      <c r="R179" s="228">
        <f>cmadjust*$K179*Multipliers!G432/1000000</f>
        <v>0</v>
      </c>
      <c r="S179" s="228">
        <f>cmadjust*$K179*Multipliers!H432/1000000</f>
        <v>0</v>
      </c>
      <c r="T179" s="228">
        <f>cmadjust*$K179*Multipliers!I432/1000000</f>
        <v>0</v>
      </c>
      <c r="U179" s="228">
        <f>cmadjust*$K179*Multipliers!J432/1000000</f>
        <v>0</v>
      </c>
      <c r="V179" s="228">
        <f>cmadjust*$K179*Multipliers!K432/1000000</f>
        <v>0</v>
      </c>
      <c r="W179" s="228">
        <f>cmadjust*$K179*Multipliers!L432/1000000</f>
        <v>0</v>
      </c>
      <c r="X179" s="228">
        <f>cmadjust*$K179*Multipliers!M432/1000000</f>
        <v>0</v>
      </c>
      <c r="Y179" s="228">
        <f>cmadjust*$K179*Multipliers!N432/1000000</f>
        <v>0</v>
      </c>
      <c r="Z179" s="228">
        <f>cmadjust*$K179*Multipliers!O432/1000000</f>
        <v>0</v>
      </c>
    </row>
    <row r="180" spans="3:26" x14ac:dyDescent="0.25">
      <c r="C180" s="420"/>
      <c r="N180" t="s">
        <v>375</v>
      </c>
      <c r="O180" s="228">
        <f>SUM(O153:O179)</f>
        <v>0</v>
      </c>
      <c r="P180" s="228">
        <f t="shared" ref="P180:Z180" si="20">SUM(P153:P179)</f>
        <v>0</v>
      </c>
      <c r="Q180" s="228">
        <f t="shared" si="20"/>
        <v>0</v>
      </c>
      <c r="R180" s="228">
        <f t="shared" si="20"/>
        <v>0</v>
      </c>
      <c r="S180" s="228">
        <f t="shared" si="20"/>
        <v>0</v>
      </c>
      <c r="T180" s="228">
        <f t="shared" si="20"/>
        <v>0</v>
      </c>
      <c r="U180" s="228">
        <f t="shared" si="20"/>
        <v>0</v>
      </c>
      <c r="V180" s="228">
        <f t="shared" si="20"/>
        <v>0</v>
      </c>
      <c r="W180" s="228">
        <f t="shared" si="20"/>
        <v>0</v>
      </c>
      <c r="X180" s="228">
        <f t="shared" si="20"/>
        <v>0</v>
      </c>
      <c r="Y180" s="228">
        <f t="shared" si="20"/>
        <v>0</v>
      </c>
      <c r="Z180" s="228">
        <f t="shared" si="20"/>
        <v>0</v>
      </c>
    </row>
    <row r="181" spans="3:26" x14ac:dyDescent="0.25">
      <c r="D181" s="227"/>
    </row>
    <row r="182" spans="3:26" x14ac:dyDescent="0.25">
      <c r="N182">
        <f>O150</f>
        <v>0</v>
      </c>
      <c r="O182" t="s">
        <v>357</v>
      </c>
      <c r="P182" t="s">
        <v>499</v>
      </c>
      <c r="Q182" t="s">
        <v>359</v>
      </c>
      <c r="R182" t="s">
        <v>580</v>
      </c>
    </row>
    <row r="183" spans="3:26" x14ac:dyDescent="0.25">
      <c r="N183" t="s">
        <v>604</v>
      </c>
      <c r="O183">
        <f>SUM(O180:P180)</f>
        <v>0</v>
      </c>
      <c r="P183">
        <f>SUM(R180:S180)</f>
        <v>0</v>
      </c>
      <c r="Q183">
        <f>SUM(U180:V180)</f>
        <v>0</v>
      </c>
      <c r="R183">
        <f>SUM(X180:Y180)</f>
        <v>0</v>
      </c>
    </row>
    <row r="184" spans="3:26" x14ac:dyDescent="0.25">
      <c r="N184" t="s">
        <v>374</v>
      </c>
      <c r="O184">
        <f>Q180</f>
        <v>0</v>
      </c>
      <c r="P184">
        <f>T180</f>
        <v>0</v>
      </c>
      <c r="Q184">
        <f>W180</f>
        <v>0</v>
      </c>
      <c r="R184">
        <f>Z180</f>
        <v>0</v>
      </c>
    </row>
    <row r="190" spans="3:26" x14ac:dyDescent="0.25">
      <c r="C190" s="54" t="s">
        <v>374</v>
      </c>
    </row>
    <row r="191" spans="3:26" x14ac:dyDescent="0.25">
      <c r="N191" s="426" t="s">
        <v>357</v>
      </c>
      <c r="O191" s="426"/>
      <c r="P191" s="426"/>
      <c r="Q191" s="426" t="s">
        <v>499</v>
      </c>
      <c r="R191" s="426"/>
      <c r="S191" s="426"/>
      <c r="T191" s="426" t="s">
        <v>359</v>
      </c>
      <c r="U191" s="426"/>
      <c r="V191" s="426"/>
      <c r="W191" s="426" t="s">
        <v>580</v>
      </c>
      <c r="X191" s="426"/>
      <c r="Y191" s="426"/>
    </row>
    <row r="192" spans="3:26" x14ac:dyDescent="0.25">
      <c r="D192" t="s">
        <v>617</v>
      </c>
      <c r="N192" s="426" t="s">
        <v>581</v>
      </c>
      <c r="O192" s="426" t="s">
        <v>582</v>
      </c>
      <c r="P192" s="426" t="s">
        <v>374</v>
      </c>
      <c r="Q192" s="426" t="s">
        <v>581</v>
      </c>
      <c r="R192" s="426" t="s">
        <v>582</v>
      </c>
      <c r="S192" s="426" t="s">
        <v>374</v>
      </c>
      <c r="T192" s="426" t="s">
        <v>581</v>
      </c>
      <c r="U192" s="426" t="s">
        <v>582</v>
      </c>
      <c r="V192" s="426" t="s">
        <v>374</v>
      </c>
      <c r="W192" s="426" t="s">
        <v>581</v>
      </c>
      <c r="X192" s="426" t="s">
        <v>582</v>
      </c>
      <c r="Y192" s="426" t="s">
        <v>374</v>
      </c>
    </row>
    <row r="193" spans="3:25" x14ac:dyDescent="0.25">
      <c r="C193" t="s">
        <v>400</v>
      </c>
      <c r="D193" s="209">
        <f>('General-Calculations'!$L$109+'General-Calculations'!AG49)*Multipliers!U406</f>
        <v>0</v>
      </c>
      <c r="M193" t="s">
        <v>400</v>
      </c>
      <c r="N193" s="199">
        <f>cmadjust*$D193*Multipliers!D406</f>
        <v>0</v>
      </c>
      <c r="O193" s="199">
        <f>cmadjust*$D193*Multipliers!E406</f>
        <v>0</v>
      </c>
      <c r="P193" s="199">
        <f>cmadjust*$D193*Multipliers!F406</f>
        <v>0</v>
      </c>
      <c r="Q193" s="199">
        <f>cmadjust*$D193*Multipliers!G406</f>
        <v>0</v>
      </c>
      <c r="R193" s="199">
        <f>cmadjust*$D193*Multipliers!H406</f>
        <v>0</v>
      </c>
      <c r="S193" s="199">
        <f>cmadjust*$D193*Multipliers!I406</f>
        <v>0</v>
      </c>
      <c r="T193" s="199">
        <f>cmadjust*$D193*Multipliers!J406</f>
        <v>0</v>
      </c>
      <c r="U193" s="199">
        <f>cmadjust*$D193*Multipliers!K406</f>
        <v>0</v>
      </c>
      <c r="V193" s="199">
        <f>cmadjust*$D193*Multipliers!L406</f>
        <v>0</v>
      </c>
      <c r="W193" s="199">
        <f>cmadjust*$D193*Multipliers!M406</f>
        <v>0</v>
      </c>
      <c r="X193" s="199">
        <f>cmadjust*$D193*Multipliers!N406</f>
        <v>0</v>
      </c>
      <c r="Y193" s="199">
        <f>cmadjust*$D193*Multipliers!O406</f>
        <v>0</v>
      </c>
    </row>
    <row r="194" spans="3:25" x14ac:dyDescent="0.25">
      <c r="C194" t="s">
        <v>583</v>
      </c>
      <c r="D194" s="209">
        <f>('General-Calculations'!$L$109+'General-Calculations'!AG50)*Multipliers!U407</f>
        <v>0</v>
      </c>
      <c r="M194" t="s">
        <v>583</v>
      </c>
      <c r="N194" s="199">
        <f>cmadjust*$D194*Multipliers!D407</f>
        <v>0</v>
      </c>
      <c r="O194" s="199">
        <f>cmadjust*$D194*Multipliers!E407</f>
        <v>0</v>
      </c>
      <c r="P194" s="199">
        <f>cmadjust*$D194*Multipliers!F407</f>
        <v>0</v>
      </c>
      <c r="Q194" s="199">
        <f>cmadjust*$D194*Multipliers!G407</f>
        <v>0</v>
      </c>
      <c r="R194" s="199">
        <f>cmadjust*$D194*Multipliers!H407</f>
        <v>0</v>
      </c>
      <c r="S194" s="199">
        <f>cmadjust*$D194*Multipliers!I407</f>
        <v>0</v>
      </c>
      <c r="T194" s="199">
        <f>cmadjust*$D194*Multipliers!J407</f>
        <v>0</v>
      </c>
      <c r="U194" s="199">
        <f>cmadjust*$D194*Multipliers!K407</f>
        <v>0</v>
      </c>
      <c r="V194" s="199">
        <f>cmadjust*$D194*Multipliers!L407</f>
        <v>0</v>
      </c>
      <c r="W194" s="199">
        <f>cmadjust*$D194*Multipliers!M407</f>
        <v>0</v>
      </c>
      <c r="X194" s="199">
        <f>cmadjust*$D194*Multipliers!N407</f>
        <v>0</v>
      </c>
      <c r="Y194" s="199">
        <f>cmadjust*$D194*Multipliers!O407</f>
        <v>0</v>
      </c>
    </row>
    <row r="195" spans="3:25" x14ac:dyDescent="0.25">
      <c r="C195" t="s">
        <v>403</v>
      </c>
      <c r="D195" s="209">
        <f>('General-Calculations'!$L$109+'General-Calculations'!AG51)*Multipliers!U408</f>
        <v>0</v>
      </c>
      <c r="M195" t="s">
        <v>403</v>
      </c>
      <c r="N195" s="199">
        <f>cmadjust*$D195*Multipliers!D408</f>
        <v>0</v>
      </c>
      <c r="O195" s="199">
        <f>cmadjust*$D195*Multipliers!E408</f>
        <v>0</v>
      </c>
      <c r="P195" s="199">
        <f>cmadjust*$D195*Multipliers!F408</f>
        <v>0</v>
      </c>
      <c r="Q195" s="199">
        <f>cmadjust*$D195*Multipliers!G408</f>
        <v>0</v>
      </c>
      <c r="R195" s="199">
        <f>cmadjust*$D195*Multipliers!H408</f>
        <v>0</v>
      </c>
      <c r="S195" s="199">
        <f>cmadjust*$D195*Multipliers!I408</f>
        <v>0</v>
      </c>
      <c r="T195" s="199">
        <f>cmadjust*$D195*Multipliers!J408</f>
        <v>0</v>
      </c>
      <c r="U195" s="199">
        <f>cmadjust*$D195*Multipliers!K408</f>
        <v>0</v>
      </c>
      <c r="V195" s="199">
        <f>cmadjust*$D195*Multipliers!L408</f>
        <v>0</v>
      </c>
      <c r="W195" s="199">
        <f>cmadjust*$D195*Multipliers!M408</f>
        <v>0</v>
      </c>
      <c r="X195" s="199">
        <f>cmadjust*$D195*Multipliers!N408</f>
        <v>0</v>
      </c>
      <c r="Y195" s="199">
        <f>cmadjust*$D195*Multipliers!O408</f>
        <v>0</v>
      </c>
    </row>
    <row r="196" spans="3:25" x14ac:dyDescent="0.25">
      <c r="C196" t="s">
        <v>584</v>
      </c>
      <c r="D196" s="209">
        <f>('General-Calculations'!$L$109+'General-Calculations'!AG52)*Multipliers!U409</f>
        <v>0</v>
      </c>
      <c r="M196" t="s">
        <v>584</v>
      </c>
      <c r="N196" s="199">
        <f>cmadjust*$D196*Multipliers!D409</f>
        <v>0</v>
      </c>
      <c r="O196" s="199">
        <f>cmadjust*$D196*Multipliers!E409</f>
        <v>0</v>
      </c>
      <c r="P196" s="199">
        <f>cmadjust*$D196*Multipliers!F409</f>
        <v>0</v>
      </c>
      <c r="Q196" s="199">
        <f>cmadjust*$D196*Multipliers!G409</f>
        <v>0</v>
      </c>
      <c r="R196" s="199">
        <f>cmadjust*$D196*Multipliers!H409</f>
        <v>0</v>
      </c>
      <c r="S196" s="199">
        <f>cmadjust*$D196*Multipliers!I409</f>
        <v>0</v>
      </c>
      <c r="T196" s="199">
        <f>cmadjust*$D196*Multipliers!J409</f>
        <v>0</v>
      </c>
      <c r="U196" s="199">
        <f>cmadjust*$D196*Multipliers!K409</f>
        <v>0</v>
      </c>
      <c r="V196" s="199">
        <f>cmadjust*$D196*Multipliers!L409</f>
        <v>0</v>
      </c>
      <c r="W196" s="199">
        <f>cmadjust*$D196*Multipliers!M409</f>
        <v>0</v>
      </c>
      <c r="X196" s="199">
        <f>cmadjust*$D196*Multipliers!N409</f>
        <v>0</v>
      </c>
      <c r="Y196" s="199">
        <f>cmadjust*$D196*Multipliers!O409</f>
        <v>0</v>
      </c>
    </row>
    <row r="197" spans="3:25" x14ac:dyDescent="0.25">
      <c r="C197" t="s">
        <v>585</v>
      </c>
      <c r="D197" s="209">
        <f>('General-Calculations'!$L$109+'General-Calculations'!AG53)*Multipliers!U410</f>
        <v>0</v>
      </c>
      <c r="M197" t="s">
        <v>585</v>
      </c>
      <c r="N197" s="199">
        <f>cmadjust*$D197*Multipliers!D410</f>
        <v>0</v>
      </c>
      <c r="O197" s="199">
        <f>cmadjust*$D197*Multipliers!E410</f>
        <v>0</v>
      </c>
      <c r="P197" s="199">
        <f>cmadjust*$D197*Multipliers!F410</f>
        <v>0</v>
      </c>
      <c r="Q197" s="199">
        <f>cmadjust*$D197*Multipliers!G410</f>
        <v>0</v>
      </c>
      <c r="R197" s="199">
        <f>cmadjust*$D197*Multipliers!H410</f>
        <v>0</v>
      </c>
      <c r="S197" s="199">
        <f>cmadjust*$D197*Multipliers!I410</f>
        <v>0</v>
      </c>
      <c r="T197" s="199">
        <f>cmadjust*$D197*Multipliers!J410</f>
        <v>0</v>
      </c>
      <c r="U197" s="199">
        <f>cmadjust*$D197*Multipliers!K410</f>
        <v>0</v>
      </c>
      <c r="V197" s="199">
        <f>cmadjust*$D197*Multipliers!L410</f>
        <v>0</v>
      </c>
      <c r="W197" s="199">
        <f>cmadjust*$D197*Multipliers!M410</f>
        <v>0</v>
      </c>
      <c r="X197" s="199">
        <f>cmadjust*$D197*Multipliers!N410</f>
        <v>0</v>
      </c>
      <c r="Y197" s="199">
        <f>cmadjust*$D197*Multipliers!O410</f>
        <v>0</v>
      </c>
    </row>
    <row r="198" spans="3:25" x14ac:dyDescent="0.25">
      <c r="C198" t="s">
        <v>586</v>
      </c>
      <c r="D198" s="209">
        <f>('General-Calculations'!$L$109+'General-Calculations'!AG54)*Multipliers!U411</f>
        <v>0</v>
      </c>
      <c r="M198" t="s">
        <v>586</v>
      </c>
      <c r="N198" s="199">
        <f>cmadjust*$D198*Multipliers!D411</f>
        <v>0</v>
      </c>
      <c r="O198" s="199">
        <f>cmadjust*$D198*Multipliers!E411</f>
        <v>0</v>
      </c>
      <c r="P198" s="199">
        <f>cmadjust*$D198*Multipliers!F411</f>
        <v>0</v>
      </c>
      <c r="Q198" s="199">
        <f>cmadjust*$D198*Multipliers!G411</f>
        <v>0</v>
      </c>
      <c r="R198" s="199">
        <f>cmadjust*$D198*Multipliers!H411</f>
        <v>0</v>
      </c>
      <c r="S198" s="199">
        <f>cmadjust*$D198*Multipliers!I411</f>
        <v>0</v>
      </c>
      <c r="T198" s="199">
        <f>cmadjust*$D198*Multipliers!J411</f>
        <v>0</v>
      </c>
      <c r="U198" s="199">
        <f>cmadjust*$D198*Multipliers!K411</f>
        <v>0</v>
      </c>
      <c r="V198" s="199">
        <f>cmadjust*$D198*Multipliers!L411</f>
        <v>0</v>
      </c>
      <c r="W198" s="199">
        <f>cmadjust*$D198*Multipliers!M411</f>
        <v>0</v>
      </c>
      <c r="X198" s="199">
        <f>cmadjust*$D198*Multipliers!N411</f>
        <v>0</v>
      </c>
      <c r="Y198" s="199">
        <f>cmadjust*$D198*Multipliers!O411</f>
        <v>0</v>
      </c>
    </row>
    <row r="199" spans="3:25" x14ac:dyDescent="0.25">
      <c r="C199" t="s">
        <v>587</v>
      </c>
      <c r="D199" s="209">
        <f>('General-Calculations'!$L$109+'General-Calculations'!AG55)*Multipliers!U412</f>
        <v>0</v>
      </c>
      <c r="M199" t="s">
        <v>587</v>
      </c>
      <c r="N199" s="199">
        <f>cmadjust*$D199*Multipliers!D412</f>
        <v>0</v>
      </c>
      <c r="O199" s="199">
        <f>cmadjust*$D199*Multipliers!E412</f>
        <v>0</v>
      </c>
      <c r="P199" s="199">
        <f>cmadjust*$D199*Multipliers!F412</f>
        <v>0</v>
      </c>
      <c r="Q199" s="199">
        <f>cmadjust*$D199*Multipliers!G412</f>
        <v>0</v>
      </c>
      <c r="R199" s="199">
        <f>cmadjust*$D199*Multipliers!H412</f>
        <v>0</v>
      </c>
      <c r="S199" s="199">
        <f>cmadjust*$D199*Multipliers!I412</f>
        <v>0</v>
      </c>
      <c r="T199" s="199">
        <f>cmadjust*$D199*Multipliers!J412</f>
        <v>0</v>
      </c>
      <c r="U199" s="199">
        <f>cmadjust*$D199*Multipliers!K412</f>
        <v>0</v>
      </c>
      <c r="V199" s="199">
        <f>cmadjust*$D199*Multipliers!L412</f>
        <v>0</v>
      </c>
      <c r="W199" s="199">
        <f>cmadjust*$D199*Multipliers!M412</f>
        <v>0</v>
      </c>
      <c r="X199" s="199">
        <f>cmadjust*$D199*Multipliers!N412</f>
        <v>0</v>
      </c>
      <c r="Y199" s="199">
        <f>cmadjust*$D199*Multipliers!O412</f>
        <v>0</v>
      </c>
    </row>
    <row r="200" spans="3:25" x14ac:dyDescent="0.25">
      <c r="C200" t="s">
        <v>588</v>
      </c>
      <c r="D200" s="209">
        <f>('General-Calculations'!$L$109+'General-Calculations'!AG56)*Multipliers!U413</f>
        <v>0</v>
      </c>
      <c r="M200" t="s">
        <v>588</v>
      </c>
      <c r="N200" s="199">
        <f>cmadjust*$D200*Multipliers!D413</f>
        <v>0</v>
      </c>
      <c r="O200" s="199">
        <f>cmadjust*$D200*Multipliers!E413</f>
        <v>0</v>
      </c>
      <c r="P200" s="199">
        <f>cmadjust*$D200*Multipliers!F413</f>
        <v>0</v>
      </c>
      <c r="Q200" s="199">
        <f>cmadjust*$D200*Multipliers!G413</f>
        <v>0</v>
      </c>
      <c r="R200" s="199">
        <f>cmadjust*$D200*Multipliers!H413</f>
        <v>0</v>
      </c>
      <c r="S200" s="199">
        <f>cmadjust*$D200*Multipliers!I413</f>
        <v>0</v>
      </c>
      <c r="T200" s="199">
        <f>cmadjust*$D200*Multipliers!J413</f>
        <v>0</v>
      </c>
      <c r="U200" s="199">
        <f>cmadjust*$D200*Multipliers!K413</f>
        <v>0</v>
      </c>
      <c r="V200" s="199">
        <f>cmadjust*$D200*Multipliers!L413</f>
        <v>0</v>
      </c>
      <c r="W200" s="199">
        <f>cmadjust*$D200*Multipliers!M413</f>
        <v>0</v>
      </c>
      <c r="X200" s="199">
        <f>cmadjust*$D200*Multipliers!N413</f>
        <v>0</v>
      </c>
      <c r="Y200" s="199">
        <f>cmadjust*$D200*Multipliers!O413</f>
        <v>0</v>
      </c>
    </row>
    <row r="201" spans="3:25" x14ac:dyDescent="0.25">
      <c r="C201" t="s">
        <v>348</v>
      </c>
      <c r="D201" s="209">
        <f>('General-Calculations'!$L$109+'General-Calculations'!AG57)*Multipliers!U414</f>
        <v>0</v>
      </c>
      <c r="M201" t="s">
        <v>348</v>
      </c>
      <c r="N201" s="199">
        <f>cmadjust*$D201*Multipliers!D414</f>
        <v>0</v>
      </c>
      <c r="O201" s="199">
        <f>cmadjust*$D201*Multipliers!E414</f>
        <v>0</v>
      </c>
      <c r="P201" s="199">
        <f>cmadjust*$D201*Multipliers!F414</f>
        <v>0</v>
      </c>
      <c r="Q201" s="199">
        <f>cmadjust*$D201*Multipliers!G414</f>
        <v>0</v>
      </c>
      <c r="R201" s="199">
        <f>cmadjust*$D201*Multipliers!H414</f>
        <v>0</v>
      </c>
      <c r="S201" s="199">
        <f>cmadjust*$D201*Multipliers!I414</f>
        <v>0</v>
      </c>
      <c r="T201" s="199">
        <f>cmadjust*$D201*Multipliers!J414</f>
        <v>0</v>
      </c>
      <c r="U201" s="199">
        <f>cmadjust*$D201*Multipliers!K414</f>
        <v>0</v>
      </c>
      <c r="V201" s="199">
        <f>cmadjust*$D201*Multipliers!L414</f>
        <v>0</v>
      </c>
      <c r="W201" s="199">
        <f>cmadjust*$D201*Multipliers!M414</f>
        <v>0</v>
      </c>
      <c r="X201" s="199">
        <f>cmadjust*$D201*Multipliers!N414</f>
        <v>0</v>
      </c>
      <c r="Y201" s="199">
        <f>cmadjust*$D201*Multipliers!O414</f>
        <v>0</v>
      </c>
    </row>
    <row r="202" spans="3:25" x14ac:dyDescent="0.25">
      <c r="C202" t="s">
        <v>589</v>
      </c>
      <c r="D202" s="209">
        <f>('General-Calculations'!$L$109+'General-Calculations'!AG58)*Multipliers!U415</f>
        <v>0</v>
      </c>
      <c r="M202" t="s">
        <v>589</v>
      </c>
      <c r="N202" s="199">
        <f>cmadjust*$D202*Multipliers!D415</f>
        <v>0</v>
      </c>
      <c r="O202" s="199">
        <f>cmadjust*$D202*Multipliers!E415</f>
        <v>0</v>
      </c>
      <c r="P202" s="199">
        <f>cmadjust*$D202*Multipliers!F415</f>
        <v>0</v>
      </c>
      <c r="Q202" s="199">
        <f>cmadjust*$D202*Multipliers!G415</f>
        <v>0</v>
      </c>
      <c r="R202" s="199">
        <f>cmadjust*$D202*Multipliers!H415</f>
        <v>0</v>
      </c>
      <c r="S202" s="199">
        <f>cmadjust*$D202*Multipliers!I415</f>
        <v>0</v>
      </c>
      <c r="T202" s="199">
        <f>cmadjust*$D202*Multipliers!J415</f>
        <v>0</v>
      </c>
      <c r="U202" s="199">
        <f>cmadjust*$D202*Multipliers!K415</f>
        <v>0</v>
      </c>
      <c r="V202" s="199">
        <f>cmadjust*$D202*Multipliers!L415</f>
        <v>0</v>
      </c>
      <c r="W202" s="199">
        <f>cmadjust*$D202*Multipliers!M415</f>
        <v>0</v>
      </c>
      <c r="X202" s="199">
        <f>cmadjust*$D202*Multipliers!N415</f>
        <v>0</v>
      </c>
      <c r="Y202" s="199">
        <f>cmadjust*$D202*Multipliers!O415</f>
        <v>0</v>
      </c>
    </row>
    <row r="203" spans="3:25" x14ac:dyDescent="0.25">
      <c r="C203" t="s">
        <v>590</v>
      </c>
      <c r="D203" s="209">
        <f>('General-Calculations'!$L$109+'General-Calculations'!AG59)*Multipliers!U416</f>
        <v>0</v>
      </c>
      <c r="M203" t="s">
        <v>590</v>
      </c>
      <c r="N203" s="199">
        <f>cmadjust*$D203*Multipliers!D416</f>
        <v>0</v>
      </c>
      <c r="O203" s="199">
        <f>cmadjust*$D203*Multipliers!E416</f>
        <v>0</v>
      </c>
      <c r="P203" s="199">
        <f>cmadjust*$D203*Multipliers!F416</f>
        <v>0</v>
      </c>
      <c r="Q203" s="199">
        <f>cmadjust*$D203*Multipliers!G416</f>
        <v>0</v>
      </c>
      <c r="R203" s="199">
        <f>cmadjust*$D203*Multipliers!H416</f>
        <v>0</v>
      </c>
      <c r="S203" s="199">
        <f>cmadjust*$D203*Multipliers!I416</f>
        <v>0</v>
      </c>
      <c r="T203" s="199">
        <f>cmadjust*$D203*Multipliers!J416</f>
        <v>0</v>
      </c>
      <c r="U203" s="199">
        <f>cmadjust*$D203*Multipliers!K416</f>
        <v>0</v>
      </c>
      <c r="V203" s="199">
        <f>cmadjust*$D203*Multipliers!L416</f>
        <v>0</v>
      </c>
      <c r="W203" s="199">
        <f>cmadjust*$D203*Multipliers!M416</f>
        <v>0</v>
      </c>
      <c r="X203" s="199">
        <f>cmadjust*$D203*Multipliers!N416</f>
        <v>0</v>
      </c>
      <c r="Y203" s="199">
        <f>cmadjust*$D203*Multipliers!O416</f>
        <v>0</v>
      </c>
    </row>
    <row r="204" spans="3:25" x14ac:dyDescent="0.25">
      <c r="C204" t="s">
        <v>591</v>
      </c>
      <c r="D204" s="209">
        <f>('General-Calculations'!$L$109+'General-Calculations'!AG60)*Multipliers!U417</f>
        <v>0</v>
      </c>
      <c r="M204" t="s">
        <v>591</v>
      </c>
      <c r="N204" s="199">
        <f>cmadjust*$D204*Multipliers!D417</f>
        <v>0</v>
      </c>
      <c r="O204" s="199">
        <f>cmadjust*$D204*Multipliers!E417</f>
        <v>0</v>
      </c>
      <c r="P204" s="199">
        <f>cmadjust*$D204*Multipliers!F417</f>
        <v>0</v>
      </c>
      <c r="Q204" s="199">
        <f>cmadjust*$D204*Multipliers!G417</f>
        <v>0</v>
      </c>
      <c r="R204" s="199">
        <f>cmadjust*$D204*Multipliers!H417</f>
        <v>0</v>
      </c>
      <c r="S204" s="199">
        <f>cmadjust*$D204*Multipliers!I417</f>
        <v>0</v>
      </c>
      <c r="T204" s="199">
        <f>cmadjust*$D204*Multipliers!J417</f>
        <v>0</v>
      </c>
      <c r="U204" s="199">
        <f>cmadjust*$D204*Multipliers!K417</f>
        <v>0</v>
      </c>
      <c r="V204" s="199">
        <f>cmadjust*$D204*Multipliers!L417</f>
        <v>0</v>
      </c>
      <c r="W204" s="199">
        <f>cmadjust*$D204*Multipliers!M417</f>
        <v>0</v>
      </c>
      <c r="X204" s="199">
        <f>cmadjust*$D204*Multipliers!N417</f>
        <v>0</v>
      </c>
      <c r="Y204" s="199">
        <f>cmadjust*$D204*Multipliers!O417</f>
        <v>0</v>
      </c>
    </row>
    <row r="205" spans="3:25" x14ac:dyDescent="0.25">
      <c r="C205" t="s">
        <v>592</v>
      </c>
      <c r="D205" s="209">
        <f>('General-Calculations'!$L$109+'General-Calculations'!AG61)*Multipliers!U418</f>
        <v>0</v>
      </c>
      <c r="M205" t="s">
        <v>592</v>
      </c>
      <c r="N205" s="199">
        <f>cmadjust*$D205*Multipliers!D418</f>
        <v>0</v>
      </c>
      <c r="O205" s="199">
        <f>cmadjust*$D205*Multipliers!E418</f>
        <v>0</v>
      </c>
      <c r="P205" s="199">
        <f>cmadjust*$D205*Multipliers!F418</f>
        <v>0</v>
      </c>
      <c r="Q205" s="199">
        <f>cmadjust*$D205*Multipliers!G418</f>
        <v>0</v>
      </c>
      <c r="R205" s="199">
        <f>cmadjust*$D205*Multipliers!H418</f>
        <v>0</v>
      </c>
      <c r="S205" s="199">
        <f>cmadjust*$D205*Multipliers!I418</f>
        <v>0</v>
      </c>
      <c r="T205" s="199">
        <f>cmadjust*$D205*Multipliers!J418</f>
        <v>0</v>
      </c>
      <c r="U205" s="199">
        <f>cmadjust*$D205*Multipliers!K418</f>
        <v>0</v>
      </c>
      <c r="V205" s="199">
        <f>cmadjust*$D205*Multipliers!L418</f>
        <v>0</v>
      </c>
      <c r="W205" s="199">
        <f>cmadjust*$D205*Multipliers!M418</f>
        <v>0</v>
      </c>
      <c r="X205" s="199">
        <f>cmadjust*$D205*Multipliers!N418</f>
        <v>0</v>
      </c>
      <c r="Y205" s="199">
        <f>cmadjust*$D205*Multipliers!O418</f>
        <v>0</v>
      </c>
    </row>
    <row r="206" spans="3:25" x14ac:dyDescent="0.25">
      <c r="C206" t="s">
        <v>593</v>
      </c>
      <c r="D206" s="209">
        <f>('General-Calculations'!$L$109+'General-Calculations'!AG62)*Multipliers!U419</f>
        <v>0</v>
      </c>
      <c r="M206" t="s">
        <v>593</v>
      </c>
      <c r="N206" s="199">
        <f>cmadjust*$D206*Multipliers!D419</f>
        <v>0</v>
      </c>
      <c r="O206" s="199">
        <f>cmadjust*$D206*Multipliers!E419</f>
        <v>0</v>
      </c>
      <c r="P206" s="199">
        <f>cmadjust*$D206*Multipliers!F419</f>
        <v>0</v>
      </c>
      <c r="Q206" s="199">
        <f>cmadjust*$D206*Multipliers!G419</f>
        <v>0</v>
      </c>
      <c r="R206" s="199">
        <f>cmadjust*$D206*Multipliers!H419</f>
        <v>0</v>
      </c>
      <c r="S206" s="199">
        <f>cmadjust*$D206*Multipliers!I419</f>
        <v>0</v>
      </c>
      <c r="T206" s="199">
        <f>cmadjust*$D206*Multipliers!J419</f>
        <v>0</v>
      </c>
      <c r="U206" s="199">
        <f>cmadjust*$D206*Multipliers!K419</f>
        <v>0</v>
      </c>
      <c r="V206" s="199">
        <f>cmadjust*$D206*Multipliers!L419</f>
        <v>0</v>
      </c>
      <c r="W206" s="199">
        <f>cmadjust*$D206*Multipliers!M419</f>
        <v>0</v>
      </c>
      <c r="X206" s="199">
        <f>cmadjust*$D206*Multipliers!N419</f>
        <v>0</v>
      </c>
      <c r="Y206" s="199">
        <f>cmadjust*$D206*Multipliers!O419</f>
        <v>0</v>
      </c>
    </row>
    <row r="207" spans="3:25" x14ac:dyDescent="0.25">
      <c r="C207" t="s">
        <v>594</v>
      </c>
      <c r="D207" s="209">
        <f>('General-Calculations'!$L$109+'General-Calculations'!AG63)*Multipliers!U420</f>
        <v>0</v>
      </c>
      <c r="M207" t="s">
        <v>594</v>
      </c>
      <c r="N207" s="199">
        <f>cmadjust*$D207*Multipliers!D420</f>
        <v>0</v>
      </c>
      <c r="O207" s="199">
        <f>cmadjust*$D207*Multipliers!E420</f>
        <v>0</v>
      </c>
      <c r="P207" s="199">
        <f>cmadjust*$D207*Multipliers!F420</f>
        <v>0</v>
      </c>
      <c r="Q207" s="199">
        <f>cmadjust*$D207*Multipliers!G420</f>
        <v>0</v>
      </c>
      <c r="R207" s="199">
        <f>cmadjust*$D207*Multipliers!H420</f>
        <v>0</v>
      </c>
      <c r="S207" s="199">
        <f>cmadjust*$D207*Multipliers!I420</f>
        <v>0</v>
      </c>
      <c r="T207" s="199">
        <f>cmadjust*$D207*Multipliers!J420</f>
        <v>0</v>
      </c>
      <c r="U207" s="199">
        <f>cmadjust*$D207*Multipliers!K420</f>
        <v>0</v>
      </c>
      <c r="V207" s="199">
        <f>cmadjust*$D207*Multipliers!L420</f>
        <v>0</v>
      </c>
      <c r="W207" s="199">
        <f>cmadjust*$D207*Multipliers!M420</f>
        <v>0</v>
      </c>
      <c r="X207" s="199">
        <f>cmadjust*$D207*Multipliers!N420</f>
        <v>0</v>
      </c>
      <c r="Y207" s="199">
        <f>cmadjust*$D207*Multipliers!O420</f>
        <v>0</v>
      </c>
    </row>
    <row r="208" spans="3:25" x14ac:dyDescent="0.25">
      <c r="C208" t="s">
        <v>415</v>
      </c>
      <c r="D208" s="209">
        <f>('General-Calculations'!$L$109+'General-Calculations'!AG64)*Multipliers!U421</f>
        <v>0</v>
      </c>
      <c r="M208" t="s">
        <v>415</v>
      </c>
      <c r="N208" s="199">
        <f>cmadjust*$D208*Multipliers!D421</f>
        <v>0</v>
      </c>
      <c r="O208" s="199">
        <f>cmadjust*$D208*Multipliers!E421</f>
        <v>0</v>
      </c>
      <c r="P208" s="199">
        <f>cmadjust*$D208*Multipliers!F421</f>
        <v>0</v>
      </c>
      <c r="Q208" s="199">
        <f>cmadjust*$D208*Multipliers!G421</f>
        <v>0</v>
      </c>
      <c r="R208" s="199">
        <f>cmadjust*$D208*Multipliers!H421</f>
        <v>0</v>
      </c>
      <c r="S208" s="199">
        <f>cmadjust*$D208*Multipliers!I421</f>
        <v>0</v>
      </c>
      <c r="T208" s="199">
        <f>cmadjust*$D208*Multipliers!J421</f>
        <v>0</v>
      </c>
      <c r="U208" s="199">
        <f>cmadjust*$D208*Multipliers!K421</f>
        <v>0</v>
      </c>
      <c r="V208" s="199">
        <f>cmadjust*$D208*Multipliers!L421</f>
        <v>0</v>
      </c>
      <c r="W208" s="199">
        <f>cmadjust*$D208*Multipliers!M421</f>
        <v>0</v>
      </c>
      <c r="X208" s="199">
        <f>cmadjust*$D208*Multipliers!N421</f>
        <v>0</v>
      </c>
      <c r="Y208" s="199">
        <f>cmadjust*$D208*Multipliers!O421</f>
        <v>0</v>
      </c>
    </row>
    <row r="209" spans="3:25" x14ac:dyDescent="0.25">
      <c r="C209" t="s">
        <v>595</v>
      </c>
      <c r="D209" s="209">
        <f>('General-Calculations'!$L$109+'General-Calculations'!AG65)*Multipliers!U422</f>
        <v>0</v>
      </c>
      <c r="M209" t="s">
        <v>595</v>
      </c>
      <c r="N209" s="199">
        <f>cmadjust*$D209*Multipliers!D422</f>
        <v>0</v>
      </c>
      <c r="O209" s="199">
        <f>cmadjust*$D209*Multipliers!E422</f>
        <v>0</v>
      </c>
      <c r="P209" s="199">
        <f>cmadjust*$D209*Multipliers!F422</f>
        <v>0</v>
      </c>
      <c r="Q209" s="199">
        <f>cmadjust*$D209*Multipliers!G422</f>
        <v>0</v>
      </c>
      <c r="R209" s="199">
        <f>cmadjust*$D209*Multipliers!H422</f>
        <v>0</v>
      </c>
      <c r="S209" s="199">
        <f>cmadjust*$D209*Multipliers!I422</f>
        <v>0</v>
      </c>
      <c r="T209" s="199">
        <f>cmadjust*$D209*Multipliers!J422</f>
        <v>0</v>
      </c>
      <c r="U209" s="199">
        <f>cmadjust*$D209*Multipliers!K422</f>
        <v>0</v>
      </c>
      <c r="V209" s="199">
        <f>cmadjust*$D209*Multipliers!L422</f>
        <v>0</v>
      </c>
      <c r="W209" s="199">
        <f>cmadjust*$D209*Multipliers!M422</f>
        <v>0</v>
      </c>
      <c r="X209" s="199">
        <f>cmadjust*$D209*Multipliers!N422</f>
        <v>0</v>
      </c>
      <c r="Y209" s="199">
        <f>cmadjust*$D209*Multipliers!O422</f>
        <v>0</v>
      </c>
    </row>
    <row r="210" spans="3:25" x14ac:dyDescent="0.25">
      <c r="C210" t="s">
        <v>417</v>
      </c>
      <c r="D210" s="209">
        <f>('General-Calculations'!$L$109+'General-Calculations'!AG66)*Multipliers!U423</f>
        <v>0</v>
      </c>
      <c r="M210" t="s">
        <v>417</v>
      </c>
      <c r="N210" s="199">
        <f>cmadjust*$D210*Multipliers!D423</f>
        <v>0</v>
      </c>
      <c r="O210" s="199">
        <f>cmadjust*$D210*Multipliers!E423</f>
        <v>0</v>
      </c>
      <c r="P210" s="199">
        <f>cmadjust*$D210*Multipliers!F423</f>
        <v>0</v>
      </c>
      <c r="Q210" s="199">
        <f>cmadjust*$D210*Multipliers!G423</f>
        <v>0</v>
      </c>
      <c r="R210" s="199">
        <f>cmadjust*$D210*Multipliers!H423</f>
        <v>0</v>
      </c>
      <c r="S210" s="199">
        <f>cmadjust*$D210*Multipliers!I423</f>
        <v>0</v>
      </c>
      <c r="T210" s="199">
        <f>cmadjust*$D210*Multipliers!J423</f>
        <v>0</v>
      </c>
      <c r="U210" s="199">
        <f>cmadjust*$D210*Multipliers!K423</f>
        <v>0</v>
      </c>
      <c r="V210" s="199">
        <f>cmadjust*$D210*Multipliers!L423</f>
        <v>0</v>
      </c>
      <c r="W210" s="199">
        <f>cmadjust*$D210*Multipliers!M423</f>
        <v>0</v>
      </c>
      <c r="X210" s="199">
        <f>cmadjust*$D210*Multipliers!N423</f>
        <v>0</v>
      </c>
      <c r="Y210" s="199">
        <f>cmadjust*$D210*Multipliers!O423</f>
        <v>0</v>
      </c>
    </row>
    <row r="211" spans="3:25" x14ac:dyDescent="0.25">
      <c r="C211" t="s">
        <v>418</v>
      </c>
      <c r="D211" s="209">
        <f>('General-Calculations'!$L$109+'General-Calculations'!AG67)*Multipliers!U424</f>
        <v>0</v>
      </c>
      <c r="M211" t="s">
        <v>418</v>
      </c>
      <c r="N211" s="199">
        <f>cmadjust*$D211*Multipliers!D424</f>
        <v>0</v>
      </c>
      <c r="O211" s="199">
        <f>cmadjust*$D211*Multipliers!E424</f>
        <v>0</v>
      </c>
      <c r="P211" s="199">
        <f>cmadjust*$D211*Multipliers!F424</f>
        <v>0</v>
      </c>
      <c r="Q211" s="199">
        <f>cmadjust*$D211*Multipliers!G424</f>
        <v>0</v>
      </c>
      <c r="R211" s="199">
        <f>cmadjust*$D211*Multipliers!H424</f>
        <v>0</v>
      </c>
      <c r="S211" s="199">
        <f>cmadjust*$D211*Multipliers!I424</f>
        <v>0</v>
      </c>
      <c r="T211" s="199">
        <f>cmadjust*$D211*Multipliers!J424</f>
        <v>0</v>
      </c>
      <c r="U211" s="199">
        <f>cmadjust*$D211*Multipliers!K424</f>
        <v>0</v>
      </c>
      <c r="V211" s="199">
        <f>cmadjust*$D211*Multipliers!L424</f>
        <v>0</v>
      </c>
      <c r="W211" s="199">
        <f>cmadjust*$D211*Multipliers!M424</f>
        <v>0</v>
      </c>
      <c r="X211" s="199">
        <f>cmadjust*$D211*Multipliers!N424</f>
        <v>0</v>
      </c>
      <c r="Y211" s="199">
        <f>cmadjust*$D211*Multipliers!O424</f>
        <v>0</v>
      </c>
    </row>
    <row r="212" spans="3:25" x14ac:dyDescent="0.25">
      <c r="C212" t="s">
        <v>596</v>
      </c>
      <c r="D212" s="209">
        <f>('General-Calculations'!$L$109+'General-Calculations'!AG68)*Multipliers!U425</f>
        <v>0</v>
      </c>
      <c r="M212" t="s">
        <v>596</v>
      </c>
      <c r="N212" s="199">
        <f>cmadjust*$D212*Multipliers!D425</f>
        <v>0</v>
      </c>
      <c r="O212" s="199">
        <f>cmadjust*$D212*Multipliers!E425</f>
        <v>0</v>
      </c>
      <c r="P212" s="199">
        <f>cmadjust*$D212*Multipliers!F425</f>
        <v>0</v>
      </c>
      <c r="Q212" s="199">
        <f>cmadjust*$D212*Multipliers!G425</f>
        <v>0</v>
      </c>
      <c r="R212" s="199">
        <f>cmadjust*$D212*Multipliers!H425</f>
        <v>0</v>
      </c>
      <c r="S212" s="199">
        <f>cmadjust*$D212*Multipliers!I425</f>
        <v>0</v>
      </c>
      <c r="T212" s="199">
        <f>cmadjust*$D212*Multipliers!J425</f>
        <v>0</v>
      </c>
      <c r="U212" s="199">
        <f>cmadjust*$D212*Multipliers!K425</f>
        <v>0</v>
      </c>
      <c r="V212" s="199">
        <f>cmadjust*$D212*Multipliers!L425</f>
        <v>0</v>
      </c>
      <c r="W212" s="199">
        <f>cmadjust*$D212*Multipliers!M425</f>
        <v>0</v>
      </c>
      <c r="X212" s="199">
        <f>cmadjust*$D212*Multipliers!N425</f>
        <v>0</v>
      </c>
      <c r="Y212" s="199">
        <f>cmadjust*$D212*Multipliers!O425</f>
        <v>0</v>
      </c>
    </row>
    <row r="213" spans="3:25" x14ac:dyDescent="0.25">
      <c r="C213" t="s">
        <v>597</v>
      </c>
      <c r="D213" s="209">
        <f>('General-Calculations'!$L$109+'General-Calculations'!AG69)*Multipliers!U426</f>
        <v>0</v>
      </c>
      <c r="M213" t="s">
        <v>597</v>
      </c>
      <c r="N213" s="199">
        <f>cmadjust*$D213*Multipliers!D426</f>
        <v>0</v>
      </c>
      <c r="O213" s="199">
        <f>cmadjust*$D213*Multipliers!E426</f>
        <v>0</v>
      </c>
      <c r="P213" s="199">
        <f>cmadjust*$D213*Multipliers!F426</f>
        <v>0</v>
      </c>
      <c r="Q213" s="199">
        <f>cmadjust*$D213*Multipliers!G426</f>
        <v>0</v>
      </c>
      <c r="R213" s="199">
        <f>cmadjust*$D213*Multipliers!H426</f>
        <v>0</v>
      </c>
      <c r="S213" s="199">
        <f>cmadjust*$D213*Multipliers!I426</f>
        <v>0</v>
      </c>
      <c r="T213" s="199">
        <f>cmadjust*$D213*Multipliers!J426</f>
        <v>0</v>
      </c>
      <c r="U213" s="199">
        <f>cmadjust*$D213*Multipliers!K426</f>
        <v>0</v>
      </c>
      <c r="V213" s="199">
        <f>cmadjust*$D213*Multipliers!L426</f>
        <v>0</v>
      </c>
      <c r="W213" s="199">
        <f>cmadjust*$D213*Multipliers!M426</f>
        <v>0</v>
      </c>
      <c r="X213" s="199">
        <f>cmadjust*$D213*Multipliers!N426</f>
        <v>0</v>
      </c>
      <c r="Y213" s="199">
        <f>cmadjust*$D213*Multipliers!O426</f>
        <v>0</v>
      </c>
    </row>
    <row r="214" spans="3:25" x14ac:dyDescent="0.25">
      <c r="C214" t="s">
        <v>598</v>
      </c>
      <c r="D214" s="209">
        <f>('General-Calculations'!$L$109+'General-Calculations'!AG70)*Multipliers!U427</f>
        <v>0</v>
      </c>
      <c r="M214" t="s">
        <v>598</v>
      </c>
      <c r="N214" s="199">
        <f>cmadjust*$D214*Multipliers!D427</f>
        <v>0</v>
      </c>
      <c r="O214" s="199">
        <f>cmadjust*$D214*Multipliers!E427</f>
        <v>0</v>
      </c>
      <c r="P214" s="199">
        <f>cmadjust*$D214*Multipliers!F427</f>
        <v>0</v>
      </c>
      <c r="Q214" s="199">
        <f>cmadjust*$D214*Multipliers!G427</f>
        <v>0</v>
      </c>
      <c r="R214" s="199">
        <f>cmadjust*$D214*Multipliers!H427</f>
        <v>0</v>
      </c>
      <c r="S214" s="199">
        <f>cmadjust*$D214*Multipliers!I427</f>
        <v>0</v>
      </c>
      <c r="T214" s="199">
        <f>cmadjust*$D214*Multipliers!J427</f>
        <v>0</v>
      </c>
      <c r="U214" s="199">
        <f>cmadjust*$D214*Multipliers!K427</f>
        <v>0</v>
      </c>
      <c r="V214" s="199">
        <f>cmadjust*$D214*Multipliers!L427</f>
        <v>0</v>
      </c>
      <c r="W214" s="199">
        <f>cmadjust*$D214*Multipliers!M427</f>
        <v>0</v>
      </c>
      <c r="X214" s="199">
        <f>cmadjust*$D214*Multipliers!N427</f>
        <v>0</v>
      </c>
      <c r="Y214" s="199">
        <f>cmadjust*$D214*Multipliers!O427</f>
        <v>0</v>
      </c>
    </row>
    <row r="215" spans="3:25" x14ac:dyDescent="0.25">
      <c r="C215" t="s">
        <v>599</v>
      </c>
      <c r="D215" s="209">
        <f>('General-Calculations'!$L$109+'General-Calculations'!AG71)*Multipliers!U428</f>
        <v>0</v>
      </c>
      <c r="M215" t="s">
        <v>599</v>
      </c>
      <c r="N215" s="199">
        <f>cmadjust*$D215*Multipliers!D428</f>
        <v>0</v>
      </c>
      <c r="O215" s="199">
        <f>cmadjust*$D215*Multipliers!E428</f>
        <v>0</v>
      </c>
      <c r="P215" s="199">
        <f>cmadjust*$D215*Multipliers!F428</f>
        <v>0</v>
      </c>
      <c r="Q215" s="199">
        <f>cmadjust*$D215*Multipliers!G428</f>
        <v>0</v>
      </c>
      <c r="R215" s="199">
        <f>cmadjust*$D215*Multipliers!H428</f>
        <v>0</v>
      </c>
      <c r="S215" s="199">
        <f>cmadjust*$D215*Multipliers!I428</f>
        <v>0</v>
      </c>
      <c r="T215" s="199">
        <f>cmadjust*$D215*Multipliers!J428</f>
        <v>0</v>
      </c>
      <c r="U215" s="199">
        <f>cmadjust*$D215*Multipliers!K428</f>
        <v>0</v>
      </c>
      <c r="V215" s="199">
        <f>cmadjust*$D215*Multipliers!L428</f>
        <v>0</v>
      </c>
      <c r="W215" s="199">
        <f>cmadjust*$D215*Multipliers!M428</f>
        <v>0</v>
      </c>
      <c r="X215" s="199">
        <f>cmadjust*$D215*Multipliers!N428</f>
        <v>0</v>
      </c>
      <c r="Y215" s="199">
        <f>cmadjust*$D215*Multipliers!O428</f>
        <v>0</v>
      </c>
    </row>
    <row r="216" spans="3:25" x14ac:dyDescent="0.25">
      <c r="C216" t="s">
        <v>423</v>
      </c>
      <c r="D216" s="209">
        <f>('General-Calculations'!$L$109+'General-Calculations'!AG72)*Multipliers!U429</f>
        <v>0</v>
      </c>
      <c r="M216" t="s">
        <v>423</v>
      </c>
      <c r="N216" s="199">
        <f>cmadjust*$D216*Multipliers!D429</f>
        <v>0</v>
      </c>
      <c r="O216" s="199">
        <f>cmadjust*$D216*Multipliers!E429</f>
        <v>0</v>
      </c>
      <c r="P216" s="199">
        <f>cmadjust*$D216*Multipliers!F429</f>
        <v>0</v>
      </c>
      <c r="Q216" s="199">
        <f>cmadjust*$D216*Multipliers!G429</f>
        <v>0</v>
      </c>
      <c r="R216" s="199">
        <f>cmadjust*$D216*Multipliers!H429</f>
        <v>0</v>
      </c>
      <c r="S216" s="199">
        <f>cmadjust*$D216*Multipliers!I429</f>
        <v>0</v>
      </c>
      <c r="T216" s="199">
        <f>cmadjust*$D216*Multipliers!J429</f>
        <v>0</v>
      </c>
      <c r="U216" s="199">
        <f>cmadjust*$D216*Multipliers!K429</f>
        <v>0</v>
      </c>
      <c r="V216" s="199">
        <f>cmadjust*$D216*Multipliers!L429</f>
        <v>0</v>
      </c>
      <c r="W216" s="199">
        <f>cmadjust*$D216*Multipliers!M429</f>
        <v>0</v>
      </c>
      <c r="X216" s="199">
        <f>cmadjust*$D216*Multipliers!N429</f>
        <v>0</v>
      </c>
      <c r="Y216" s="199">
        <f>cmadjust*$D216*Multipliers!O429</f>
        <v>0</v>
      </c>
    </row>
    <row r="217" spans="3:25" x14ac:dyDescent="0.25">
      <c r="C217" t="s">
        <v>600</v>
      </c>
      <c r="D217" s="209">
        <f>('General-Calculations'!$L$109+'General-Calculations'!AG73)*Multipliers!U430</f>
        <v>0</v>
      </c>
      <c r="M217" t="s">
        <v>600</v>
      </c>
      <c r="N217" s="199">
        <f>cmadjust*$D217*Multipliers!D430</f>
        <v>0</v>
      </c>
      <c r="O217" s="199">
        <f>cmadjust*$D217*Multipliers!E430</f>
        <v>0</v>
      </c>
      <c r="P217" s="199">
        <f>cmadjust*$D217*Multipliers!F430</f>
        <v>0</v>
      </c>
      <c r="Q217" s="199">
        <f>cmadjust*$D217*Multipliers!G430</f>
        <v>0</v>
      </c>
      <c r="R217" s="199">
        <f>cmadjust*$D217*Multipliers!H430</f>
        <v>0</v>
      </c>
      <c r="S217" s="199">
        <f>cmadjust*$D217*Multipliers!I430</f>
        <v>0</v>
      </c>
      <c r="T217" s="199">
        <f>cmadjust*$D217*Multipliers!J430</f>
        <v>0</v>
      </c>
      <c r="U217" s="199">
        <f>cmadjust*$D217*Multipliers!K430</f>
        <v>0</v>
      </c>
      <c r="V217" s="199">
        <f>cmadjust*$D217*Multipliers!L430</f>
        <v>0</v>
      </c>
      <c r="W217" s="199">
        <f>cmadjust*$D217*Multipliers!M430</f>
        <v>0</v>
      </c>
      <c r="X217" s="199">
        <f>cmadjust*$D217*Multipliers!N430</f>
        <v>0</v>
      </c>
      <c r="Y217" s="199">
        <f>cmadjust*$D217*Multipliers!O430</f>
        <v>0</v>
      </c>
    </row>
    <row r="218" spans="3:25" x14ac:dyDescent="0.25">
      <c r="C218" t="s">
        <v>601</v>
      </c>
      <c r="D218" s="209">
        <f>('General-Calculations'!$L$109+'General-Calculations'!AG74)*Multipliers!U431</f>
        <v>0</v>
      </c>
      <c r="M218" t="s">
        <v>601</v>
      </c>
      <c r="N218" s="199">
        <f>cmadjust*$D218*Multipliers!D431</f>
        <v>0</v>
      </c>
      <c r="O218" s="199">
        <f>cmadjust*$D218*Multipliers!E431</f>
        <v>0</v>
      </c>
      <c r="P218" s="199">
        <f>cmadjust*$D218*Multipliers!F431</f>
        <v>0</v>
      </c>
      <c r="Q218" s="199">
        <f>cmadjust*$D218*Multipliers!G431</f>
        <v>0</v>
      </c>
      <c r="R218" s="199">
        <f>cmadjust*$D218*Multipliers!H431</f>
        <v>0</v>
      </c>
      <c r="S218" s="199">
        <f>cmadjust*$D218*Multipliers!I431</f>
        <v>0</v>
      </c>
      <c r="T218" s="199">
        <f>cmadjust*$D218*Multipliers!J431</f>
        <v>0</v>
      </c>
      <c r="U218" s="199">
        <f>cmadjust*$D218*Multipliers!K431</f>
        <v>0</v>
      </c>
      <c r="V218" s="199">
        <f>cmadjust*$D218*Multipliers!L431</f>
        <v>0</v>
      </c>
      <c r="W218" s="199">
        <f>cmadjust*$D218*Multipliers!M431</f>
        <v>0</v>
      </c>
      <c r="X218" s="199">
        <f>cmadjust*$D218*Multipliers!N431</f>
        <v>0</v>
      </c>
      <c r="Y218" s="199">
        <f>cmadjust*$D218*Multipliers!O431</f>
        <v>0</v>
      </c>
    </row>
    <row r="219" spans="3:25" x14ac:dyDescent="0.25">
      <c r="C219" t="s">
        <v>602</v>
      </c>
      <c r="D219" s="209">
        <f>('General-Calculations'!$L$109+'General-Calculations'!AG75)*Multipliers!U432</f>
        <v>0</v>
      </c>
      <c r="M219" t="s">
        <v>602</v>
      </c>
      <c r="N219" s="199">
        <f>cmadjust*$D219*Multipliers!D432</f>
        <v>0</v>
      </c>
      <c r="O219" s="199">
        <f>cmadjust*$D219*Multipliers!E432</f>
        <v>0</v>
      </c>
      <c r="P219" s="199">
        <f>cmadjust*$D219*Multipliers!F432</f>
        <v>0</v>
      </c>
      <c r="Q219" s="199">
        <f>cmadjust*$D219*Multipliers!G432</f>
        <v>0</v>
      </c>
      <c r="R219" s="199">
        <f>cmadjust*$D219*Multipliers!H432</f>
        <v>0</v>
      </c>
      <c r="S219" s="199">
        <f>cmadjust*$D219*Multipliers!I432</f>
        <v>0</v>
      </c>
      <c r="T219" s="199">
        <f>cmadjust*$D219*Multipliers!J432</f>
        <v>0</v>
      </c>
      <c r="U219" s="199">
        <f>cmadjust*$D219*Multipliers!K432</f>
        <v>0</v>
      </c>
      <c r="V219" s="199">
        <f>cmadjust*$D219*Multipliers!L432</f>
        <v>0</v>
      </c>
      <c r="W219" s="199">
        <f>cmadjust*$D219*Multipliers!M432</f>
        <v>0</v>
      </c>
      <c r="X219" s="199">
        <f>cmadjust*$D219*Multipliers!N432</f>
        <v>0</v>
      </c>
      <c r="Y219" s="199">
        <f>cmadjust*$D219*Multipliers!O432</f>
        <v>0</v>
      </c>
    </row>
    <row r="220" spans="3:25" x14ac:dyDescent="0.25">
      <c r="M220" t="s">
        <v>375</v>
      </c>
      <c r="N220" s="228">
        <f>SUM(N193:N219)</f>
        <v>0</v>
      </c>
      <c r="O220" s="228">
        <f t="shared" ref="O220:Y220" si="21">SUM(O193:O219)</f>
        <v>0</v>
      </c>
      <c r="P220" s="228">
        <f t="shared" si="21"/>
        <v>0</v>
      </c>
      <c r="Q220" s="228">
        <f t="shared" si="21"/>
        <v>0</v>
      </c>
      <c r="R220" s="228">
        <f t="shared" si="21"/>
        <v>0</v>
      </c>
      <c r="S220" s="228">
        <f t="shared" si="21"/>
        <v>0</v>
      </c>
      <c r="T220" s="228">
        <f t="shared" si="21"/>
        <v>0</v>
      </c>
      <c r="U220" s="228">
        <f t="shared" si="21"/>
        <v>0</v>
      </c>
      <c r="V220" s="228">
        <f t="shared" si="21"/>
        <v>0</v>
      </c>
      <c r="W220" s="228">
        <f t="shared" si="21"/>
        <v>0</v>
      </c>
      <c r="X220" s="228">
        <f t="shared" si="21"/>
        <v>0</v>
      </c>
      <c r="Y220" s="228">
        <f t="shared" si="21"/>
        <v>0</v>
      </c>
    </row>
    <row r="222" spans="3:25" x14ac:dyDescent="0.25">
      <c r="M222">
        <f>N190</f>
        <v>0</v>
      </c>
      <c r="N222" t="s">
        <v>357</v>
      </c>
      <c r="O222" t="s">
        <v>499</v>
      </c>
      <c r="P222" t="s">
        <v>359</v>
      </c>
      <c r="Q222" t="s">
        <v>580</v>
      </c>
    </row>
    <row r="223" spans="3:25" x14ac:dyDescent="0.25">
      <c r="M223" t="s">
        <v>604</v>
      </c>
    </row>
    <row r="224" spans="3:25" x14ac:dyDescent="0.25">
      <c r="M224" t="s">
        <v>374</v>
      </c>
      <c r="N224" s="228">
        <f>SUM(N220:P220)</f>
        <v>0</v>
      </c>
      <c r="O224" s="228">
        <f>SUM(Q220:S220)</f>
        <v>0</v>
      </c>
      <c r="P224" s="228">
        <f>SUM(T220:V220)</f>
        <v>0</v>
      </c>
      <c r="Q224" s="228">
        <f>SUM(W220:Y220)</f>
        <v>0</v>
      </c>
    </row>
    <row r="226" spans="3:7" x14ac:dyDescent="0.25">
      <c r="D226" t="s">
        <v>357</v>
      </c>
      <c r="E226" t="s">
        <v>499</v>
      </c>
      <c r="F226" t="s">
        <v>359</v>
      </c>
      <c r="G226" t="s">
        <v>580</v>
      </c>
    </row>
    <row r="227" spans="3:7" x14ac:dyDescent="0.25">
      <c r="C227" t="s">
        <v>618</v>
      </c>
    </row>
    <row r="228" spans="3:7" x14ac:dyDescent="0.25">
      <c r="C228" t="s">
        <v>604</v>
      </c>
      <c r="D228">
        <f>O183</f>
        <v>0</v>
      </c>
      <c r="E228" s="226">
        <f>P183*mcadjust</f>
        <v>0</v>
      </c>
      <c r="F228" s="226">
        <f>Q183*mcadjust</f>
        <v>0</v>
      </c>
      <c r="G228" s="226">
        <f>R183*mcadjust</f>
        <v>0</v>
      </c>
    </row>
    <row r="229" spans="3:7" x14ac:dyDescent="0.25">
      <c r="C229" t="s">
        <v>374</v>
      </c>
      <c r="D229" s="228">
        <f>N224+O184</f>
        <v>0</v>
      </c>
      <c r="E229" s="226">
        <f>(O224+P184)*mcadjust</f>
        <v>0</v>
      </c>
      <c r="F229" s="226">
        <f>(P224+Q184)*mcadjust</f>
        <v>0</v>
      </c>
      <c r="G229" s="226">
        <f>(Q224+R184)*mcadjust</f>
        <v>0</v>
      </c>
    </row>
  </sheetData>
  <mergeCells count="1">
    <mergeCell ref="C133:D133"/>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93B23-DC18-7546-BA14-2B2251691BE5}">
  <sheetPr codeName="Sheet3"/>
  <dimension ref="A1:D56"/>
  <sheetViews>
    <sheetView topLeftCell="A22" workbookViewId="0">
      <selection activeCell="D26" sqref="D26"/>
    </sheetView>
  </sheetViews>
  <sheetFormatPr defaultColWidth="11.42578125" defaultRowHeight="15" x14ac:dyDescent="0.25"/>
  <cols>
    <col min="1" max="1" width="24.85546875" bestFit="1" customWidth="1"/>
    <col min="2" max="2" width="24.7109375" bestFit="1" customWidth="1"/>
    <col min="3" max="3" width="18.42578125" bestFit="1" customWidth="1"/>
    <col min="4" max="4" width="14.7109375" style="800" bestFit="1" customWidth="1"/>
  </cols>
  <sheetData>
    <row r="1" spans="1:4" x14ac:dyDescent="0.25">
      <c r="A1" t="s">
        <v>321</v>
      </c>
      <c r="B1" t="s">
        <v>619</v>
      </c>
      <c r="C1" t="s">
        <v>620</v>
      </c>
      <c r="D1" s="800" t="s">
        <v>621</v>
      </c>
    </row>
    <row r="2" spans="1:4" x14ac:dyDescent="0.25">
      <c r="A2" t="s">
        <v>123</v>
      </c>
      <c r="B2" t="s">
        <v>622</v>
      </c>
      <c r="C2" t="s">
        <v>623</v>
      </c>
      <c r="D2" s="800">
        <v>102</v>
      </c>
    </row>
    <row r="3" spans="1:4" x14ac:dyDescent="0.25">
      <c r="A3" t="s">
        <v>123</v>
      </c>
      <c r="B3" t="s">
        <v>622</v>
      </c>
      <c r="C3" t="s">
        <v>624</v>
      </c>
      <c r="D3" s="800">
        <v>761.80511426533371</v>
      </c>
    </row>
    <row r="4" spans="1:4" x14ac:dyDescent="0.25">
      <c r="A4" t="s">
        <v>123</v>
      </c>
      <c r="B4" t="s">
        <v>622</v>
      </c>
      <c r="C4" t="s">
        <v>625</v>
      </c>
      <c r="D4" s="800">
        <v>12</v>
      </c>
    </row>
    <row r="5" spans="1:4" x14ac:dyDescent="0.25">
      <c r="A5" t="s">
        <v>123</v>
      </c>
      <c r="B5" t="s">
        <v>622</v>
      </c>
      <c r="C5" t="s">
        <v>626</v>
      </c>
      <c r="D5" s="800">
        <v>75</v>
      </c>
    </row>
    <row r="6" spans="1:4" x14ac:dyDescent="0.25">
      <c r="A6" t="s">
        <v>123</v>
      </c>
      <c r="B6" t="s">
        <v>622</v>
      </c>
      <c r="C6" t="s">
        <v>627</v>
      </c>
      <c r="D6" s="800">
        <v>150</v>
      </c>
    </row>
    <row r="7" spans="1:4" x14ac:dyDescent="0.25">
      <c r="A7" t="s">
        <v>123</v>
      </c>
      <c r="B7" t="s">
        <v>622</v>
      </c>
      <c r="C7" t="s">
        <v>628</v>
      </c>
      <c r="D7" s="800">
        <v>825</v>
      </c>
    </row>
    <row r="8" spans="1:4" x14ac:dyDescent="0.25">
      <c r="A8" t="s">
        <v>123</v>
      </c>
      <c r="B8" t="s">
        <v>622</v>
      </c>
      <c r="C8" t="s">
        <v>629</v>
      </c>
      <c r="D8" s="800">
        <v>825</v>
      </c>
    </row>
    <row r="9" spans="1:4" x14ac:dyDescent="0.25">
      <c r="A9" t="s">
        <v>123</v>
      </c>
      <c r="B9" t="s">
        <v>622</v>
      </c>
      <c r="C9" t="s">
        <v>630</v>
      </c>
      <c r="D9" s="800">
        <v>17.391304347826086</v>
      </c>
    </row>
    <row r="10" spans="1:4" x14ac:dyDescent="0.25">
      <c r="A10" t="s">
        <v>631</v>
      </c>
      <c r="B10" t="s">
        <v>632</v>
      </c>
      <c r="C10" t="s">
        <v>633</v>
      </c>
      <c r="D10" s="800">
        <v>180</v>
      </c>
    </row>
    <row r="11" spans="1:4" x14ac:dyDescent="0.25">
      <c r="A11" t="s">
        <v>125</v>
      </c>
      <c r="B11" t="s">
        <v>632</v>
      </c>
      <c r="C11" t="s">
        <v>623</v>
      </c>
      <c r="D11" s="800">
        <v>56</v>
      </c>
    </row>
    <row r="12" spans="1:4" x14ac:dyDescent="0.25">
      <c r="A12" t="s">
        <v>125</v>
      </c>
      <c r="B12" t="s">
        <v>632</v>
      </c>
      <c r="C12" t="s">
        <v>634</v>
      </c>
      <c r="D12" s="800">
        <v>90.067499999999995</v>
      </c>
    </row>
    <row r="13" spans="1:4" x14ac:dyDescent="0.25">
      <c r="A13" t="s">
        <v>125</v>
      </c>
      <c r="B13" t="s">
        <v>632</v>
      </c>
      <c r="C13" t="s">
        <v>625</v>
      </c>
      <c r="D13" s="800">
        <v>18</v>
      </c>
    </row>
    <row r="14" spans="1:4" x14ac:dyDescent="0.25">
      <c r="A14" t="s">
        <v>125</v>
      </c>
      <c r="B14" t="s">
        <v>632</v>
      </c>
      <c r="C14" t="s">
        <v>626</v>
      </c>
      <c r="D14" s="800">
        <v>3</v>
      </c>
    </row>
    <row r="15" spans="1:4" x14ac:dyDescent="0.25">
      <c r="A15" t="s">
        <v>125</v>
      </c>
      <c r="B15" t="s">
        <v>632</v>
      </c>
      <c r="C15" t="s">
        <v>627</v>
      </c>
      <c r="D15" s="800">
        <v>3</v>
      </c>
    </row>
    <row r="16" spans="1:4" x14ac:dyDescent="0.25">
      <c r="A16" t="s">
        <v>125</v>
      </c>
      <c r="B16" t="s">
        <v>632</v>
      </c>
      <c r="C16" t="s">
        <v>628</v>
      </c>
      <c r="D16" s="800">
        <v>33</v>
      </c>
    </row>
    <row r="17" spans="1:4" x14ac:dyDescent="0.25">
      <c r="A17" t="s">
        <v>125</v>
      </c>
      <c r="B17" t="s">
        <v>632</v>
      </c>
      <c r="C17" t="s">
        <v>635</v>
      </c>
      <c r="D17" s="800">
        <v>1.7999999999999998</v>
      </c>
    </row>
    <row r="18" spans="1:4" x14ac:dyDescent="0.25">
      <c r="A18" t="s">
        <v>125</v>
      </c>
      <c r="B18" t="s">
        <v>632</v>
      </c>
      <c r="C18" t="s">
        <v>629</v>
      </c>
      <c r="D18" s="800">
        <v>33</v>
      </c>
    </row>
    <row r="19" spans="1:4" x14ac:dyDescent="0.25">
      <c r="A19" t="s">
        <v>125</v>
      </c>
      <c r="B19" t="s">
        <v>632</v>
      </c>
      <c r="C19" t="s">
        <v>636</v>
      </c>
      <c r="D19" s="800">
        <v>1.7999999999999998</v>
      </c>
    </row>
    <row r="20" spans="1:4" x14ac:dyDescent="0.25">
      <c r="A20" t="s">
        <v>637</v>
      </c>
      <c r="B20" t="s">
        <v>638</v>
      </c>
      <c r="C20" t="s">
        <v>639</v>
      </c>
      <c r="D20" s="800">
        <v>12</v>
      </c>
    </row>
    <row r="21" spans="1:4" x14ac:dyDescent="0.25">
      <c r="A21" t="s">
        <v>637</v>
      </c>
      <c r="B21" t="s">
        <v>638</v>
      </c>
      <c r="C21" t="s">
        <v>640</v>
      </c>
      <c r="D21" s="800">
        <v>12</v>
      </c>
    </row>
    <row r="22" spans="1:4" x14ac:dyDescent="0.25">
      <c r="A22" t="s">
        <v>637</v>
      </c>
      <c r="B22" t="s">
        <v>638</v>
      </c>
      <c r="C22" t="s">
        <v>641</v>
      </c>
      <c r="D22" s="800">
        <v>1.6666666666666667</v>
      </c>
    </row>
    <row r="23" spans="1:4" x14ac:dyDescent="0.25">
      <c r="A23" t="s">
        <v>637</v>
      </c>
      <c r="B23" t="s">
        <v>638</v>
      </c>
      <c r="C23" t="s">
        <v>642</v>
      </c>
      <c r="D23" s="800">
        <v>1.6666666666666667</v>
      </c>
    </row>
    <row r="24" spans="1:4" x14ac:dyDescent="0.25">
      <c r="A24" t="s">
        <v>113</v>
      </c>
      <c r="B24" t="s">
        <v>638</v>
      </c>
      <c r="C24" t="s">
        <v>643</v>
      </c>
      <c r="D24" s="800">
        <v>4</v>
      </c>
    </row>
    <row r="25" spans="1:4" x14ac:dyDescent="0.25">
      <c r="A25" t="s">
        <v>113</v>
      </c>
      <c r="B25" t="s">
        <v>638</v>
      </c>
      <c r="C25" t="s">
        <v>644</v>
      </c>
      <c r="D25" s="800">
        <v>2</v>
      </c>
    </row>
    <row r="26" spans="1:4" x14ac:dyDescent="0.25">
      <c r="A26" t="s">
        <v>113</v>
      </c>
      <c r="B26" t="s">
        <v>638</v>
      </c>
      <c r="C26" t="s">
        <v>645</v>
      </c>
      <c r="D26" s="800">
        <v>1.5</v>
      </c>
    </row>
    <row r="27" spans="1:4" x14ac:dyDescent="0.25">
      <c r="A27" t="s">
        <v>113</v>
      </c>
      <c r="B27" t="s">
        <v>638</v>
      </c>
      <c r="C27" t="s">
        <v>641</v>
      </c>
      <c r="D27" s="800">
        <v>1.0833333333333333</v>
      </c>
    </row>
    <row r="28" spans="1:4" x14ac:dyDescent="0.25">
      <c r="A28" t="s">
        <v>113</v>
      </c>
      <c r="B28" t="s">
        <v>638</v>
      </c>
      <c r="C28" t="s">
        <v>642</v>
      </c>
      <c r="D28" s="800">
        <v>1.0833333333333333</v>
      </c>
    </row>
    <row r="29" spans="1:4" x14ac:dyDescent="0.25">
      <c r="A29" t="s">
        <v>113</v>
      </c>
      <c r="B29" t="s">
        <v>638</v>
      </c>
      <c r="C29" t="s">
        <v>646</v>
      </c>
      <c r="D29" s="800">
        <v>3.2500000000000003E-3</v>
      </c>
    </row>
    <row r="30" spans="1:4" x14ac:dyDescent="0.25">
      <c r="A30" t="s">
        <v>113</v>
      </c>
      <c r="B30" t="s">
        <v>638</v>
      </c>
      <c r="C30" t="s">
        <v>647</v>
      </c>
      <c r="D30" s="800">
        <v>1</v>
      </c>
    </row>
    <row r="31" spans="1:4" x14ac:dyDescent="0.25">
      <c r="A31" t="s">
        <v>113</v>
      </c>
      <c r="B31" t="s">
        <v>638</v>
      </c>
      <c r="C31" t="s">
        <v>648</v>
      </c>
      <c r="D31" s="800">
        <v>0.32500000000000001</v>
      </c>
    </row>
    <row r="32" spans="1:4" x14ac:dyDescent="0.25">
      <c r="A32" t="s">
        <v>649</v>
      </c>
      <c r="B32" t="s">
        <v>650</v>
      </c>
      <c r="C32" t="s">
        <v>651</v>
      </c>
      <c r="D32" s="800">
        <v>750</v>
      </c>
    </row>
    <row r="33" spans="1:4" x14ac:dyDescent="0.25">
      <c r="A33" t="s">
        <v>649</v>
      </c>
      <c r="B33" t="s">
        <v>650</v>
      </c>
      <c r="C33" t="s">
        <v>652</v>
      </c>
      <c r="D33" s="800">
        <v>300</v>
      </c>
    </row>
    <row r="34" spans="1:4" x14ac:dyDescent="0.25">
      <c r="A34" t="s">
        <v>653</v>
      </c>
      <c r="B34" t="s">
        <v>654</v>
      </c>
      <c r="C34" t="s">
        <v>643</v>
      </c>
      <c r="D34" s="800">
        <v>300</v>
      </c>
    </row>
    <row r="35" spans="1:4" x14ac:dyDescent="0.25">
      <c r="A35" t="s">
        <v>653</v>
      </c>
      <c r="B35" t="s">
        <v>654</v>
      </c>
      <c r="C35" t="s">
        <v>644</v>
      </c>
      <c r="D35" s="800">
        <v>150</v>
      </c>
    </row>
    <row r="36" spans="1:4" x14ac:dyDescent="0.25">
      <c r="A36" t="s">
        <v>653</v>
      </c>
      <c r="B36" t="s">
        <v>654</v>
      </c>
      <c r="C36" t="s">
        <v>645</v>
      </c>
      <c r="D36" s="800">
        <v>112.5</v>
      </c>
    </row>
    <row r="37" spans="1:4" x14ac:dyDescent="0.25">
      <c r="A37" t="s">
        <v>653</v>
      </c>
      <c r="B37" t="s">
        <v>654</v>
      </c>
      <c r="C37" t="s">
        <v>639</v>
      </c>
      <c r="D37" s="800">
        <v>900</v>
      </c>
    </row>
    <row r="38" spans="1:4" x14ac:dyDescent="0.25">
      <c r="A38" t="s">
        <v>653</v>
      </c>
      <c r="B38" t="s">
        <v>654</v>
      </c>
      <c r="C38" t="s">
        <v>655</v>
      </c>
      <c r="D38" s="800">
        <v>600</v>
      </c>
    </row>
    <row r="39" spans="1:4" x14ac:dyDescent="0.25">
      <c r="A39" t="s">
        <v>653</v>
      </c>
      <c r="B39" t="s">
        <v>654</v>
      </c>
      <c r="C39" t="s">
        <v>641</v>
      </c>
      <c r="D39" s="800">
        <v>23.749999999999986</v>
      </c>
    </row>
    <row r="40" spans="1:4" x14ac:dyDescent="0.25">
      <c r="A40" t="s">
        <v>653</v>
      </c>
      <c r="B40" t="s">
        <v>654</v>
      </c>
      <c r="C40" t="s">
        <v>642</v>
      </c>
      <c r="D40" s="800">
        <v>23.749999999999986</v>
      </c>
    </row>
    <row r="41" spans="1:4" x14ac:dyDescent="0.25">
      <c r="A41" t="s">
        <v>653</v>
      </c>
      <c r="B41" t="s">
        <v>654</v>
      </c>
      <c r="C41" t="s">
        <v>646</v>
      </c>
      <c r="D41" s="800">
        <v>0.24375000000000019</v>
      </c>
    </row>
    <row r="42" spans="1:4" x14ac:dyDescent="0.25">
      <c r="A42" t="s">
        <v>653</v>
      </c>
      <c r="B42" t="s">
        <v>654</v>
      </c>
      <c r="C42" t="s">
        <v>656</v>
      </c>
      <c r="D42" s="800">
        <v>75</v>
      </c>
    </row>
    <row r="43" spans="1:4" x14ac:dyDescent="0.25">
      <c r="A43" t="s">
        <v>653</v>
      </c>
      <c r="B43" t="s">
        <v>654</v>
      </c>
      <c r="C43" t="s">
        <v>647</v>
      </c>
      <c r="D43" s="800">
        <v>75</v>
      </c>
    </row>
    <row r="44" spans="1:4" x14ac:dyDescent="0.25">
      <c r="A44" t="s">
        <v>653</v>
      </c>
      <c r="B44" t="s">
        <v>654</v>
      </c>
      <c r="C44" t="s">
        <v>648</v>
      </c>
      <c r="D44" s="800">
        <v>51.096967172568931</v>
      </c>
    </row>
    <row r="45" spans="1:4" x14ac:dyDescent="0.25">
      <c r="A45" t="s">
        <v>653</v>
      </c>
      <c r="B45" t="s">
        <v>657</v>
      </c>
      <c r="C45" t="s">
        <v>658</v>
      </c>
      <c r="D45" s="800">
        <v>787.5</v>
      </c>
    </row>
    <row r="46" spans="1:4" x14ac:dyDescent="0.25">
      <c r="A46" t="s">
        <v>653</v>
      </c>
      <c r="B46" t="s">
        <v>657</v>
      </c>
      <c r="C46" t="s">
        <v>659</v>
      </c>
      <c r="D46" s="800">
        <v>450</v>
      </c>
    </row>
    <row r="47" spans="1:4" x14ac:dyDescent="0.25">
      <c r="A47" t="s">
        <v>653</v>
      </c>
      <c r="B47" t="s">
        <v>657</v>
      </c>
      <c r="C47" t="s">
        <v>660</v>
      </c>
      <c r="D47" s="800">
        <v>900</v>
      </c>
    </row>
    <row r="48" spans="1:4" x14ac:dyDescent="0.25">
      <c r="A48" t="s">
        <v>653</v>
      </c>
      <c r="B48" t="s">
        <v>657</v>
      </c>
      <c r="C48" t="s">
        <v>623</v>
      </c>
      <c r="D48" s="800">
        <v>72</v>
      </c>
    </row>
    <row r="49" spans="1:4" x14ac:dyDescent="0.25">
      <c r="A49" t="s">
        <v>653</v>
      </c>
      <c r="B49" t="s">
        <v>657</v>
      </c>
      <c r="C49" t="s">
        <v>661</v>
      </c>
      <c r="D49" s="800">
        <v>337.5</v>
      </c>
    </row>
    <row r="50" spans="1:4" x14ac:dyDescent="0.25">
      <c r="A50" t="s">
        <v>653</v>
      </c>
      <c r="B50" t="s">
        <v>657</v>
      </c>
      <c r="C50" t="s">
        <v>662</v>
      </c>
      <c r="D50" s="800">
        <v>300</v>
      </c>
    </row>
    <row r="51" spans="1:4" x14ac:dyDescent="0.25">
      <c r="A51" t="s">
        <v>653</v>
      </c>
      <c r="B51" t="s">
        <v>657</v>
      </c>
      <c r="C51" t="s">
        <v>663</v>
      </c>
      <c r="D51" s="800">
        <v>600</v>
      </c>
    </row>
    <row r="52" spans="1:4" x14ac:dyDescent="0.25">
      <c r="A52" t="s">
        <v>653</v>
      </c>
      <c r="B52" t="s">
        <v>657</v>
      </c>
      <c r="C52" t="s">
        <v>641</v>
      </c>
      <c r="D52" s="800">
        <v>23.749999999999986</v>
      </c>
    </row>
    <row r="53" spans="1:4" x14ac:dyDescent="0.25">
      <c r="A53" t="s">
        <v>653</v>
      </c>
      <c r="B53" t="s">
        <v>657</v>
      </c>
      <c r="C53" t="s">
        <v>642</v>
      </c>
      <c r="D53" s="800">
        <v>23.749999999999986</v>
      </c>
    </row>
    <row r="54" spans="1:4" x14ac:dyDescent="0.25">
      <c r="A54" t="s">
        <v>653</v>
      </c>
      <c r="B54" t="s">
        <v>657</v>
      </c>
      <c r="C54" t="s">
        <v>664</v>
      </c>
      <c r="D54" s="800">
        <v>296.99999999999881</v>
      </c>
    </row>
    <row r="55" spans="1:4" x14ac:dyDescent="0.25">
      <c r="A55" t="s">
        <v>653</v>
      </c>
      <c r="B55" t="s">
        <v>657</v>
      </c>
      <c r="C55" t="s">
        <v>665</v>
      </c>
      <c r="D55" s="800">
        <v>98.999999999999829</v>
      </c>
    </row>
    <row r="56" spans="1:4" x14ac:dyDescent="0.25">
      <c r="A56" t="s">
        <v>653</v>
      </c>
      <c r="B56" t="s">
        <v>657</v>
      </c>
      <c r="C56" t="s">
        <v>666</v>
      </c>
      <c r="D56" s="800">
        <v>148.49999999999952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7251E-42F6-A846-99B2-E354176CD1C3}">
  <sheetPr codeName="Sheet11"/>
  <dimension ref="C4:D131"/>
  <sheetViews>
    <sheetView workbookViewId="0">
      <selection activeCell="N47" sqref="N47"/>
    </sheetView>
  </sheetViews>
  <sheetFormatPr defaultColWidth="11.42578125" defaultRowHeight="15" x14ac:dyDescent="0.25"/>
  <cols>
    <col min="3" max="3" width="55.140625" customWidth="1"/>
  </cols>
  <sheetData>
    <row r="4" spans="3:4" ht="15.75" x14ac:dyDescent="0.25">
      <c r="C4" s="26" t="s">
        <v>144</v>
      </c>
      <c r="D4" s="27" t="s">
        <v>265</v>
      </c>
    </row>
    <row r="5" spans="3:4" x14ac:dyDescent="0.25">
      <c r="C5" s="165" t="s">
        <v>146</v>
      </c>
      <c r="D5" s="376"/>
    </row>
    <row r="6" spans="3:4" x14ac:dyDescent="0.25">
      <c r="C6" s="245" t="s">
        <v>148</v>
      </c>
      <c r="D6" s="376">
        <v>0.2</v>
      </c>
    </row>
    <row r="7" spans="3:4" x14ac:dyDescent="0.25">
      <c r="C7" s="245" t="s">
        <v>150</v>
      </c>
      <c r="D7" s="376">
        <v>1</v>
      </c>
    </row>
    <row r="8" spans="3:4" x14ac:dyDescent="0.25">
      <c r="C8" s="165" t="s">
        <v>152</v>
      </c>
      <c r="D8" s="376"/>
    </row>
    <row r="9" spans="3:4" x14ac:dyDescent="0.25">
      <c r="C9" s="245" t="s">
        <v>148</v>
      </c>
      <c r="D9" s="376">
        <v>0.4</v>
      </c>
    </row>
    <row r="10" spans="3:4" x14ac:dyDescent="0.25">
      <c r="C10" s="245" t="s">
        <v>150</v>
      </c>
      <c r="D10" s="376">
        <v>0.5</v>
      </c>
    </row>
    <row r="11" spans="3:4" x14ac:dyDescent="0.25">
      <c r="C11" s="165" t="s">
        <v>156</v>
      </c>
      <c r="D11" s="376"/>
    </row>
    <row r="12" spans="3:4" x14ac:dyDescent="0.25">
      <c r="C12" s="245" t="s">
        <v>148</v>
      </c>
      <c r="D12" s="376">
        <v>0.35</v>
      </c>
    </row>
    <row r="13" spans="3:4" x14ac:dyDescent="0.25">
      <c r="C13" s="245" t="s">
        <v>150</v>
      </c>
      <c r="D13" s="376">
        <v>0.45</v>
      </c>
    </row>
    <row r="14" spans="3:4" x14ac:dyDescent="0.25">
      <c r="C14" s="165" t="s">
        <v>228</v>
      </c>
      <c r="D14" s="376">
        <v>0</v>
      </c>
    </row>
    <row r="15" spans="3:4" ht="15.75" x14ac:dyDescent="0.25">
      <c r="C15" s="59" t="s">
        <v>161</v>
      </c>
      <c r="D15" s="237"/>
    </row>
    <row r="16" spans="3:4" x14ac:dyDescent="0.25">
      <c r="C16" s="61" t="s">
        <v>163</v>
      </c>
      <c r="D16" s="238"/>
    </row>
    <row r="17" spans="3:4" x14ac:dyDescent="0.25">
      <c r="C17" s="68" t="s">
        <v>67</v>
      </c>
      <c r="D17" s="377">
        <v>0.35</v>
      </c>
    </row>
    <row r="18" spans="3:4" x14ac:dyDescent="0.25">
      <c r="C18" s="249" t="s">
        <v>165</v>
      </c>
      <c r="D18" s="242"/>
    </row>
    <row r="19" spans="3:4" x14ac:dyDescent="0.25">
      <c r="C19" s="249" t="s">
        <v>166</v>
      </c>
      <c r="D19" s="242"/>
    </row>
    <row r="20" spans="3:4" x14ac:dyDescent="0.25">
      <c r="C20" s="68" t="s">
        <v>73</v>
      </c>
      <c r="D20" s="377">
        <v>0.35</v>
      </c>
    </row>
    <row r="21" spans="3:4" x14ac:dyDescent="0.25">
      <c r="C21" s="249" t="s">
        <v>169</v>
      </c>
      <c r="D21" s="242"/>
    </row>
    <row r="22" spans="3:4" x14ac:dyDescent="0.25">
      <c r="C22" s="249" t="s">
        <v>171</v>
      </c>
      <c r="D22" s="242"/>
    </row>
    <row r="23" spans="3:4" x14ac:dyDescent="0.25">
      <c r="C23" s="68" t="s">
        <v>173</v>
      </c>
      <c r="D23" s="377">
        <v>0.1</v>
      </c>
    </row>
    <row r="24" spans="3:4" x14ac:dyDescent="0.25">
      <c r="C24" s="249" t="s">
        <v>175</v>
      </c>
      <c r="D24" s="242"/>
    </row>
    <row r="25" spans="3:4" x14ac:dyDescent="0.25">
      <c r="C25" s="249" t="s">
        <v>178</v>
      </c>
      <c r="D25" s="242"/>
    </row>
    <row r="26" spans="3:4" x14ac:dyDescent="0.25">
      <c r="C26" s="68" t="s">
        <v>180</v>
      </c>
      <c r="D26" s="377">
        <v>0.1</v>
      </c>
    </row>
    <row r="27" spans="3:4" x14ac:dyDescent="0.25">
      <c r="C27" s="249" t="s">
        <v>182</v>
      </c>
      <c r="D27" s="242"/>
    </row>
    <row r="28" spans="3:4" x14ac:dyDescent="0.25">
      <c r="C28" s="249" t="s">
        <v>184</v>
      </c>
      <c r="D28" s="242"/>
    </row>
    <row r="29" spans="3:4" x14ac:dyDescent="0.25">
      <c r="C29" s="68" t="s">
        <v>186</v>
      </c>
      <c r="D29" s="377">
        <v>0.1</v>
      </c>
    </row>
    <row r="30" spans="3:4" x14ac:dyDescent="0.25">
      <c r="C30" s="249" t="s">
        <v>188</v>
      </c>
      <c r="D30" s="242"/>
    </row>
    <row r="31" spans="3:4" x14ac:dyDescent="0.25">
      <c r="C31" s="249" t="s">
        <v>190</v>
      </c>
      <c r="D31" s="242"/>
    </row>
    <row r="32" spans="3:4" x14ac:dyDescent="0.25">
      <c r="C32" s="61" t="s">
        <v>192</v>
      </c>
      <c r="D32" s="239"/>
    </row>
    <row r="33" spans="3:4" x14ac:dyDescent="0.25">
      <c r="C33" s="68" t="s">
        <v>194</v>
      </c>
      <c r="D33" s="377">
        <v>0.3</v>
      </c>
    </row>
    <row r="34" spans="3:4" x14ac:dyDescent="0.25">
      <c r="C34" s="248" t="s">
        <v>196</v>
      </c>
      <c r="D34" s="242"/>
    </row>
    <row r="35" spans="3:4" x14ac:dyDescent="0.25">
      <c r="C35" s="248" t="s">
        <v>150</v>
      </c>
      <c r="D35" s="242"/>
    </row>
    <row r="36" spans="3:4" x14ac:dyDescent="0.25">
      <c r="C36" s="68" t="s">
        <v>199</v>
      </c>
      <c r="D36" s="377">
        <v>0.3</v>
      </c>
    </row>
    <row r="37" spans="3:4" x14ac:dyDescent="0.25">
      <c r="C37" s="248" t="s">
        <v>196</v>
      </c>
      <c r="D37" s="242"/>
    </row>
    <row r="38" spans="3:4" x14ac:dyDescent="0.25">
      <c r="C38" s="248" t="s">
        <v>150</v>
      </c>
      <c r="D38" s="242"/>
    </row>
    <row r="39" spans="3:4" x14ac:dyDescent="0.25">
      <c r="C39" s="68" t="s">
        <v>202</v>
      </c>
      <c r="D39" s="377">
        <v>0.4</v>
      </c>
    </row>
    <row r="40" spans="3:4" x14ac:dyDescent="0.25">
      <c r="C40" s="248" t="s">
        <v>196</v>
      </c>
      <c r="D40" s="242"/>
    </row>
    <row r="41" spans="3:4" x14ac:dyDescent="0.25">
      <c r="C41" s="248" t="s">
        <v>150</v>
      </c>
      <c r="D41" s="242"/>
    </row>
    <row r="42" spans="3:4" x14ac:dyDescent="0.25">
      <c r="C42" s="61" t="s">
        <v>206</v>
      </c>
      <c r="D42" s="238"/>
    </row>
    <row r="43" spans="3:4" x14ac:dyDescent="0.25">
      <c r="C43" s="68" t="s">
        <v>205</v>
      </c>
      <c r="D43" s="243"/>
    </row>
    <row r="44" spans="3:4" x14ac:dyDescent="0.25">
      <c r="C44" s="248" t="s">
        <v>209</v>
      </c>
      <c r="D44" s="378">
        <v>0.5</v>
      </c>
    </row>
    <row r="45" spans="3:4" x14ac:dyDescent="0.25">
      <c r="C45" s="248" t="s">
        <v>150</v>
      </c>
      <c r="D45" s="378">
        <v>1</v>
      </c>
    </row>
    <row r="46" spans="3:4" x14ac:dyDescent="0.25">
      <c r="C46" s="68" t="s">
        <v>186</v>
      </c>
      <c r="D46" s="243"/>
    </row>
    <row r="47" spans="3:4" x14ac:dyDescent="0.25">
      <c r="C47" s="248" t="s">
        <v>209</v>
      </c>
      <c r="D47" s="378">
        <v>0.5</v>
      </c>
    </row>
    <row r="48" spans="3:4" x14ac:dyDescent="0.25">
      <c r="C48" s="248" t="s">
        <v>150</v>
      </c>
      <c r="D48" s="378">
        <v>1</v>
      </c>
    </row>
    <row r="49" spans="3:4" x14ac:dyDescent="0.25">
      <c r="C49" s="68" t="s">
        <v>210</v>
      </c>
      <c r="D49" s="243"/>
    </row>
    <row r="50" spans="3:4" x14ac:dyDescent="0.25">
      <c r="C50" s="248" t="s">
        <v>209</v>
      </c>
      <c r="D50" s="378">
        <v>0.3</v>
      </c>
    </row>
    <row r="51" spans="3:4" x14ac:dyDescent="0.25">
      <c r="C51" s="248" t="s">
        <v>150</v>
      </c>
      <c r="D51" s="378">
        <v>1</v>
      </c>
    </row>
    <row r="52" spans="3:4" x14ac:dyDescent="0.25">
      <c r="C52" s="68" t="s">
        <v>215</v>
      </c>
      <c r="D52" s="243"/>
    </row>
    <row r="53" spans="3:4" x14ac:dyDescent="0.25">
      <c r="C53" s="248" t="s">
        <v>209</v>
      </c>
      <c r="D53" s="378">
        <v>0.4</v>
      </c>
    </row>
    <row r="54" spans="3:4" x14ac:dyDescent="0.25">
      <c r="C54" s="248" t="s">
        <v>150</v>
      </c>
      <c r="D54" s="378">
        <v>1</v>
      </c>
    </row>
    <row r="55" spans="3:4" x14ac:dyDescent="0.25">
      <c r="C55" s="68" t="s">
        <v>216</v>
      </c>
      <c r="D55" s="243"/>
    </row>
    <row r="56" spans="3:4" x14ac:dyDescent="0.25">
      <c r="C56" s="248" t="s">
        <v>209</v>
      </c>
      <c r="D56" s="378">
        <v>0.4</v>
      </c>
    </row>
    <row r="57" spans="3:4" x14ac:dyDescent="0.25">
      <c r="C57" s="248" t="s">
        <v>150</v>
      </c>
      <c r="D57" s="378">
        <v>1</v>
      </c>
    </row>
    <row r="58" spans="3:4" x14ac:dyDescent="0.25">
      <c r="C58" s="68" t="s">
        <v>202</v>
      </c>
      <c r="D58" s="243"/>
    </row>
    <row r="59" spans="3:4" x14ac:dyDescent="0.25">
      <c r="C59" s="248" t="s">
        <v>209</v>
      </c>
      <c r="D59" s="378">
        <v>0.6</v>
      </c>
    </row>
    <row r="60" spans="3:4" x14ac:dyDescent="0.25">
      <c r="C60" s="248" t="s">
        <v>150</v>
      </c>
      <c r="D60" s="378">
        <v>1</v>
      </c>
    </row>
    <row r="61" spans="3:4" x14ac:dyDescent="0.25">
      <c r="C61" s="68" t="s">
        <v>73</v>
      </c>
      <c r="D61" s="243"/>
    </row>
    <row r="62" spans="3:4" x14ac:dyDescent="0.25">
      <c r="C62" s="248" t="s">
        <v>209</v>
      </c>
      <c r="D62" s="378">
        <v>0.4</v>
      </c>
    </row>
    <row r="63" spans="3:4" x14ac:dyDescent="0.25">
      <c r="C63" s="248" t="s">
        <v>150</v>
      </c>
      <c r="D63" s="378">
        <v>1</v>
      </c>
    </row>
    <row r="64" spans="3:4" x14ac:dyDescent="0.25">
      <c r="C64" s="61" t="s">
        <v>217</v>
      </c>
      <c r="D64" s="238"/>
    </row>
    <row r="65" spans="3:4" x14ac:dyDescent="0.25">
      <c r="C65" s="68" t="s">
        <v>205</v>
      </c>
      <c r="D65" s="377">
        <v>1</v>
      </c>
    </row>
    <row r="66" spans="3:4" x14ac:dyDescent="0.25">
      <c r="C66" s="68" t="s">
        <v>186</v>
      </c>
      <c r="D66" s="377">
        <v>1</v>
      </c>
    </row>
    <row r="67" spans="3:4" x14ac:dyDescent="0.25">
      <c r="C67" s="68" t="s">
        <v>210</v>
      </c>
      <c r="D67" s="377">
        <v>1</v>
      </c>
    </row>
    <row r="68" spans="3:4" x14ac:dyDescent="0.25">
      <c r="C68" s="68" t="s">
        <v>215</v>
      </c>
      <c r="D68" s="377">
        <v>1</v>
      </c>
    </row>
    <row r="69" spans="3:4" x14ac:dyDescent="0.25">
      <c r="C69" s="68" t="s">
        <v>216</v>
      </c>
      <c r="D69" s="377">
        <v>1</v>
      </c>
    </row>
    <row r="70" spans="3:4" x14ac:dyDescent="0.25">
      <c r="C70" s="68" t="s">
        <v>202</v>
      </c>
      <c r="D70" s="377">
        <v>1</v>
      </c>
    </row>
    <row r="71" spans="3:4" x14ac:dyDescent="0.25">
      <c r="C71" s="68" t="s">
        <v>73</v>
      </c>
      <c r="D71" s="377">
        <v>1</v>
      </c>
    </row>
    <row r="72" spans="3:4" x14ac:dyDescent="0.25">
      <c r="C72" s="169" t="s">
        <v>667</v>
      </c>
      <c r="D72" s="391"/>
    </row>
    <row r="73" spans="3:4" x14ac:dyDescent="0.25">
      <c r="C73" s="169" t="s">
        <v>668</v>
      </c>
      <c r="D73" s="391"/>
    </row>
    <row r="74" spans="3:4" x14ac:dyDescent="0.25">
      <c r="C74" s="61" t="s">
        <v>218</v>
      </c>
      <c r="D74" s="239"/>
    </row>
    <row r="75" spans="3:4" x14ac:dyDescent="0.25">
      <c r="C75" s="68" t="s">
        <v>219</v>
      </c>
      <c r="D75" s="377">
        <v>1</v>
      </c>
    </row>
    <row r="76" spans="3:4" x14ac:dyDescent="0.25">
      <c r="C76" s="68" t="s">
        <v>220</v>
      </c>
      <c r="D76" s="377">
        <v>1</v>
      </c>
    </row>
    <row r="77" spans="3:4" x14ac:dyDescent="0.25">
      <c r="C77" s="68" t="s">
        <v>221</v>
      </c>
      <c r="D77" s="377">
        <v>1</v>
      </c>
    </row>
    <row r="78" spans="3:4" x14ac:dyDescent="0.25">
      <c r="C78" s="68" t="s">
        <v>222</v>
      </c>
      <c r="D78" s="377">
        <v>0.2</v>
      </c>
    </row>
    <row r="79" spans="3:4" x14ac:dyDescent="0.25">
      <c r="C79" s="68" t="s">
        <v>223</v>
      </c>
      <c r="D79" s="377">
        <v>0.5</v>
      </c>
    </row>
    <row r="80" spans="3:4" x14ac:dyDescent="0.25">
      <c r="C80" s="68" t="s">
        <v>224</v>
      </c>
      <c r="D80" s="377">
        <v>0.5</v>
      </c>
    </row>
    <row r="81" spans="3:4" x14ac:dyDescent="0.25">
      <c r="C81" s="61" t="s">
        <v>226</v>
      </c>
      <c r="D81" s="239"/>
    </row>
    <row r="82" spans="3:4" x14ac:dyDescent="0.25">
      <c r="C82" s="68" t="s">
        <v>227</v>
      </c>
      <c r="D82" s="376">
        <v>0.5</v>
      </c>
    </row>
    <row r="83" spans="3:4" x14ac:dyDescent="0.25">
      <c r="C83" s="322" t="s">
        <v>228</v>
      </c>
      <c r="D83" s="320"/>
    </row>
    <row r="84" spans="3:4" ht="15.75" x14ac:dyDescent="0.25">
      <c r="C84" s="29" t="s">
        <v>229</v>
      </c>
      <c r="D84" s="240"/>
    </row>
    <row r="85" spans="3:4" x14ac:dyDescent="0.25">
      <c r="C85" s="72" t="s">
        <v>230</v>
      </c>
      <c r="D85" s="398">
        <v>1</v>
      </c>
    </row>
    <row r="86" spans="3:4" x14ac:dyDescent="0.25">
      <c r="C86" s="72" t="s">
        <v>231</v>
      </c>
      <c r="D86" s="398">
        <v>0.5</v>
      </c>
    </row>
    <row r="87" spans="3:4" x14ac:dyDescent="0.25">
      <c r="C87" s="72" t="s">
        <v>232</v>
      </c>
      <c r="D87" s="398">
        <v>0.5</v>
      </c>
    </row>
    <row r="88" spans="3:4" x14ac:dyDescent="0.25">
      <c r="C88" s="72" t="s">
        <v>233</v>
      </c>
      <c r="D88" s="398">
        <v>0.5</v>
      </c>
    </row>
    <row r="89" spans="3:4" x14ac:dyDescent="0.25">
      <c r="C89" s="72" t="s">
        <v>234</v>
      </c>
      <c r="D89" s="399">
        <v>0.5</v>
      </c>
    </row>
    <row r="90" spans="3:4" x14ac:dyDescent="0.25">
      <c r="C90" s="73" t="s">
        <v>228</v>
      </c>
      <c r="D90" s="400">
        <v>0</v>
      </c>
    </row>
    <row r="94" spans="3:4" ht="18" x14ac:dyDescent="0.25">
      <c r="C94" s="847" t="s">
        <v>140</v>
      </c>
      <c r="D94" s="848"/>
    </row>
    <row r="95" spans="3:4" x14ac:dyDescent="0.25">
      <c r="C95" s="46" t="s">
        <v>9</v>
      </c>
      <c r="D95" s="47" t="s">
        <v>239</v>
      </c>
    </row>
    <row r="96" spans="3:4" ht="15.75" x14ac:dyDescent="0.25">
      <c r="C96" s="32" t="s">
        <v>145</v>
      </c>
      <c r="D96" s="308"/>
    </row>
    <row r="97" spans="3:4" ht="15.75" x14ac:dyDescent="0.25">
      <c r="C97" s="32" t="s">
        <v>147</v>
      </c>
      <c r="D97" s="308"/>
    </row>
    <row r="98" spans="3:4" x14ac:dyDescent="0.25">
      <c r="C98" s="34" t="s">
        <v>149</v>
      </c>
      <c r="D98" s="309"/>
    </row>
    <row r="99" spans="3:4" x14ac:dyDescent="0.25">
      <c r="C99" s="307" t="s">
        <v>669</v>
      </c>
      <c r="D99" s="405">
        <v>1</v>
      </c>
    </row>
    <row r="100" spans="3:4" x14ac:dyDescent="0.25">
      <c r="C100" s="307" t="s">
        <v>153</v>
      </c>
      <c r="D100" s="405">
        <v>0.4</v>
      </c>
    </row>
    <row r="101" spans="3:4" x14ac:dyDescent="0.25">
      <c r="C101" s="307" t="s">
        <v>154</v>
      </c>
      <c r="D101" s="405">
        <v>0.5</v>
      </c>
    </row>
    <row r="102" spans="3:4" x14ac:dyDescent="0.25">
      <c r="C102" s="34" t="s">
        <v>155</v>
      </c>
      <c r="D102" s="406">
        <v>0.5</v>
      </c>
    </row>
    <row r="103" spans="3:4" ht="15.75" x14ac:dyDescent="0.25">
      <c r="C103" s="32" t="s">
        <v>157</v>
      </c>
      <c r="D103" s="407"/>
    </row>
    <row r="104" spans="3:4" x14ac:dyDescent="0.25">
      <c r="C104" s="34" t="s">
        <v>158</v>
      </c>
      <c r="D104" s="405">
        <v>1</v>
      </c>
    </row>
    <row r="105" spans="3:4" x14ac:dyDescent="0.25">
      <c r="C105" s="34" t="s">
        <v>159</v>
      </c>
      <c r="D105" s="405">
        <v>1</v>
      </c>
    </row>
    <row r="106" spans="3:4" x14ac:dyDescent="0.25">
      <c r="C106" s="34"/>
      <c r="D106" s="408"/>
    </row>
    <row r="107" spans="3:4" x14ac:dyDescent="0.25">
      <c r="C107" s="34" t="s">
        <v>160</v>
      </c>
      <c r="D107" s="405">
        <v>1</v>
      </c>
    </row>
    <row r="108" spans="3:4" x14ac:dyDescent="0.25">
      <c r="C108" s="34" t="s">
        <v>162</v>
      </c>
      <c r="D108" s="405">
        <v>0</v>
      </c>
    </row>
    <row r="109" spans="3:4" x14ac:dyDescent="0.25">
      <c r="C109" s="246" t="s">
        <v>241</v>
      </c>
      <c r="D109" s="406">
        <v>1</v>
      </c>
    </row>
    <row r="113" spans="3:4" ht="18" x14ac:dyDescent="0.25">
      <c r="C113" s="847" t="s">
        <v>167</v>
      </c>
      <c r="D113" s="848"/>
    </row>
    <row r="114" spans="3:4" x14ac:dyDescent="0.25">
      <c r="C114" s="46" t="s">
        <v>9</v>
      </c>
      <c r="D114" s="47" t="s">
        <v>11</v>
      </c>
    </row>
    <row r="115" spans="3:4" ht="15.75" x14ac:dyDescent="0.25">
      <c r="C115" s="39" t="s">
        <v>170</v>
      </c>
      <c r="D115" s="40"/>
    </row>
    <row r="116" spans="3:4" x14ac:dyDescent="0.25">
      <c r="C116" s="78" t="s">
        <v>670</v>
      </c>
      <c r="D116" s="247">
        <v>0</v>
      </c>
    </row>
    <row r="117" spans="3:4" x14ac:dyDescent="0.25">
      <c r="C117" s="78"/>
      <c r="D117" s="79"/>
    </row>
    <row r="118" spans="3:4" x14ac:dyDescent="0.25">
      <c r="C118" s="78"/>
      <c r="D118" s="79"/>
    </row>
    <row r="119" spans="3:4" x14ac:dyDescent="0.25">
      <c r="C119" s="78" t="s">
        <v>671</v>
      </c>
      <c r="D119" s="247">
        <v>0</v>
      </c>
    </row>
    <row r="120" spans="3:4" ht="15.75" x14ac:dyDescent="0.25">
      <c r="C120" s="39" t="s">
        <v>181</v>
      </c>
      <c r="D120" s="451"/>
    </row>
    <row r="121" spans="3:4" x14ac:dyDescent="0.25">
      <c r="C121" s="78"/>
      <c r="D121" s="79"/>
    </row>
    <row r="122" spans="3:4" x14ac:dyDescent="0.25">
      <c r="C122" s="78"/>
      <c r="D122" s="79"/>
    </row>
    <row r="123" spans="3:4" x14ac:dyDescent="0.25">
      <c r="C123" s="78"/>
      <c r="D123" s="79"/>
    </row>
    <row r="124" spans="3:4" x14ac:dyDescent="0.25">
      <c r="C124" s="78" t="s">
        <v>672</v>
      </c>
      <c r="D124" s="447">
        <v>0</v>
      </c>
    </row>
    <row r="125" spans="3:4" x14ac:dyDescent="0.25">
      <c r="C125" s="78" t="s">
        <v>673</v>
      </c>
      <c r="D125" s="454">
        <v>0</v>
      </c>
    </row>
    <row r="126" spans="3:4" ht="15.75" x14ac:dyDescent="0.25">
      <c r="C126" s="39" t="s">
        <v>193</v>
      </c>
      <c r="D126" s="43"/>
    </row>
    <row r="127" spans="3:4" x14ac:dyDescent="0.25">
      <c r="C127" s="78" t="s">
        <v>246</v>
      </c>
      <c r="D127" s="450">
        <v>1</v>
      </c>
    </row>
    <row r="128" spans="3:4" x14ac:dyDescent="0.25">
      <c r="C128" s="84" t="s">
        <v>674</v>
      </c>
      <c r="D128" s="450">
        <v>1</v>
      </c>
    </row>
    <row r="129" spans="3:4" ht="15.75" x14ac:dyDescent="0.25">
      <c r="C129" s="39" t="s">
        <v>343</v>
      </c>
      <c r="D129" s="43"/>
    </row>
    <row r="130" spans="3:4" x14ac:dyDescent="0.25">
      <c r="C130" s="452" t="s">
        <v>675</v>
      </c>
      <c r="D130" s="247">
        <f>IF(nothing="United States",100%,50%)</f>
        <v>1</v>
      </c>
    </row>
    <row r="131" spans="3:4" x14ac:dyDescent="0.25">
      <c r="C131" s="455"/>
      <c r="D131" s="453"/>
    </row>
  </sheetData>
  <sheetProtection algorithmName="SHA-512" hashValue="qPsWZ6E/qlHJatsn6IipZBMOCCKZz6ofRZkptqGYPHJdt81j+0M1WkmDHhr4D/UB/xOD7dfwaS2omU9Yxmm0Eg==" saltValue="Krli1M/O+XR+VzYokrjXrg==" spinCount="100000" sheet="1" objects="1" scenarios="1"/>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340DA-9BA7-D64C-BD6E-DDAFFBECE279}">
  <sheetPr codeName="Sheet19">
    <tabColor theme="6"/>
  </sheetPr>
  <dimension ref="A1:BS443"/>
  <sheetViews>
    <sheetView showGridLines="0" zoomScaleNormal="100" workbookViewId="0">
      <selection activeCell="U407" sqref="U407"/>
    </sheetView>
  </sheetViews>
  <sheetFormatPr defaultColWidth="8.85546875" defaultRowHeight="15" x14ac:dyDescent="0.25"/>
  <cols>
    <col min="2" max="2" width="13.7109375" customWidth="1"/>
    <col min="3" max="3" width="51" customWidth="1"/>
    <col min="32" max="32" width="9.42578125" bestFit="1" customWidth="1"/>
  </cols>
  <sheetData>
    <row r="1" spans="1:71" ht="25.5" x14ac:dyDescent="0.25">
      <c r="A1" s="850" t="s">
        <v>0</v>
      </c>
      <c r="B1" s="850"/>
      <c r="C1" s="850"/>
      <c r="D1" s="850"/>
      <c r="E1" s="850"/>
      <c r="F1" s="850"/>
      <c r="G1" s="850"/>
      <c r="H1" s="850"/>
      <c r="I1" s="850"/>
      <c r="J1" s="850"/>
    </row>
    <row r="2" spans="1:71" ht="24" x14ac:dyDescent="0.25">
      <c r="A2" s="851" t="s">
        <v>1</v>
      </c>
      <c r="B2" s="851"/>
      <c r="C2" s="851"/>
      <c r="D2" s="851"/>
      <c r="E2" s="851"/>
      <c r="F2" s="851"/>
      <c r="G2" s="851"/>
      <c r="H2" s="851"/>
      <c r="I2" s="851"/>
      <c r="J2" s="851"/>
    </row>
    <row r="3" spans="1:71" x14ac:dyDescent="0.25">
      <c r="A3" s="852" t="s">
        <v>2</v>
      </c>
      <c r="B3" s="852"/>
      <c r="C3" s="852"/>
      <c r="D3" s="852"/>
      <c r="E3" s="852"/>
      <c r="F3" s="852"/>
      <c r="G3" s="852"/>
      <c r="H3" s="852"/>
      <c r="I3" s="852"/>
      <c r="J3" s="852"/>
    </row>
    <row r="4" spans="1:71" ht="21" x14ac:dyDescent="0.25">
      <c r="A4" s="171"/>
    </row>
    <row r="5" spans="1:71" ht="20.25" x14ac:dyDescent="0.25">
      <c r="B5" s="910" t="s">
        <v>676</v>
      </c>
      <c r="C5" s="911"/>
      <c r="D5" s="911"/>
      <c r="E5" s="911"/>
      <c r="F5" s="911"/>
      <c r="G5" s="911"/>
      <c r="H5" s="911"/>
      <c r="I5" s="911"/>
      <c r="J5" s="912"/>
    </row>
    <row r="6" spans="1:71" ht="23.25" x14ac:dyDescent="0.35">
      <c r="B6" s="172"/>
    </row>
    <row r="7" spans="1:71" x14ac:dyDescent="0.25">
      <c r="B7" s="173" t="s">
        <v>448</v>
      </c>
    </row>
    <row r="8" spans="1:71" x14ac:dyDescent="0.25">
      <c r="B8" s="913" t="s">
        <v>449</v>
      </c>
      <c r="C8" s="914"/>
      <c r="D8" s="914"/>
      <c r="E8" s="914"/>
      <c r="F8" s="914"/>
      <c r="G8" s="914"/>
      <c r="H8" s="914"/>
      <c r="I8" s="914"/>
      <c r="J8" s="915"/>
    </row>
    <row r="10" spans="1:71" x14ac:dyDescent="0.25">
      <c r="B10" s="54" t="s">
        <v>450</v>
      </c>
    </row>
    <row r="11" spans="1:71" x14ac:dyDescent="0.25">
      <c r="B11" s="904" t="s">
        <v>677</v>
      </c>
      <c r="C11" s="905"/>
      <c r="D11" s="905"/>
      <c r="E11" s="905"/>
      <c r="F11" s="905"/>
      <c r="G11" s="905"/>
      <c r="H11" s="905"/>
      <c r="I11" s="905"/>
      <c r="J11" s="906"/>
      <c r="BR11" t="s">
        <v>678</v>
      </c>
      <c r="BS11" t="str">
        <f>nothing</f>
        <v>United States</v>
      </c>
    </row>
    <row r="12" spans="1:71" x14ac:dyDescent="0.25">
      <c r="B12" t="s">
        <v>678</v>
      </c>
      <c r="C12" t="s">
        <v>530</v>
      </c>
      <c r="BR12" t="s">
        <v>679</v>
      </c>
      <c r="BS12" t="str">
        <f>VLOOKUP(BS11,BR15:BS54,2,FALSE)</f>
        <v>United States</v>
      </c>
    </row>
    <row r="14" spans="1:71" x14ac:dyDescent="0.25">
      <c r="D14" s="174" t="s">
        <v>532</v>
      </c>
      <c r="E14" s="174" t="s">
        <v>680</v>
      </c>
      <c r="F14" s="174" t="s">
        <v>681</v>
      </c>
      <c r="G14" s="174" t="s">
        <v>682</v>
      </c>
      <c r="H14" s="174" t="s">
        <v>533</v>
      </c>
      <c r="I14" s="174" t="s">
        <v>683</v>
      </c>
      <c r="J14" s="174" t="s">
        <v>534</v>
      </c>
      <c r="K14" s="174" t="s">
        <v>535</v>
      </c>
      <c r="L14" s="174" t="s">
        <v>684</v>
      </c>
      <c r="M14" s="174" t="s">
        <v>536</v>
      </c>
      <c r="N14" s="174" t="s">
        <v>537</v>
      </c>
      <c r="O14" s="174" t="s">
        <v>538</v>
      </c>
      <c r="P14" s="174" t="s">
        <v>685</v>
      </c>
      <c r="Q14" s="174" t="s">
        <v>539</v>
      </c>
      <c r="R14" s="174" t="s">
        <v>540</v>
      </c>
      <c r="S14" s="174" t="s">
        <v>686</v>
      </c>
      <c r="T14" s="174" t="s">
        <v>687</v>
      </c>
      <c r="U14" s="174" t="s">
        <v>688</v>
      </c>
      <c r="V14" s="174" t="s">
        <v>541</v>
      </c>
      <c r="W14" s="174" t="s">
        <v>542</v>
      </c>
      <c r="X14" s="174" t="s">
        <v>543</v>
      </c>
      <c r="Y14" s="174" t="s">
        <v>544</v>
      </c>
      <c r="Z14" s="174" t="s">
        <v>545</v>
      </c>
      <c r="AA14" s="174" t="s">
        <v>546</v>
      </c>
      <c r="AB14" s="174" t="s">
        <v>549</v>
      </c>
      <c r="AC14" s="174" t="s">
        <v>689</v>
      </c>
      <c r="AD14" s="174" t="s">
        <v>690</v>
      </c>
      <c r="AE14" s="175" t="s">
        <v>691</v>
      </c>
      <c r="AF14" s="175" t="s">
        <v>1064</v>
      </c>
      <c r="AG14" s="174" t="s">
        <v>692</v>
      </c>
      <c r="AH14" s="174" t="s">
        <v>693</v>
      </c>
      <c r="AI14" s="174" t="s">
        <v>550</v>
      </c>
      <c r="AJ14" s="174" t="s">
        <v>551</v>
      </c>
      <c r="AK14" s="174" t="s">
        <v>694</v>
      </c>
      <c r="AL14" s="174" t="s">
        <v>695</v>
      </c>
      <c r="AM14" s="174" t="s">
        <v>553</v>
      </c>
      <c r="AN14" s="174" t="s">
        <v>696</v>
      </c>
      <c r="AO14" s="174" t="s">
        <v>554</v>
      </c>
      <c r="AP14" s="174" t="s">
        <v>697</v>
      </c>
      <c r="AQ14" s="174" t="s">
        <v>555</v>
      </c>
      <c r="AR14" s="174" t="s">
        <v>556</v>
      </c>
      <c r="AS14" s="174" t="s">
        <v>557</v>
      </c>
      <c r="AT14" s="174" t="s">
        <v>558</v>
      </c>
      <c r="AU14" s="174" t="s">
        <v>698</v>
      </c>
      <c r="AV14" s="174" t="s">
        <v>699</v>
      </c>
      <c r="AW14" s="174" t="s">
        <v>559</v>
      </c>
      <c r="AX14" s="174" t="s">
        <v>530</v>
      </c>
      <c r="AY14" s="174" t="s">
        <v>700</v>
      </c>
      <c r="AZ14" s="174" t="s">
        <v>701</v>
      </c>
      <c r="BA14" s="174" t="s">
        <v>560</v>
      </c>
      <c r="BB14" s="174" t="s">
        <v>561</v>
      </c>
      <c r="BC14" s="174" t="s">
        <v>702</v>
      </c>
      <c r="BD14" s="174" t="s">
        <v>562</v>
      </c>
      <c r="BE14" s="174" t="s">
        <v>703</v>
      </c>
      <c r="BF14" t="s">
        <v>704</v>
      </c>
      <c r="BG14" t="s">
        <v>705</v>
      </c>
      <c r="BH14" t="s">
        <v>706</v>
      </c>
      <c r="BI14" t="s">
        <v>707</v>
      </c>
      <c r="BJ14" t="s">
        <v>708</v>
      </c>
      <c r="BK14" t="s">
        <v>709</v>
      </c>
      <c r="BL14" t="s">
        <v>710</v>
      </c>
      <c r="BM14" t="s">
        <v>711</v>
      </c>
      <c r="BR14" t="s">
        <v>712</v>
      </c>
      <c r="BS14" t="s">
        <v>713</v>
      </c>
    </row>
    <row r="15" spans="1:71" x14ac:dyDescent="0.25">
      <c r="A15" t="s">
        <v>714</v>
      </c>
      <c r="B15">
        <v>1</v>
      </c>
      <c r="C15" t="s">
        <v>400</v>
      </c>
      <c r="D15">
        <v>8.821078</v>
      </c>
      <c r="E15">
        <v>8.6085930000000008</v>
      </c>
      <c r="F15" t="s">
        <v>715</v>
      </c>
      <c r="G15" t="s">
        <v>715</v>
      </c>
      <c r="H15">
        <v>8.7064109999999992</v>
      </c>
      <c r="I15" t="s">
        <v>715</v>
      </c>
      <c r="J15">
        <v>16.786892999999999</v>
      </c>
      <c r="K15">
        <v>3.2251509999999999</v>
      </c>
      <c r="L15">
        <v>15.368733000000001</v>
      </c>
      <c r="M15">
        <v>12.434183000000001</v>
      </c>
      <c r="N15">
        <v>7.3202829999999999</v>
      </c>
      <c r="O15">
        <v>21.194478</v>
      </c>
      <c r="P15" t="s">
        <v>715</v>
      </c>
      <c r="Q15">
        <v>5.3549639999999998</v>
      </c>
      <c r="R15">
        <v>6.8731819999999999</v>
      </c>
      <c r="S15" t="s">
        <v>715</v>
      </c>
      <c r="T15" t="s">
        <v>715</v>
      </c>
      <c r="U15" t="s">
        <v>715</v>
      </c>
      <c r="V15">
        <v>12.198096</v>
      </c>
      <c r="W15">
        <v>16.745704</v>
      </c>
      <c r="X15">
        <v>9.4561279999999996</v>
      </c>
      <c r="Y15">
        <v>16.362325999999999</v>
      </c>
      <c r="Z15">
        <v>10.223515000000001</v>
      </c>
      <c r="AA15">
        <v>5.0516249999999996</v>
      </c>
      <c r="AB15">
        <v>8.4331549999999993</v>
      </c>
      <c r="AC15" t="s">
        <v>715</v>
      </c>
      <c r="AD15" t="s">
        <v>715</v>
      </c>
      <c r="AE15" t="s">
        <v>715</v>
      </c>
      <c r="AF15">
        <f>'User Add-In Location'!E16</f>
        <v>0</v>
      </c>
      <c r="AG15" t="s">
        <v>715</v>
      </c>
      <c r="AH15" t="s">
        <v>715</v>
      </c>
      <c r="AI15">
        <v>21.562519000000002</v>
      </c>
      <c r="AJ15">
        <v>15.501671999999999</v>
      </c>
      <c r="AK15" t="s">
        <v>715</v>
      </c>
      <c r="AL15">
        <v>11.215171</v>
      </c>
      <c r="AM15">
        <v>6.7069239999999999</v>
      </c>
      <c r="AN15" t="s">
        <v>715</v>
      </c>
      <c r="AO15">
        <v>11.382930999999999</v>
      </c>
      <c r="AP15" t="s">
        <v>715</v>
      </c>
      <c r="AQ15">
        <v>14.582007000000001</v>
      </c>
      <c r="AR15">
        <v>10.757237999999999</v>
      </c>
      <c r="AS15">
        <v>19.552420999999999</v>
      </c>
      <c r="AT15">
        <v>12.439280999999999</v>
      </c>
      <c r="AU15" t="s">
        <v>715</v>
      </c>
      <c r="AV15" t="s">
        <v>715</v>
      </c>
      <c r="AW15">
        <v>14.238986000000001</v>
      </c>
      <c r="AX15" s="176">
        <v>8.5422130000000003</v>
      </c>
      <c r="AY15" t="s">
        <v>715</v>
      </c>
      <c r="AZ15" t="s">
        <v>715</v>
      </c>
      <c r="BA15">
        <v>15.165253999999999</v>
      </c>
      <c r="BB15">
        <v>11.317769999999999</v>
      </c>
      <c r="BC15" t="s">
        <v>715</v>
      </c>
      <c r="BD15">
        <v>8.0523779999999991</v>
      </c>
      <c r="BE15" t="s">
        <v>715</v>
      </c>
      <c r="BF15">
        <v>12.322687</v>
      </c>
      <c r="BG15">
        <v>9.6106619999999996</v>
      </c>
      <c r="BH15">
        <v>9.8877079999999999</v>
      </c>
      <c r="BI15">
        <v>7.826549</v>
      </c>
      <c r="BJ15">
        <v>10.516083999999999</v>
      </c>
      <c r="BK15">
        <v>8.6500470000000007</v>
      </c>
      <c r="BL15">
        <v>17.144483000000001</v>
      </c>
      <c r="BM15">
        <v>12.679029999999999</v>
      </c>
      <c r="BR15" s="104" t="s">
        <v>530</v>
      </c>
      <c r="BS15" t="str">
        <f>BR15</f>
        <v>United States</v>
      </c>
    </row>
    <row r="16" spans="1:71" x14ac:dyDescent="0.25">
      <c r="B16">
        <v>2</v>
      </c>
      <c r="C16" t="s">
        <v>583</v>
      </c>
      <c r="D16">
        <v>2.9206340000000002</v>
      </c>
      <c r="E16">
        <v>1.4370989999999999</v>
      </c>
      <c r="H16">
        <v>2.2697970000000001</v>
      </c>
      <c r="J16">
        <v>2.4003199999999998</v>
      </c>
      <c r="K16">
        <v>3.1124450000000001</v>
      </c>
      <c r="L16">
        <v>2.1338530000000002</v>
      </c>
      <c r="M16">
        <v>3.3005939999999998</v>
      </c>
      <c r="N16">
        <v>2.7625109999999999</v>
      </c>
      <c r="O16">
        <v>3.2498480000000001</v>
      </c>
      <c r="Q16">
        <v>3.2875049999999999</v>
      </c>
      <c r="R16">
        <v>3.2283620000000002</v>
      </c>
      <c r="V16">
        <v>2.613051</v>
      </c>
      <c r="W16">
        <v>3.2606999999999999</v>
      </c>
      <c r="X16">
        <v>3.2826559999999998</v>
      </c>
      <c r="Y16">
        <v>3.2848820000000001</v>
      </c>
      <c r="Z16">
        <v>3.3505590000000001</v>
      </c>
      <c r="AA16">
        <v>3.1889829999999999</v>
      </c>
      <c r="AB16">
        <v>3.2125349999999999</v>
      </c>
      <c r="AF16">
        <f>'User Add-In Location'!E17</f>
        <v>0</v>
      </c>
      <c r="AI16">
        <v>2.792945</v>
      </c>
      <c r="AJ16">
        <v>3.2323729999999999</v>
      </c>
      <c r="AL16">
        <v>3.3666070000000001</v>
      </c>
      <c r="AM16">
        <v>3.3070590000000002</v>
      </c>
      <c r="AO16">
        <v>1.5019499999999999</v>
      </c>
      <c r="AQ16">
        <v>3.232783</v>
      </c>
      <c r="AR16">
        <v>1.63672</v>
      </c>
      <c r="AS16">
        <v>2.8856329999999999</v>
      </c>
      <c r="AT16">
        <v>3.3478910000000002</v>
      </c>
      <c r="AW16">
        <v>1.8600540000000001</v>
      </c>
      <c r="AX16" s="176">
        <v>2.1416490000000001</v>
      </c>
      <c r="BA16">
        <v>3.2593749999999999</v>
      </c>
      <c r="BB16">
        <v>3.2596539999999998</v>
      </c>
      <c r="BD16">
        <v>3.1892339999999999</v>
      </c>
      <c r="BF16">
        <v>1.9697990000000001</v>
      </c>
      <c r="BG16">
        <v>2.354714</v>
      </c>
      <c r="BH16">
        <v>3.1718920000000002</v>
      </c>
      <c r="BI16">
        <v>2.0271029999999999</v>
      </c>
      <c r="BJ16">
        <v>3.3185769999999999</v>
      </c>
      <c r="BK16">
        <v>3.1589499999999999</v>
      </c>
      <c r="BL16">
        <v>3.174045</v>
      </c>
      <c r="BM16">
        <v>3.17536</v>
      </c>
      <c r="BR16" s="104" t="s">
        <v>532</v>
      </c>
      <c r="BS16" t="str">
        <f t="shared" ref="BS16:BS45" si="0">BR16</f>
        <v>Alabama</v>
      </c>
    </row>
    <row r="17" spans="2:71" x14ac:dyDescent="0.25">
      <c r="B17">
        <v>3</v>
      </c>
      <c r="C17" t="s">
        <v>403</v>
      </c>
      <c r="D17">
        <v>1.9175169999999999</v>
      </c>
      <c r="E17">
        <v>2.0849609999999998</v>
      </c>
      <c r="H17">
        <v>2.8563369999999999</v>
      </c>
      <c r="J17">
        <v>0</v>
      </c>
      <c r="K17">
        <v>0</v>
      </c>
      <c r="L17">
        <v>0</v>
      </c>
      <c r="M17">
        <v>3.4040979999999998</v>
      </c>
      <c r="N17">
        <v>0</v>
      </c>
      <c r="O17">
        <v>0</v>
      </c>
      <c r="Q17">
        <v>2.4542480000000002</v>
      </c>
      <c r="R17">
        <v>2.5361099999999999</v>
      </c>
      <c r="V17">
        <v>2.6218110000000001</v>
      </c>
      <c r="W17">
        <v>0</v>
      </c>
      <c r="X17">
        <v>2.5086469999999998</v>
      </c>
      <c r="Y17">
        <v>0</v>
      </c>
      <c r="Z17">
        <v>0</v>
      </c>
      <c r="AA17">
        <v>0</v>
      </c>
      <c r="AB17">
        <v>3.1342539999999999</v>
      </c>
      <c r="AF17">
        <f>'User Add-In Location'!E18</f>
        <v>0</v>
      </c>
      <c r="AI17">
        <v>0</v>
      </c>
      <c r="AJ17">
        <v>0</v>
      </c>
      <c r="AL17">
        <v>0</v>
      </c>
      <c r="AM17">
        <v>0</v>
      </c>
      <c r="AO17">
        <v>2.1129220000000002</v>
      </c>
      <c r="AQ17">
        <v>0</v>
      </c>
      <c r="AR17">
        <v>2.657254</v>
      </c>
      <c r="AS17">
        <v>0</v>
      </c>
      <c r="AT17">
        <v>0</v>
      </c>
      <c r="AW17">
        <v>2.6737470000000001</v>
      </c>
      <c r="AX17" s="176">
        <v>2.285679</v>
      </c>
      <c r="BA17">
        <v>2.4551050000000001</v>
      </c>
      <c r="BB17">
        <v>3.2327699999999999</v>
      </c>
      <c r="BD17">
        <v>0</v>
      </c>
      <c r="BF17">
        <v>2.3285330000000002</v>
      </c>
      <c r="BG17">
        <v>3.171395</v>
      </c>
      <c r="BH17">
        <v>2.4614690000000001</v>
      </c>
      <c r="BI17">
        <v>2.550252</v>
      </c>
      <c r="BJ17">
        <v>2.5086469999999998</v>
      </c>
      <c r="BK17">
        <v>2.4551050000000001</v>
      </c>
      <c r="BL17">
        <v>0</v>
      </c>
      <c r="BM17">
        <v>0</v>
      </c>
      <c r="BR17" s="104" t="s">
        <v>533</v>
      </c>
      <c r="BS17" t="str">
        <f t="shared" si="0"/>
        <v>California</v>
      </c>
    </row>
    <row r="18" spans="2:71" x14ac:dyDescent="0.25">
      <c r="B18">
        <v>4</v>
      </c>
      <c r="C18" t="s">
        <v>584</v>
      </c>
      <c r="D18">
        <v>2.2672270000000001</v>
      </c>
      <c r="E18">
        <v>2.0095299999999998</v>
      </c>
      <c r="H18">
        <v>2.5993750000000002</v>
      </c>
      <c r="J18">
        <v>2.8925700000000001</v>
      </c>
      <c r="K18">
        <v>3.2954590000000001</v>
      </c>
      <c r="L18">
        <v>2.5459580000000002</v>
      </c>
      <c r="M18">
        <v>2.574859</v>
      </c>
      <c r="N18">
        <v>2.5022519999999999</v>
      </c>
      <c r="O18">
        <v>2.537061</v>
      </c>
      <c r="Q18">
        <v>2.727862</v>
      </c>
      <c r="R18">
        <v>2.913243</v>
      </c>
      <c r="V18">
        <v>2.1059770000000002</v>
      </c>
      <c r="W18">
        <v>4.7749370000000004</v>
      </c>
      <c r="X18">
        <v>2.5982430000000001</v>
      </c>
      <c r="Y18">
        <v>3.0665550000000001</v>
      </c>
      <c r="Z18">
        <v>2.2139720000000001</v>
      </c>
      <c r="AA18">
        <v>2.2240099999999998</v>
      </c>
      <c r="AB18">
        <v>3.2584420000000001</v>
      </c>
      <c r="AF18">
        <f>'User Add-In Location'!E19</f>
        <v>0</v>
      </c>
      <c r="AI18">
        <v>4.1117470000000003</v>
      </c>
      <c r="AJ18">
        <v>2.8548450000000001</v>
      </c>
      <c r="AL18">
        <v>3.4181360000000001</v>
      </c>
      <c r="AM18">
        <v>3.0921110000000001</v>
      </c>
      <c r="AO18">
        <v>1.901807</v>
      </c>
      <c r="AQ18">
        <v>3.8764280000000002</v>
      </c>
      <c r="AR18">
        <v>1.8000719999999999</v>
      </c>
      <c r="AS18">
        <v>3.0160999999999998</v>
      </c>
      <c r="AT18">
        <v>2.5066760000000001</v>
      </c>
      <c r="AW18">
        <v>1.6020490000000001</v>
      </c>
      <c r="AX18" s="176">
        <v>2.1822300000000001</v>
      </c>
      <c r="BA18">
        <v>2.49885</v>
      </c>
      <c r="BB18">
        <v>3.4655710000000002</v>
      </c>
      <c r="BD18">
        <v>1.935403</v>
      </c>
      <c r="BF18">
        <v>1.7486109999999999</v>
      </c>
      <c r="BG18">
        <v>2.88632</v>
      </c>
      <c r="BH18">
        <v>2.8858630000000001</v>
      </c>
      <c r="BI18">
        <v>2.2388759999999999</v>
      </c>
      <c r="BJ18">
        <v>3.170687</v>
      </c>
      <c r="BK18">
        <v>2.6281870000000001</v>
      </c>
      <c r="BL18">
        <v>3.6279349999999999</v>
      </c>
      <c r="BM18">
        <v>3.2845810000000002</v>
      </c>
      <c r="BR18" s="104" t="s">
        <v>534</v>
      </c>
      <c r="BS18" t="str">
        <f t="shared" si="0"/>
        <v>Connecticut</v>
      </c>
    </row>
    <row r="19" spans="2:71" x14ac:dyDescent="0.25">
      <c r="B19">
        <v>5</v>
      </c>
      <c r="C19" t="s">
        <v>585</v>
      </c>
      <c r="D19">
        <v>2.143805</v>
      </c>
      <c r="E19">
        <v>0</v>
      </c>
      <c r="H19">
        <v>0</v>
      </c>
      <c r="J19">
        <v>0</v>
      </c>
      <c r="K19">
        <v>0</v>
      </c>
      <c r="L19">
        <v>0</v>
      </c>
      <c r="M19">
        <v>2.3840710000000001</v>
      </c>
      <c r="N19">
        <v>0</v>
      </c>
      <c r="O19">
        <v>0</v>
      </c>
      <c r="Q19">
        <v>0</v>
      </c>
      <c r="R19">
        <v>0</v>
      </c>
      <c r="V19">
        <v>0</v>
      </c>
      <c r="W19">
        <v>0</v>
      </c>
      <c r="X19">
        <v>0</v>
      </c>
      <c r="Y19">
        <v>0</v>
      </c>
      <c r="Z19">
        <v>0</v>
      </c>
      <c r="AA19">
        <v>1.0203359999999999</v>
      </c>
      <c r="AB19">
        <v>0</v>
      </c>
      <c r="AF19">
        <f>'User Add-In Location'!E20</f>
        <v>0</v>
      </c>
      <c r="AI19">
        <v>0</v>
      </c>
      <c r="AJ19">
        <v>2.2878059999999998</v>
      </c>
      <c r="AL19">
        <v>0</v>
      </c>
      <c r="AM19">
        <v>0</v>
      </c>
      <c r="AO19">
        <v>0</v>
      </c>
      <c r="AQ19">
        <v>0</v>
      </c>
      <c r="AR19">
        <v>0</v>
      </c>
      <c r="AS19">
        <v>0</v>
      </c>
      <c r="AT19">
        <v>0</v>
      </c>
      <c r="AW19">
        <v>2.6645970000000001</v>
      </c>
      <c r="AX19" s="176">
        <v>2.2669990000000002</v>
      </c>
      <c r="BA19">
        <v>0</v>
      </c>
      <c r="BB19">
        <v>0</v>
      </c>
      <c r="BD19">
        <v>0</v>
      </c>
      <c r="BF19">
        <v>2.4857960000000001</v>
      </c>
      <c r="BG19">
        <v>0</v>
      </c>
      <c r="BH19">
        <v>2.2878059999999998</v>
      </c>
      <c r="BI19">
        <v>1.0203359999999999</v>
      </c>
      <c r="BJ19">
        <v>2.2878059999999998</v>
      </c>
      <c r="BK19">
        <v>0</v>
      </c>
      <c r="BL19">
        <v>0</v>
      </c>
      <c r="BM19">
        <v>0</v>
      </c>
      <c r="BR19" s="104" t="s">
        <v>535</v>
      </c>
      <c r="BS19" t="str">
        <f t="shared" si="0"/>
        <v>Delaware</v>
      </c>
    </row>
    <row r="20" spans="2:71" x14ac:dyDescent="0.25">
      <c r="B20">
        <v>6</v>
      </c>
      <c r="C20" t="s">
        <v>586</v>
      </c>
      <c r="D20">
        <v>1.0138160000000001</v>
      </c>
      <c r="E20">
        <v>1.060595</v>
      </c>
      <c r="H20">
        <v>0.90556800000000004</v>
      </c>
      <c r="J20">
        <v>0.78787300000000005</v>
      </c>
      <c r="K20">
        <v>0.75507199999999997</v>
      </c>
      <c r="L20">
        <v>0.73514299999999999</v>
      </c>
      <c r="M20">
        <v>0.84636500000000003</v>
      </c>
      <c r="N20">
        <v>0.97645999999999999</v>
      </c>
      <c r="O20">
        <v>0.74058199999999996</v>
      </c>
      <c r="Q20">
        <v>0.76063099999999995</v>
      </c>
      <c r="R20">
        <v>0.72626800000000002</v>
      </c>
      <c r="V20">
        <v>0.85762499999999997</v>
      </c>
      <c r="W20">
        <v>0.75560499999999997</v>
      </c>
      <c r="X20">
        <v>0.617116</v>
      </c>
      <c r="Y20">
        <v>0.77219599999999999</v>
      </c>
      <c r="Z20">
        <v>0.85385500000000003</v>
      </c>
      <c r="AA20">
        <v>1.0275270000000001</v>
      </c>
      <c r="AB20">
        <v>0.95965</v>
      </c>
      <c r="AF20">
        <f>'User Add-In Location'!E21</f>
        <v>0</v>
      </c>
      <c r="AI20">
        <v>0.80418699999999999</v>
      </c>
      <c r="AJ20">
        <v>0.80823199999999995</v>
      </c>
      <c r="AL20">
        <v>0.88368100000000005</v>
      </c>
      <c r="AM20">
        <v>0.77723900000000001</v>
      </c>
      <c r="AO20">
        <v>0.82399800000000001</v>
      </c>
      <c r="AQ20">
        <v>0.84390500000000002</v>
      </c>
      <c r="AR20">
        <v>0.82825599999999999</v>
      </c>
      <c r="AS20">
        <v>0.52108200000000005</v>
      </c>
      <c r="AT20">
        <v>0.94530599999999998</v>
      </c>
      <c r="AW20">
        <v>0.84214999999999995</v>
      </c>
      <c r="AX20" s="176">
        <v>0.89776299999999998</v>
      </c>
      <c r="BA20">
        <v>0.84281600000000001</v>
      </c>
      <c r="BB20">
        <v>1.099953</v>
      </c>
      <c r="BD20">
        <v>0.78449599999999997</v>
      </c>
      <c r="BF20">
        <v>0.87607000000000002</v>
      </c>
      <c r="BG20">
        <v>0.93259999999999998</v>
      </c>
      <c r="BH20">
        <v>0.82416199999999995</v>
      </c>
      <c r="BI20">
        <v>0.82999299999999998</v>
      </c>
      <c r="BJ20">
        <v>0.78281900000000004</v>
      </c>
      <c r="BK20">
        <v>0.89389300000000005</v>
      </c>
      <c r="BL20">
        <v>0.77459199999999995</v>
      </c>
      <c r="BM20">
        <v>0.81438500000000003</v>
      </c>
      <c r="BR20" s="104" t="s">
        <v>536</v>
      </c>
      <c r="BS20" t="str">
        <f t="shared" si="0"/>
        <v>Florida</v>
      </c>
    </row>
    <row r="21" spans="2:71" x14ac:dyDescent="0.25">
      <c r="B21">
        <v>7</v>
      </c>
      <c r="C21" t="s">
        <v>587</v>
      </c>
      <c r="D21">
        <v>0.80510800000000005</v>
      </c>
      <c r="E21">
        <v>0.85869499999999999</v>
      </c>
      <c r="H21">
        <v>0.68436799999999998</v>
      </c>
      <c r="J21">
        <v>0.56983399999999995</v>
      </c>
      <c r="K21">
        <v>0.76135699999999995</v>
      </c>
      <c r="L21">
        <v>0.66216299999999995</v>
      </c>
      <c r="M21">
        <v>0.65092499999999998</v>
      </c>
      <c r="N21">
        <v>0.75288299999999997</v>
      </c>
      <c r="O21">
        <v>0.86454399999999998</v>
      </c>
      <c r="Q21">
        <v>0.72050400000000003</v>
      </c>
      <c r="R21">
        <v>0.79634000000000005</v>
      </c>
      <c r="V21">
        <v>0.71440499999999996</v>
      </c>
      <c r="W21">
        <v>0.71637499999999998</v>
      </c>
      <c r="X21">
        <v>0.69736699999999996</v>
      </c>
      <c r="Y21">
        <v>0.71014699999999997</v>
      </c>
      <c r="Z21">
        <v>0.80022599999999999</v>
      </c>
      <c r="AA21">
        <v>0.82364599999999999</v>
      </c>
      <c r="AB21">
        <v>0.84273500000000001</v>
      </c>
      <c r="AF21">
        <f>'User Add-In Location'!E22</f>
        <v>0</v>
      </c>
      <c r="AI21">
        <v>0.70496099999999995</v>
      </c>
      <c r="AJ21">
        <v>0.65598299999999998</v>
      </c>
      <c r="AL21">
        <v>0.73124400000000001</v>
      </c>
      <c r="AM21">
        <v>0.73350800000000005</v>
      </c>
      <c r="AO21">
        <v>0.74790900000000005</v>
      </c>
      <c r="AQ21">
        <v>0.73686099999999999</v>
      </c>
      <c r="AR21">
        <v>0.76407700000000001</v>
      </c>
      <c r="AS21">
        <v>0.71489499999999995</v>
      </c>
      <c r="AT21">
        <v>0.82216699999999998</v>
      </c>
      <c r="AW21">
        <v>0.76467300000000005</v>
      </c>
      <c r="AX21" s="176">
        <v>0.74740799999999996</v>
      </c>
      <c r="BA21">
        <v>0.64307300000000001</v>
      </c>
      <c r="BB21">
        <v>0.59953900000000004</v>
      </c>
      <c r="BD21">
        <v>0.72992299999999999</v>
      </c>
      <c r="BF21">
        <v>0.74411400000000005</v>
      </c>
      <c r="BG21">
        <v>0.66679299999999997</v>
      </c>
      <c r="BH21">
        <v>0.71656699999999995</v>
      </c>
      <c r="BI21">
        <v>0.75338799999999995</v>
      </c>
      <c r="BJ21">
        <v>0.71710399999999996</v>
      </c>
      <c r="BK21">
        <v>0.73172000000000004</v>
      </c>
      <c r="BL21">
        <v>0.710453</v>
      </c>
      <c r="BM21">
        <v>0.71435700000000002</v>
      </c>
      <c r="BR21" s="104" t="s">
        <v>537</v>
      </c>
      <c r="BS21" t="str">
        <f t="shared" si="0"/>
        <v>Georgia</v>
      </c>
    </row>
    <row r="22" spans="2:71" x14ac:dyDescent="0.25">
      <c r="B22">
        <v>8</v>
      </c>
      <c r="C22" t="s">
        <v>588</v>
      </c>
      <c r="D22">
        <v>1.458062</v>
      </c>
      <c r="E22">
        <v>0.26402599999999998</v>
      </c>
      <c r="H22">
        <v>1.0450109999999999</v>
      </c>
      <c r="J22">
        <v>0.73175299999999999</v>
      </c>
      <c r="K22">
        <v>2.1727340000000002</v>
      </c>
      <c r="L22">
        <v>1.109526</v>
      </c>
      <c r="M22">
        <v>1.85103</v>
      </c>
      <c r="N22">
        <v>1.3342229999999999</v>
      </c>
      <c r="O22">
        <v>1.619116</v>
      </c>
      <c r="Q22">
        <v>1.4327369999999999</v>
      </c>
      <c r="R22">
        <v>1.6387940000000001</v>
      </c>
      <c r="V22">
        <v>2.0424730000000002</v>
      </c>
      <c r="W22">
        <v>1.6838820000000001</v>
      </c>
      <c r="X22">
        <v>1.4212819999999999</v>
      </c>
      <c r="Y22">
        <v>1.18977</v>
      </c>
      <c r="Z22">
        <v>1.5581100000000001</v>
      </c>
      <c r="AA22">
        <v>1.465543</v>
      </c>
      <c r="AB22">
        <v>2.5905649999999998</v>
      </c>
      <c r="AF22">
        <f>'User Add-In Location'!E23</f>
        <v>0</v>
      </c>
      <c r="AI22">
        <v>1.323807</v>
      </c>
      <c r="AJ22">
        <v>1.2156940000000001</v>
      </c>
      <c r="AL22">
        <v>1.140269</v>
      </c>
      <c r="AM22">
        <v>1.5727990000000001</v>
      </c>
      <c r="AO22">
        <v>1.2727949999999999</v>
      </c>
      <c r="AQ22">
        <v>1.3875930000000001</v>
      </c>
      <c r="AR22">
        <v>0.71996800000000005</v>
      </c>
      <c r="AS22">
        <v>1.3251269999999999</v>
      </c>
      <c r="AT22">
        <v>2.1344280000000002</v>
      </c>
      <c r="AW22">
        <v>1.6395690000000001</v>
      </c>
      <c r="AX22" s="176">
        <v>1.192477</v>
      </c>
      <c r="BA22">
        <v>1.2583219999999999</v>
      </c>
      <c r="BB22">
        <v>1.4335770000000001</v>
      </c>
      <c r="BD22">
        <v>1.486219</v>
      </c>
      <c r="BF22">
        <v>1.715738</v>
      </c>
      <c r="BG22">
        <v>1.0683069999999999</v>
      </c>
      <c r="BH22">
        <v>1.2467299999999999</v>
      </c>
      <c r="BI22">
        <v>1.138193</v>
      </c>
      <c r="BJ22">
        <v>1.2175659999999999</v>
      </c>
      <c r="BK22">
        <v>1.4425619999999999</v>
      </c>
      <c r="BL22">
        <v>1.2259819999999999</v>
      </c>
      <c r="BM22">
        <v>1.0809660000000001</v>
      </c>
      <c r="BR22" s="104" t="s">
        <v>538</v>
      </c>
      <c r="BS22" t="str">
        <f t="shared" si="0"/>
        <v>Hawaii</v>
      </c>
    </row>
    <row r="23" spans="2:71" x14ac:dyDescent="0.25">
      <c r="B23">
        <v>9</v>
      </c>
      <c r="C23" t="s">
        <v>348</v>
      </c>
      <c r="D23">
        <v>8.3155839999999994</v>
      </c>
      <c r="E23">
        <v>6.6630789999999998</v>
      </c>
      <c r="H23">
        <v>6.3121530000000003</v>
      </c>
      <c r="J23">
        <v>7.0738669999999999</v>
      </c>
      <c r="K23">
        <v>6.6704970000000001</v>
      </c>
      <c r="L23">
        <v>6.363518</v>
      </c>
      <c r="M23">
        <v>7.3425609999999999</v>
      </c>
      <c r="N23">
        <v>7.2920850000000002</v>
      </c>
      <c r="O23">
        <v>5.8999240000000004</v>
      </c>
      <c r="Q23">
        <v>6.7216959999999997</v>
      </c>
      <c r="R23">
        <v>7.534135</v>
      </c>
      <c r="V23">
        <v>7.8053489999999996</v>
      </c>
      <c r="W23">
        <v>9.0069219999999994</v>
      </c>
      <c r="X23">
        <v>7.0548330000000004</v>
      </c>
      <c r="Y23">
        <v>6.6627729999999996</v>
      </c>
      <c r="Z23">
        <v>7.1168079999999998</v>
      </c>
      <c r="AA23">
        <v>6.8771240000000002</v>
      </c>
      <c r="AB23">
        <v>8.7371099999999995</v>
      </c>
      <c r="AF23">
        <f>'User Add-In Location'!E24</f>
        <v>0</v>
      </c>
      <c r="AI23">
        <v>8.2846069999999994</v>
      </c>
      <c r="AJ23">
        <v>6.355226</v>
      </c>
      <c r="AL23">
        <v>6.3882279999999998</v>
      </c>
      <c r="AM23">
        <v>7.9167560000000003</v>
      </c>
      <c r="AO23">
        <v>7.3143459999999996</v>
      </c>
      <c r="AQ23">
        <v>6.9042139999999996</v>
      </c>
      <c r="AR23">
        <v>6.7993009999999998</v>
      </c>
      <c r="AS23">
        <v>7.0554449999999997</v>
      </c>
      <c r="AT23">
        <v>7.2642150000000001</v>
      </c>
      <c r="AW23">
        <v>7.1423230000000002</v>
      </c>
      <c r="AX23" s="176">
        <v>7.0698730000000003</v>
      </c>
      <c r="BA23">
        <v>7.2918729999999998</v>
      </c>
      <c r="BB23">
        <v>6.1921650000000001</v>
      </c>
      <c r="BD23">
        <v>7.1272890000000002</v>
      </c>
      <c r="BF23">
        <v>7.3721500000000004</v>
      </c>
      <c r="BG23">
        <v>6.3408199999999999</v>
      </c>
      <c r="BH23">
        <v>7.0069179999999998</v>
      </c>
      <c r="BI23">
        <v>6.8767079999999998</v>
      </c>
      <c r="BJ23">
        <v>6.5215360000000002</v>
      </c>
      <c r="BK23">
        <v>7.4721510000000002</v>
      </c>
      <c r="BL23">
        <v>7.1544590000000001</v>
      </c>
      <c r="BM23">
        <v>6.5559180000000001</v>
      </c>
      <c r="BR23" s="104" t="s">
        <v>539</v>
      </c>
      <c r="BS23" t="str">
        <f t="shared" si="0"/>
        <v>Illinois</v>
      </c>
    </row>
    <row r="24" spans="2:71" x14ac:dyDescent="0.25">
      <c r="B24">
        <v>10</v>
      </c>
      <c r="C24" t="s">
        <v>589</v>
      </c>
      <c r="D24">
        <v>7.5254599999999998</v>
      </c>
      <c r="E24">
        <v>5.5835739999999996</v>
      </c>
      <c r="H24">
        <v>5.7178449999999996</v>
      </c>
      <c r="J24">
        <v>7.4481679999999999</v>
      </c>
      <c r="K24">
        <v>5.9092599999999997</v>
      </c>
      <c r="L24">
        <v>5.6772869999999998</v>
      </c>
      <c r="M24">
        <v>6.4175849999999999</v>
      </c>
      <c r="N24">
        <v>6.3348620000000002</v>
      </c>
      <c r="O24">
        <v>5.2010759999999996</v>
      </c>
      <c r="Q24">
        <v>6.0219129999999996</v>
      </c>
      <c r="R24">
        <v>6.9598550000000001</v>
      </c>
      <c r="V24">
        <v>7.3460700000000001</v>
      </c>
      <c r="W24">
        <v>10.220129999999999</v>
      </c>
      <c r="X24">
        <v>6.6345450000000001</v>
      </c>
      <c r="Y24">
        <v>6.7110329999999996</v>
      </c>
      <c r="Z24">
        <v>6.2976279999999996</v>
      </c>
      <c r="AA24">
        <v>6.0230050000000004</v>
      </c>
      <c r="AB24">
        <v>8.437875</v>
      </c>
      <c r="AF24">
        <f>'User Add-In Location'!E25</f>
        <v>0</v>
      </c>
      <c r="AI24">
        <v>10.770692</v>
      </c>
      <c r="AJ24">
        <v>5.8702540000000001</v>
      </c>
      <c r="AL24">
        <v>5.8219120000000002</v>
      </c>
      <c r="AM24">
        <v>7.6921059999999999</v>
      </c>
      <c r="AO24">
        <v>6.7984609999999996</v>
      </c>
      <c r="AQ24">
        <v>6.6125670000000003</v>
      </c>
      <c r="AR24">
        <v>6.0318610000000001</v>
      </c>
      <c r="AS24">
        <v>6.6287260000000003</v>
      </c>
      <c r="AT24">
        <v>6.3082919999999998</v>
      </c>
      <c r="AW24">
        <v>6.3949170000000004</v>
      </c>
      <c r="AX24" s="176">
        <v>6.417046</v>
      </c>
      <c r="BA24">
        <v>6.6090109999999997</v>
      </c>
      <c r="BB24">
        <v>5.6490049999999998</v>
      </c>
      <c r="BD24">
        <v>6.3707240000000001</v>
      </c>
      <c r="BF24">
        <v>6.5896290000000004</v>
      </c>
      <c r="BG24">
        <v>5.7767299999999997</v>
      </c>
      <c r="BH24">
        <v>6.5522150000000003</v>
      </c>
      <c r="BI24">
        <v>6.2011810000000001</v>
      </c>
      <c r="BJ24">
        <v>5.9963329999999999</v>
      </c>
      <c r="BK24">
        <v>6.7738800000000001</v>
      </c>
      <c r="BL24">
        <v>7.5285770000000003</v>
      </c>
      <c r="BM24">
        <v>6.2282080000000004</v>
      </c>
      <c r="BR24" s="104" t="s">
        <v>540</v>
      </c>
      <c r="BS24" t="str">
        <f t="shared" si="0"/>
        <v>Indiana</v>
      </c>
    </row>
    <row r="25" spans="2:71" x14ac:dyDescent="0.25">
      <c r="B25">
        <v>11</v>
      </c>
      <c r="C25" t="s">
        <v>590</v>
      </c>
      <c r="D25">
        <v>7.2535980000000002</v>
      </c>
      <c r="E25">
        <v>5.9397029999999997</v>
      </c>
      <c r="H25">
        <v>5.3628419999999997</v>
      </c>
      <c r="J25">
        <v>6.5321959999999999</v>
      </c>
      <c r="K25">
        <v>5.5968549999999997</v>
      </c>
      <c r="L25">
        <v>5.5522429999999998</v>
      </c>
      <c r="M25">
        <v>6.0591869999999997</v>
      </c>
      <c r="N25">
        <v>6.0829190000000004</v>
      </c>
      <c r="O25">
        <v>5.0164970000000002</v>
      </c>
      <c r="Q25">
        <v>5.7042279999999996</v>
      </c>
      <c r="R25">
        <v>6.4530000000000003</v>
      </c>
      <c r="V25">
        <v>6.7797879999999999</v>
      </c>
      <c r="W25">
        <v>8.2672030000000003</v>
      </c>
      <c r="X25">
        <v>6.0968080000000002</v>
      </c>
      <c r="Y25">
        <v>5.9779030000000004</v>
      </c>
      <c r="Z25">
        <v>6.0123519999999999</v>
      </c>
      <c r="AA25">
        <v>5.9317780000000004</v>
      </c>
      <c r="AB25">
        <v>7.52949</v>
      </c>
      <c r="AF25">
        <f>'User Add-In Location'!E26</f>
        <v>0</v>
      </c>
      <c r="AI25">
        <v>8.2443050000000007</v>
      </c>
      <c r="AJ25">
        <v>5.4982660000000001</v>
      </c>
      <c r="AL25">
        <v>5.4706919999999997</v>
      </c>
      <c r="AM25">
        <v>6.8587899999999999</v>
      </c>
      <c r="AO25">
        <v>6.2817829999999999</v>
      </c>
      <c r="AQ25">
        <v>5.9755839999999996</v>
      </c>
      <c r="AR25">
        <v>5.8365600000000004</v>
      </c>
      <c r="AS25">
        <v>6.0807830000000003</v>
      </c>
      <c r="AT25">
        <v>6.0218299999999996</v>
      </c>
      <c r="AW25">
        <v>6.1411619999999996</v>
      </c>
      <c r="AX25" s="176">
        <v>6.0486690000000003</v>
      </c>
      <c r="BA25">
        <v>6.2164099999999998</v>
      </c>
      <c r="BB25">
        <v>5.2844519999999999</v>
      </c>
      <c r="BD25">
        <v>6.1337330000000003</v>
      </c>
      <c r="BF25">
        <v>6.265663</v>
      </c>
      <c r="BG25">
        <v>5.3994730000000004</v>
      </c>
      <c r="BH25">
        <v>6.0491070000000002</v>
      </c>
      <c r="BI25">
        <v>5.8811390000000001</v>
      </c>
      <c r="BJ25">
        <v>5.6044590000000003</v>
      </c>
      <c r="BK25">
        <v>6.3325180000000003</v>
      </c>
      <c r="BL25">
        <v>6.514748</v>
      </c>
      <c r="BM25">
        <v>5.7274700000000003</v>
      </c>
      <c r="BR25" s="104" t="s">
        <v>541</v>
      </c>
      <c r="BS25" t="str">
        <f t="shared" si="0"/>
        <v>Louisiana</v>
      </c>
    </row>
    <row r="26" spans="2:71" x14ac:dyDescent="0.25">
      <c r="B26">
        <v>12</v>
      </c>
      <c r="C26" t="s">
        <v>591</v>
      </c>
      <c r="D26">
        <v>1.9494309999999999</v>
      </c>
      <c r="E26">
        <v>2.1865899999999998</v>
      </c>
      <c r="H26">
        <v>1.7585280000000001</v>
      </c>
      <c r="J26">
        <v>2.1856140000000002</v>
      </c>
      <c r="K26">
        <v>1.6588179999999999</v>
      </c>
      <c r="L26">
        <v>2.8854730000000002</v>
      </c>
      <c r="M26">
        <v>2.5193150000000002</v>
      </c>
      <c r="N26">
        <v>2.2350850000000002</v>
      </c>
      <c r="O26">
        <v>2.6506789999999998</v>
      </c>
      <c r="Q26">
        <v>1.8241639999999999</v>
      </c>
      <c r="R26">
        <v>1.8598809999999999</v>
      </c>
      <c r="V26">
        <v>0.76029599999999997</v>
      </c>
      <c r="W26">
        <v>2.7003270000000001</v>
      </c>
      <c r="X26">
        <v>2.1222379999999998</v>
      </c>
      <c r="Y26">
        <v>2.1054490000000001</v>
      </c>
      <c r="Z26">
        <v>1.8814029999999999</v>
      </c>
      <c r="AA26">
        <v>2.1458010000000001</v>
      </c>
      <c r="AB26">
        <v>1.8781129999999999</v>
      </c>
      <c r="AF26">
        <f>'User Add-In Location'!E27</f>
        <v>0</v>
      </c>
      <c r="AI26">
        <v>2.6764130000000002</v>
      </c>
      <c r="AJ26">
        <v>1.8462449999999999</v>
      </c>
      <c r="AL26">
        <v>2.332735</v>
      </c>
      <c r="AM26">
        <v>1.9794769999999999</v>
      </c>
      <c r="AO26">
        <v>1.939851</v>
      </c>
      <c r="AQ26">
        <v>2.678855</v>
      </c>
      <c r="AR26">
        <v>2.1381000000000001</v>
      </c>
      <c r="AS26">
        <v>2.765841</v>
      </c>
      <c r="AT26">
        <v>1.8699889999999999</v>
      </c>
      <c r="AW26">
        <v>1.2034879999999999</v>
      </c>
      <c r="AX26" s="176">
        <v>1.862142</v>
      </c>
      <c r="BA26">
        <v>2.1494870000000001</v>
      </c>
      <c r="BB26">
        <v>1.590314</v>
      </c>
      <c r="BD26">
        <v>2.2777069999999999</v>
      </c>
      <c r="BF26">
        <v>1.421028</v>
      </c>
      <c r="BG26">
        <v>1.7908249999999999</v>
      </c>
      <c r="BH26">
        <v>2.1130209999999998</v>
      </c>
      <c r="BI26">
        <v>2.0135179999999999</v>
      </c>
      <c r="BJ26">
        <v>2.1068560000000001</v>
      </c>
      <c r="BK26">
        <v>2.0581140000000002</v>
      </c>
      <c r="BL26">
        <v>2.272777</v>
      </c>
      <c r="BM26">
        <v>2.2567780000000002</v>
      </c>
      <c r="BR26" s="104" t="s">
        <v>542</v>
      </c>
      <c r="BS26" t="str">
        <f t="shared" si="0"/>
        <v>Maine</v>
      </c>
    </row>
    <row r="27" spans="2:71" x14ac:dyDescent="0.25">
      <c r="B27">
        <v>13</v>
      </c>
      <c r="C27" t="s">
        <v>592</v>
      </c>
      <c r="D27">
        <v>2.58562</v>
      </c>
      <c r="E27">
        <v>2.9900980000000001</v>
      </c>
      <c r="H27">
        <v>2.4668649999999999</v>
      </c>
      <c r="J27">
        <v>2.371747</v>
      </c>
      <c r="K27">
        <v>2.3711280000000001</v>
      </c>
      <c r="L27">
        <v>1.203168</v>
      </c>
      <c r="M27">
        <v>2.4721929999999999</v>
      </c>
      <c r="N27">
        <v>2.4214609999999999</v>
      </c>
      <c r="O27">
        <v>2.15828</v>
      </c>
      <c r="Q27">
        <v>2.4143520000000001</v>
      </c>
      <c r="R27">
        <v>2.535272</v>
      </c>
      <c r="V27">
        <v>2.3657319999999999</v>
      </c>
      <c r="W27">
        <v>2.4129119999999999</v>
      </c>
      <c r="X27">
        <v>2.3271999999999999</v>
      </c>
      <c r="Y27">
        <v>2.4914190000000001</v>
      </c>
      <c r="Z27">
        <v>2.6374599999999999</v>
      </c>
      <c r="AA27">
        <v>2.4306649999999999</v>
      </c>
      <c r="AB27">
        <v>2.6562670000000002</v>
      </c>
      <c r="AF27">
        <f>'User Add-In Location'!E28</f>
        <v>0</v>
      </c>
      <c r="AI27">
        <v>2.6949380000000001</v>
      </c>
      <c r="AJ27">
        <v>2.3866619999999998</v>
      </c>
      <c r="AL27">
        <v>2.1096349999999999</v>
      </c>
      <c r="AM27">
        <v>2.609111</v>
      </c>
      <c r="AO27">
        <v>2.3609100000000001</v>
      </c>
      <c r="AQ27">
        <v>2.6644670000000001</v>
      </c>
      <c r="AR27">
        <v>2.4451520000000002</v>
      </c>
      <c r="AS27">
        <v>2.5052629999999998</v>
      </c>
      <c r="AT27">
        <v>2.409716</v>
      </c>
      <c r="AW27">
        <v>2.544667</v>
      </c>
      <c r="AX27" s="176">
        <v>2.4940920000000002</v>
      </c>
      <c r="BA27">
        <v>2.2700279999999999</v>
      </c>
      <c r="BB27">
        <v>2.5201479999999998</v>
      </c>
      <c r="BD27">
        <v>2.560206</v>
      </c>
      <c r="BF27">
        <v>2.5486040000000001</v>
      </c>
      <c r="BG27">
        <v>2.481725</v>
      </c>
      <c r="BH27">
        <v>2.4248180000000001</v>
      </c>
      <c r="BI27">
        <v>2.43546</v>
      </c>
      <c r="BJ27">
        <v>2.1929859999999999</v>
      </c>
      <c r="BK27">
        <v>2.5195479999999999</v>
      </c>
      <c r="BL27">
        <v>2.5194570000000001</v>
      </c>
      <c r="BM27">
        <v>2.263585</v>
      </c>
      <c r="BR27" s="104" t="s">
        <v>543</v>
      </c>
      <c r="BS27" t="str">
        <f t="shared" si="0"/>
        <v>Maryland</v>
      </c>
    </row>
    <row r="28" spans="2:71" x14ac:dyDescent="0.25">
      <c r="B28">
        <v>14</v>
      </c>
      <c r="C28" t="s">
        <v>593</v>
      </c>
      <c r="D28">
        <v>2.6561180000000002</v>
      </c>
      <c r="E28">
        <v>2.7473369999999999</v>
      </c>
      <c r="H28">
        <v>2.8389540000000002</v>
      </c>
      <c r="J28">
        <v>3.4713989999999999</v>
      </c>
      <c r="K28">
        <v>3.0762010000000002</v>
      </c>
      <c r="L28">
        <v>2.2527370000000002</v>
      </c>
      <c r="M28">
        <v>2.934863</v>
      </c>
      <c r="N28">
        <v>2.8857050000000002</v>
      </c>
      <c r="O28">
        <v>2.8004850000000001</v>
      </c>
      <c r="Q28">
        <v>2.6081460000000001</v>
      </c>
      <c r="R28">
        <v>2.7928130000000002</v>
      </c>
      <c r="V28">
        <v>3.1745269999999999</v>
      </c>
      <c r="W28">
        <v>3.2290019999999999</v>
      </c>
      <c r="X28">
        <v>2.6335639999999998</v>
      </c>
      <c r="Y28">
        <v>3.2879109999999998</v>
      </c>
      <c r="Z28">
        <v>2.4908709999999998</v>
      </c>
      <c r="AA28">
        <v>3.2066729999999999</v>
      </c>
      <c r="AB28">
        <v>2.9943040000000001</v>
      </c>
      <c r="AF28">
        <f>'User Add-In Location'!E29</f>
        <v>0</v>
      </c>
      <c r="AI28">
        <v>2.9739659999999999</v>
      </c>
      <c r="AJ28">
        <v>2.8912710000000001</v>
      </c>
      <c r="AL28">
        <v>2.368954</v>
      </c>
      <c r="AM28">
        <v>3.0628000000000002</v>
      </c>
      <c r="AO28">
        <v>3.0589059999999999</v>
      </c>
      <c r="AQ28">
        <v>3.0727389999999999</v>
      </c>
      <c r="AR28">
        <v>2.91045</v>
      </c>
      <c r="AS28">
        <v>3.509944</v>
      </c>
      <c r="AT28">
        <v>2.6345939999999999</v>
      </c>
      <c r="AW28">
        <v>2.636018</v>
      </c>
      <c r="AX28" s="176">
        <v>2.805955</v>
      </c>
      <c r="BA28">
        <v>3.0139719999999999</v>
      </c>
      <c r="BB28">
        <v>2.7890799999999998</v>
      </c>
      <c r="BD28">
        <v>2.584022</v>
      </c>
      <c r="BF28">
        <v>2.7823959999999999</v>
      </c>
      <c r="BG28">
        <v>2.8470260000000001</v>
      </c>
      <c r="BH28">
        <v>2.8443839999999998</v>
      </c>
      <c r="BI28">
        <v>2.7341660000000001</v>
      </c>
      <c r="BJ28">
        <v>2.5811769999999998</v>
      </c>
      <c r="BK28">
        <v>2.9117609999999998</v>
      </c>
      <c r="BL28">
        <v>3.2069269999999999</v>
      </c>
      <c r="BM28">
        <v>2.6890679999999998</v>
      </c>
      <c r="BR28" s="104" t="s">
        <v>544</v>
      </c>
      <c r="BS28" t="str">
        <f t="shared" si="0"/>
        <v>Massachusetts</v>
      </c>
    </row>
    <row r="29" spans="2:71" x14ac:dyDescent="0.25">
      <c r="B29">
        <v>15</v>
      </c>
      <c r="C29" t="s">
        <v>594</v>
      </c>
      <c r="D29">
        <v>1.860379</v>
      </c>
      <c r="E29">
        <v>4.1467539999999996</v>
      </c>
      <c r="H29">
        <v>3.5440330000000002</v>
      </c>
      <c r="J29">
        <v>2.9399709999999999</v>
      </c>
      <c r="K29">
        <v>2.429068</v>
      </c>
      <c r="L29">
        <v>1.0328759999999999</v>
      </c>
      <c r="M29">
        <v>3.2340930000000001</v>
      </c>
      <c r="N29">
        <v>2.5551689999999998</v>
      </c>
      <c r="O29">
        <v>3.615513</v>
      </c>
      <c r="Q29">
        <v>2.5534530000000002</v>
      </c>
      <c r="R29">
        <v>1.5013030000000001</v>
      </c>
      <c r="V29">
        <v>2.9881319999999998</v>
      </c>
      <c r="W29">
        <v>4.0953999999999997</v>
      </c>
      <c r="X29">
        <v>3.7319819999999999</v>
      </c>
      <c r="Y29">
        <v>3.372598</v>
      </c>
      <c r="Z29">
        <v>2.7706469999999999</v>
      </c>
      <c r="AA29">
        <v>3.7950270000000002</v>
      </c>
      <c r="AB29">
        <v>1.8883970000000001</v>
      </c>
      <c r="AF29">
        <f>'User Add-In Location'!E30</f>
        <v>0</v>
      </c>
      <c r="AI29">
        <v>3.2183299999999999</v>
      </c>
      <c r="AJ29">
        <v>2.8851830000000001</v>
      </c>
      <c r="AL29">
        <v>2.9182589999999999</v>
      </c>
      <c r="AM29">
        <v>2.905707</v>
      </c>
      <c r="AO29">
        <v>2.2074950000000002</v>
      </c>
      <c r="AQ29">
        <v>2.777952</v>
      </c>
      <c r="AR29">
        <v>2.1108859999999998</v>
      </c>
      <c r="AS29">
        <v>2.3379379999999998</v>
      </c>
      <c r="AT29">
        <v>2.0149699999999999</v>
      </c>
      <c r="AW29">
        <v>2.8499639999999999</v>
      </c>
      <c r="AX29" s="176">
        <v>2.6146189999999998</v>
      </c>
      <c r="BA29">
        <v>2.8396129999999999</v>
      </c>
      <c r="BB29">
        <v>3.550608</v>
      </c>
      <c r="BD29">
        <v>3.881812</v>
      </c>
      <c r="BF29">
        <v>2.6060650000000001</v>
      </c>
      <c r="BG29">
        <v>3.4502670000000002</v>
      </c>
      <c r="BH29">
        <v>2.831998</v>
      </c>
      <c r="BI29">
        <v>2.3421340000000002</v>
      </c>
      <c r="BJ29">
        <v>2.9630000000000001</v>
      </c>
      <c r="BK29">
        <v>2.5712640000000002</v>
      </c>
      <c r="BL29">
        <v>3.424938</v>
      </c>
      <c r="BM29">
        <v>3.0027110000000001</v>
      </c>
      <c r="BR29" s="104" t="s">
        <v>545</v>
      </c>
      <c r="BS29" t="str">
        <f t="shared" si="0"/>
        <v>Michigan</v>
      </c>
    </row>
    <row r="30" spans="2:71" x14ac:dyDescent="0.25">
      <c r="B30">
        <v>16</v>
      </c>
      <c r="C30" t="s">
        <v>415</v>
      </c>
      <c r="D30">
        <v>1.6336029999999999</v>
      </c>
      <c r="E30">
        <v>3.723058</v>
      </c>
      <c r="H30">
        <v>2.014751</v>
      </c>
      <c r="J30">
        <v>2.4810270000000001</v>
      </c>
      <c r="K30">
        <v>2.8602780000000001</v>
      </c>
      <c r="L30">
        <v>0</v>
      </c>
      <c r="M30">
        <v>2.1583580000000002</v>
      </c>
      <c r="N30">
        <v>1.7915080000000001</v>
      </c>
      <c r="O30">
        <v>0</v>
      </c>
      <c r="Q30">
        <v>1.600865</v>
      </c>
      <c r="R30">
        <v>1.104765</v>
      </c>
      <c r="V30">
        <v>1.3765210000000001</v>
      </c>
      <c r="W30">
        <v>2.447295</v>
      </c>
      <c r="X30">
        <v>1.02582</v>
      </c>
      <c r="Y30">
        <v>2.7967</v>
      </c>
      <c r="Z30">
        <v>1.322352</v>
      </c>
      <c r="AA30">
        <v>2.0497209999999999</v>
      </c>
      <c r="AB30">
        <v>1.1421950000000001</v>
      </c>
      <c r="AF30">
        <f>'User Add-In Location'!E31</f>
        <v>0</v>
      </c>
      <c r="AI30">
        <v>2.872071</v>
      </c>
      <c r="AJ30">
        <v>2.724056</v>
      </c>
      <c r="AL30">
        <v>2.0511400000000002</v>
      </c>
      <c r="AM30">
        <v>1.5321180000000001</v>
      </c>
      <c r="AO30">
        <v>1.922085</v>
      </c>
      <c r="AQ30">
        <v>2.6062069999999999</v>
      </c>
      <c r="AR30">
        <v>1.882819</v>
      </c>
      <c r="AS30">
        <v>3.6965330000000001</v>
      </c>
      <c r="AT30">
        <v>2.1098819999999998</v>
      </c>
      <c r="AW30">
        <v>1.7362979999999999</v>
      </c>
      <c r="AX30" s="176">
        <v>1.599194</v>
      </c>
      <c r="BA30">
        <v>2.3471099999999998</v>
      </c>
      <c r="BB30">
        <v>2.5410409999999999</v>
      </c>
      <c r="BD30">
        <v>1.3286739999999999</v>
      </c>
      <c r="BF30">
        <v>1.670939</v>
      </c>
      <c r="BG30">
        <v>2.0465559999999998</v>
      </c>
      <c r="BH30">
        <v>1.9367639999999999</v>
      </c>
      <c r="BI30">
        <v>1.41774</v>
      </c>
      <c r="BJ30">
        <v>1.757371</v>
      </c>
      <c r="BK30">
        <v>1.8611949999999999</v>
      </c>
      <c r="BL30">
        <v>2.7839680000000002</v>
      </c>
      <c r="BM30">
        <v>2.240872</v>
      </c>
      <c r="BR30" s="104" t="s">
        <v>546</v>
      </c>
      <c r="BS30" t="str">
        <f t="shared" si="0"/>
        <v>Minnesota</v>
      </c>
    </row>
    <row r="31" spans="2:71" x14ac:dyDescent="0.25">
      <c r="B31">
        <v>17</v>
      </c>
      <c r="C31" t="s">
        <v>595</v>
      </c>
      <c r="D31">
        <v>2.7420599999999999</v>
      </c>
      <c r="E31">
        <v>1.60104</v>
      </c>
      <c r="H31">
        <v>1.428496</v>
      </c>
      <c r="J31">
        <v>2.3504550000000002</v>
      </c>
      <c r="K31">
        <v>2.9217970000000002</v>
      </c>
      <c r="L31">
        <v>1.4034660000000001</v>
      </c>
      <c r="M31">
        <v>1.930652</v>
      </c>
      <c r="N31">
        <v>2.598195</v>
      </c>
      <c r="O31">
        <v>2.3159619999999999</v>
      </c>
      <c r="Q31">
        <v>2.537585</v>
      </c>
      <c r="R31">
        <v>2.2657470000000002</v>
      </c>
      <c r="V31">
        <v>2.424884</v>
      </c>
      <c r="W31">
        <v>1.647473</v>
      </c>
      <c r="X31">
        <v>2.3013629999999998</v>
      </c>
      <c r="Y31">
        <v>1.606203</v>
      </c>
      <c r="Z31">
        <v>2.5728270000000002</v>
      </c>
      <c r="AA31">
        <v>2.3163689999999999</v>
      </c>
      <c r="AB31">
        <v>2.8065359999999999</v>
      </c>
      <c r="AF31">
        <f>'User Add-In Location'!E32</f>
        <v>0</v>
      </c>
      <c r="AI31">
        <v>2.2353510000000001</v>
      </c>
      <c r="AJ31">
        <v>2.0288599999999999</v>
      </c>
      <c r="AL31">
        <v>1.9518169999999999</v>
      </c>
      <c r="AM31">
        <v>1.480934</v>
      </c>
      <c r="AO31">
        <v>2.3559909999999999</v>
      </c>
      <c r="AQ31">
        <v>1.282322</v>
      </c>
      <c r="AR31">
        <v>1.909867</v>
      </c>
      <c r="AS31">
        <v>2.0943260000000001</v>
      </c>
      <c r="AT31">
        <v>2.3989280000000002</v>
      </c>
      <c r="AW31">
        <v>1.4067909999999999</v>
      </c>
      <c r="AX31" s="176">
        <v>1.6900219999999999</v>
      </c>
      <c r="BA31">
        <v>1.958852</v>
      </c>
      <c r="BB31">
        <v>1.929548</v>
      </c>
      <c r="BD31">
        <v>2.6859510000000002</v>
      </c>
      <c r="BF31">
        <v>1.5434669999999999</v>
      </c>
      <c r="BG31">
        <v>1.397157</v>
      </c>
      <c r="BH31">
        <v>1.8670169999999999</v>
      </c>
      <c r="BI31">
        <v>2.2796660000000002</v>
      </c>
      <c r="BJ31">
        <v>2.0185360000000001</v>
      </c>
      <c r="BK31">
        <v>1.8146150000000001</v>
      </c>
      <c r="BL31">
        <v>1.7079880000000001</v>
      </c>
      <c r="BM31">
        <v>1.814689</v>
      </c>
      <c r="BR31" s="104" t="s">
        <v>549</v>
      </c>
      <c r="BS31" t="str">
        <f t="shared" si="0"/>
        <v>Mississippi</v>
      </c>
    </row>
    <row r="32" spans="2:71" x14ac:dyDescent="0.25">
      <c r="B32">
        <v>18</v>
      </c>
      <c r="C32" t="s">
        <v>417</v>
      </c>
      <c r="D32">
        <v>2.9510299999999998</v>
      </c>
      <c r="E32">
        <v>3.4315479999999998</v>
      </c>
      <c r="H32">
        <v>2.8954209999999998</v>
      </c>
      <c r="J32">
        <v>2.7859609999999999</v>
      </c>
      <c r="K32">
        <v>2.6690960000000001</v>
      </c>
      <c r="L32">
        <v>3.7636370000000001</v>
      </c>
      <c r="M32">
        <v>2.997843</v>
      </c>
      <c r="N32">
        <v>2.250194</v>
      </c>
      <c r="O32">
        <v>3.2288770000000002</v>
      </c>
      <c r="Q32">
        <v>2.6058599999999998</v>
      </c>
      <c r="R32">
        <v>2.8419279999999998</v>
      </c>
      <c r="V32">
        <v>2.591758</v>
      </c>
      <c r="W32">
        <v>3.070649</v>
      </c>
      <c r="X32">
        <v>3.1091199999999999</v>
      </c>
      <c r="Y32">
        <v>2.7146089999999998</v>
      </c>
      <c r="Z32">
        <v>2.8548469999999999</v>
      </c>
      <c r="AA32">
        <v>2.5122330000000002</v>
      </c>
      <c r="AB32">
        <v>2.7515640000000001</v>
      </c>
      <c r="AF32">
        <f>'User Add-In Location'!E33</f>
        <v>0</v>
      </c>
      <c r="AI32">
        <v>3.141159</v>
      </c>
      <c r="AJ32">
        <v>2.8820739999999998</v>
      </c>
      <c r="AL32">
        <v>3.1536689999999998</v>
      </c>
      <c r="AM32">
        <v>2.292967</v>
      </c>
      <c r="AO32">
        <v>2.6743100000000002</v>
      </c>
      <c r="AQ32">
        <v>3.057931</v>
      </c>
      <c r="AR32">
        <v>2.7743470000000001</v>
      </c>
      <c r="AS32">
        <v>2.5565910000000001</v>
      </c>
      <c r="AT32">
        <v>2.3770660000000001</v>
      </c>
      <c r="AW32">
        <v>2.5808990000000001</v>
      </c>
      <c r="AX32" s="176">
        <v>2.7085159999999999</v>
      </c>
      <c r="BA32">
        <v>2.669127</v>
      </c>
      <c r="BB32">
        <v>3.0937929999999998</v>
      </c>
      <c r="BD32">
        <v>2.4809920000000001</v>
      </c>
      <c r="BF32">
        <v>2.7412679999999998</v>
      </c>
      <c r="BG32">
        <v>2.9220410000000001</v>
      </c>
      <c r="BH32">
        <v>2.6650170000000002</v>
      </c>
      <c r="BI32">
        <v>2.7020960000000001</v>
      </c>
      <c r="BJ32">
        <v>3.0414340000000002</v>
      </c>
      <c r="BK32">
        <v>2.3923019999999999</v>
      </c>
      <c r="BL32">
        <v>2.831267</v>
      </c>
      <c r="BM32">
        <v>2.9060700000000002</v>
      </c>
      <c r="BR32" s="104" t="s">
        <v>550</v>
      </c>
      <c r="BS32" t="str">
        <f t="shared" si="0"/>
        <v>New Hampshire</v>
      </c>
    </row>
    <row r="33" spans="1:71" x14ac:dyDescent="0.25">
      <c r="B33">
        <v>19</v>
      </c>
      <c r="C33" t="s">
        <v>418</v>
      </c>
      <c r="D33">
        <v>7.5755020000000002</v>
      </c>
      <c r="E33">
        <v>7.9923599999999997</v>
      </c>
      <c r="H33">
        <v>5.4827899999999996</v>
      </c>
      <c r="J33">
        <v>6.0356230000000002</v>
      </c>
      <c r="K33">
        <v>8.2097429999999996</v>
      </c>
      <c r="L33">
        <v>6.523917</v>
      </c>
      <c r="M33">
        <v>6.5817909999999999</v>
      </c>
      <c r="N33">
        <v>6.3044479999999998</v>
      </c>
      <c r="O33">
        <v>7.4051520000000002</v>
      </c>
      <c r="Q33">
        <v>5.5299019999999999</v>
      </c>
      <c r="R33">
        <v>6.774832</v>
      </c>
      <c r="V33">
        <v>6.9819459999999998</v>
      </c>
      <c r="W33">
        <v>7.457395</v>
      </c>
      <c r="X33">
        <v>6.6864889999999999</v>
      </c>
      <c r="Y33">
        <v>6.2481200000000001</v>
      </c>
      <c r="Z33">
        <v>6.5155370000000001</v>
      </c>
      <c r="AA33">
        <v>6.0501240000000003</v>
      </c>
      <c r="AB33">
        <v>7.7539930000000004</v>
      </c>
      <c r="AF33">
        <f>'User Add-In Location'!E34</f>
        <v>0</v>
      </c>
      <c r="AI33">
        <v>7.2971830000000004</v>
      </c>
      <c r="AJ33">
        <v>5.1784889999999999</v>
      </c>
      <c r="AL33">
        <v>5.8888239999999996</v>
      </c>
      <c r="AM33">
        <v>6.9362000000000004</v>
      </c>
      <c r="AO33">
        <v>6.3623839999999996</v>
      </c>
      <c r="AQ33">
        <v>7.173</v>
      </c>
      <c r="AR33">
        <v>6.7511109999999999</v>
      </c>
      <c r="AS33">
        <v>6.5959209999999997</v>
      </c>
      <c r="AT33">
        <v>7.3544580000000002</v>
      </c>
      <c r="AW33">
        <v>5.9085609999999997</v>
      </c>
      <c r="AX33" s="176">
        <v>6.2673329999999998</v>
      </c>
      <c r="BA33">
        <v>7.1529230000000004</v>
      </c>
      <c r="BB33">
        <v>4.9084099999999999</v>
      </c>
      <c r="BD33">
        <v>6.7931049999999997</v>
      </c>
      <c r="BF33">
        <v>6.3708859999999996</v>
      </c>
      <c r="BG33">
        <v>5.4955790000000002</v>
      </c>
      <c r="BH33">
        <v>6.2983669999999998</v>
      </c>
      <c r="BI33">
        <v>6.2137979999999997</v>
      </c>
      <c r="BJ33">
        <v>5.817126</v>
      </c>
      <c r="BK33">
        <v>6.8239270000000003</v>
      </c>
      <c r="BL33">
        <v>6.5595480000000004</v>
      </c>
      <c r="BM33">
        <v>6.008845</v>
      </c>
      <c r="BR33" s="104" t="s">
        <v>551</v>
      </c>
      <c r="BS33" t="str">
        <f t="shared" si="0"/>
        <v>New Jersey</v>
      </c>
    </row>
    <row r="34" spans="1:71" x14ac:dyDescent="0.25">
      <c r="B34">
        <v>20</v>
      </c>
      <c r="C34" t="s">
        <v>596</v>
      </c>
      <c r="D34">
        <v>6.7465849999999996</v>
      </c>
      <c r="E34">
        <v>5.3506419999999997</v>
      </c>
      <c r="H34">
        <v>7.6771909999999997</v>
      </c>
      <c r="J34">
        <v>9.5751620000000006</v>
      </c>
      <c r="K34">
        <v>7.8074579999999996</v>
      </c>
      <c r="L34">
        <v>11.319452</v>
      </c>
      <c r="M34">
        <v>7.6487829999999999</v>
      </c>
      <c r="N34">
        <v>6.3433039999999998</v>
      </c>
      <c r="O34">
        <v>4.8824889999999996</v>
      </c>
      <c r="Q34">
        <v>7.025525</v>
      </c>
      <c r="R34">
        <v>6.7054809999999998</v>
      </c>
      <c r="V34">
        <v>7.4653879999999999</v>
      </c>
      <c r="W34">
        <v>8.0210589999999993</v>
      </c>
      <c r="X34">
        <v>10.653599</v>
      </c>
      <c r="Y34">
        <v>10.358549</v>
      </c>
      <c r="Z34">
        <v>6.7014560000000003</v>
      </c>
      <c r="AA34">
        <v>6.4323969999999999</v>
      </c>
      <c r="AB34">
        <v>7.0562909999999999</v>
      </c>
      <c r="AF34">
        <f>'User Add-In Location'!E35</f>
        <v>0</v>
      </c>
      <c r="AI34">
        <v>8.9562570000000008</v>
      </c>
      <c r="AJ34">
        <v>7.4576979999999997</v>
      </c>
      <c r="AL34">
        <v>9.3553569999999997</v>
      </c>
      <c r="AM34">
        <v>6.9674430000000003</v>
      </c>
      <c r="AO34">
        <v>6.7892279999999996</v>
      </c>
      <c r="AQ34">
        <v>7.007339</v>
      </c>
      <c r="AR34">
        <v>7.9750180000000004</v>
      </c>
      <c r="AS34">
        <v>10.220832</v>
      </c>
      <c r="AT34">
        <v>7.8743759999999998</v>
      </c>
      <c r="AW34">
        <v>6.530424</v>
      </c>
      <c r="AX34" s="176">
        <v>7.2037319999999996</v>
      </c>
      <c r="BA34">
        <v>8.0349050000000002</v>
      </c>
      <c r="BB34">
        <v>6.218458</v>
      </c>
      <c r="BD34">
        <v>7.0384130000000003</v>
      </c>
      <c r="BF34">
        <v>6.9757949999999997</v>
      </c>
      <c r="BG34">
        <v>7.3977110000000001</v>
      </c>
      <c r="BH34">
        <v>8.2213659999999997</v>
      </c>
      <c r="BI34">
        <v>7.5040310000000003</v>
      </c>
      <c r="BJ34">
        <v>8.8796130000000009</v>
      </c>
      <c r="BK34">
        <v>7.0681089999999998</v>
      </c>
      <c r="BL34">
        <v>9.9799819999999997</v>
      </c>
      <c r="BM34">
        <v>9.6028889999999993</v>
      </c>
      <c r="BR34" s="104" t="s">
        <v>21</v>
      </c>
      <c r="BS34" t="s">
        <v>695</v>
      </c>
    </row>
    <row r="35" spans="1:71" x14ac:dyDescent="0.25">
      <c r="B35">
        <v>21</v>
      </c>
      <c r="C35" t="s">
        <v>597</v>
      </c>
      <c r="D35">
        <v>1.5028999999999999</v>
      </c>
      <c r="E35">
        <v>1.3738239999999999</v>
      </c>
      <c r="H35">
        <v>1.359799</v>
      </c>
      <c r="J35">
        <v>1.4517009999999999</v>
      </c>
      <c r="K35">
        <v>1.7872729999999999</v>
      </c>
      <c r="L35">
        <v>1.769873</v>
      </c>
      <c r="M35">
        <v>1.3440799999999999</v>
      </c>
      <c r="N35">
        <v>1.679583</v>
      </c>
      <c r="O35">
        <v>1.4586790000000001</v>
      </c>
      <c r="Q35">
        <v>1.4942930000000001</v>
      </c>
      <c r="R35">
        <v>1.413664</v>
      </c>
      <c r="V35">
        <v>1.5389839999999999</v>
      </c>
      <c r="W35">
        <v>1.7741420000000001</v>
      </c>
      <c r="X35">
        <v>1.468118</v>
      </c>
      <c r="Y35">
        <v>1.434034</v>
      </c>
      <c r="Z35">
        <v>1.5745180000000001</v>
      </c>
      <c r="AA35">
        <v>0.83915499999999998</v>
      </c>
      <c r="AB35">
        <v>1.432939</v>
      </c>
      <c r="AF35">
        <f>'User Add-In Location'!E36</f>
        <v>0</v>
      </c>
      <c r="AI35">
        <v>0.821712</v>
      </c>
      <c r="AJ35">
        <v>1.218011</v>
      </c>
      <c r="AL35">
        <v>1.4206650000000001</v>
      </c>
      <c r="AM35">
        <v>1.6469860000000001</v>
      </c>
      <c r="AO35">
        <v>1.4785779999999999</v>
      </c>
      <c r="AQ35">
        <v>1.401791</v>
      </c>
      <c r="AR35">
        <v>1.592849</v>
      </c>
      <c r="AS35">
        <v>1.542486</v>
      </c>
      <c r="AT35">
        <v>1.6027</v>
      </c>
      <c r="AW35">
        <v>1.4225620000000001</v>
      </c>
      <c r="AX35" s="176">
        <v>1.40991</v>
      </c>
      <c r="BA35">
        <v>1.1305080000000001</v>
      </c>
      <c r="BB35">
        <v>1.3918140000000001</v>
      </c>
      <c r="BD35">
        <v>1.628541</v>
      </c>
      <c r="BF35">
        <v>1.4145509999999999</v>
      </c>
      <c r="BG35">
        <v>1.3719619999999999</v>
      </c>
      <c r="BH35">
        <v>1.390109</v>
      </c>
      <c r="BI35">
        <v>1.426337</v>
      </c>
      <c r="BJ35">
        <v>1.3849990000000001</v>
      </c>
      <c r="BK35">
        <v>1.3391580000000001</v>
      </c>
      <c r="BL35">
        <v>1.4673799999999999</v>
      </c>
      <c r="BM35">
        <v>1.4330830000000001</v>
      </c>
      <c r="BR35" s="104" t="s">
        <v>552</v>
      </c>
      <c r="BS35" t="s">
        <v>695</v>
      </c>
    </row>
    <row r="36" spans="1:71" x14ac:dyDescent="0.25">
      <c r="B36">
        <v>22</v>
      </c>
      <c r="C36" t="s">
        <v>598</v>
      </c>
      <c r="D36">
        <v>7.2647269999999997</v>
      </c>
      <c r="E36">
        <v>5.4140129999999997</v>
      </c>
      <c r="H36">
        <v>4.761692</v>
      </c>
      <c r="J36">
        <v>5.1526959999999997</v>
      </c>
      <c r="K36">
        <v>5.4862989999999998</v>
      </c>
      <c r="L36">
        <v>4.7595470000000004</v>
      </c>
      <c r="M36">
        <v>6.3665019999999997</v>
      </c>
      <c r="N36">
        <v>5.8675329999999999</v>
      </c>
      <c r="O36">
        <v>5.4340330000000003</v>
      </c>
      <c r="Q36">
        <v>5.7914260000000004</v>
      </c>
      <c r="R36">
        <v>6.5762539999999996</v>
      </c>
      <c r="V36">
        <v>7.0385150000000003</v>
      </c>
      <c r="W36">
        <v>6.747261</v>
      </c>
      <c r="X36">
        <v>5.4297329999999997</v>
      </c>
      <c r="Y36">
        <v>5.3953090000000001</v>
      </c>
      <c r="Z36">
        <v>6.4359330000000003</v>
      </c>
      <c r="AA36">
        <v>6.103167</v>
      </c>
      <c r="AB36">
        <v>7.5353240000000001</v>
      </c>
      <c r="AF36">
        <f>'User Add-In Location'!E37</f>
        <v>0</v>
      </c>
      <c r="AI36">
        <v>5.7564209999999996</v>
      </c>
      <c r="AJ36">
        <v>5.3536999999999999</v>
      </c>
      <c r="AL36">
        <v>5.1039490000000001</v>
      </c>
      <c r="AM36">
        <v>6.4058210000000004</v>
      </c>
      <c r="AO36">
        <v>6.5008330000000001</v>
      </c>
      <c r="AQ36">
        <v>5.8130319999999998</v>
      </c>
      <c r="AR36">
        <v>5.9319069999999998</v>
      </c>
      <c r="AS36">
        <v>6.2929579999999996</v>
      </c>
      <c r="AT36">
        <v>6.7475449999999997</v>
      </c>
      <c r="AW36">
        <v>6.3475919999999997</v>
      </c>
      <c r="AX36" s="176">
        <v>5.7783519999999999</v>
      </c>
      <c r="BA36">
        <v>5.5072479999999997</v>
      </c>
      <c r="BB36">
        <v>4.3451589999999998</v>
      </c>
      <c r="BD36">
        <v>6.2287470000000003</v>
      </c>
      <c r="BF36">
        <v>6.4934139999999996</v>
      </c>
      <c r="BG36">
        <v>4.7659529999999997</v>
      </c>
      <c r="BH36">
        <v>5.5421259999999997</v>
      </c>
      <c r="BI36">
        <v>5.8458990000000002</v>
      </c>
      <c r="BJ36">
        <v>5.2204199999999998</v>
      </c>
      <c r="BK36">
        <v>6.0215079999999999</v>
      </c>
      <c r="BL36">
        <v>5.5713350000000004</v>
      </c>
      <c r="BM36">
        <v>5.2060599999999999</v>
      </c>
      <c r="BR36" s="104" t="s">
        <v>553</v>
      </c>
      <c r="BS36" t="str">
        <f t="shared" si="0"/>
        <v>North Carolina</v>
      </c>
    </row>
    <row r="37" spans="1:71" x14ac:dyDescent="0.25">
      <c r="B37">
        <v>23</v>
      </c>
      <c r="C37" t="s">
        <v>599</v>
      </c>
      <c r="D37">
        <v>7.8230940000000002</v>
      </c>
      <c r="E37">
        <v>6.3793639999999998</v>
      </c>
      <c r="H37">
        <v>7.1333960000000003</v>
      </c>
      <c r="J37">
        <v>7.9039820000000001</v>
      </c>
      <c r="K37">
        <v>7.3862370000000004</v>
      </c>
      <c r="L37">
        <v>5.5593589999999997</v>
      </c>
      <c r="M37">
        <v>7.2701640000000003</v>
      </c>
      <c r="N37">
        <v>7.8237730000000001</v>
      </c>
      <c r="O37">
        <v>5.142862</v>
      </c>
      <c r="Q37">
        <v>7.5561439999999997</v>
      </c>
      <c r="R37">
        <v>8.2069220000000005</v>
      </c>
      <c r="V37">
        <v>6.8868150000000004</v>
      </c>
      <c r="W37">
        <v>8.2942920000000004</v>
      </c>
      <c r="X37">
        <v>7.260605</v>
      </c>
      <c r="Y37">
        <v>6.3551760000000002</v>
      </c>
      <c r="Z37">
        <v>7.1868869999999996</v>
      </c>
      <c r="AA37">
        <v>6.7826339999999998</v>
      </c>
      <c r="AB37">
        <v>8.4935860000000005</v>
      </c>
      <c r="AF37">
        <f>'User Add-In Location'!E38</f>
        <v>0</v>
      </c>
      <c r="AI37">
        <v>7.7066080000000001</v>
      </c>
      <c r="AJ37">
        <v>7.9337530000000003</v>
      </c>
      <c r="AL37">
        <v>6.512556</v>
      </c>
      <c r="AM37">
        <v>7.6208840000000002</v>
      </c>
      <c r="AO37">
        <v>7.8975140000000001</v>
      </c>
      <c r="AQ37">
        <v>7.1224860000000003</v>
      </c>
      <c r="AR37">
        <v>7.766858</v>
      </c>
      <c r="AS37">
        <v>6.37019</v>
      </c>
      <c r="AT37">
        <v>7.556203</v>
      </c>
      <c r="AW37">
        <v>7.2733189999999999</v>
      </c>
      <c r="AX37" s="176">
        <v>7.3678619999999997</v>
      </c>
      <c r="BA37">
        <v>6.6477360000000001</v>
      </c>
      <c r="BB37">
        <v>6.0098219999999998</v>
      </c>
      <c r="BD37">
        <v>7.5193469999999998</v>
      </c>
      <c r="BF37">
        <v>7.3420779999999999</v>
      </c>
      <c r="BG37">
        <v>6.9798530000000003</v>
      </c>
      <c r="BH37">
        <v>7.2741259999999999</v>
      </c>
      <c r="BI37">
        <v>7.4576000000000002</v>
      </c>
      <c r="BJ37">
        <v>7.1848340000000004</v>
      </c>
      <c r="BK37">
        <v>7.4291280000000004</v>
      </c>
      <c r="BL37">
        <v>6.785882</v>
      </c>
      <c r="BM37">
        <v>6.6476449999999998</v>
      </c>
      <c r="BR37" s="104" t="s">
        <v>554</v>
      </c>
      <c r="BS37" t="str">
        <f t="shared" si="0"/>
        <v>Ohio</v>
      </c>
    </row>
    <row r="38" spans="1:71" x14ac:dyDescent="0.25">
      <c r="B38">
        <v>24</v>
      </c>
      <c r="C38" t="s">
        <v>423</v>
      </c>
      <c r="D38">
        <v>3.5996579999999998</v>
      </c>
      <c r="E38">
        <v>3.4542470000000001</v>
      </c>
      <c r="H38">
        <v>3.3221729999999998</v>
      </c>
      <c r="J38">
        <v>2.6891150000000001</v>
      </c>
      <c r="K38">
        <v>2.12677</v>
      </c>
      <c r="L38">
        <v>2.5869979999999999</v>
      </c>
      <c r="M38">
        <v>4.0326180000000003</v>
      </c>
      <c r="N38">
        <v>3.033398</v>
      </c>
      <c r="O38">
        <v>3.507657</v>
      </c>
      <c r="Q38">
        <v>2.9360490000000001</v>
      </c>
      <c r="R38">
        <v>3.2339850000000001</v>
      </c>
      <c r="V38">
        <v>3.816818</v>
      </c>
      <c r="W38">
        <v>3.6034820000000001</v>
      </c>
      <c r="X38">
        <v>3.3288549999999999</v>
      </c>
      <c r="Y38">
        <v>2.7891319999999999</v>
      </c>
      <c r="Z38">
        <v>3.6783139999999999</v>
      </c>
      <c r="AA38">
        <v>3.1470359999999999</v>
      </c>
      <c r="AB38">
        <v>3.9989460000000001</v>
      </c>
      <c r="AF38">
        <f>'User Add-In Location'!E39</f>
        <v>0</v>
      </c>
      <c r="AI38">
        <v>3.0745100000000001</v>
      </c>
      <c r="AJ38">
        <v>3.7281089999999999</v>
      </c>
      <c r="AL38">
        <v>1.982111</v>
      </c>
      <c r="AM38">
        <v>2.941859</v>
      </c>
      <c r="AO38">
        <v>2.7675299999999998</v>
      </c>
      <c r="AQ38">
        <v>3.540953</v>
      </c>
      <c r="AR38">
        <v>3.364935</v>
      </c>
      <c r="AS38">
        <v>3.0418660000000002</v>
      </c>
      <c r="AT38">
        <v>3.8685879999999999</v>
      </c>
      <c r="AW38">
        <v>3.8400699999999999</v>
      </c>
      <c r="AX38" s="176">
        <v>3.1884480000000002</v>
      </c>
      <c r="BA38">
        <v>3.4502229999999998</v>
      </c>
      <c r="BB38">
        <v>3.3846959999999999</v>
      </c>
      <c r="BD38">
        <v>3.0872350000000002</v>
      </c>
      <c r="BF38">
        <v>3.8949600000000002</v>
      </c>
      <c r="BG38">
        <v>3.3451970000000002</v>
      </c>
      <c r="BH38">
        <v>2.645302</v>
      </c>
      <c r="BI38">
        <v>2.6502520000000001</v>
      </c>
      <c r="BJ38">
        <v>2.3413430000000002</v>
      </c>
      <c r="BK38">
        <v>3.185365</v>
      </c>
      <c r="BL38">
        <v>2.8811979999999999</v>
      </c>
      <c r="BM38">
        <v>2.203665</v>
      </c>
      <c r="BR38" s="104" t="s">
        <v>555</v>
      </c>
      <c r="BS38" t="str">
        <f t="shared" si="0"/>
        <v>Oregon</v>
      </c>
    </row>
    <row r="39" spans="1:71" x14ac:dyDescent="0.25">
      <c r="B39">
        <v>25</v>
      </c>
      <c r="C39" t="s">
        <v>600</v>
      </c>
      <c r="D39">
        <v>6.2637640000000001</v>
      </c>
      <c r="E39">
        <v>6.5146430000000004</v>
      </c>
      <c r="H39">
        <v>4.7215769999999999</v>
      </c>
      <c r="J39">
        <v>5.2209519999999996</v>
      </c>
      <c r="K39">
        <v>5.0257250000000004</v>
      </c>
      <c r="L39">
        <v>3.698277</v>
      </c>
      <c r="M39">
        <v>6.4746139999999999</v>
      </c>
      <c r="N39">
        <v>6.0844149999999999</v>
      </c>
      <c r="O39">
        <v>6.5512940000000004</v>
      </c>
      <c r="Q39">
        <v>5.1551439999999999</v>
      </c>
      <c r="R39">
        <v>5.911378</v>
      </c>
      <c r="V39">
        <v>6.6748079999999996</v>
      </c>
      <c r="W39">
        <v>6.6871200000000002</v>
      </c>
      <c r="X39">
        <v>5.3976420000000003</v>
      </c>
      <c r="Y39">
        <v>4.3825349999999998</v>
      </c>
      <c r="Z39">
        <v>5.7932269999999999</v>
      </c>
      <c r="AA39">
        <v>5.6779219999999997</v>
      </c>
      <c r="AB39">
        <v>7.7129469999999998</v>
      </c>
      <c r="AF39">
        <f>'User Add-In Location'!E40</f>
        <v>0</v>
      </c>
      <c r="AI39">
        <v>5.7987729999999997</v>
      </c>
      <c r="AJ39">
        <v>5.0180980000000002</v>
      </c>
      <c r="AL39">
        <v>4.6120340000000004</v>
      </c>
      <c r="AM39">
        <v>5.7154340000000001</v>
      </c>
      <c r="AO39">
        <v>6.2691090000000003</v>
      </c>
      <c r="AQ39">
        <v>5.9650299999999996</v>
      </c>
      <c r="AR39">
        <v>5.404928</v>
      </c>
      <c r="AS39">
        <v>6.5544310000000001</v>
      </c>
      <c r="AT39">
        <v>6.5265610000000001</v>
      </c>
      <c r="AW39">
        <v>5.7797790000000004</v>
      </c>
      <c r="AX39" s="176">
        <v>5.4532860000000003</v>
      </c>
      <c r="BA39">
        <v>5.415591</v>
      </c>
      <c r="BB39">
        <v>4.8601369999999999</v>
      </c>
      <c r="BD39">
        <v>6.2229489999999998</v>
      </c>
      <c r="BF39">
        <v>6.1273660000000003</v>
      </c>
      <c r="BG39">
        <v>4.8044200000000004</v>
      </c>
      <c r="BH39">
        <v>5.1397870000000001</v>
      </c>
      <c r="BI39">
        <v>5.3066300000000002</v>
      </c>
      <c r="BJ39">
        <v>4.8528279999999997</v>
      </c>
      <c r="BK39">
        <v>5.7736419999999997</v>
      </c>
      <c r="BL39">
        <v>4.6262829999999999</v>
      </c>
      <c r="BM39">
        <v>4.6273140000000001</v>
      </c>
      <c r="BR39" s="104" t="s">
        <v>556</v>
      </c>
      <c r="BS39" t="str">
        <f t="shared" si="0"/>
        <v>Pennsylvania</v>
      </c>
    </row>
    <row r="40" spans="1:71" x14ac:dyDescent="0.25">
      <c r="B40">
        <v>26</v>
      </c>
      <c r="C40" t="s">
        <v>601</v>
      </c>
      <c r="D40">
        <v>15.569032999999999</v>
      </c>
      <c r="E40">
        <v>13.16717</v>
      </c>
      <c r="H40">
        <v>11.192404</v>
      </c>
      <c r="J40">
        <v>12.0421</v>
      </c>
      <c r="K40">
        <v>14.181143</v>
      </c>
      <c r="L40">
        <v>9.5615410000000001</v>
      </c>
      <c r="M40">
        <v>12.89113</v>
      </c>
      <c r="N40">
        <v>14.367165999999999</v>
      </c>
      <c r="O40">
        <v>9.2745049999999996</v>
      </c>
      <c r="Q40">
        <v>12.067834</v>
      </c>
      <c r="R40">
        <v>13.605014000000001</v>
      </c>
      <c r="V40">
        <v>13.417617999999999</v>
      </c>
      <c r="W40">
        <v>12.957829</v>
      </c>
      <c r="X40">
        <v>12.235148000000001</v>
      </c>
      <c r="Y40">
        <v>11.535439</v>
      </c>
      <c r="Z40">
        <v>14.334844</v>
      </c>
      <c r="AA40">
        <v>13.99366</v>
      </c>
      <c r="AB40">
        <v>14.476364</v>
      </c>
      <c r="AF40">
        <f>'User Add-In Location'!E41</f>
        <v>0</v>
      </c>
      <c r="AI40">
        <v>11.704362</v>
      </c>
      <c r="AJ40">
        <v>12.915403</v>
      </c>
      <c r="AL40">
        <v>9.9258860000000002</v>
      </c>
      <c r="AM40">
        <v>14.120187</v>
      </c>
      <c r="AO40">
        <v>13.944160999999999</v>
      </c>
      <c r="AQ40">
        <v>13.525408000000001</v>
      </c>
      <c r="AR40">
        <v>13.12566</v>
      </c>
      <c r="AS40">
        <v>12.849398000000001</v>
      </c>
      <c r="AT40">
        <v>13.908128</v>
      </c>
      <c r="AW40">
        <v>13.907181</v>
      </c>
      <c r="AX40" s="176">
        <v>12.608841</v>
      </c>
      <c r="BA40">
        <v>13.830178</v>
      </c>
      <c r="BB40">
        <v>11.414828</v>
      </c>
      <c r="BD40">
        <v>15.146075</v>
      </c>
      <c r="BF40">
        <v>13.591303</v>
      </c>
      <c r="BG40">
        <v>11.383697</v>
      </c>
      <c r="BH40">
        <v>12.172451000000001</v>
      </c>
      <c r="BI40">
        <v>12.354276</v>
      </c>
      <c r="BJ40">
        <v>10.915581</v>
      </c>
      <c r="BK40">
        <v>14.089116000000001</v>
      </c>
      <c r="BL40">
        <v>11.724729999999999</v>
      </c>
      <c r="BM40">
        <v>10.564220000000001</v>
      </c>
      <c r="BR40" s="104" t="s">
        <v>557</v>
      </c>
      <c r="BS40" t="str">
        <f t="shared" si="0"/>
        <v>Rhode Island</v>
      </c>
    </row>
    <row r="41" spans="1:71" x14ac:dyDescent="0.25">
      <c r="B41">
        <v>27</v>
      </c>
      <c r="C41" t="s">
        <v>602</v>
      </c>
      <c r="D41">
        <v>8.4616830000000007</v>
      </c>
      <c r="E41">
        <v>8.1445100000000004</v>
      </c>
      <c r="H41">
        <v>7.1788569999999998</v>
      </c>
      <c r="J41">
        <v>6.6492990000000001</v>
      </c>
      <c r="K41">
        <v>9.6980749999999993</v>
      </c>
      <c r="L41">
        <v>4.5525159999999998</v>
      </c>
      <c r="M41">
        <v>9.6057880000000004</v>
      </c>
      <c r="N41">
        <v>10.542581</v>
      </c>
      <c r="O41">
        <v>8.1809100000000008</v>
      </c>
      <c r="Q41">
        <v>9.8729940000000003</v>
      </c>
      <c r="R41">
        <v>11.40089</v>
      </c>
      <c r="V41">
        <v>10.852069999999999</v>
      </c>
      <c r="W41">
        <v>10.904448</v>
      </c>
      <c r="X41">
        <v>5.6565180000000002</v>
      </c>
      <c r="Y41">
        <v>6.2473210000000003</v>
      </c>
      <c r="Z41">
        <v>10.152290000000001</v>
      </c>
      <c r="AA41">
        <v>10.164599000000001</v>
      </c>
      <c r="AB41">
        <v>12.948962</v>
      </c>
      <c r="AF41">
        <f>'User Add-In Location'!E42</f>
        <v>0</v>
      </c>
      <c r="AI41">
        <v>8.3668230000000001</v>
      </c>
      <c r="AJ41">
        <v>8.3916579999999996</v>
      </c>
      <c r="AL41">
        <v>7.3896600000000001</v>
      </c>
      <c r="AM41">
        <v>10.132198000000001</v>
      </c>
      <c r="AO41">
        <v>9.6856950000000008</v>
      </c>
      <c r="AQ41">
        <v>8.4848379999999999</v>
      </c>
      <c r="AR41">
        <v>8.7424809999999997</v>
      </c>
      <c r="AS41">
        <v>7.5577699999999997</v>
      </c>
      <c r="AT41">
        <v>10.610704999999999</v>
      </c>
      <c r="AW41">
        <v>9.9368839999999992</v>
      </c>
      <c r="AX41" s="176">
        <v>8.7925799999999992</v>
      </c>
      <c r="BA41">
        <v>8.0762149999999995</v>
      </c>
      <c r="BB41">
        <v>7.9248909999999997</v>
      </c>
      <c r="BD41">
        <v>10.930865000000001</v>
      </c>
      <c r="BF41">
        <v>9.8950569999999995</v>
      </c>
      <c r="BG41">
        <v>7.3878870000000001</v>
      </c>
      <c r="BH41">
        <v>8.017493</v>
      </c>
      <c r="BI41">
        <v>9.1243339999999993</v>
      </c>
      <c r="BJ41">
        <v>7.1594490000000004</v>
      </c>
      <c r="BK41">
        <v>9.560886</v>
      </c>
      <c r="BL41">
        <v>6.9927450000000002</v>
      </c>
      <c r="BM41">
        <v>7.0430109999999999</v>
      </c>
      <c r="BR41" s="104" t="s">
        <v>558</v>
      </c>
      <c r="BS41" t="str">
        <f t="shared" si="0"/>
        <v>South Carolina</v>
      </c>
    </row>
    <row r="42" spans="1:71" x14ac:dyDescent="0.25">
      <c r="B42">
        <v>28</v>
      </c>
      <c r="BR42" s="104" t="s">
        <v>559</v>
      </c>
      <c r="BS42" t="str">
        <f t="shared" si="0"/>
        <v>Texas</v>
      </c>
    </row>
    <row r="43" spans="1:71" x14ac:dyDescent="0.25">
      <c r="A43" t="s">
        <v>716</v>
      </c>
      <c r="B43">
        <v>29</v>
      </c>
      <c r="D43" s="174" t="s">
        <v>532</v>
      </c>
      <c r="E43" s="174" t="s">
        <v>680</v>
      </c>
      <c r="F43" s="174" t="s">
        <v>681</v>
      </c>
      <c r="G43" s="174" t="s">
        <v>682</v>
      </c>
      <c r="H43" s="174" t="s">
        <v>533</v>
      </c>
      <c r="I43" s="174" t="s">
        <v>683</v>
      </c>
      <c r="J43" s="174" t="s">
        <v>534</v>
      </c>
      <c r="K43" s="174" t="s">
        <v>535</v>
      </c>
      <c r="L43" s="174" t="s">
        <v>684</v>
      </c>
      <c r="M43" s="174" t="s">
        <v>536</v>
      </c>
      <c r="N43" s="174" t="s">
        <v>537</v>
      </c>
      <c r="O43" s="174" t="s">
        <v>538</v>
      </c>
      <c r="P43" s="174" t="s">
        <v>685</v>
      </c>
      <c r="Q43" s="174" t="s">
        <v>539</v>
      </c>
      <c r="R43" s="174" t="s">
        <v>540</v>
      </c>
      <c r="S43" s="174" t="s">
        <v>686</v>
      </c>
      <c r="T43" s="174" t="s">
        <v>687</v>
      </c>
      <c r="U43" s="174" t="s">
        <v>688</v>
      </c>
      <c r="V43" s="174" t="s">
        <v>541</v>
      </c>
      <c r="W43" s="174" t="s">
        <v>542</v>
      </c>
      <c r="X43" s="174" t="s">
        <v>543</v>
      </c>
      <c r="Y43" s="174" t="s">
        <v>544</v>
      </c>
      <c r="Z43" s="174" t="s">
        <v>545</v>
      </c>
      <c r="AA43" s="174" t="s">
        <v>546</v>
      </c>
      <c r="AB43" s="174" t="s">
        <v>549</v>
      </c>
      <c r="AC43" s="174" t="s">
        <v>689</v>
      </c>
      <c r="AD43" s="174" t="s">
        <v>690</v>
      </c>
      <c r="AE43" s="175" t="s">
        <v>691</v>
      </c>
      <c r="AF43" s="175" t="s">
        <v>1064</v>
      </c>
      <c r="AG43" s="174" t="s">
        <v>692</v>
      </c>
      <c r="AH43" s="174" t="s">
        <v>693</v>
      </c>
      <c r="AI43" s="174" t="s">
        <v>550</v>
      </c>
      <c r="AJ43" s="174" t="s">
        <v>551</v>
      </c>
      <c r="AK43" s="174" t="s">
        <v>694</v>
      </c>
      <c r="AL43" s="174" t="s">
        <v>695</v>
      </c>
      <c r="AM43" s="174" t="s">
        <v>553</v>
      </c>
      <c r="AN43" s="174" t="s">
        <v>696</v>
      </c>
      <c r="AO43" s="174" t="s">
        <v>554</v>
      </c>
      <c r="AP43" s="174" t="s">
        <v>697</v>
      </c>
      <c r="AQ43" s="174" t="s">
        <v>555</v>
      </c>
      <c r="AR43" s="174" t="s">
        <v>556</v>
      </c>
      <c r="AS43" s="174" t="s">
        <v>557</v>
      </c>
      <c r="AT43" s="174" t="s">
        <v>558</v>
      </c>
      <c r="AU43" s="174" t="s">
        <v>698</v>
      </c>
      <c r="AV43" s="174" t="s">
        <v>699</v>
      </c>
      <c r="AW43" s="174" t="s">
        <v>559</v>
      </c>
      <c r="AX43" s="174" t="s">
        <v>530</v>
      </c>
      <c r="AY43" s="174" t="s">
        <v>700</v>
      </c>
      <c r="AZ43" s="174" t="s">
        <v>701</v>
      </c>
      <c r="BA43" s="174" t="s">
        <v>560</v>
      </c>
      <c r="BB43" s="174" t="s">
        <v>561</v>
      </c>
      <c r="BC43" s="174" t="s">
        <v>702</v>
      </c>
      <c r="BD43" s="174" t="s">
        <v>562</v>
      </c>
      <c r="BE43" s="174" t="s">
        <v>703</v>
      </c>
      <c r="BF43" t="s">
        <v>704</v>
      </c>
      <c r="BG43" t="s">
        <v>705</v>
      </c>
      <c r="BH43" t="s">
        <v>706</v>
      </c>
      <c r="BI43" t="s">
        <v>707</v>
      </c>
      <c r="BJ43" t="s">
        <v>708</v>
      </c>
      <c r="BK43" t="s">
        <v>709</v>
      </c>
      <c r="BL43" t="s">
        <v>710</v>
      </c>
      <c r="BM43" t="s">
        <v>711</v>
      </c>
      <c r="BR43" s="105" t="s">
        <v>560</v>
      </c>
      <c r="BS43" t="str">
        <f t="shared" si="0"/>
        <v>Virginia</v>
      </c>
    </row>
    <row r="44" spans="1:71" x14ac:dyDescent="0.25">
      <c r="B44">
        <v>30</v>
      </c>
      <c r="C44" t="s">
        <v>400</v>
      </c>
      <c r="D44">
        <v>3.9786130000000002</v>
      </c>
      <c r="E44">
        <v>1.611823</v>
      </c>
      <c r="H44">
        <v>1.613915</v>
      </c>
      <c r="J44">
        <v>1.49916</v>
      </c>
      <c r="K44">
        <v>2.5428190000000002</v>
      </c>
      <c r="L44">
        <v>0.440222</v>
      </c>
      <c r="M44">
        <v>1.9111750000000001</v>
      </c>
      <c r="N44">
        <v>3.3651689999999999</v>
      </c>
      <c r="O44">
        <v>1.9929969999999999</v>
      </c>
      <c r="Q44">
        <v>2.545785</v>
      </c>
      <c r="R44">
        <v>3.1068259999999999</v>
      </c>
      <c r="V44">
        <v>3.1406299999999998</v>
      </c>
      <c r="W44">
        <v>1.871524</v>
      </c>
      <c r="X44">
        <v>2.3509699999999998</v>
      </c>
      <c r="Y44">
        <v>0.74683200000000005</v>
      </c>
      <c r="Z44">
        <v>2.7539250000000002</v>
      </c>
      <c r="AA44">
        <v>3.6937009999999999</v>
      </c>
      <c r="AB44">
        <v>4.3580180000000004</v>
      </c>
      <c r="AF44">
        <f>'User Add-In Location'!E45</f>
        <v>0</v>
      </c>
      <c r="AI44">
        <v>2.1831480000000001</v>
      </c>
      <c r="AJ44">
        <v>1.274073</v>
      </c>
      <c r="AL44">
        <v>2.0091139999999998</v>
      </c>
      <c r="AM44">
        <v>3.6275949999999999</v>
      </c>
      <c r="AO44">
        <v>2.8147250000000001</v>
      </c>
      <c r="AQ44">
        <v>3.0189710000000001</v>
      </c>
      <c r="AR44">
        <v>3.3142260000000001</v>
      </c>
      <c r="AS44">
        <v>0.57466799999999996</v>
      </c>
      <c r="AT44">
        <v>2.9572910000000001</v>
      </c>
      <c r="AW44">
        <v>3.9676070000000001</v>
      </c>
      <c r="AX44" s="176">
        <v>4.6903769999999998</v>
      </c>
      <c r="BA44">
        <v>3.2690450000000002</v>
      </c>
      <c r="BB44">
        <v>1.6655549999999999</v>
      </c>
      <c r="BD44">
        <v>3.8770359999999999</v>
      </c>
      <c r="BF44">
        <v>3.8977550000000001</v>
      </c>
      <c r="BG44">
        <v>1.7274099999999999</v>
      </c>
      <c r="BH44">
        <v>2.828687</v>
      </c>
      <c r="BI44">
        <v>3.099456</v>
      </c>
      <c r="BJ44">
        <v>1.9934609999999999</v>
      </c>
      <c r="BK44">
        <v>3.748049</v>
      </c>
      <c r="BL44">
        <v>1.272049</v>
      </c>
      <c r="BM44">
        <v>1.7040900000000001</v>
      </c>
      <c r="BR44" s="105" t="s">
        <v>561</v>
      </c>
      <c r="BS44" t="str">
        <f t="shared" si="0"/>
        <v>Washington</v>
      </c>
    </row>
    <row r="45" spans="1:71" x14ac:dyDescent="0.25">
      <c r="B45">
        <v>31</v>
      </c>
      <c r="C45" t="s">
        <v>583</v>
      </c>
      <c r="D45">
        <v>3.3437610000000002</v>
      </c>
      <c r="E45">
        <v>0.92216600000000004</v>
      </c>
      <c r="H45">
        <v>2.29216</v>
      </c>
      <c r="J45">
        <v>2.8097810000000001</v>
      </c>
      <c r="K45">
        <v>3.000667</v>
      </c>
      <c r="L45">
        <v>1.702976</v>
      </c>
      <c r="M45">
        <v>5.1412899999999997</v>
      </c>
      <c r="N45">
        <v>3.6130749999999998</v>
      </c>
      <c r="O45">
        <v>3.3576860000000002</v>
      </c>
      <c r="Q45">
        <v>4.3213730000000004</v>
      </c>
      <c r="R45">
        <v>4.0615269999999999</v>
      </c>
      <c r="V45">
        <v>2.8655430000000002</v>
      </c>
      <c r="W45">
        <v>3.909637</v>
      </c>
      <c r="X45">
        <v>4.131837</v>
      </c>
      <c r="Y45">
        <v>3.7574190000000001</v>
      </c>
      <c r="Z45">
        <v>4.2065609999999998</v>
      </c>
      <c r="AA45">
        <v>4.7585740000000003</v>
      </c>
      <c r="AB45">
        <v>4.1796369999999996</v>
      </c>
      <c r="AF45">
        <f>'User Add-In Location'!E46</f>
        <v>0</v>
      </c>
      <c r="AI45">
        <v>3.193845</v>
      </c>
      <c r="AJ45">
        <v>3.7255199999999999</v>
      </c>
      <c r="AL45">
        <v>3.4519869999999999</v>
      </c>
      <c r="AM45">
        <v>3.842441</v>
      </c>
      <c r="AO45">
        <v>1.688396</v>
      </c>
      <c r="AQ45">
        <v>4.6122100000000001</v>
      </c>
      <c r="AR45">
        <v>1.842149</v>
      </c>
      <c r="AS45">
        <v>2.7939280000000002</v>
      </c>
      <c r="AT45">
        <v>3.6297700000000002</v>
      </c>
      <c r="AW45">
        <v>2.3483939999999999</v>
      </c>
      <c r="AX45" s="176">
        <v>3.6200209999999999</v>
      </c>
      <c r="BA45">
        <v>3.9642620000000002</v>
      </c>
      <c r="BB45">
        <v>3.1226440000000002</v>
      </c>
      <c r="BD45">
        <v>4.4424239999999999</v>
      </c>
      <c r="BF45">
        <v>2.6244689999999999</v>
      </c>
      <c r="BG45">
        <v>2.457319</v>
      </c>
      <c r="BH45">
        <v>4.0293320000000001</v>
      </c>
      <c r="BI45">
        <v>2.4429129999999999</v>
      </c>
      <c r="BJ45">
        <v>3.7140759999999999</v>
      </c>
      <c r="BK45">
        <v>4.3584639999999997</v>
      </c>
      <c r="BL45">
        <v>3.8496440000000001</v>
      </c>
      <c r="BM45">
        <v>3.4787210000000002</v>
      </c>
      <c r="BR45" s="105" t="s">
        <v>562</v>
      </c>
      <c r="BS45" t="str">
        <f t="shared" si="0"/>
        <v>Wisconsin</v>
      </c>
    </row>
    <row r="46" spans="1:71" x14ac:dyDescent="0.25">
      <c r="B46">
        <v>32</v>
      </c>
      <c r="C46" t="s">
        <v>403</v>
      </c>
      <c r="D46">
        <v>1.4458</v>
      </c>
      <c r="E46">
        <v>1.2664530000000001</v>
      </c>
      <c r="H46">
        <v>1.909341</v>
      </c>
      <c r="J46">
        <v>0</v>
      </c>
      <c r="K46">
        <v>0</v>
      </c>
      <c r="L46">
        <v>0</v>
      </c>
      <c r="M46">
        <v>2.5854180000000002</v>
      </c>
      <c r="N46">
        <v>0</v>
      </c>
      <c r="O46">
        <v>0</v>
      </c>
      <c r="Q46">
        <v>1.9265049999999999</v>
      </c>
      <c r="R46">
        <v>2.037636</v>
      </c>
      <c r="V46">
        <v>2.1964030000000001</v>
      </c>
      <c r="W46">
        <v>0</v>
      </c>
      <c r="X46">
        <v>1.752583</v>
      </c>
      <c r="Y46">
        <v>0</v>
      </c>
      <c r="Z46">
        <v>0</v>
      </c>
      <c r="AA46">
        <v>0</v>
      </c>
      <c r="AB46">
        <v>2.840449</v>
      </c>
      <c r="AF46">
        <f>'User Add-In Location'!E47</f>
        <v>0</v>
      </c>
      <c r="AI46">
        <v>0</v>
      </c>
      <c r="AJ46">
        <v>0</v>
      </c>
      <c r="AL46">
        <v>0</v>
      </c>
      <c r="AM46">
        <v>0</v>
      </c>
      <c r="AO46">
        <v>1.447784</v>
      </c>
      <c r="AQ46">
        <v>0</v>
      </c>
      <c r="AR46">
        <v>2.3683070000000002</v>
      </c>
      <c r="AS46">
        <v>0</v>
      </c>
      <c r="AT46">
        <v>0</v>
      </c>
      <c r="AW46">
        <v>2.3514210000000002</v>
      </c>
      <c r="AX46" s="176">
        <v>2.8562669999999999</v>
      </c>
      <c r="BA46">
        <v>1.8184260000000001</v>
      </c>
      <c r="BB46">
        <v>1.8453310000000001</v>
      </c>
      <c r="BD46">
        <v>0</v>
      </c>
      <c r="BF46">
        <v>2.1262080000000001</v>
      </c>
      <c r="BG46">
        <v>2.1477409999999999</v>
      </c>
      <c r="BH46">
        <v>1.893529</v>
      </c>
      <c r="BI46">
        <v>2.0848800000000001</v>
      </c>
      <c r="BJ46">
        <v>1.6681680000000001</v>
      </c>
      <c r="BK46">
        <v>2.0300210000000001</v>
      </c>
      <c r="BL46">
        <v>0</v>
      </c>
      <c r="BM46">
        <v>0</v>
      </c>
      <c r="BR46" s="105" t="s">
        <v>563</v>
      </c>
      <c r="BS46" t="s">
        <v>706</v>
      </c>
    </row>
    <row r="47" spans="1:71" x14ac:dyDescent="0.25">
      <c r="B47">
        <v>33</v>
      </c>
      <c r="C47" t="s">
        <v>584</v>
      </c>
      <c r="D47">
        <v>2.0889540000000002</v>
      </c>
      <c r="E47">
        <v>1.5725039999999999</v>
      </c>
      <c r="H47">
        <v>2.277946</v>
      </c>
      <c r="J47">
        <v>2.083053</v>
      </c>
      <c r="K47">
        <v>2.9853610000000002</v>
      </c>
      <c r="L47">
        <v>1.6474489999999999</v>
      </c>
      <c r="M47">
        <v>2.7258149999999999</v>
      </c>
      <c r="N47">
        <v>2.0613950000000001</v>
      </c>
      <c r="O47">
        <v>1.5280560000000001</v>
      </c>
      <c r="Q47">
        <v>2.8479920000000001</v>
      </c>
      <c r="R47">
        <v>2.7789519999999999</v>
      </c>
      <c r="V47">
        <v>2.8681380000000001</v>
      </c>
      <c r="W47">
        <v>3.782063</v>
      </c>
      <c r="X47">
        <v>2.346892</v>
      </c>
      <c r="Y47">
        <v>2.3936069999999998</v>
      </c>
      <c r="Z47">
        <v>2.0933709999999999</v>
      </c>
      <c r="AA47">
        <v>2.1677719999999998</v>
      </c>
      <c r="AB47">
        <v>4.1479179999999998</v>
      </c>
      <c r="AF47">
        <f>'User Add-In Location'!E48</f>
        <v>0</v>
      </c>
      <c r="AI47">
        <v>3.0442170000000002</v>
      </c>
      <c r="AJ47">
        <v>2.3428930000000001</v>
      </c>
      <c r="AL47">
        <v>2.3911739999999999</v>
      </c>
      <c r="AM47">
        <v>2.7314180000000001</v>
      </c>
      <c r="AO47">
        <v>1.96078</v>
      </c>
      <c r="AQ47">
        <v>3.3013330000000001</v>
      </c>
      <c r="AR47">
        <v>2.086357</v>
      </c>
      <c r="AS47">
        <v>1.822897</v>
      </c>
      <c r="AT47">
        <v>2.0673840000000001</v>
      </c>
      <c r="AW47">
        <v>2.3137110000000001</v>
      </c>
      <c r="AX47" s="176">
        <v>3.6123430000000001</v>
      </c>
      <c r="BA47">
        <v>2.3665370000000001</v>
      </c>
      <c r="BB47">
        <v>2.437427</v>
      </c>
      <c r="BD47">
        <v>1.596662</v>
      </c>
      <c r="BF47">
        <v>2.5373350000000001</v>
      </c>
      <c r="BG47">
        <v>2.469363</v>
      </c>
      <c r="BH47">
        <v>2.5828410000000002</v>
      </c>
      <c r="BI47">
        <v>2.2473239999999999</v>
      </c>
      <c r="BJ47">
        <v>2.4572349999999998</v>
      </c>
      <c r="BK47">
        <v>2.5631339999999998</v>
      </c>
      <c r="BL47">
        <v>2.9013710000000001</v>
      </c>
      <c r="BM47">
        <v>2.4728110000000001</v>
      </c>
      <c r="BR47" s="105" t="s">
        <v>564</v>
      </c>
      <c r="BS47" t="s">
        <v>710</v>
      </c>
    </row>
    <row r="48" spans="1:71" x14ac:dyDescent="0.25">
      <c r="B48">
        <v>34</v>
      </c>
      <c r="C48" t="s">
        <v>585</v>
      </c>
      <c r="D48">
        <v>1.481571</v>
      </c>
      <c r="E48">
        <v>0</v>
      </c>
      <c r="H48">
        <v>0</v>
      </c>
      <c r="J48">
        <v>0</v>
      </c>
      <c r="K48">
        <v>0</v>
      </c>
      <c r="L48">
        <v>0</v>
      </c>
      <c r="M48">
        <v>1.664234</v>
      </c>
      <c r="N48">
        <v>0</v>
      </c>
      <c r="O48">
        <v>0</v>
      </c>
      <c r="Q48">
        <v>0</v>
      </c>
      <c r="R48">
        <v>0</v>
      </c>
      <c r="V48">
        <v>0</v>
      </c>
      <c r="W48">
        <v>0</v>
      </c>
      <c r="X48">
        <v>0</v>
      </c>
      <c r="Y48">
        <v>0</v>
      </c>
      <c r="Z48">
        <v>0</v>
      </c>
      <c r="AA48">
        <v>0.89211300000000004</v>
      </c>
      <c r="AB48">
        <v>0</v>
      </c>
      <c r="AF48">
        <f>'User Add-In Location'!E49</f>
        <v>0</v>
      </c>
      <c r="AI48">
        <v>0</v>
      </c>
      <c r="AJ48">
        <v>1.5095419999999999</v>
      </c>
      <c r="AL48">
        <v>0</v>
      </c>
      <c r="AM48">
        <v>0</v>
      </c>
      <c r="AO48">
        <v>0</v>
      </c>
      <c r="AQ48">
        <v>0</v>
      </c>
      <c r="AR48">
        <v>0</v>
      </c>
      <c r="AS48">
        <v>0</v>
      </c>
      <c r="AT48">
        <v>0</v>
      </c>
      <c r="AW48">
        <v>2.501509</v>
      </c>
      <c r="AX48" s="176">
        <v>3.1617130000000002</v>
      </c>
      <c r="BA48">
        <v>0</v>
      </c>
      <c r="BB48">
        <v>0</v>
      </c>
      <c r="BD48">
        <v>0</v>
      </c>
      <c r="BF48">
        <v>2.3695210000000002</v>
      </c>
      <c r="BG48">
        <v>0</v>
      </c>
      <c r="BH48">
        <v>1.762043</v>
      </c>
      <c r="BI48">
        <v>0.804979</v>
      </c>
      <c r="BJ48">
        <v>1.4293830000000001</v>
      </c>
      <c r="BK48">
        <v>0</v>
      </c>
      <c r="BL48">
        <v>0</v>
      </c>
      <c r="BM48">
        <v>0</v>
      </c>
      <c r="BR48" s="105" t="s">
        <v>565</v>
      </c>
      <c r="BS48" t="s">
        <v>711</v>
      </c>
    </row>
    <row r="49" spans="2:71" x14ac:dyDescent="0.25">
      <c r="B49">
        <v>35</v>
      </c>
      <c r="C49" t="s">
        <v>586</v>
      </c>
      <c r="D49">
        <v>1.4709140000000001</v>
      </c>
      <c r="E49">
        <v>1.2236769999999999</v>
      </c>
      <c r="H49">
        <v>0.78419300000000003</v>
      </c>
      <c r="J49">
        <v>0.71096599999999999</v>
      </c>
      <c r="K49">
        <v>1.091464</v>
      </c>
      <c r="L49">
        <v>0.595383</v>
      </c>
      <c r="M49">
        <v>0.99261200000000005</v>
      </c>
      <c r="N49">
        <v>1.0052810000000001</v>
      </c>
      <c r="O49">
        <v>0.96930000000000005</v>
      </c>
      <c r="Q49">
        <v>1.111739</v>
      </c>
      <c r="R49">
        <v>1.330989</v>
      </c>
      <c r="V49">
        <v>1.329817</v>
      </c>
      <c r="W49">
        <v>1.1071390000000001</v>
      </c>
      <c r="X49">
        <v>0.94513599999999998</v>
      </c>
      <c r="Y49">
        <v>1.019441</v>
      </c>
      <c r="Z49">
        <v>1.253315</v>
      </c>
      <c r="AA49">
        <v>1.3288599999999999</v>
      </c>
      <c r="AB49">
        <v>1.7507779999999999</v>
      </c>
      <c r="AF49">
        <f>'User Add-In Location'!E50</f>
        <v>0</v>
      </c>
      <c r="AI49">
        <v>0.91757599999999995</v>
      </c>
      <c r="AJ49">
        <v>0.83486899999999997</v>
      </c>
      <c r="AL49">
        <v>0.94015199999999999</v>
      </c>
      <c r="AM49">
        <v>1.0575289999999999</v>
      </c>
      <c r="AO49">
        <v>1.082443</v>
      </c>
      <c r="AQ49">
        <v>1.266338</v>
      </c>
      <c r="AR49">
        <v>1.3235479999999999</v>
      </c>
      <c r="AS49">
        <v>0.71486499999999997</v>
      </c>
      <c r="AT49">
        <v>1.1425110000000001</v>
      </c>
      <c r="AW49">
        <v>1.3469390000000001</v>
      </c>
      <c r="AX49" s="176">
        <v>2.506837</v>
      </c>
      <c r="BA49">
        <v>1.0411999999999999</v>
      </c>
      <c r="BB49">
        <v>0.79973399999999994</v>
      </c>
      <c r="BD49">
        <v>1.1739170000000001</v>
      </c>
      <c r="BF49">
        <v>1.4075580000000001</v>
      </c>
      <c r="BG49">
        <v>0.83998899999999999</v>
      </c>
      <c r="BH49">
        <v>1.0915330000000001</v>
      </c>
      <c r="BI49">
        <v>1.2802579999999999</v>
      </c>
      <c r="BJ49">
        <v>0.94218299999999999</v>
      </c>
      <c r="BK49">
        <v>1.211203</v>
      </c>
      <c r="BL49">
        <v>1.0578590000000001</v>
      </c>
      <c r="BM49">
        <v>0.98987700000000001</v>
      </c>
      <c r="BR49" s="105" t="s">
        <v>566</v>
      </c>
      <c r="BS49" t="s">
        <v>708</v>
      </c>
    </row>
    <row r="50" spans="2:71" x14ac:dyDescent="0.25">
      <c r="B50">
        <v>36</v>
      </c>
      <c r="C50" t="s">
        <v>587</v>
      </c>
      <c r="D50">
        <v>3.2744000000000002E-2</v>
      </c>
      <c r="E50">
        <v>0.29614800000000002</v>
      </c>
      <c r="H50">
        <v>3.6218E-2</v>
      </c>
      <c r="J50">
        <v>1.4829E-2</v>
      </c>
      <c r="K50">
        <v>3.39E-4</v>
      </c>
      <c r="L50">
        <v>9.8201999999999998E-2</v>
      </c>
      <c r="M50">
        <v>3.4480000000000001E-3</v>
      </c>
      <c r="N50">
        <v>1.3638000000000001E-2</v>
      </c>
      <c r="O50">
        <v>3.4699999999999998E-4</v>
      </c>
      <c r="Q50">
        <v>1.6764000000000001E-2</v>
      </c>
      <c r="R50">
        <v>3.0079999999999998E-3</v>
      </c>
      <c r="V50">
        <v>9.2049999999999996E-3</v>
      </c>
      <c r="W50">
        <v>0.23932600000000001</v>
      </c>
      <c r="X50">
        <v>5.1960000000000001E-3</v>
      </c>
      <c r="Y50">
        <v>1.6653999999999999E-2</v>
      </c>
      <c r="Z50">
        <v>3.0304000000000001E-2</v>
      </c>
      <c r="AA50">
        <v>7.3090000000000002E-2</v>
      </c>
      <c r="AB50">
        <v>5.0799999999999999E-4</v>
      </c>
      <c r="AF50">
        <f>'User Add-In Location'!E51</f>
        <v>0</v>
      </c>
      <c r="AI50">
        <v>6.0491999999999997E-2</v>
      </c>
      <c r="AJ50">
        <v>7.2189999999999997E-3</v>
      </c>
      <c r="AL50">
        <v>3.7512999999999998E-2</v>
      </c>
      <c r="AM50">
        <v>1.2478E-2</v>
      </c>
      <c r="AO50">
        <v>2.9710000000000001E-3</v>
      </c>
      <c r="AQ50">
        <v>4.8201000000000001E-2</v>
      </c>
      <c r="AR50">
        <v>1.4862999999999999E-2</v>
      </c>
      <c r="AS50">
        <v>1.6605999999999999E-2</v>
      </c>
      <c r="AT50">
        <v>2.4206999999999999E-2</v>
      </c>
      <c r="AW50">
        <v>5.6322999999999998E-2</v>
      </c>
      <c r="AX50" s="176">
        <v>1.9018090000000001</v>
      </c>
      <c r="BA50">
        <v>1.8675000000000001E-2</v>
      </c>
      <c r="BB50">
        <v>3.2191999999999998E-2</v>
      </c>
      <c r="BD50">
        <v>1.1714E-2</v>
      </c>
      <c r="BF50">
        <v>3.0669999999999999E-2</v>
      </c>
      <c r="BG50">
        <v>3.7510000000000002E-2</v>
      </c>
      <c r="BH50">
        <v>2.5142999999999999E-2</v>
      </c>
      <c r="BI50">
        <v>2.6693000000000001E-2</v>
      </c>
      <c r="BJ50">
        <v>2.1229000000000001E-2</v>
      </c>
      <c r="BK50">
        <v>2.0662E-2</v>
      </c>
      <c r="BL50">
        <v>3.6819999999999999E-2</v>
      </c>
      <c r="BM50">
        <v>2.8131E-2</v>
      </c>
      <c r="BR50" s="105" t="s">
        <v>567</v>
      </c>
      <c r="BS50" t="s">
        <v>709</v>
      </c>
    </row>
    <row r="51" spans="2:71" x14ac:dyDescent="0.25">
      <c r="B51">
        <v>37</v>
      </c>
      <c r="C51" t="s">
        <v>588</v>
      </c>
      <c r="D51">
        <v>1.8546530000000001</v>
      </c>
      <c r="E51">
        <v>0.16241900000000001</v>
      </c>
      <c r="H51">
        <v>1.5740689999999999</v>
      </c>
      <c r="J51">
        <v>0.70041500000000001</v>
      </c>
      <c r="K51">
        <v>1.517353</v>
      </c>
      <c r="L51">
        <v>1.2461469999999999</v>
      </c>
      <c r="M51">
        <v>2.164272</v>
      </c>
      <c r="N51">
        <v>1.731098</v>
      </c>
      <c r="O51">
        <v>1.86947</v>
      </c>
      <c r="Q51">
        <v>2.1037499999999998</v>
      </c>
      <c r="R51">
        <v>2.0302750000000001</v>
      </c>
      <c r="V51">
        <v>1.9767950000000001</v>
      </c>
      <c r="W51">
        <v>1.8202970000000001</v>
      </c>
      <c r="X51">
        <v>1.9522269999999999</v>
      </c>
      <c r="Y51">
        <v>1.745528</v>
      </c>
      <c r="Z51">
        <v>2.0079720000000001</v>
      </c>
      <c r="AA51">
        <v>2.032518</v>
      </c>
      <c r="AB51">
        <v>2.6934179999999999</v>
      </c>
      <c r="AF51">
        <f>'User Add-In Location'!E52</f>
        <v>0</v>
      </c>
      <c r="AI51">
        <v>1.672318</v>
      </c>
      <c r="AJ51">
        <v>1.6663559999999999</v>
      </c>
      <c r="AL51">
        <v>1.5018629999999999</v>
      </c>
      <c r="AM51">
        <v>2.03254</v>
      </c>
      <c r="AO51">
        <v>1.7112019999999999</v>
      </c>
      <c r="AQ51">
        <v>2.2110750000000001</v>
      </c>
      <c r="AR51">
        <v>1.000702</v>
      </c>
      <c r="AS51">
        <v>1.6158049999999999</v>
      </c>
      <c r="AT51">
        <v>1.9320409999999999</v>
      </c>
      <c r="AW51">
        <v>1.6514200000000001</v>
      </c>
      <c r="AX51" s="176">
        <v>2.394155</v>
      </c>
      <c r="BA51">
        <v>1.7601720000000001</v>
      </c>
      <c r="BB51">
        <v>1.166477</v>
      </c>
      <c r="BD51">
        <v>1.86748</v>
      </c>
      <c r="BF51">
        <v>1.922345</v>
      </c>
      <c r="BG51">
        <v>1.593453</v>
      </c>
      <c r="BH51">
        <v>1.77637</v>
      </c>
      <c r="BI51">
        <v>1.611259</v>
      </c>
      <c r="BJ51">
        <v>1.656989</v>
      </c>
      <c r="BK51">
        <v>2.0179140000000002</v>
      </c>
      <c r="BL51">
        <v>1.8344549999999999</v>
      </c>
      <c r="BM51">
        <v>1.4619489999999999</v>
      </c>
      <c r="BR51" s="105" t="s">
        <v>568</v>
      </c>
      <c r="BS51" t="s">
        <v>704</v>
      </c>
    </row>
    <row r="52" spans="2:71" x14ac:dyDescent="0.25">
      <c r="B52">
        <v>38</v>
      </c>
      <c r="C52" t="s">
        <v>348</v>
      </c>
      <c r="D52">
        <v>2.1564209999999999</v>
      </c>
      <c r="E52">
        <v>1.4069400000000001</v>
      </c>
      <c r="H52">
        <v>1.572543</v>
      </c>
      <c r="J52">
        <v>1.7765219999999999</v>
      </c>
      <c r="K52">
        <v>1.577018</v>
      </c>
      <c r="L52">
        <v>0.87668199999999996</v>
      </c>
      <c r="M52">
        <v>2.048613</v>
      </c>
      <c r="N52">
        <v>1.975501</v>
      </c>
      <c r="O52">
        <v>1.258675</v>
      </c>
      <c r="Q52">
        <v>1.8590819999999999</v>
      </c>
      <c r="R52">
        <v>2.0688420000000001</v>
      </c>
      <c r="V52">
        <v>2.250928</v>
      </c>
      <c r="W52">
        <v>2.3314949999999999</v>
      </c>
      <c r="X52">
        <v>1.693576</v>
      </c>
      <c r="Y52">
        <v>1.711066</v>
      </c>
      <c r="Z52">
        <v>1.77806</v>
      </c>
      <c r="AA52">
        <v>2.1786180000000002</v>
      </c>
      <c r="AB52">
        <v>2.733771</v>
      </c>
      <c r="AF52">
        <f>'User Add-In Location'!E53</f>
        <v>0</v>
      </c>
      <c r="AI52">
        <v>2.262778</v>
      </c>
      <c r="AJ52">
        <v>1.5629200000000001</v>
      </c>
      <c r="AL52">
        <v>1.4984740000000001</v>
      </c>
      <c r="AM52">
        <v>2.1984530000000002</v>
      </c>
      <c r="AO52">
        <v>1.602209</v>
      </c>
      <c r="AQ52">
        <v>2.0983320000000001</v>
      </c>
      <c r="AR52">
        <v>2.0948929999999999</v>
      </c>
      <c r="AS52">
        <v>1.33185</v>
      </c>
      <c r="AT52">
        <v>1.6739839999999999</v>
      </c>
      <c r="AW52">
        <v>2.2418420000000001</v>
      </c>
      <c r="AX52" s="176">
        <v>3.12581</v>
      </c>
      <c r="BA52">
        <v>1.8940809999999999</v>
      </c>
      <c r="BB52">
        <v>1.303893</v>
      </c>
      <c r="BD52">
        <v>2.0716920000000001</v>
      </c>
      <c r="BF52">
        <v>2.41628</v>
      </c>
      <c r="BG52">
        <v>1.5944970000000001</v>
      </c>
      <c r="BH52">
        <v>1.9856020000000001</v>
      </c>
      <c r="BI52">
        <v>2.0224280000000001</v>
      </c>
      <c r="BJ52">
        <v>1.590795</v>
      </c>
      <c r="BK52">
        <v>2.2787950000000001</v>
      </c>
      <c r="BL52">
        <v>1.9707060000000001</v>
      </c>
      <c r="BM52">
        <v>1.6369130000000001</v>
      </c>
      <c r="BR52" s="105" t="s">
        <v>569</v>
      </c>
      <c r="BS52" t="s">
        <v>707</v>
      </c>
    </row>
    <row r="53" spans="2:71" x14ac:dyDescent="0.25">
      <c r="B53">
        <v>39</v>
      </c>
      <c r="C53" t="s">
        <v>589</v>
      </c>
      <c r="D53">
        <v>1.741654</v>
      </c>
      <c r="E53">
        <v>1.0203610000000001</v>
      </c>
      <c r="H53">
        <v>1.222634</v>
      </c>
      <c r="J53">
        <v>1.645213</v>
      </c>
      <c r="K53">
        <v>1.1834739999999999</v>
      </c>
      <c r="L53">
        <v>0.73468900000000004</v>
      </c>
      <c r="M53">
        <v>1.631032</v>
      </c>
      <c r="N53">
        <v>1.510329</v>
      </c>
      <c r="O53">
        <v>0.96798499999999998</v>
      </c>
      <c r="Q53">
        <v>1.4704219999999999</v>
      </c>
      <c r="R53">
        <v>1.6832309999999999</v>
      </c>
      <c r="V53">
        <v>1.8954409999999999</v>
      </c>
      <c r="W53">
        <v>2.360913</v>
      </c>
      <c r="X53">
        <v>1.41893</v>
      </c>
      <c r="Y53">
        <v>1.479579</v>
      </c>
      <c r="Z53">
        <v>1.462985</v>
      </c>
      <c r="AA53">
        <v>1.6666080000000001</v>
      </c>
      <c r="AB53">
        <v>2.2866710000000001</v>
      </c>
      <c r="AF53">
        <f>'User Add-In Location'!E54</f>
        <v>0</v>
      </c>
      <c r="AI53">
        <v>2.54088</v>
      </c>
      <c r="AJ53">
        <v>1.2801309999999999</v>
      </c>
      <c r="AL53">
        <v>1.1876089999999999</v>
      </c>
      <c r="AM53">
        <v>1.8104769999999999</v>
      </c>
      <c r="AO53">
        <v>1.4327179999999999</v>
      </c>
      <c r="AQ53">
        <v>1.7278640000000001</v>
      </c>
      <c r="AR53">
        <v>1.6141620000000001</v>
      </c>
      <c r="AS53">
        <v>1.1424890000000001</v>
      </c>
      <c r="AT53">
        <v>1.288994</v>
      </c>
      <c r="AW53">
        <v>1.758308</v>
      </c>
      <c r="AX53" s="176">
        <v>2.5782970000000001</v>
      </c>
      <c r="BA53">
        <v>1.50091</v>
      </c>
      <c r="BB53">
        <v>1.0049049999999999</v>
      </c>
      <c r="BD53">
        <v>1.6280239999999999</v>
      </c>
      <c r="BF53">
        <v>1.8976299999999999</v>
      </c>
      <c r="BG53">
        <v>1.2457130000000001</v>
      </c>
      <c r="BH53">
        <v>1.603531</v>
      </c>
      <c r="BI53">
        <v>1.591513</v>
      </c>
      <c r="BJ53">
        <v>1.277663</v>
      </c>
      <c r="BK53">
        <v>1.7830760000000001</v>
      </c>
      <c r="BL53">
        <v>1.781426</v>
      </c>
      <c r="BM53">
        <v>1.345313</v>
      </c>
      <c r="BR53" s="105" t="s">
        <v>570</v>
      </c>
      <c r="BS53" t="s">
        <v>705</v>
      </c>
    </row>
    <row r="54" spans="2:71" x14ac:dyDescent="0.25">
      <c r="B54">
        <v>40</v>
      </c>
      <c r="C54" t="s">
        <v>590</v>
      </c>
      <c r="D54">
        <v>1.9553860000000001</v>
      </c>
      <c r="E54">
        <v>1.3157719999999999</v>
      </c>
      <c r="H54">
        <v>1.395043</v>
      </c>
      <c r="J54">
        <v>1.7070609999999999</v>
      </c>
      <c r="K54">
        <v>1.3621080000000001</v>
      </c>
      <c r="L54">
        <v>0.76932900000000004</v>
      </c>
      <c r="M54">
        <v>1.734531</v>
      </c>
      <c r="N54">
        <v>1.6910369999999999</v>
      </c>
      <c r="O54">
        <v>1.044019</v>
      </c>
      <c r="Q54">
        <v>1.6633500000000001</v>
      </c>
      <c r="R54">
        <v>1.871124</v>
      </c>
      <c r="V54">
        <v>2.082201</v>
      </c>
      <c r="W54">
        <v>2.203865</v>
      </c>
      <c r="X54">
        <v>1.5025310000000001</v>
      </c>
      <c r="Y54">
        <v>1.5747850000000001</v>
      </c>
      <c r="Z54">
        <v>1.5979969999999999</v>
      </c>
      <c r="AA54">
        <v>1.982259</v>
      </c>
      <c r="AB54">
        <v>2.4969809999999999</v>
      </c>
      <c r="AF54">
        <f>'User Add-In Location'!E55</f>
        <v>0</v>
      </c>
      <c r="AI54">
        <v>2.3490730000000002</v>
      </c>
      <c r="AJ54">
        <v>1.41137</v>
      </c>
      <c r="AL54">
        <v>1.3071250000000001</v>
      </c>
      <c r="AM54">
        <v>1.9929159999999999</v>
      </c>
      <c r="AO54">
        <v>1.539277</v>
      </c>
      <c r="AQ54">
        <v>1.8544750000000001</v>
      </c>
      <c r="AR54">
        <v>1.8899859999999999</v>
      </c>
      <c r="AS54">
        <v>1.218531</v>
      </c>
      <c r="AT54">
        <v>1.4270389999999999</v>
      </c>
      <c r="AW54">
        <v>2.0613730000000001</v>
      </c>
      <c r="AX54" s="176">
        <v>3.1357390000000001</v>
      </c>
      <c r="BA54">
        <v>1.676615</v>
      </c>
      <c r="BB54">
        <v>1.194226</v>
      </c>
      <c r="BD54">
        <v>1.8710359999999999</v>
      </c>
      <c r="BF54">
        <v>2.1772450000000001</v>
      </c>
      <c r="BG54">
        <v>1.424132</v>
      </c>
      <c r="BH54">
        <v>1.779774</v>
      </c>
      <c r="BI54">
        <v>1.8033729999999999</v>
      </c>
      <c r="BJ54">
        <v>1.400571</v>
      </c>
      <c r="BK54">
        <v>2.0101909999999998</v>
      </c>
      <c r="BL54">
        <v>1.8459589999999999</v>
      </c>
      <c r="BM54">
        <v>1.468588</v>
      </c>
      <c r="BR54" s="105" t="s">
        <v>18</v>
      </c>
      <c r="BS54" s="175" t="str">
        <f>AF14</f>
        <v>MyArea</v>
      </c>
    </row>
    <row r="55" spans="2:71" x14ac:dyDescent="0.25">
      <c r="B55">
        <v>41</v>
      </c>
      <c r="C55" t="s">
        <v>591</v>
      </c>
      <c r="D55">
        <v>2.802384</v>
      </c>
      <c r="E55">
        <v>1.97776</v>
      </c>
      <c r="H55">
        <v>2.2402549999999999</v>
      </c>
      <c r="J55">
        <v>2.0698780000000001</v>
      </c>
      <c r="K55">
        <v>2.39384</v>
      </c>
      <c r="L55">
        <v>0.97794000000000003</v>
      </c>
      <c r="M55">
        <v>2.4610080000000001</v>
      </c>
      <c r="N55">
        <v>2.554443</v>
      </c>
      <c r="O55">
        <v>2.0481780000000001</v>
      </c>
      <c r="Q55">
        <v>2.5449869999999999</v>
      </c>
      <c r="R55">
        <v>2.6463070000000002</v>
      </c>
      <c r="V55">
        <v>3.183446</v>
      </c>
      <c r="W55">
        <v>2.6556630000000001</v>
      </c>
      <c r="X55">
        <v>1.8305450000000001</v>
      </c>
      <c r="Y55">
        <v>1.8572010000000001</v>
      </c>
      <c r="Z55">
        <v>2.4393370000000001</v>
      </c>
      <c r="AA55">
        <v>3.0539459999999998</v>
      </c>
      <c r="AB55">
        <v>3.944197</v>
      </c>
      <c r="AF55">
        <f>'User Add-In Location'!E56</f>
        <v>0</v>
      </c>
      <c r="AI55">
        <v>2.6147969999999998</v>
      </c>
      <c r="AJ55">
        <v>2.0352510000000001</v>
      </c>
      <c r="AL55">
        <v>2.0877919999999999</v>
      </c>
      <c r="AM55">
        <v>2.5757789999999998</v>
      </c>
      <c r="AO55">
        <v>2.4657840000000002</v>
      </c>
      <c r="AQ55">
        <v>3.2890259999999998</v>
      </c>
      <c r="AR55">
        <v>3.1499969999999999</v>
      </c>
      <c r="AS55">
        <v>1.6345270000000001</v>
      </c>
      <c r="AT55">
        <v>2.3181829999999999</v>
      </c>
      <c r="AW55">
        <v>3.485706</v>
      </c>
      <c r="AX55" s="176">
        <v>4.443187</v>
      </c>
      <c r="BA55">
        <v>2.480658</v>
      </c>
      <c r="BB55">
        <v>2.1889080000000001</v>
      </c>
      <c r="BD55">
        <v>3.1209250000000002</v>
      </c>
      <c r="BF55">
        <v>3.6119859999999999</v>
      </c>
      <c r="BG55">
        <v>2.3450329999999999</v>
      </c>
      <c r="BH55">
        <v>2.5480170000000002</v>
      </c>
      <c r="BI55">
        <v>2.8300390000000002</v>
      </c>
      <c r="BJ55">
        <v>2.0637599999999998</v>
      </c>
      <c r="BK55">
        <v>2.9024160000000001</v>
      </c>
      <c r="BL55">
        <v>2.2019570000000002</v>
      </c>
      <c r="BM55">
        <v>2.0874809999999999</v>
      </c>
    </row>
    <row r="56" spans="2:71" x14ac:dyDescent="0.25">
      <c r="B56">
        <v>42</v>
      </c>
      <c r="C56" t="s">
        <v>592</v>
      </c>
      <c r="D56">
        <v>2.5878480000000001</v>
      </c>
      <c r="E56">
        <v>2.1788810000000001</v>
      </c>
      <c r="H56">
        <v>2.5019339999999999</v>
      </c>
      <c r="J56">
        <v>2.622935</v>
      </c>
      <c r="K56">
        <v>2.279998</v>
      </c>
      <c r="L56">
        <v>0.41704400000000003</v>
      </c>
      <c r="M56">
        <v>2.2950870000000001</v>
      </c>
      <c r="N56">
        <v>2.3061029999999998</v>
      </c>
      <c r="O56">
        <v>1.2393940000000001</v>
      </c>
      <c r="Q56">
        <v>2.6877740000000001</v>
      </c>
      <c r="R56">
        <v>2.9966349999999999</v>
      </c>
      <c r="V56">
        <v>2.932061</v>
      </c>
      <c r="W56">
        <v>2.6070739999999999</v>
      </c>
      <c r="X56">
        <v>1.933624</v>
      </c>
      <c r="Y56">
        <v>2.4078919999999999</v>
      </c>
      <c r="Z56">
        <v>2.4515750000000001</v>
      </c>
      <c r="AA56">
        <v>2.8786290000000001</v>
      </c>
      <c r="AB56">
        <v>3.729082</v>
      </c>
      <c r="AF56">
        <f>'User Add-In Location'!E57</f>
        <v>0</v>
      </c>
      <c r="AI56">
        <v>2.9533070000000001</v>
      </c>
      <c r="AJ56">
        <v>2.2371490000000001</v>
      </c>
      <c r="AL56">
        <v>1.9359440000000001</v>
      </c>
      <c r="AM56">
        <v>3.093397</v>
      </c>
      <c r="AO56">
        <v>2.4544039999999998</v>
      </c>
      <c r="AQ56">
        <v>2.9955780000000001</v>
      </c>
      <c r="AR56">
        <v>3.2012689999999999</v>
      </c>
      <c r="AS56">
        <v>2.045766</v>
      </c>
      <c r="AT56">
        <v>2.1773400000000001</v>
      </c>
      <c r="AW56">
        <v>3.2111990000000001</v>
      </c>
      <c r="AX56" s="176">
        <v>4.358047</v>
      </c>
      <c r="BA56">
        <v>2.3424450000000001</v>
      </c>
      <c r="BB56">
        <v>2.3532570000000002</v>
      </c>
      <c r="BD56">
        <v>2.9622679999999999</v>
      </c>
      <c r="BF56">
        <v>3.3077220000000001</v>
      </c>
      <c r="BG56">
        <v>2.5596589999999999</v>
      </c>
      <c r="BH56">
        <v>2.766016</v>
      </c>
      <c r="BI56">
        <v>2.890282</v>
      </c>
      <c r="BJ56">
        <v>2.0514100000000002</v>
      </c>
      <c r="BK56">
        <v>3.0754329999999999</v>
      </c>
      <c r="BL56">
        <v>2.6908889999999999</v>
      </c>
      <c r="BM56">
        <v>2.2816350000000001</v>
      </c>
    </row>
    <row r="57" spans="2:71" x14ac:dyDescent="0.25">
      <c r="B57">
        <v>43</v>
      </c>
      <c r="C57" t="s">
        <v>593</v>
      </c>
      <c r="D57">
        <v>2.154245</v>
      </c>
      <c r="E57">
        <v>2.0229710000000001</v>
      </c>
      <c r="H57">
        <v>1.917824</v>
      </c>
      <c r="J57">
        <v>1.800273</v>
      </c>
      <c r="K57">
        <v>2.0400770000000001</v>
      </c>
      <c r="L57">
        <v>1.109777</v>
      </c>
      <c r="M57">
        <v>2.061982</v>
      </c>
      <c r="N57">
        <v>2.0150960000000002</v>
      </c>
      <c r="O57">
        <v>1.493385</v>
      </c>
      <c r="Q57">
        <v>1.90933</v>
      </c>
      <c r="R57">
        <v>2.2427779999999999</v>
      </c>
      <c r="V57">
        <v>2.4092310000000001</v>
      </c>
      <c r="W57">
        <v>2.3066789999999999</v>
      </c>
      <c r="X57">
        <v>2.0450270000000002</v>
      </c>
      <c r="Y57">
        <v>2.0897230000000002</v>
      </c>
      <c r="Z57">
        <v>2.0158800000000001</v>
      </c>
      <c r="AA57">
        <v>2.3646430000000001</v>
      </c>
      <c r="AB57">
        <v>2.5507390000000001</v>
      </c>
      <c r="AF57">
        <f>'User Add-In Location'!E58</f>
        <v>0</v>
      </c>
      <c r="AI57">
        <v>1.9584539999999999</v>
      </c>
      <c r="AJ57">
        <v>1.8362069999999999</v>
      </c>
      <c r="AL57">
        <v>1.5886819999999999</v>
      </c>
      <c r="AM57">
        <v>2.234235</v>
      </c>
      <c r="AO57">
        <v>2.0660919999999998</v>
      </c>
      <c r="AQ57">
        <v>2.319553</v>
      </c>
      <c r="AR57">
        <v>2.2728459999999999</v>
      </c>
      <c r="AS57">
        <v>1.905513</v>
      </c>
      <c r="AT57">
        <v>1.816433</v>
      </c>
      <c r="AW57">
        <v>2.308446</v>
      </c>
      <c r="AX57" s="176">
        <v>4.4567259999999997</v>
      </c>
      <c r="BA57">
        <v>1.9421870000000001</v>
      </c>
      <c r="BB57">
        <v>1.7222930000000001</v>
      </c>
      <c r="BD57">
        <v>2.0135700000000001</v>
      </c>
      <c r="BF57">
        <v>2.4448310000000002</v>
      </c>
      <c r="BG57">
        <v>1.9542379999999999</v>
      </c>
      <c r="BH57">
        <v>2.1346310000000002</v>
      </c>
      <c r="BI57">
        <v>2.1465830000000001</v>
      </c>
      <c r="BJ57">
        <v>1.791318</v>
      </c>
      <c r="BK57">
        <v>2.2768649999999999</v>
      </c>
      <c r="BL57">
        <v>2.207678</v>
      </c>
      <c r="BM57">
        <v>1.811836</v>
      </c>
    </row>
    <row r="58" spans="2:71" x14ac:dyDescent="0.25">
      <c r="B58">
        <v>44</v>
      </c>
      <c r="C58" t="s">
        <v>594</v>
      </c>
      <c r="D58">
        <v>2.6555170000000001</v>
      </c>
      <c r="E58">
        <v>2.116301</v>
      </c>
      <c r="H58">
        <v>2.1230639999999998</v>
      </c>
      <c r="J58">
        <v>2.1574279999999999</v>
      </c>
      <c r="K58">
        <v>2.635812</v>
      </c>
      <c r="L58">
        <v>1.669087</v>
      </c>
      <c r="M58">
        <v>2.378819</v>
      </c>
      <c r="N58">
        <v>2.670245</v>
      </c>
      <c r="O58">
        <v>2.1200459999999999</v>
      </c>
      <c r="Q58">
        <v>2.639348</v>
      </c>
      <c r="R58">
        <v>2.8557220000000001</v>
      </c>
      <c r="V58">
        <v>2.8693469999999999</v>
      </c>
      <c r="W58">
        <v>2.2000000000000002</v>
      </c>
      <c r="X58">
        <v>2.009563</v>
      </c>
      <c r="Y58">
        <v>1.907953</v>
      </c>
      <c r="Z58">
        <v>2.5381990000000001</v>
      </c>
      <c r="AA58">
        <v>2.6305429999999999</v>
      </c>
      <c r="AB58">
        <v>3.4639980000000001</v>
      </c>
      <c r="AF58">
        <f>'User Add-In Location'!E59</f>
        <v>0</v>
      </c>
      <c r="AI58">
        <v>2.348919</v>
      </c>
      <c r="AJ58">
        <v>2.2451989999999999</v>
      </c>
      <c r="AL58">
        <v>2.1788660000000002</v>
      </c>
      <c r="AM58">
        <v>2.7111109999999998</v>
      </c>
      <c r="AO58">
        <v>2.4333670000000001</v>
      </c>
      <c r="AQ58">
        <v>2.8025709999999999</v>
      </c>
      <c r="AR58">
        <v>3.07517</v>
      </c>
      <c r="AS58">
        <v>2.2448649999999999</v>
      </c>
      <c r="AT58">
        <v>2.4811920000000001</v>
      </c>
      <c r="AW58">
        <v>2.9453279999999999</v>
      </c>
      <c r="AX58" s="176">
        <v>4.9997389999999999</v>
      </c>
      <c r="BA58">
        <v>2.29434</v>
      </c>
      <c r="BB58">
        <v>1.8233090000000001</v>
      </c>
      <c r="BD58">
        <v>2.6402570000000001</v>
      </c>
      <c r="BF58">
        <v>3.063307</v>
      </c>
      <c r="BG58">
        <v>2.1710180000000001</v>
      </c>
      <c r="BH58">
        <v>2.5515020000000002</v>
      </c>
      <c r="BI58">
        <v>2.8001390000000002</v>
      </c>
      <c r="BJ58">
        <v>2.2382939999999998</v>
      </c>
      <c r="BK58">
        <v>2.878463</v>
      </c>
      <c r="BL58">
        <v>2.112905</v>
      </c>
      <c r="BM58">
        <v>2.190715</v>
      </c>
    </row>
    <row r="59" spans="2:71" x14ac:dyDescent="0.25">
      <c r="B59">
        <v>45</v>
      </c>
      <c r="C59" t="s">
        <v>415</v>
      </c>
      <c r="D59">
        <v>2.8599510000000001</v>
      </c>
      <c r="E59">
        <v>1.6474470000000001</v>
      </c>
      <c r="H59">
        <v>2.0717759999999998</v>
      </c>
      <c r="J59">
        <v>2.2771710000000001</v>
      </c>
      <c r="K59">
        <v>1.8138479999999999</v>
      </c>
      <c r="L59">
        <v>0</v>
      </c>
      <c r="M59">
        <v>2.760675</v>
      </c>
      <c r="N59">
        <v>2.5472600000000001</v>
      </c>
      <c r="O59">
        <v>0</v>
      </c>
      <c r="Q59">
        <v>2.4357709999999999</v>
      </c>
      <c r="R59">
        <v>2.9339499999999998</v>
      </c>
      <c r="V59">
        <v>3.0227710000000001</v>
      </c>
      <c r="W59">
        <v>2.6131989999999998</v>
      </c>
      <c r="X59">
        <v>2.4252319999999998</v>
      </c>
      <c r="Y59">
        <v>2.0734080000000001</v>
      </c>
      <c r="Z59">
        <v>2.5803500000000001</v>
      </c>
      <c r="AA59">
        <v>2.9562780000000002</v>
      </c>
      <c r="AB59">
        <v>3.8608709999999999</v>
      </c>
      <c r="AF59">
        <f>'User Add-In Location'!E60</f>
        <v>0</v>
      </c>
      <c r="AI59">
        <v>2.4650919999999998</v>
      </c>
      <c r="AJ59">
        <v>2.027828</v>
      </c>
      <c r="AL59">
        <v>2.0663200000000002</v>
      </c>
      <c r="AM59">
        <v>2.9512269999999998</v>
      </c>
      <c r="AO59">
        <v>2.2231139999999998</v>
      </c>
      <c r="AQ59">
        <v>2.4203920000000001</v>
      </c>
      <c r="AR59">
        <v>2.910231</v>
      </c>
      <c r="AS59">
        <v>1.7556400000000001</v>
      </c>
      <c r="AT59">
        <v>2.2000220000000001</v>
      </c>
      <c r="AW59">
        <v>3.17842</v>
      </c>
      <c r="AX59" s="176">
        <v>4.4087730000000001</v>
      </c>
      <c r="BA59">
        <v>2.0893790000000001</v>
      </c>
      <c r="BB59">
        <v>1.9724200000000001</v>
      </c>
      <c r="BD59">
        <v>3.2348400000000002</v>
      </c>
      <c r="BF59">
        <v>3.4684720000000002</v>
      </c>
      <c r="BG59">
        <v>2.078281</v>
      </c>
      <c r="BH59">
        <v>2.7356980000000002</v>
      </c>
      <c r="BI59">
        <v>2.9686699999999999</v>
      </c>
      <c r="BJ59">
        <v>2.2512289999999999</v>
      </c>
      <c r="BK59">
        <v>3.061531</v>
      </c>
      <c r="BL59">
        <v>2.3703210000000001</v>
      </c>
      <c r="BM59">
        <v>2.1785929999999998</v>
      </c>
    </row>
    <row r="60" spans="2:71" x14ac:dyDescent="0.25">
      <c r="B60">
        <v>46</v>
      </c>
      <c r="C60" t="s">
        <v>595</v>
      </c>
      <c r="D60">
        <v>2.860074</v>
      </c>
      <c r="E60">
        <v>1.841005</v>
      </c>
      <c r="H60">
        <v>1.863</v>
      </c>
      <c r="J60">
        <v>2.67903</v>
      </c>
      <c r="K60">
        <v>2.3995099999999998</v>
      </c>
      <c r="L60">
        <v>1.219724</v>
      </c>
      <c r="M60">
        <v>3.0937350000000001</v>
      </c>
      <c r="N60">
        <v>2.4981499999999999</v>
      </c>
      <c r="O60">
        <v>2.7465540000000002</v>
      </c>
      <c r="Q60">
        <v>2.8878219999999999</v>
      </c>
      <c r="R60">
        <v>2.8815080000000002</v>
      </c>
      <c r="V60">
        <v>3.393491</v>
      </c>
      <c r="W60">
        <v>2.7304930000000001</v>
      </c>
      <c r="X60">
        <v>2.5180790000000002</v>
      </c>
      <c r="Y60">
        <v>2.406533</v>
      </c>
      <c r="Z60">
        <v>3.320128</v>
      </c>
      <c r="AA60">
        <v>3.429233</v>
      </c>
      <c r="AB60">
        <v>3.9354640000000001</v>
      </c>
      <c r="AF60">
        <f>'User Add-In Location'!E61</f>
        <v>0</v>
      </c>
      <c r="AI60">
        <v>3.2317800000000001</v>
      </c>
      <c r="AJ60">
        <v>2.7611859999999999</v>
      </c>
      <c r="AL60">
        <v>2.6264240000000001</v>
      </c>
      <c r="AM60">
        <v>2.2686639999999998</v>
      </c>
      <c r="AO60">
        <v>3.0661320000000001</v>
      </c>
      <c r="AQ60">
        <v>2.2188629999999998</v>
      </c>
      <c r="AR60">
        <v>2.9648859999999999</v>
      </c>
      <c r="AS60">
        <v>2.0897950000000001</v>
      </c>
      <c r="AT60">
        <v>2.0377130000000001</v>
      </c>
      <c r="AW60">
        <v>2.5410509999999999</v>
      </c>
      <c r="AX60" s="176">
        <v>3.697514</v>
      </c>
      <c r="BA60">
        <v>2.6787920000000001</v>
      </c>
      <c r="BB60">
        <v>2.1071749999999998</v>
      </c>
      <c r="BD60">
        <v>3.3060049999999999</v>
      </c>
      <c r="BF60">
        <v>2.8368500000000001</v>
      </c>
      <c r="BG60">
        <v>1.8867119999999999</v>
      </c>
      <c r="BH60">
        <v>2.7624219999999999</v>
      </c>
      <c r="BI60">
        <v>3.183195</v>
      </c>
      <c r="BJ60">
        <v>2.7017669999999998</v>
      </c>
      <c r="BK60">
        <v>2.6071390000000001</v>
      </c>
      <c r="BL60">
        <v>2.6757059999999999</v>
      </c>
      <c r="BM60">
        <v>2.6005790000000002</v>
      </c>
    </row>
    <row r="61" spans="2:71" x14ac:dyDescent="0.25">
      <c r="B61">
        <v>47</v>
      </c>
      <c r="C61" t="s">
        <v>417</v>
      </c>
      <c r="D61">
        <v>2.484756</v>
      </c>
      <c r="E61">
        <v>2.1143519999999998</v>
      </c>
      <c r="H61">
        <v>2.1107809999999998</v>
      </c>
      <c r="J61">
        <v>2.2350910000000002</v>
      </c>
      <c r="K61">
        <v>1.826168</v>
      </c>
      <c r="L61">
        <v>1.378387</v>
      </c>
      <c r="M61">
        <v>2.6133660000000001</v>
      </c>
      <c r="N61">
        <v>2.084082</v>
      </c>
      <c r="O61">
        <v>2.3662700000000001</v>
      </c>
      <c r="Q61">
        <v>2.3737759999999999</v>
      </c>
      <c r="R61">
        <v>2.6375609999999998</v>
      </c>
      <c r="V61">
        <v>2.5522719999999999</v>
      </c>
      <c r="W61">
        <v>2.5048530000000002</v>
      </c>
      <c r="X61">
        <v>2.248707</v>
      </c>
      <c r="Y61">
        <v>1.9816609999999999</v>
      </c>
      <c r="Z61">
        <v>2.4014519999999999</v>
      </c>
      <c r="AA61">
        <v>2.7045729999999999</v>
      </c>
      <c r="AB61">
        <v>3.0144299999999999</v>
      </c>
      <c r="AF61">
        <f>'User Add-In Location'!E62</f>
        <v>0</v>
      </c>
      <c r="AI61">
        <v>2.4041640000000002</v>
      </c>
      <c r="AJ61">
        <v>2.008591</v>
      </c>
      <c r="AL61">
        <v>2.1719430000000002</v>
      </c>
      <c r="AM61">
        <v>2.3094190000000001</v>
      </c>
      <c r="AO61">
        <v>2.1370130000000001</v>
      </c>
      <c r="AQ61">
        <v>2.383057</v>
      </c>
      <c r="AR61">
        <v>2.7127530000000002</v>
      </c>
      <c r="AS61">
        <v>1.574684</v>
      </c>
      <c r="AT61">
        <v>1.882838</v>
      </c>
      <c r="AW61">
        <v>2.719903</v>
      </c>
      <c r="AX61" s="176">
        <v>4.0651840000000004</v>
      </c>
      <c r="BA61">
        <v>2.412906</v>
      </c>
      <c r="BB61">
        <v>1.770672</v>
      </c>
      <c r="BD61">
        <v>2.6211359999999999</v>
      </c>
      <c r="BF61">
        <v>2.973579</v>
      </c>
      <c r="BG61">
        <v>2.1105070000000001</v>
      </c>
      <c r="BH61">
        <v>2.4236010000000001</v>
      </c>
      <c r="BI61">
        <v>2.6279840000000001</v>
      </c>
      <c r="BJ61">
        <v>2.1581769999999998</v>
      </c>
      <c r="BK61">
        <v>2.5599560000000001</v>
      </c>
      <c r="BL61">
        <v>2.221015</v>
      </c>
      <c r="BM61">
        <v>2.172898</v>
      </c>
    </row>
    <row r="62" spans="2:71" x14ac:dyDescent="0.25">
      <c r="B62">
        <v>48</v>
      </c>
      <c r="C62" t="s">
        <v>418</v>
      </c>
      <c r="D62">
        <v>2.5082249999999999</v>
      </c>
      <c r="E62">
        <v>1.9014180000000001</v>
      </c>
      <c r="H62">
        <v>1.8187759999999999</v>
      </c>
      <c r="J62">
        <v>1.9116960000000001</v>
      </c>
      <c r="K62">
        <v>2.1851669999999999</v>
      </c>
      <c r="L62">
        <v>1.2314099999999999</v>
      </c>
      <c r="M62">
        <v>2.765997</v>
      </c>
      <c r="N62">
        <v>2.3598349999999999</v>
      </c>
      <c r="O62">
        <v>1.972696</v>
      </c>
      <c r="Q62">
        <v>2.2653940000000001</v>
      </c>
      <c r="R62">
        <v>2.6945100000000002</v>
      </c>
      <c r="V62">
        <v>2.6438809999999999</v>
      </c>
      <c r="W62">
        <v>2.659103</v>
      </c>
      <c r="X62">
        <v>2.2525390000000001</v>
      </c>
      <c r="Y62">
        <v>2.0566049999999998</v>
      </c>
      <c r="Z62">
        <v>2.5907849999999999</v>
      </c>
      <c r="AA62">
        <v>2.5786899999999999</v>
      </c>
      <c r="AB62">
        <v>2.8285</v>
      </c>
      <c r="AF62">
        <f>'User Add-In Location'!E63</f>
        <v>0</v>
      </c>
      <c r="AI62">
        <v>2.175926</v>
      </c>
      <c r="AJ62">
        <v>2.100158</v>
      </c>
      <c r="AL62">
        <v>1.7966850000000001</v>
      </c>
      <c r="AM62">
        <v>2.4084789999999998</v>
      </c>
      <c r="AO62">
        <v>2.5790959999999998</v>
      </c>
      <c r="AQ62">
        <v>2.717298</v>
      </c>
      <c r="AR62">
        <v>2.5784220000000002</v>
      </c>
      <c r="AS62">
        <v>1.8609059999999999</v>
      </c>
      <c r="AT62">
        <v>2.1932480000000001</v>
      </c>
      <c r="AW62">
        <v>2.6381579999999998</v>
      </c>
      <c r="AX62" s="176">
        <v>3.3333300000000001</v>
      </c>
      <c r="BA62">
        <v>2.2586529999999998</v>
      </c>
      <c r="BB62">
        <v>1.2073039999999999</v>
      </c>
      <c r="BD62">
        <v>2.773307</v>
      </c>
      <c r="BF62">
        <v>2.8351060000000001</v>
      </c>
      <c r="BG62">
        <v>1.8045580000000001</v>
      </c>
      <c r="BH62">
        <v>2.2970679999999999</v>
      </c>
      <c r="BI62">
        <v>2.4800399999999998</v>
      </c>
      <c r="BJ62">
        <v>2.0005600000000001</v>
      </c>
      <c r="BK62">
        <v>2.5733250000000001</v>
      </c>
      <c r="BL62">
        <v>2.2210800000000002</v>
      </c>
      <c r="BM62">
        <v>1.9122600000000001</v>
      </c>
    </row>
    <row r="63" spans="2:71" x14ac:dyDescent="0.25">
      <c r="B63">
        <v>49</v>
      </c>
      <c r="C63" t="s">
        <v>596</v>
      </c>
      <c r="D63">
        <v>2.9611329999999998</v>
      </c>
      <c r="E63">
        <v>2.181613</v>
      </c>
      <c r="H63">
        <v>2.2493539999999999</v>
      </c>
      <c r="J63">
        <v>2.1761309999999998</v>
      </c>
      <c r="K63">
        <v>2.6558449999999998</v>
      </c>
      <c r="L63">
        <v>2.31474</v>
      </c>
      <c r="M63">
        <v>2.8104610000000001</v>
      </c>
      <c r="N63">
        <v>2.5117389999999999</v>
      </c>
      <c r="O63">
        <v>1.6026320000000001</v>
      </c>
      <c r="Q63">
        <v>2.68777</v>
      </c>
      <c r="R63">
        <v>2.8841199999999998</v>
      </c>
      <c r="V63">
        <v>3.1104949999999998</v>
      </c>
      <c r="W63">
        <v>2.882587</v>
      </c>
      <c r="X63">
        <v>2.7276899999999999</v>
      </c>
      <c r="Y63">
        <v>2.4478550000000001</v>
      </c>
      <c r="Z63">
        <v>2.633149</v>
      </c>
      <c r="AA63">
        <v>2.851315</v>
      </c>
      <c r="AB63">
        <v>3.5168050000000002</v>
      </c>
      <c r="AF63">
        <f>'User Add-In Location'!E64</f>
        <v>0</v>
      </c>
      <c r="AI63">
        <v>2.3113380000000001</v>
      </c>
      <c r="AJ63">
        <v>2.1780279999999999</v>
      </c>
      <c r="AL63">
        <v>2.051749</v>
      </c>
      <c r="AM63">
        <v>2.790333</v>
      </c>
      <c r="AO63">
        <v>2.617772</v>
      </c>
      <c r="AQ63">
        <v>2.7659820000000002</v>
      </c>
      <c r="AR63">
        <v>3.0746349999999998</v>
      </c>
      <c r="AS63">
        <v>2.3118370000000001</v>
      </c>
      <c r="AT63">
        <v>2.676898</v>
      </c>
      <c r="AW63">
        <v>3.0440140000000002</v>
      </c>
      <c r="AX63" s="176">
        <v>3.800665</v>
      </c>
      <c r="BA63">
        <v>2.8534860000000002</v>
      </c>
      <c r="BB63">
        <v>1.8684860000000001</v>
      </c>
      <c r="BD63">
        <v>2.7397130000000001</v>
      </c>
      <c r="BF63">
        <v>3.2107109999999999</v>
      </c>
      <c r="BG63">
        <v>2.2615180000000001</v>
      </c>
      <c r="BH63">
        <v>2.6478540000000002</v>
      </c>
      <c r="BI63">
        <v>2.7743139999999999</v>
      </c>
      <c r="BJ63">
        <v>2.2189260000000002</v>
      </c>
      <c r="BK63">
        <v>2.973751</v>
      </c>
      <c r="BL63">
        <v>2.567806</v>
      </c>
      <c r="BM63">
        <v>2.2582260000000001</v>
      </c>
    </row>
    <row r="64" spans="2:71" x14ac:dyDescent="0.25">
      <c r="B64">
        <v>50</v>
      </c>
      <c r="C64" t="s">
        <v>597</v>
      </c>
      <c r="D64">
        <v>4.0402240000000003</v>
      </c>
      <c r="E64">
        <v>2.8671470000000001</v>
      </c>
      <c r="H64">
        <v>3.2924069999999999</v>
      </c>
      <c r="J64">
        <v>3.2757010000000002</v>
      </c>
      <c r="K64">
        <v>4.1123329999999996</v>
      </c>
      <c r="L64">
        <v>2.7749510000000002</v>
      </c>
      <c r="M64">
        <v>3.8447</v>
      </c>
      <c r="N64">
        <v>4.3781809999999997</v>
      </c>
      <c r="O64">
        <v>2.9798879999999999</v>
      </c>
      <c r="Q64">
        <v>4.0451560000000004</v>
      </c>
      <c r="R64">
        <v>4.0088030000000003</v>
      </c>
      <c r="V64">
        <v>4.6684890000000001</v>
      </c>
      <c r="W64">
        <v>4.8448859999999998</v>
      </c>
      <c r="X64">
        <v>3.6802890000000001</v>
      </c>
      <c r="Y64">
        <v>3.4769939999999999</v>
      </c>
      <c r="Z64">
        <v>4.1139869999999998</v>
      </c>
      <c r="AA64">
        <v>2.46435</v>
      </c>
      <c r="AB64">
        <v>4.7138010000000001</v>
      </c>
      <c r="AF64">
        <f>'User Add-In Location'!E65</f>
        <v>0</v>
      </c>
      <c r="AI64">
        <v>1.960461</v>
      </c>
      <c r="AJ64">
        <v>2.9746570000000001</v>
      </c>
      <c r="AL64">
        <v>3.1601370000000002</v>
      </c>
      <c r="AM64">
        <v>4.336843</v>
      </c>
      <c r="AO64">
        <v>3.862663</v>
      </c>
      <c r="AQ64">
        <v>3.9097200000000001</v>
      </c>
      <c r="AR64">
        <v>4.7188970000000001</v>
      </c>
      <c r="AS64">
        <v>3.4717039999999999</v>
      </c>
      <c r="AT64">
        <v>4.0650539999999999</v>
      </c>
      <c r="AW64">
        <v>4.3110660000000003</v>
      </c>
      <c r="AX64" s="176">
        <v>5.5497259999999997</v>
      </c>
      <c r="BA64">
        <v>2.9410050000000001</v>
      </c>
      <c r="BB64">
        <v>2.9552550000000002</v>
      </c>
      <c r="BD64">
        <v>4.7678440000000002</v>
      </c>
      <c r="BF64">
        <v>4.4629159999999999</v>
      </c>
      <c r="BG64">
        <v>3.3521719999999999</v>
      </c>
      <c r="BH64">
        <v>3.6732070000000001</v>
      </c>
      <c r="BI64">
        <v>3.9648400000000001</v>
      </c>
      <c r="BJ64">
        <v>3.2404259999999998</v>
      </c>
      <c r="BK64">
        <v>3.8497979999999998</v>
      </c>
      <c r="BL64">
        <v>3.7044160000000002</v>
      </c>
      <c r="BM64">
        <v>3.4024420000000002</v>
      </c>
    </row>
    <row r="65" spans="1:65" x14ac:dyDescent="0.25">
      <c r="B65">
        <v>51</v>
      </c>
      <c r="C65" t="s">
        <v>598</v>
      </c>
      <c r="D65">
        <v>2.4574910000000001</v>
      </c>
      <c r="E65">
        <v>1.6785840000000001</v>
      </c>
      <c r="H65">
        <v>1.6406890000000001</v>
      </c>
      <c r="J65">
        <v>1.690752</v>
      </c>
      <c r="K65">
        <v>1.561566</v>
      </c>
      <c r="L65">
        <v>1.290254</v>
      </c>
      <c r="M65">
        <v>2.6980189999999999</v>
      </c>
      <c r="N65">
        <v>2.2050109999999998</v>
      </c>
      <c r="O65">
        <v>1.6402429999999999</v>
      </c>
      <c r="Q65">
        <v>2.124431</v>
      </c>
      <c r="R65">
        <v>2.339213</v>
      </c>
      <c r="V65">
        <v>2.6431939999999998</v>
      </c>
      <c r="W65">
        <v>2.3092609999999998</v>
      </c>
      <c r="X65">
        <v>1.8997790000000001</v>
      </c>
      <c r="Y65">
        <v>1.74102</v>
      </c>
      <c r="Z65">
        <v>2.3741919999999999</v>
      </c>
      <c r="AA65">
        <v>2.3258740000000002</v>
      </c>
      <c r="AB65">
        <v>2.7776580000000002</v>
      </c>
      <c r="AF65">
        <f>'User Add-In Location'!E66</f>
        <v>0</v>
      </c>
      <c r="AI65">
        <v>1.9228829999999999</v>
      </c>
      <c r="AJ65">
        <v>1.8538319999999999</v>
      </c>
      <c r="AL65">
        <v>1.5157970000000001</v>
      </c>
      <c r="AM65">
        <v>2.1601590000000002</v>
      </c>
      <c r="AO65">
        <v>2.2947129999999998</v>
      </c>
      <c r="AQ65">
        <v>2.1602610000000002</v>
      </c>
      <c r="AR65">
        <v>2.1297920000000001</v>
      </c>
      <c r="AS65">
        <v>1.821626</v>
      </c>
      <c r="AT65">
        <v>2.1306210000000001</v>
      </c>
      <c r="AW65">
        <v>2.5464530000000001</v>
      </c>
      <c r="AX65" s="176">
        <v>3.0765120000000001</v>
      </c>
      <c r="BA65">
        <v>2.0737779999999999</v>
      </c>
      <c r="BB65">
        <v>1.3623559999999999</v>
      </c>
      <c r="BD65">
        <v>2.291687</v>
      </c>
      <c r="BF65">
        <v>2.7670870000000001</v>
      </c>
      <c r="BG65">
        <v>1.6635200000000001</v>
      </c>
      <c r="BH65">
        <v>1.99794</v>
      </c>
      <c r="BI65">
        <v>2.127678</v>
      </c>
      <c r="BJ65">
        <v>1.689986</v>
      </c>
      <c r="BK65">
        <v>2.3777180000000002</v>
      </c>
      <c r="BL65">
        <v>1.895721</v>
      </c>
      <c r="BM65">
        <v>1.6296900000000001</v>
      </c>
    </row>
    <row r="66" spans="1:65" x14ac:dyDescent="0.25">
      <c r="B66">
        <v>52</v>
      </c>
      <c r="C66" t="s">
        <v>599</v>
      </c>
      <c r="D66">
        <v>2.892604</v>
      </c>
      <c r="E66">
        <v>2.135516</v>
      </c>
      <c r="H66">
        <v>2.0754429999999999</v>
      </c>
      <c r="J66">
        <v>2.4048389999999999</v>
      </c>
      <c r="K66">
        <v>2.1187170000000002</v>
      </c>
      <c r="L66">
        <v>1.381278</v>
      </c>
      <c r="M66">
        <v>2.7986770000000001</v>
      </c>
      <c r="N66">
        <v>2.599091</v>
      </c>
      <c r="O66">
        <v>1.8418909999999999</v>
      </c>
      <c r="Q66">
        <v>2.4538519999999999</v>
      </c>
      <c r="R66">
        <v>2.660091</v>
      </c>
      <c r="V66">
        <v>3.0321470000000001</v>
      </c>
      <c r="W66">
        <v>3.1850649999999998</v>
      </c>
      <c r="X66">
        <v>2.4232870000000002</v>
      </c>
      <c r="Y66">
        <v>2.2839999999999998</v>
      </c>
      <c r="Z66">
        <v>2.4671439999999998</v>
      </c>
      <c r="AA66">
        <v>2.8085059999999999</v>
      </c>
      <c r="AB66">
        <v>3.2661199999999999</v>
      </c>
      <c r="AF66">
        <f>'User Add-In Location'!E67</f>
        <v>0</v>
      </c>
      <c r="AI66">
        <v>3.0043530000000001</v>
      </c>
      <c r="AJ66">
        <v>2.1967840000000001</v>
      </c>
      <c r="AL66">
        <v>2.0268099999999998</v>
      </c>
      <c r="AM66">
        <v>2.8095889999999999</v>
      </c>
      <c r="AO66">
        <v>2.3515950000000001</v>
      </c>
      <c r="AQ66">
        <v>2.726413</v>
      </c>
      <c r="AR66">
        <v>2.671586</v>
      </c>
      <c r="AS66">
        <v>2.008092</v>
      </c>
      <c r="AT66">
        <v>2.2709670000000002</v>
      </c>
      <c r="AW66">
        <v>2.9912570000000001</v>
      </c>
      <c r="AX66" s="176">
        <v>3.89812</v>
      </c>
      <c r="BA66">
        <v>2.3482500000000002</v>
      </c>
      <c r="BB66">
        <v>1.6825399999999999</v>
      </c>
      <c r="BD66">
        <v>2.6982249999999999</v>
      </c>
      <c r="BF66">
        <v>3.1858780000000002</v>
      </c>
      <c r="BG66">
        <v>2.1028959999999999</v>
      </c>
      <c r="BH66">
        <v>2.611834</v>
      </c>
      <c r="BI66">
        <v>2.6332469999999999</v>
      </c>
      <c r="BJ66">
        <v>2.2061009999999999</v>
      </c>
      <c r="BK66">
        <v>2.846822</v>
      </c>
      <c r="BL66">
        <v>2.5963470000000002</v>
      </c>
      <c r="BM66">
        <v>2.1975669999999998</v>
      </c>
    </row>
    <row r="67" spans="1:65" x14ac:dyDescent="0.25">
      <c r="B67">
        <v>53</v>
      </c>
      <c r="C67" t="s">
        <v>423</v>
      </c>
      <c r="D67">
        <v>2.7583600000000001</v>
      </c>
      <c r="E67">
        <v>2.109397</v>
      </c>
      <c r="H67">
        <v>2.1965279999999998</v>
      </c>
      <c r="J67">
        <v>1.4170830000000001</v>
      </c>
      <c r="K67">
        <v>0.74925200000000003</v>
      </c>
      <c r="L67">
        <v>1.1974359999999999</v>
      </c>
      <c r="M67">
        <v>3.808732</v>
      </c>
      <c r="N67">
        <v>2.261736</v>
      </c>
      <c r="O67">
        <v>2.3942100000000002</v>
      </c>
      <c r="Q67">
        <v>2.152253</v>
      </c>
      <c r="R67">
        <v>2.3175680000000001</v>
      </c>
      <c r="V67">
        <v>2.9482149999999998</v>
      </c>
      <c r="W67">
        <v>2.4055080000000002</v>
      </c>
      <c r="X67">
        <v>2.2649870000000001</v>
      </c>
      <c r="Y67">
        <v>1.676844</v>
      </c>
      <c r="Z67">
        <v>2.8772259999999998</v>
      </c>
      <c r="AA67">
        <v>2.5824560000000001</v>
      </c>
      <c r="AB67">
        <v>3.1342919999999999</v>
      </c>
      <c r="AF67">
        <f>'User Add-In Location'!E68</f>
        <v>0</v>
      </c>
      <c r="AI67">
        <v>1.861945</v>
      </c>
      <c r="AJ67">
        <v>2.3695889999999999</v>
      </c>
      <c r="AL67">
        <v>0.90941499999999997</v>
      </c>
      <c r="AM67">
        <v>1.8037559999999999</v>
      </c>
      <c r="AO67">
        <v>2.0821109999999998</v>
      </c>
      <c r="AQ67">
        <v>2.8255680000000001</v>
      </c>
      <c r="AR67">
        <v>2.9058410000000001</v>
      </c>
      <c r="AS67">
        <v>2.0063140000000002</v>
      </c>
      <c r="AT67">
        <v>2.6784029999999999</v>
      </c>
      <c r="AW67">
        <v>3.281844</v>
      </c>
      <c r="AX67" s="176">
        <v>3.6514220000000002</v>
      </c>
      <c r="BA67">
        <v>2.4392849999999999</v>
      </c>
      <c r="BB67">
        <v>1.965066</v>
      </c>
      <c r="BD67">
        <v>2.553642</v>
      </c>
      <c r="BF67">
        <v>3.566538</v>
      </c>
      <c r="BG67">
        <v>2.2619500000000001</v>
      </c>
      <c r="BH67">
        <v>1.6825760000000001</v>
      </c>
      <c r="BI67">
        <v>1.87493</v>
      </c>
      <c r="BJ67">
        <v>1.2424770000000001</v>
      </c>
      <c r="BK67">
        <v>2.5140169999999999</v>
      </c>
      <c r="BL67">
        <v>1.834667</v>
      </c>
      <c r="BM67">
        <v>1.128374</v>
      </c>
    </row>
    <row r="68" spans="1:65" x14ac:dyDescent="0.25">
      <c r="B68">
        <v>54</v>
      </c>
      <c r="C68" t="s">
        <v>600</v>
      </c>
      <c r="D68">
        <v>2.3492540000000002</v>
      </c>
      <c r="E68">
        <v>1.949041</v>
      </c>
      <c r="H68">
        <v>1.480656</v>
      </c>
      <c r="J68">
        <v>1.7529410000000001</v>
      </c>
      <c r="K68">
        <v>1.459633</v>
      </c>
      <c r="L68">
        <v>0.92101299999999997</v>
      </c>
      <c r="M68">
        <v>2.7178490000000002</v>
      </c>
      <c r="N68">
        <v>2.1898960000000001</v>
      </c>
      <c r="O68">
        <v>1.970688</v>
      </c>
      <c r="Q68">
        <v>1.866765</v>
      </c>
      <c r="R68">
        <v>2.1629770000000001</v>
      </c>
      <c r="V68">
        <v>2.7410459999999999</v>
      </c>
      <c r="W68">
        <v>2.4787050000000002</v>
      </c>
      <c r="X68">
        <v>1.925856</v>
      </c>
      <c r="Y68">
        <v>1.578308</v>
      </c>
      <c r="Z68">
        <v>2.4552580000000002</v>
      </c>
      <c r="AA68">
        <v>2.290368</v>
      </c>
      <c r="AB68">
        <v>3.0117479999999999</v>
      </c>
      <c r="AF68">
        <f>'User Add-In Location'!E69</f>
        <v>0</v>
      </c>
      <c r="AI68">
        <v>1.893545</v>
      </c>
      <c r="AJ68">
        <v>1.7527919999999999</v>
      </c>
      <c r="AL68">
        <v>1.394987</v>
      </c>
      <c r="AM68">
        <v>1.928002</v>
      </c>
      <c r="AO68">
        <v>2.438399</v>
      </c>
      <c r="AQ68">
        <v>2.3212830000000002</v>
      </c>
      <c r="AR68">
        <v>2.2522899999999999</v>
      </c>
      <c r="AS68">
        <v>1.8506260000000001</v>
      </c>
      <c r="AT68">
        <v>2.0980259999999999</v>
      </c>
      <c r="AW68">
        <v>2.2527240000000002</v>
      </c>
      <c r="AX68" s="176">
        <v>2.8736449999999998</v>
      </c>
      <c r="BA68">
        <v>1.708555</v>
      </c>
      <c r="BB68">
        <v>1.1816949999999999</v>
      </c>
      <c r="BD68">
        <v>2.4598710000000001</v>
      </c>
      <c r="BF68">
        <v>2.588352</v>
      </c>
      <c r="BG68">
        <v>1.51241</v>
      </c>
      <c r="BH68">
        <v>1.851529</v>
      </c>
      <c r="BI68">
        <v>2.0524369999999998</v>
      </c>
      <c r="BJ68">
        <v>1.588668</v>
      </c>
      <c r="BK68">
        <v>2.1464949999999998</v>
      </c>
      <c r="BL68">
        <v>1.7404630000000001</v>
      </c>
      <c r="BM68">
        <v>1.515466</v>
      </c>
    </row>
    <row r="69" spans="1:65" x14ac:dyDescent="0.25">
      <c r="B69">
        <v>55</v>
      </c>
      <c r="C69" t="s">
        <v>601</v>
      </c>
      <c r="D69">
        <v>3.0811649999999999</v>
      </c>
      <c r="E69">
        <v>1.942062</v>
      </c>
      <c r="H69">
        <v>1.725622</v>
      </c>
      <c r="J69">
        <v>1.8419399999999999</v>
      </c>
      <c r="K69">
        <v>2.2059739999999999</v>
      </c>
      <c r="L69">
        <v>1.0522009999999999</v>
      </c>
      <c r="M69">
        <v>2.5621</v>
      </c>
      <c r="N69">
        <v>2.6919390000000001</v>
      </c>
      <c r="O69">
        <v>1.3860920000000001</v>
      </c>
      <c r="Q69">
        <v>2.1313230000000001</v>
      </c>
      <c r="R69">
        <v>2.6044870000000002</v>
      </c>
      <c r="V69">
        <v>2.8255629999999998</v>
      </c>
      <c r="W69">
        <v>2.356957</v>
      </c>
      <c r="X69">
        <v>2.02441</v>
      </c>
      <c r="Y69">
        <v>1.688679</v>
      </c>
      <c r="Z69">
        <v>2.6926589999999999</v>
      </c>
      <c r="AA69">
        <v>2.742991</v>
      </c>
      <c r="AB69">
        <v>3.252767</v>
      </c>
      <c r="AF69">
        <f>'User Add-In Location'!E70</f>
        <v>0</v>
      </c>
      <c r="AI69">
        <v>1.974853</v>
      </c>
      <c r="AJ69">
        <v>2.0294759999999998</v>
      </c>
      <c r="AL69">
        <v>1.3980269999999999</v>
      </c>
      <c r="AM69">
        <v>2.4776280000000002</v>
      </c>
      <c r="AO69">
        <v>2.612975</v>
      </c>
      <c r="AQ69">
        <v>2.5214289999999999</v>
      </c>
      <c r="AR69">
        <v>2.4678040000000001</v>
      </c>
      <c r="AS69">
        <v>1.782635</v>
      </c>
      <c r="AT69">
        <v>2.3302740000000002</v>
      </c>
      <c r="AW69">
        <v>2.874568</v>
      </c>
      <c r="AX69" s="176">
        <v>3.2685740000000001</v>
      </c>
      <c r="BA69">
        <v>2.4768409999999998</v>
      </c>
      <c r="BB69">
        <v>1.4207369999999999</v>
      </c>
      <c r="BD69">
        <v>2.8751720000000001</v>
      </c>
      <c r="BF69">
        <v>2.9754239999999998</v>
      </c>
      <c r="BG69">
        <v>1.7566870000000001</v>
      </c>
      <c r="BH69">
        <v>2.128606</v>
      </c>
      <c r="BI69">
        <v>2.2730760000000001</v>
      </c>
      <c r="BJ69">
        <v>1.6664699999999999</v>
      </c>
      <c r="BK69">
        <v>2.7829579999999998</v>
      </c>
      <c r="BL69">
        <v>1.881305</v>
      </c>
      <c r="BM69">
        <v>1.551018</v>
      </c>
    </row>
    <row r="70" spans="1:65" x14ac:dyDescent="0.25">
      <c r="B70">
        <v>56</v>
      </c>
      <c r="C70" t="s">
        <v>602</v>
      </c>
      <c r="D70">
        <v>0.40648600000000001</v>
      </c>
      <c r="E70">
        <v>7.6494000000000006E-2</v>
      </c>
      <c r="H70">
        <v>0.35098200000000002</v>
      </c>
      <c r="J70">
        <v>0.45294299999999998</v>
      </c>
      <c r="K70">
        <v>5.7589000000000001E-2</v>
      </c>
      <c r="L70">
        <v>2.7307000000000001E-2</v>
      </c>
      <c r="M70">
        <v>0.40294000000000002</v>
      </c>
      <c r="N70">
        <v>0.12831000000000001</v>
      </c>
      <c r="O70">
        <v>0.180255</v>
      </c>
      <c r="Q70">
        <v>0.116254</v>
      </c>
      <c r="R70">
        <v>0.284414</v>
      </c>
      <c r="V70">
        <v>0.46150400000000003</v>
      </c>
      <c r="W70">
        <v>0.40373900000000001</v>
      </c>
      <c r="X70">
        <v>6.7442000000000002E-2</v>
      </c>
      <c r="Y70">
        <v>6.6647999999999999E-2</v>
      </c>
      <c r="Z70">
        <v>0.28299600000000003</v>
      </c>
      <c r="AA70">
        <v>0.46495900000000001</v>
      </c>
      <c r="AB70">
        <v>0.377805</v>
      </c>
      <c r="AF70">
        <f>'User Add-In Location'!E71</f>
        <v>0</v>
      </c>
      <c r="AI70">
        <v>0.21254200000000001</v>
      </c>
      <c r="AJ70">
        <v>0.22356500000000001</v>
      </c>
      <c r="AL70">
        <v>0.22528899999999999</v>
      </c>
      <c r="AM70">
        <v>0.17346800000000001</v>
      </c>
      <c r="AO70">
        <v>0.24591399999999999</v>
      </c>
      <c r="AQ70">
        <v>0.45074700000000001</v>
      </c>
      <c r="AR70">
        <v>0.44436300000000001</v>
      </c>
      <c r="AS70">
        <v>9.0549000000000004E-2</v>
      </c>
      <c r="AT70">
        <v>0.23574100000000001</v>
      </c>
      <c r="AW70">
        <v>0.396287</v>
      </c>
      <c r="AX70" s="176">
        <v>0.479798</v>
      </c>
      <c r="BA70">
        <v>0.32841199999999998</v>
      </c>
      <c r="BB70">
        <v>0.39595200000000003</v>
      </c>
      <c r="BD70">
        <v>0.386764</v>
      </c>
      <c r="BF70">
        <v>0.43179600000000001</v>
      </c>
      <c r="BG70">
        <v>0.38183800000000001</v>
      </c>
      <c r="BH70">
        <v>0.22975899999999999</v>
      </c>
      <c r="BI70">
        <v>0.30515799999999998</v>
      </c>
      <c r="BJ70">
        <v>0.19681499999999999</v>
      </c>
      <c r="BK70">
        <v>0.25178800000000001</v>
      </c>
      <c r="BL70">
        <v>0.11828900000000001</v>
      </c>
      <c r="BM70">
        <v>0.21861</v>
      </c>
    </row>
    <row r="71" spans="1:65" x14ac:dyDescent="0.25">
      <c r="B71">
        <v>57</v>
      </c>
    </row>
    <row r="72" spans="1:65" x14ac:dyDescent="0.25">
      <c r="A72" t="s">
        <v>717</v>
      </c>
      <c r="B72">
        <v>58</v>
      </c>
      <c r="D72" s="174" t="s">
        <v>532</v>
      </c>
      <c r="E72" s="174" t="s">
        <v>680</v>
      </c>
      <c r="F72" s="174" t="s">
        <v>681</v>
      </c>
      <c r="G72" s="174" t="s">
        <v>682</v>
      </c>
      <c r="H72" s="174" t="s">
        <v>533</v>
      </c>
      <c r="I72" s="174" t="s">
        <v>683</v>
      </c>
      <c r="J72" s="174" t="s">
        <v>534</v>
      </c>
      <c r="K72" s="174" t="s">
        <v>535</v>
      </c>
      <c r="L72" s="174" t="s">
        <v>684</v>
      </c>
      <c r="M72" s="174" t="s">
        <v>536</v>
      </c>
      <c r="N72" s="174" t="s">
        <v>537</v>
      </c>
      <c r="O72" s="174" t="s">
        <v>538</v>
      </c>
      <c r="P72" s="174" t="s">
        <v>685</v>
      </c>
      <c r="Q72" s="174" t="s">
        <v>539</v>
      </c>
      <c r="R72" s="174" t="s">
        <v>540</v>
      </c>
      <c r="S72" s="174" t="s">
        <v>686</v>
      </c>
      <c r="T72" s="174" t="s">
        <v>687</v>
      </c>
      <c r="U72" s="174" t="s">
        <v>688</v>
      </c>
      <c r="V72" s="174" t="s">
        <v>541</v>
      </c>
      <c r="W72" s="174" t="s">
        <v>542</v>
      </c>
      <c r="X72" s="174" t="s">
        <v>543</v>
      </c>
      <c r="Y72" s="174" t="s">
        <v>544</v>
      </c>
      <c r="Z72" s="174" t="s">
        <v>545</v>
      </c>
      <c r="AA72" s="174" t="s">
        <v>546</v>
      </c>
      <c r="AB72" s="174" t="s">
        <v>549</v>
      </c>
      <c r="AC72" s="174" t="s">
        <v>689</v>
      </c>
      <c r="AD72" s="174" t="s">
        <v>690</v>
      </c>
      <c r="AE72" s="175" t="s">
        <v>691</v>
      </c>
      <c r="AF72" s="175" t="s">
        <v>1064</v>
      </c>
      <c r="AG72" s="174" t="s">
        <v>692</v>
      </c>
      <c r="AH72" s="174" t="s">
        <v>693</v>
      </c>
      <c r="AI72" s="174" t="s">
        <v>550</v>
      </c>
      <c r="AJ72" s="174" t="s">
        <v>551</v>
      </c>
      <c r="AK72" s="174" t="s">
        <v>694</v>
      </c>
      <c r="AL72" s="174" t="s">
        <v>695</v>
      </c>
      <c r="AM72" s="174" t="s">
        <v>553</v>
      </c>
      <c r="AN72" s="174" t="s">
        <v>696</v>
      </c>
      <c r="AO72" s="174" t="s">
        <v>554</v>
      </c>
      <c r="AP72" s="174" t="s">
        <v>697</v>
      </c>
      <c r="AQ72" s="174" t="s">
        <v>555</v>
      </c>
      <c r="AR72" s="174" t="s">
        <v>556</v>
      </c>
      <c r="AS72" s="174" t="s">
        <v>557</v>
      </c>
      <c r="AT72" s="174" t="s">
        <v>558</v>
      </c>
      <c r="AU72" s="174" t="s">
        <v>698</v>
      </c>
      <c r="AV72" s="174" t="s">
        <v>699</v>
      </c>
      <c r="AW72" s="174" t="s">
        <v>559</v>
      </c>
      <c r="AX72" s="174" t="s">
        <v>530</v>
      </c>
      <c r="AY72" s="174" t="s">
        <v>700</v>
      </c>
      <c r="AZ72" s="174" t="s">
        <v>701</v>
      </c>
      <c r="BA72" s="174" t="s">
        <v>560</v>
      </c>
      <c r="BB72" s="174" t="s">
        <v>561</v>
      </c>
      <c r="BC72" s="174" t="s">
        <v>702</v>
      </c>
      <c r="BD72" s="174" t="s">
        <v>562</v>
      </c>
      <c r="BE72" s="174" t="s">
        <v>703</v>
      </c>
      <c r="BF72" t="s">
        <v>704</v>
      </c>
      <c r="BG72" t="s">
        <v>705</v>
      </c>
      <c r="BH72" t="s">
        <v>706</v>
      </c>
      <c r="BI72" t="s">
        <v>707</v>
      </c>
      <c r="BJ72" t="s">
        <v>708</v>
      </c>
      <c r="BK72" t="s">
        <v>709</v>
      </c>
      <c r="BL72" t="s">
        <v>710</v>
      </c>
      <c r="BM72" t="s">
        <v>711</v>
      </c>
    </row>
    <row r="73" spans="1:65" x14ac:dyDescent="0.25">
      <c r="B73">
        <v>59</v>
      </c>
      <c r="C73" t="s">
        <v>400</v>
      </c>
      <c r="D73">
        <v>2.4557820000000001</v>
      </c>
      <c r="E73">
        <v>1.8186789999999999</v>
      </c>
      <c r="H73">
        <v>2.2953489999999999</v>
      </c>
      <c r="J73">
        <v>2.1135109999999999</v>
      </c>
      <c r="K73">
        <v>2.8170069999999998</v>
      </c>
      <c r="L73">
        <v>1.8074300000000001</v>
      </c>
      <c r="M73">
        <v>2.8884919999999998</v>
      </c>
      <c r="N73">
        <v>2.3960870000000001</v>
      </c>
      <c r="O73">
        <v>2.4687670000000002</v>
      </c>
      <c r="Q73">
        <v>2.3276530000000002</v>
      </c>
      <c r="R73">
        <v>2.444312</v>
      </c>
      <c r="V73">
        <v>2.6103420000000002</v>
      </c>
      <c r="W73">
        <v>3.7760449999999999</v>
      </c>
      <c r="X73">
        <v>1.7672129999999999</v>
      </c>
      <c r="Y73">
        <v>3.1279620000000001</v>
      </c>
      <c r="Z73">
        <v>2.0643419999999999</v>
      </c>
      <c r="AA73">
        <v>2.3828740000000002</v>
      </c>
      <c r="AB73">
        <v>3.0520420000000001</v>
      </c>
      <c r="AF73">
        <f>'User Add-In Location'!E74</f>
        <v>0</v>
      </c>
      <c r="AI73">
        <v>3.3810280000000001</v>
      </c>
      <c r="AJ73">
        <v>2.4266169999999998</v>
      </c>
      <c r="AL73">
        <v>1.459382</v>
      </c>
      <c r="AM73">
        <v>2.2260450000000001</v>
      </c>
      <c r="AO73">
        <v>2.061375</v>
      </c>
      <c r="AQ73">
        <v>2.9963380000000002</v>
      </c>
      <c r="AR73">
        <v>2.560819</v>
      </c>
      <c r="AS73">
        <v>3.2753649999999999</v>
      </c>
      <c r="AT73">
        <v>1.3809670000000001</v>
      </c>
      <c r="AW73">
        <v>2.0392139999999999</v>
      </c>
      <c r="AX73" s="176">
        <v>4.4978670000000003</v>
      </c>
      <c r="BA73">
        <v>1.632001</v>
      </c>
      <c r="BB73">
        <v>1.977117</v>
      </c>
      <c r="BD73">
        <v>1.9031469999999999</v>
      </c>
      <c r="BF73">
        <v>2.840605</v>
      </c>
      <c r="BG73">
        <v>2.3414160000000002</v>
      </c>
      <c r="BH73">
        <v>2.3826939999999999</v>
      </c>
      <c r="BI73">
        <v>2.2229969999999999</v>
      </c>
      <c r="BJ73">
        <v>1.9508430000000001</v>
      </c>
      <c r="BK73">
        <v>2.4822769999999998</v>
      </c>
      <c r="BL73">
        <v>3.3681679999999998</v>
      </c>
      <c r="BM73">
        <v>1.9077170000000001</v>
      </c>
    </row>
    <row r="74" spans="1:65" x14ac:dyDescent="0.25">
      <c r="B74">
        <v>60</v>
      </c>
      <c r="C74" t="s">
        <v>583</v>
      </c>
      <c r="D74">
        <v>1.921859</v>
      </c>
      <c r="E74">
        <v>1.649014</v>
      </c>
      <c r="H74">
        <v>1.529126</v>
      </c>
      <c r="J74">
        <v>2.1345890000000001</v>
      </c>
      <c r="K74">
        <v>1.3464210000000001</v>
      </c>
      <c r="L74">
        <v>1.3055270000000001</v>
      </c>
      <c r="M74">
        <v>2.0331920000000001</v>
      </c>
      <c r="N74">
        <v>2.2216689999999999</v>
      </c>
      <c r="O74">
        <v>1.1023689999999999</v>
      </c>
      <c r="Q74">
        <v>2.4150900000000002</v>
      </c>
      <c r="R74">
        <v>1.9068210000000001</v>
      </c>
      <c r="V74">
        <v>2.72817</v>
      </c>
      <c r="W74">
        <v>1.7132099999999999</v>
      </c>
      <c r="X74">
        <v>1.542969</v>
      </c>
      <c r="Y74">
        <v>2.189527</v>
      </c>
      <c r="Z74">
        <v>2.2003360000000001</v>
      </c>
      <c r="AA74">
        <v>3.376214</v>
      </c>
      <c r="AB74">
        <v>2.1133920000000002</v>
      </c>
      <c r="AF74">
        <f>'User Add-In Location'!E75</f>
        <v>0</v>
      </c>
      <c r="AI74">
        <v>2.3850820000000001</v>
      </c>
      <c r="AJ74">
        <v>4.7619350000000003</v>
      </c>
      <c r="AL74">
        <v>6.7964219999999997</v>
      </c>
      <c r="AM74">
        <v>1.3514489999999999</v>
      </c>
      <c r="AO74">
        <v>0.950457</v>
      </c>
      <c r="AQ74">
        <v>1.8180909999999999</v>
      </c>
      <c r="AR74">
        <v>2.0620750000000001</v>
      </c>
      <c r="AS74">
        <v>1.4754579999999999</v>
      </c>
      <c r="AT74">
        <v>1.0784959999999999</v>
      </c>
      <c r="AW74">
        <v>2.9390559999999999</v>
      </c>
      <c r="AX74" s="176">
        <v>4.7561419999999996</v>
      </c>
      <c r="BA74">
        <v>2.1866620000000001</v>
      </c>
      <c r="BB74">
        <v>0.86372099999999996</v>
      </c>
      <c r="BD74">
        <v>1.731581</v>
      </c>
      <c r="BF74">
        <v>3.2335729999999998</v>
      </c>
      <c r="BG74">
        <v>1.526748</v>
      </c>
      <c r="BH74">
        <v>3.8073220000000001</v>
      </c>
      <c r="BI74">
        <v>2.0727500000000001</v>
      </c>
      <c r="BJ74">
        <v>5.8092509999999997</v>
      </c>
      <c r="BK74">
        <v>2.2496900000000002</v>
      </c>
      <c r="BL74">
        <v>2.4452509999999998</v>
      </c>
      <c r="BM74">
        <v>5.5266570000000002</v>
      </c>
    </row>
    <row r="75" spans="1:65" x14ac:dyDescent="0.25">
      <c r="B75">
        <v>61</v>
      </c>
      <c r="C75" t="s">
        <v>403</v>
      </c>
      <c r="D75">
        <v>1.3418000000000001</v>
      </c>
      <c r="E75">
        <v>0.88139900000000004</v>
      </c>
      <c r="H75">
        <v>1.2127790000000001</v>
      </c>
      <c r="J75">
        <v>0</v>
      </c>
      <c r="K75">
        <v>0</v>
      </c>
      <c r="L75">
        <v>0</v>
      </c>
      <c r="M75">
        <v>1.251762</v>
      </c>
      <c r="N75">
        <v>0</v>
      </c>
      <c r="O75">
        <v>0</v>
      </c>
      <c r="Q75">
        <v>1.8963749999999999</v>
      </c>
      <c r="R75">
        <v>1.9762310000000001</v>
      </c>
      <c r="V75">
        <v>1.4049659999999999</v>
      </c>
      <c r="W75">
        <v>0</v>
      </c>
      <c r="X75">
        <v>1.326057</v>
      </c>
      <c r="Y75">
        <v>0</v>
      </c>
      <c r="Z75">
        <v>0</v>
      </c>
      <c r="AA75">
        <v>0</v>
      </c>
      <c r="AB75">
        <v>1.479813</v>
      </c>
      <c r="AF75">
        <f>'User Add-In Location'!E76</f>
        <v>0</v>
      </c>
      <c r="AI75">
        <v>0</v>
      </c>
      <c r="AJ75">
        <v>0</v>
      </c>
      <c r="AL75">
        <v>0</v>
      </c>
      <c r="AM75">
        <v>0</v>
      </c>
      <c r="AO75">
        <v>3.814638</v>
      </c>
      <c r="AQ75">
        <v>0</v>
      </c>
      <c r="AR75">
        <v>1.788421</v>
      </c>
      <c r="AS75">
        <v>0</v>
      </c>
      <c r="AT75">
        <v>0</v>
      </c>
      <c r="AW75">
        <v>1.6768430000000001</v>
      </c>
      <c r="AX75" s="176">
        <v>3.4293990000000001</v>
      </c>
      <c r="BA75">
        <v>1.4337279999999999</v>
      </c>
      <c r="BB75">
        <v>1.9172959999999999</v>
      </c>
      <c r="BD75">
        <v>0</v>
      </c>
      <c r="BF75">
        <v>1.8258540000000001</v>
      </c>
      <c r="BG75">
        <v>2.2864810000000002</v>
      </c>
      <c r="BH75">
        <v>1.572824</v>
      </c>
      <c r="BI75">
        <v>1.959981</v>
      </c>
      <c r="BJ75">
        <v>1.3303970000000001</v>
      </c>
      <c r="BK75">
        <v>1.6463650000000001</v>
      </c>
      <c r="BL75">
        <v>0</v>
      </c>
      <c r="BM75">
        <v>0</v>
      </c>
    </row>
    <row r="76" spans="1:65" x14ac:dyDescent="0.25">
      <c r="B76">
        <v>62</v>
      </c>
      <c r="C76" t="s">
        <v>584</v>
      </c>
      <c r="D76">
        <v>1.556727</v>
      </c>
      <c r="E76">
        <v>1.26315</v>
      </c>
      <c r="H76">
        <v>1.4773829999999999</v>
      </c>
      <c r="J76">
        <v>1.055161</v>
      </c>
      <c r="K76">
        <v>1.5466329999999999</v>
      </c>
      <c r="L76">
        <v>1.2022839999999999</v>
      </c>
      <c r="M76">
        <v>1.625237</v>
      </c>
      <c r="N76">
        <v>1.889383</v>
      </c>
      <c r="O76">
        <v>1.31918</v>
      </c>
      <c r="Q76">
        <v>2.0782470000000002</v>
      </c>
      <c r="R76">
        <v>1.9908939999999999</v>
      </c>
      <c r="V76">
        <v>2.3254800000000002</v>
      </c>
      <c r="W76">
        <v>1.846794</v>
      </c>
      <c r="X76">
        <v>1.38968</v>
      </c>
      <c r="Y76">
        <v>1.6877439999999999</v>
      </c>
      <c r="Z76">
        <v>1.5497240000000001</v>
      </c>
      <c r="AA76">
        <v>2.0788500000000001</v>
      </c>
      <c r="AB76">
        <v>1.9316960000000001</v>
      </c>
      <c r="AF76">
        <f>'User Add-In Location'!E77</f>
        <v>0</v>
      </c>
      <c r="AI76">
        <v>2.244049</v>
      </c>
      <c r="AJ76">
        <v>3.915235</v>
      </c>
      <c r="AL76">
        <v>2.2002389999999998</v>
      </c>
      <c r="AM76">
        <v>1.8117190000000001</v>
      </c>
      <c r="AO76">
        <v>1.723425</v>
      </c>
      <c r="AQ76">
        <v>2.1229520000000002</v>
      </c>
      <c r="AR76">
        <v>1.6787339999999999</v>
      </c>
      <c r="AS76">
        <v>1.4935769999999999</v>
      </c>
      <c r="AT76">
        <v>1.346992</v>
      </c>
      <c r="AW76">
        <v>2.6325219999999998</v>
      </c>
      <c r="AX76" s="176">
        <v>4.1306529999999997</v>
      </c>
      <c r="BA76">
        <v>1.5418000000000001</v>
      </c>
      <c r="BB76">
        <v>1.767727</v>
      </c>
      <c r="BD76">
        <v>1.296046</v>
      </c>
      <c r="BF76">
        <v>2.8058019999999999</v>
      </c>
      <c r="BG76">
        <v>1.65439</v>
      </c>
      <c r="BH76">
        <v>2.2692290000000002</v>
      </c>
      <c r="BI76">
        <v>1.8846810000000001</v>
      </c>
      <c r="BJ76">
        <v>2.6090209999999998</v>
      </c>
      <c r="BK76">
        <v>2.0246189999999999</v>
      </c>
      <c r="BL76">
        <v>2.0120049999999998</v>
      </c>
      <c r="BM76">
        <v>2.1188950000000002</v>
      </c>
    </row>
    <row r="77" spans="1:65" x14ac:dyDescent="0.25">
      <c r="B77">
        <v>63</v>
      </c>
      <c r="C77" t="s">
        <v>585</v>
      </c>
      <c r="D77">
        <v>1.4232480000000001</v>
      </c>
      <c r="E77">
        <v>0</v>
      </c>
      <c r="H77">
        <v>0</v>
      </c>
      <c r="J77">
        <v>0</v>
      </c>
      <c r="K77">
        <v>0</v>
      </c>
      <c r="L77">
        <v>0</v>
      </c>
      <c r="M77">
        <v>1.371626</v>
      </c>
      <c r="N77">
        <v>0</v>
      </c>
      <c r="O77">
        <v>0</v>
      </c>
      <c r="Q77">
        <v>0</v>
      </c>
      <c r="R77">
        <v>0</v>
      </c>
      <c r="V77">
        <v>0</v>
      </c>
      <c r="W77">
        <v>0</v>
      </c>
      <c r="X77">
        <v>0</v>
      </c>
      <c r="Y77">
        <v>0</v>
      </c>
      <c r="Z77">
        <v>0</v>
      </c>
      <c r="AA77">
        <v>1.187991</v>
      </c>
      <c r="AB77">
        <v>0</v>
      </c>
      <c r="AF77">
        <f>'User Add-In Location'!E78</f>
        <v>0</v>
      </c>
      <c r="AI77">
        <v>0</v>
      </c>
      <c r="AJ77">
        <v>3.339518</v>
      </c>
      <c r="AL77">
        <v>0</v>
      </c>
      <c r="AM77">
        <v>0</v>
      </c>
      <c r="AO77">
        <v>0</v>
      </c>
      <c r="AQ77">
        <v>0</v>
      </c>
      <c r="AR77">
        <v>0</v>
      </c>
      <c r="AS77">
        <v>0</v>
      </c>
      <c r="AT77">
        <v>0</v>
      </c>
      <c r="AW77">
        <v>1.8327910000000001</v>
      </c>
      <c r="AX77" s="176">
        <v>3.6188500000000001</v>
      </c>
      <c r="BA77">
        <v>0</v>
      </c>
      <c r="BB77">
        <v>0</v>
      </c>
      <c r="BD77">
        <v>0</v>
      </c>
      <c r="BF77">
        <v>1.9009039999999999</v>
      </c>
      <c r="BG77">
        <v>0</v>
      </c>
      <c r="BH77">
        <v>3.5164499999999999</v>
      </c>
      <c r="BI77">
        <v>1.016168</v>
      </c>
      <c r="BJ77">
        <v>3.0264730000000002</v>
      </c>
      <c r="BK77">
        <v>0</v>
      </c>
      <c r="BL77">
        <v>0</v>
      </c>
      <c r="BM77">
        <v>0</v>
      </c>
    </row>
    <row r="78" spans="1:65" x14ac:dyDescent="0.25">
      <c r="B78">
        <v>64</v>
      </c>
      <c r="C78" t="s">
        <v>586</v>
      </c>
      <c r="D78">
        <v>1.3817060000000001</v>
      </c>
      <c r="E78">
        <v>1.1200220000000001</v>
      </c>
      <c r="H78">
        <v>1.1219250000000001</v>
      </c>
      <c r="J78">
        <v>0.88076200000000004</v>
      </c>
      <c r="K78">
        <v>0.98514599999999997</v>
      </c>
      <c r="L78">
        <v>0.31290800000000002</v>
      </c>
      <c r="M78">
        <v>1.203738</v>
      </c>
      <c r="N78">
        <v>1.5601959999999999</v>
      </c>
      <c r="O78">
        <v>0.87068500000000004</v>
      </c>
      <c r="Q78">
        <v>1.4549570000000001</v>
      </c>
      <c r="R78">
        <v>1.1109059999999999</v>
      </c>
      <c r="V78">
        <v>1.317995</v>
      </c>
      <c r="W78">
        <v>0.96268399999999998</v>
      </c>
      <c r="X78">
        <v>1.3681730000000001</v>
      </c>
      <c r="Y78">
        <v>1.1899900000000001</v>
      </c>
      <c r="Z78">
        <v>1.544602</v>
      </c>
      <c r="AA78">
        <v>1.6126750000000001</v>
      </c>
      <c r="AB78">
        <v>1.257684</v>
      </c>
      <c r="AF78">
        <f>'User Add-In Location'!E79</f>
        <v>0</v>
      </c>
      <c r="AI78">
        <v>1.0945659999999999</v>
      </c>
      <c r="AJ78">
        <v>1.2129810000000001</v>
      </c>
      <c r="AL78">
        <v>1.116814</v>
      </c>
      <c r="AM78">
        <v>1.156798</v>
      </c>
      <c r="AO78">
        <v>1.140282</v>
      </c>
      <c r="AQ78">
        <v>1.3036620000000001</v>
      </c>
      <c r="AR78">
        <v>1.6919660000000001</v>
      </c>
      <c r="AS78">
        <v>0.55565699999999996</v>
      </c>
      <c r="AT78">
        <v>0.99014899999999995</v>
      </c>
      <c r="AW78">
        <v>1.6064510000000001</v>
      </c>
      <c r="AX78" s="176">
        <v>3.3363100000000001</v>
      </c>
      <c r="BA78">
        <v>1.221557</v>
      </c>
      <c r="BB78">
        <v>0.82470900000000003</v>
      </c>
      <c r="BD78">
        <v>1.308249</v>
      </c>
      <c r="BF78">
        <v>1.690707</v>
      </c>
      <c r="BG78">
        <v>1.1151599999999999</v>
      </c>
      <c r="BH78">
        <v>1.394941</v>
      </c>
      <c r="BI78">
        <v>1.4980560000000001</v>
      </c>
      <c r="BJ78">
        <v>1.3100369999999999</v>
      </c>
      <c r="BK78">
        <v>1.416582</v>
      </c>
      <c r="BL78">
        <v>1.303769</v>
      </c>
      <c r="BM78">
        <v>1.1504030000000001</v>
      </c>
    </row>
    <row r="79" spans="1:65" x14ac:dyDescent="0.25">
      <c r="B79">
        <v>65</v>
      </c>
      <c r="C79" t="s">
        <v>587</v>
      </c>
      <c r="D79">
        <v>0.72963299999999998</v>
      </c>
      <c r="E79">
        <v>0.74184399999999995</v>
      </c>
      <c r="H79">
        <v>0.65982300000000005</v>
      </c>
      <c r="J79">
        <v>0.46135199999999998</v>
      </c>
      <c r="K79">
        <v>0.62251999999999996</v>
      </c>
      <c r="L79">
        <v>0.25054599999999999</v>
      </c>
      <c r="M79">
        <v>0.69728699999999999</v>
      </c>
      <c r="N79">
        <v>0.65104499999999998</v>
      </c>
      <c r="O79">
        <v>0.53538399999999997</v>
      </c>
      <c r="Q79">
        <v>0.85561399999999999</v>
      </c>
      <c r="R79">
        <v>0.64457600000000004</v>
      </c>
      <c r="V79">
        <v>0.53940399999999999</v>
      </c>
      <c r="W79">
        <v>0.66042699999999999</v>
      </c>
      <c r="X79">
        <v>0.80788499999999996</v>
      </c>
      <c r="Y79">
        <v>0.76488800000000001</v>
      </c>
      <c r="Z79">
        <v>0.90326600000000001</v>
      </c>
      <c r="AA79">
        <v>0.90295199999999998</v>
      </c>
      <c r="AB79">
        <v>0.56758600000000003</v>
      </c>
      <c r="AF79">
        <f>'User Add-In Location'!E80</f>
        <v>0</v>
      </c>
      <c r="AI79">
        <v>0.62461299999999997</v>
      </c>
      <c r="AJ79">
        <v>0.67376599999999998</v>
      </c>
      <c r="AL79">
        <v>0.58715300000000004</v>
      </c>
      <c r="AM79">
        <v>0.64038300000000004</v>
      </c>
      <c r="AO79">
        <v>0.55976800000000004</v>
      </c>
      <c r="AQ79">
        <v>0.77896600000000005</v>
      </c>
      <c r="AR79">
        <v>0.74094700000000002</v>
      </c>
      <c r="AS79">
        <v>0.41730200000000001</v>
      </c>
      <c r="AT79">
        <v>0.437749</v>
      </c>
      <c r="AW79">
        <v>0.87322200000000005</v>
      </c>
      <c r="AX79" s="176">
        <v>2.9816210000000001</v>
      </c>
      <c r="BA79">
        <v>0.64512499999999995</v>
      </c>
      <c r="BB79">
        <v>0.31126700000000002</v>
      </c>
      <c r="BD79">
        <v>0.82676899999999998</v>
      </c>
      <c r="BF79">
        <v>0.86081099999999999</v>
      </c>
      <c r="BG79">
        <v>0.56234399999999996</v>
      </c>
      <c r="BH79">
        <v>0.73659399999999997</v>
      </c>
      <c r="BI79">
        <v>0.78886699999999998</v>
      </c>
      <c r="BJ79">
        <v>0.70451299999999994</v>
      </c>
      <c r="BK79">
        <v>0.70559499999999997</v>
      </c>
      <c r="BL79">
        <v>0.76187400000000005</v>
      </c>
      <c r="BM79">
        <v>0.62904599999999999</v>
      </c>
    </row>
    <row r="80" spans="1:65" x14ac:dyDescent="0.25">
      <c r="B80">
        <v>66</v>
      </c>
      <c r="C80" t="s">
        <v>588</v>
      </c>
      <c r="D80">
        <v>2.496416</v>
      </c>
      <c r="E80">
        <v>0.32403599999999999</v>
      </c>
      <c r="H80">
        <v>1.4691940000000001</v>
      </c>
      <c r="J80">
        <v>2.9776259999999999</v>
      </c>
      <c r="K80">
        <v>1.7164410000000001</v>
      </c>
      <c r="L80">
        <v>0.45651599999999998</v>
      </c>
      <c r="M80">
        <v>1.8861570000000001</v>
      </c>
      <c r="N80">
        <v>2.0532149999999998</v>
      </c>
      <c r="O80">
        <v>1.463101</v>
      </c>
      <c r="Q80">
        <v>1.9490400000000001</v>
      </c>
      <c r="R80">
        <v>1.9768330000000001</v>
      </c>
      <c r="V80">
        <v>2.5447500000000001</v>
      </c>
      <c r="W80">
        <v>1.6481110000000001</v>
      </c>
      <c r="X80">
        <v>1.7074499999999999</v>
      </c>
      <c r="Y80">
        <v>1.694429</v>
      </c>
      <c r="Z80">
        <v>2.349628</v>
      </c>
      <c r="AA80">
        <v>2.8679519999999998</v>
      </c>
      <c r="AB80">
        <v>1.9977579999999999</v>
      </c>
      <c r="AF80">
        <f>'User Add-In Location'!E81</f>
        <v>0</v>
      </c>
      <c r="AI80">
        <v>1.5287599999999999</v>
      </c>
      <c r="AJ80">
        <v>1.635111</v>
      </c>
      <c r="AL80">
        <v>1.7075229999999999</v>
      </c>
      <c r="AM80">
        <v>1.502899</v>
      </c>
      <c r="AO80">
        <v>2.3190249999999999</v>
      </c>
      <c r="AQ80">
        <v>1.946143</v>
      </c>
      <c r="AR80">
        <v>4.5338770000000004</v>
      </c>
      <c r="AS80">
        <v>1.093386</v>
      </c>
      <c r="AT80">
        <v>1.3378410000000001</v>
      </c>
      <c r="AW80">
        <v>6.2851090000000003</v>
      </c>
      <c r="AX80" s="176">
        <v>5.3607779999999998</v>
      </c>
      <c r="BA80">
        <v>1.626409</v>
      </c>
      <c r="BB80">
        <v>0.84305799999999997</v>
      </c>
      <c r="BD80">
        <v>1.997231</v>
      </c>
      <c r="BF80">
        <v>5.83141</v>
      </c>
      <c r="BG80">
        <v>1.4694799999999999</v>
      </c>
      <c r="BH80">
        <v>2.124876</v>
      </c>
      <c r="BI80">
        <v>3.0271110000000001</v>
      </c>
      <c r="BJ80">
        <v>1.781323</v>
      </c>
      <c r="BK80">
        <v>2.0018889999999998</v>
      </c>
      <c r="BL80">
        <v>1.890693</v>
      </c>
      <c r="BM80">
        <v>2.0256110000000001</v>
      </c>
    </row>
    <row r="81" spans="2:65" x14ac:dyDescent="0.25">
      <c r="B81">
        <v>67</v>
      </c>
      <c r="C81" t="s">
        <v>348</v>
      </c>
      <c r="D81">
        <v>2.8458830000000002</v>
      </c>
      <c r="E81">
        <v>3.1070829999999998</v>
      </c>
      <c r="H81">
        <v>2.4333629999999999</v>
      </c>
      <c r="J81">
        <v>2.8771589999999998</v>
      </c>
      <c r="K81">
        <v>2.3937629999999999</v>
      </c>
      <c r="L81">
        <v>0.71536999999999995</v>
      </c>
      <c r="M81">
        <v>3.0220829999999999</v>
      </c>
      <c r="N81">
        <v>2.712742</v>
      </c>
      <c r="O81">
        <v>2.6226250000000002</v>
      </c>
      <c r="Q81">
        <v>3.2123309999999998</v>
      </c>
      <c r="R81">
        <v>3.221816</v>
      </c>
      <c r="V81">
        <v>3.4061759999999999</v>
      </c>
      <c r="W81">
        <v>3.53654</v>
      </c>
      <c r="X81">
        <v>2.7271740000000002</v>
      </c>
      <c r="Y81">
        <v>3.02217</v>
      </c>
      <c r="Z81">
        <v>3.2619319999999998</v>
      </c>
      <c r="AA81">
        <v>3.975034</v>
      </c>
      <c r="AB81">
        <v>2.9727679999999999</v>
      </c>
      <c r="AF81">
        <f>'User Add-In Location'!E82</f>
        <v>0</v>
      </c>
      <c r="AI81">
        <v>4.1316660000000001</v>
      </c>
      <c r="AJ81">
        <v>3.0515699999999999</v>
      </c>
      <c r="AL81">
        <v>2.2253919999999998</v>
      </c>
      <c r="AM81">
        <v>2.777196</v>
      </c>
      <c r="AO81">
        <v>2.9519829999999998</v>
      </c>
      <c r="AQ81">
        <v>3.443594</v>
      </c>
      <c r="AR81">
        <v>3.6689759999999998</v>
      </c>
      <c r="AS81">
        <v>2.384509</v>
      </c>
      <c r="AT81">
        <v>2.223109</v>
      </c>
      <c r="AW81">
        <v>3.5233720000000002</v>
      </c>
      <c r="AX81" s="176">
        <v>5.7262029999999999</v>
      </c>
      <c r="BA81">
        <v>2.7410109999999999</v>
      </c>
      <c r="BB81">
        <v>1.8850929999999999</v>
      </c>
      <c r="BD81">
        <v>3.4766379999999999</v>
      </c>
      <c r="BF81">
        <v>3.7401749999999998</v>
      </c>
      <c r="BG81">
        <v>2.4614850000000001</v>
      </c>
      <c r="BH81">
        <v>3.1421420000000002</v>
      </c>
      <c r="BI81">
        <v>3.3521730000000001</v>
      </c>
      <c r="BJ81">
        <v>2.725705</v>
      </c>
      <c r="BK81">
        <v>3.1215850000000001</v>
      </c>
      <c r="BL81">
        <v>3.4997129999999999</v>
      </c>
      <c r="BM81">
        <v>2.6085850000000002</v>
      </c>
    </row>
    <row r="82" spans="2:65" x14ac:dyDescent="0.25">
      <c r="B82">
        <v>68</v>
      </c>
      <c r="C82" t="s">
        <v>589</v>
      </c>
      <c r="D82">
        <v>2.6615259999999998</v>
      </c>
      <c r="E82">
        <v>2.6836739999999999</v>
      </c>
      <c r="H82">
        <v>2.1757710000000001</v>
      </c>
      <c r="J82">
        <v>2.9727519999999998</v>
      </c>
      <c r="K82">
        <v>2.1100690000000002</v>
      </c>
      <c r="L82">
        <v>0.65519099999999997</v>
      </c>
      <c r="M82">
        <v>2.62697</v>
      </c>
      <c r="N82">
        <v>2.4042379999999999</v>
      </c>
      <c r="O82">
        <v>2.336042</v>
      </c>
      <c r="Q82">
        <v>2.869081</v>
      </c>
      <c r="R82">
        <v>2.9774799999999999</v>
      </c>
      <c r="V82">
        <v>3.2803019999999998</v>
      </c>
      <c r="W82">
        <v>3.9303360000000001</v>
      </c>
      <c r="X82">
        <v>2.56243</v>
      </c>
      <c r="Y82">
        <v>3.0119310000000001</v>
      </c>
      <c r="Z82">
        <v>2.9019910000000002</v>
      </c>
      <c r="AA82">
        <v>3.4616500000000001</v>
      </c>
      <c r="AB82">
        <v>2.8259590000000001</v>
      </c>
      <c r="AF82">
        <f>'User Add-In Location'!E83</f>
        <v>0</v>
      </c>
      <c r="AI82">
        <v>5.2869469999999996</v>
      </c>
      <c r="AJ82">
        <v>2.8439019999999999</v>
      </c>
      <c r="AL82">
        <v>2.018564</v>
      </c>
      <c r="AM82">
        <v>2.6568459999999998</v>
      </c>
      <c r="AO82">
        <v>2.8637250000000001</v>
      </c>
      <c r="AQ82">
        <v>3.2310379999999999</v>
      </c>
      <c r="AR82">
        <v>3.2199580000000001</v>
      </c>
      <c r="AS82">
        <v>2.2348490000000001</v>
      </c>
      <c r="AT82">
        <v>1.9338599999999999</v>
      </c>
      <c r="AW82">
        <v>3.2527900000000001</v>
      </c>
      <c r="AX82" s="176">
        <v>5.2050090000000004</v>
      </c>
      <c r="BA82">
        <v>2.4704410000000001</v>
      </c>
      <c r="BB82">
        <v>1.697273</v>
      </c>
      <c r="BD82">
        <v>3.0929350000000002</v>
      </c>
      <c r="BF82">
        <v>3.4086240000000001</v>
      </c>
      <c r="BG82">
        <v>2.2115330000000002</v>
      </c>
      <c r="BH82">
        <v>2.9120180000000002</v>
      </c>
      <c r="BI82">
        <v>3.0118719999999999</v>
      </c>
      <c r="BJ82">
        <v>2.4979049999999998</v>
      </c>
      <c r="BK82">
        <v>2.817313</v>
      </c>
      <c r="BL82">
        <v>3.630646</v>
      </c>
      <c r="BM82">
        <v>2.4549479999999999</v>
      </c>
    </row>
    <row r="83" spans="2:65" x14ac:dyDescent="0.25">
      <c r="B83">
        <v>69</v>
      </c>
      <c r="C83" t="s">
        <v>590</v>
      </c>
      <c r="D83">
        <v>2.5585710000000002</v>
      </c>
      <c r="E83">
        <v>2.9031980000000002</v>
      </c>
      <c r="H83">
        <v>2.1724589999999999</v>
      </c>
      <c r="J83">
        <v>2.7445580000000001</v>
      </c>
      <c r="K83">
        <v>2.0639620000000001</v>
      </c>
      <c r="L83">
        <v>0.63496799999999998</v>
      </c>
      <c r="M83">
        <v>2.5748069999999998</v>
      </c>
      <c r="N83">
        <v>2.3262079999999998</v>
      </c>
      <c r="O83">
        <v>2.276383</v>
      </c>
      <c r="Q83">
        <v>2.8356840000000001</v>
      </c>
      <c r="R83">
        <v>2.8371740000000001</v>
      </c>
      <c r="V83">
        <v>3.0620289999999999</v>
      </c>
      <c r="W83">
        <v>3.3321689999999999</v>
      </c>
      <c r="X83">
        <v>2.4256709999999999</v>
      </c>
      <c r="Y83">
        <v>2.7876949999999998</v>
      </c>
      <c r="Z83">
        <v>2.855343</v>
      </c>
      <c r="AA83">
        <v>3.5604269999999998</v>
      </c>
      <c r="AB83">
        <v>2.637394</v>
      </c>
      <c r="AF83">
        <f>'User Add-In Location'!E84</f>
        <v>0</v>
      </c>
      <c r="AI83">
        <v>4.2103400000000004</v>
      </c>
      <c r="AJ83">
        <v>2.729984</v>
      </c>
      <c r="AL83">
        <v>1.983646</v>
      </c>
      <c r="AM83">
        <v>2.4798740000000001</v>
      </c>
      <c r="AO83">
        <v>2.650906</v>
      </c>
      <c r="AQ83">
        <v>3.0711020000000002</v>
      </c>
      <c r="AR83">
        <v>3.255325</v>
      </c>
      <c r="AS83">
        <v>2.122182</v>
      </c>
      <c r="AT83">
        <v>1.8899900000000001</v>
      </c>
      <c r="AW83">
        <v>3.1414460000000002</v>
      </c>
      <c r="AX83" s="176">
        <v>5.302511</v>
      </c>
      <c r="BA83">
        <v>2.4136510000000002</v>
      </c>
      <c r="BB83">
        <v>1.6652690000000001</v>
      </c>
      <c r="BD83">
        <v>3.090719</v>
      </c>
      <c r="BF83">
        <v>3.2977609999999999</v>
      </c>
      <c r="BG83">
        <v>2.194931</v>
      </c>
      <c r="BH83">
        <v>2.8090299999999999</v>
      </c>
      <c r="BI83">
        <v>2.9740220000000002</v>
      </c>
      <c r="BJ83">
        <v>2.4293209999999998</v>
      </c>
      <c r="BK83">
        <v>2.7304240000000002</v>
      </c>
      <c r="BL83">
        <v>3.2784979999999999</v>
      </c>
      <c r="BM83">
        <v>2.3628710000000002</v>
      </c>
    </row>
    <row r="84" spans="2:65" x14ac:dyDescent="0.25">
      <c r="B84">
        <v>70</v>
      </c>
      <c r="C84" t="s">
        <v>591</v>
      </c>
      <c r="D84">
        <v>1.471913</v>
      </c>
      <c r="E84">
        <v>1.249555</v>
      </c>
      <c r="H84">
        <v>1.489857</v>
      </c>
      <c r="J84">
        <v>1.7933730000000001</v>
      </c>
      <c r="K84">
        <v>1.275997</v>
      </c>
      <c r="L84">
        <v>0.33843699999999999</v>
      </c>
      <c r="M84">
        <v>1.8846700000000001</v>
      </c>
      <c r="N84">
        <v>1.559858</v>
      </c>
      <c r="O84">
        <v>1.1201380000000001</v>
      </c>
      <c r="Q84">
        <v>1.891548</v>
      </c>
      <c r="R84">
        <v>1.6997260000000001</v>
      </c>
      <c r="V84">
        <v>1.4947630000000001</v>
      </c>
      <c r="W84">
        <v>1.8992519999999999</v>
      </c>
      <c r="X84">
        <v>1.43007</v>
      </c>
      <c r="Y84">
        <v>1.6476379999999999</v>
      </c>
      <c r="Z84">
        <v>1.825361</v>
      </c>
      <c r="AA84">
        <v>2.4335490000000002</v>
      </c>
      <c r="AB84">
        <v>1.738489</v>
      </c>
      <c r="AF84">
        <f>'User Add-In Location'!E85</f>
        <v>0</v>
      </c>
      <c r="AI84">
        <v>2.2073360000000002</v>
      </c>
      <c r="AJ84">
        <v>1.8512930000000001</v>
      </c>
      <c r="AL84">
        <v>1.300065</v>
      </c>
      <c r="AM84">
        <v>1.430693</v>
      </c>
      <c r="AO84">
        <v>1.601799</v>
      </c>
      <c r="AQ84">
        <v>2.0381300000000002</v>
      </c>
      <c r="AR84">
        <v>2.2954759999999998</v>
      </c>
      <c r="AS84">
        <v>1.3140689999999999</v>
      </c>
      <c r="AT84">
        <v>1.186787</v>
      </c>
      <c r="AW84">
        <v>1.9545399999999999</v>
      </c>
      <c r="AX84" s="176">
        <v>3.882482</v>
      </c>
      <c r="BA84">
        <v>1.465938</v>
      </c>
      <c r="BB84">
        <v>1.0499959999999999</v>
      </c>
      <c r="BD84">
        <v>2.0182530000000001</v>
      </c>
      <c r="BF84">
        <v>2.1739350000000002</v>
      </c>
      <c r="BG84">
        <v>1.4901690000000001</v>
      </c>
      <c r="BH84">
        <v>1.8266720000000001</v>
      </c>
      <c r="BI84">
        <v>1.9716469999999999</v>
      </c>
      <c r="BJ84">
        <v>1.5985009999999999</v>
      </c>
      <c r="BK84">
        <v>1.766297</v>
      </c>
      <c r="BL84">
        <v>1.940005</v>
      </c>
      <c r="BM84">
        <v>1.5480830000000001</v>
      </c>
    </row>
    <row r="85" spans="2:65" x14ac:dyDescent="0.25">
      <c r="B85">
        <v>71</v>
      </c>
      <c r="C85" t="s">
        <v>592</v>
      </c>
      <c r="D85">
        <v>1.5408580000000001</v>
      </c>
      <c r="E85">
        <v>1.6753549999999999</v>
      </c>
      <c r="H85">
        <v>1.5464800000000001</v>
      </c>
      <c r="J85">
        <v>1.7529129999999999</v>
      </c>
      <c r="K85">
        <v>1.463986</v>
      </c>
      <c r="L85">
        <v>0.24882099999999999</v>
      </c>
      <c r="M85">
        <v>1.6780980000000001</v>
      </c>
      <c r="N85">
        <v>1.4789829999999999</v>
      </c>
      <c r="O85">
        <v>1.3688530000000001</v>
      </c>
      <c r="Q85">
        <v>1.986354</v>
      </c>
      <c r="R85">
        <v>1.9855750000000001</v>
      </c>
      <c r="V85">
        <v>1.893443</v>
      </c>
      <c r="W85">
        <v>1.819115</v>
      </c>
      <c r="X85">
        <v>1.361229</v>
      </c>
      <c r="Y85">
        <v>1.7660309999999999</v>
      </c>
      <c r="Z85">
        <v>2.0318499999999999</v>
      </c>
      <c r="AA85">
        <v>2.1188280000000002</v>
      </c>
      <c r="AB85">
        <v>1.7035549999999999</v>
      </c>
      <c r="AF85">
        <f>'User Add-In Location'!E86</f>
        <v>0</v>
      </c>
      <c r="AI85">
        <v>2.1089980000000002</v>
      </c>
      <c r="AJ85">
        <v>1.9098040000000001</v>
      </c>
      <c r="AL85">
        <v>1.1465879999999999</v>
      </c>
      <c r="AM85">
        <v>1.6834169999999999</v>
      </c>
      <c r="AO85">
        <v>1.828112</v>
      </c>
      <c r="AQ85">
        <v>1.942868</v>
      </c>
      <c r="AR85">
        <v>2.3748089999999999</v>
      </c>
      <c r="AS85">
        <v>1.285657</v>
      </c>
      <c r="AT85">
        <v>1.291523</v>
      </c>
      <c r="AW85">
        <v>2.145289</v>
      </c>
      <c r="AX85" s="176">
        <v>3.9830909999999999</v>
      </c>
      <c r="BA85">
        <v>1.5259130000000001</v>
      </c>
      <c r="BB85">
        <v>1.2384580000000001</v>
      </c>
      <c r="BD85">
        <v>1.9682200000000001</v>
      </c>
      <c r="BF85">
        <v>2.289736</v>
      </c>
      <c r="BG85">
        <v>1.570111</v>
      </c>
      <c r="BH85">
        <v>1.877429</v>
      </c>
      <c r="BI85">
        <v>2.0735999999999999</v>
      </c>
      <c r="BJ85">
        <v>1.489576</v>
      </c>
      <c r="BK85">
        <v>1.913629</v>
      </c>
      <c r="BL85">
        <v>2.011946</v>
      </c>
      <c r="BM85">
        <v>1.465689</v>
      </c>
    </row>
    <row r="86" spans="2:65" x14ac:dyDescent="0.25">
      <c r="B86">
        <v>72</v>
      </c>
      <c r="C86" t="s">
        <v>593</v>
      </c>
      <c r="D86">
        <v>1.5262340000000001</v>
      </c>
      <c r="E86">
        <v>1.2103980000000001</v>
      </c>
      <c r="H86">
        <v>1.4871110000000001</v>
      </c>
      <c r="J86">
        <v>1.7046570000000001</v>
      </c>
      <c r="K86">
        <v>1.5869880000000001</v>
      </c>
      <c r="L86">
        <v>0.34885300000000002</v>
      </c>
      <c r="M86">
        <v>1.8746830000000001</v>
      </c>
      <c r="N86">
        <v>1.609313</v>
      </c>
      <c r="O86">
        <v>1.5967150000000001</v>
      </c>
      <c r="Q86">
        <v>2.0130970000000001</v>
      </c>
      <c r="R86">
        <v>1.846781</v>
      </c>
      <c r="V86">
        <v>1.8501209999999999</v>
      </c>
      <c r="W86">
        <v>1.7705930000000001</v>
      </c>
      <c r="X86">
        <v>1.4987360000000001</v>
      </c>
      <c r="Y86">
        <v>1.768</v>
      </c>
      <c r="Z86">
        <v>2.1261899999999998</v>
      </c>
      <c r="AA86">
        <v>2.1363249999999998</v>
      </c>
      <c r="AB86">
        <v>1.7080010000000001</v>
      </c>
      <c r="AF86">
        <f>'User Add-In Location'!E87</f>
        <v>0</v>
      </c>
      <c r="AI86">
        <v>1.9645969999999999</v>
      </c>
      <c r="AJ86">
        <v>1.881677</v>
      </c>
      <c r="AL86">
        <v>1.108884</v>
      </c>
      <c r="AM86">
        <v>1.6978230000000001</v>
      </c>
      <c r="AO86">
        <v>1.7914969999999999</v>
      </c>
      <c r="AQ86">
        <v>1.875818</v>
      </c>
      <c r="AR86">
        <v>2.0901480000000001</v>
      </c>
      <c r="AS86">
        <v>1.378223</v>
      </c>
      <c r="AT86">
        <v>1.3030280000000001</v>
      </c>
      <c r="AW86">
        <v>2.1415449999999998</v>
      </c>
      <c r="AX86" s="176">
        <v>4.380414</v>
      </c>
      <c r="BA86">
        <v>1.6619489999999999</v>
      </c>
      <c r="BB86">
        <v>1.129937</v>
      </c>
      <c r="BD86">
        <v>1.7289559999999999</v>
      </c>
      <c r="BF86">
        <v>2.2861980000000002</v>
      </c>
      <c r="BG86">
        <v>1.492737</v>
      </c>
      <c r="BH86">
        <v>1.8264609999999999</v>
      </c>
      <c r="BI86">
        <v>1.9355519999999999</v>
      </c>
      <c r="BJ86">
        <v>1.5081830000000001</v>
      </c>
      <c r="BK86">
        <v>1.893648</v>
      </c>
      <c r="BL86">
        <v>1.935786</v>
      </c>
      <c r="BM86">
        <v>1.3923209999999999</v>
      </c>
    </row>
    <row r="87" spans="2:65" x14ac:dyDescent="0.25">
      <c r="B87">
        <v>73</v>
      </c>
      <c r="C87" t="s">
        <v>594</v>
      </c>
      <c r="D87">
        <v>1.5614429999999999</v>
      </c>
      <c r="E87">
        <v>1.869715</v>
      </c>
      <c r="H87">
        <v>1.8238529999999999</v>
      </c>
      <c r="J87">
        <v>1.8236939999999999</v>
      </c>
      <c r="K87">
        <v>1.5062489999999999</v>
      </c>
      <c r="L87">
        <v>0.29821700000000001</v>
      </c>
      <c r="M87">
        <v>2.0967410000000002</v>
      </c>
      <c r="N87">
        <v>1.7408429999999999</v>
      </c>
      <c r="O87">
        <v>1.7097990000000001</v>
      </c>
      <c r="Q87">
        <v>2.1612650000000002</v>
      </c>
      <c r="R87">
        <v>1.7432620000000001</v>
      </c>
      <c r="V87">
        <v>2.279074</v>
      </c>
      <c r="W87">
        <v>2.3945810000000001</v>
      </c>
      <c r="X87">
        <v>1.9259379999999999</v>
      </c>
      <c r="Y87">
        <v>1.9120189999999999</v>
      </c>
      <c r="Z87">
        <v>2.2607010000000001</v>
      </c>
      <c r="AA87">
        <v>2.9466039999999998</v>
      </c>
      <c r="AB87">
        <v>1.731735</v>
      </c>
      <c r="AF87">
        <f>'User Add-In Location'!E88</f>
        <v>0</v>
      </c>
      <c r="AI87">
        <v>2.2078700000000002</v>
      </c>
      <c r="AJ87">
        <v>2.120854</v>
      </c>
      <c r="AL87">
        <v>1.4909680000000001</v>
      </c>
      <c r="AM87">
        <v>1.7232000000000001</v>
      </c>
      <c r="AO87">
        <v>1.7493719999999999</v>
      </c>
      <c r="AQ87">
        <v>2.2395239999999998</v>
      </c>
      <c r="AR87">
        <v>2.3273000000000001</v>
      </c>
      <c r="AS87">
        <v>1.3283419999999999</v>
      </c>
      <c r="AT87">
        <v>1.374436</v>
      </c>
      <c r="AW87">
        <v>2.3120219999999998</v>
      </c>
      <c r="AX87" s="176">
        <v>4.7206700000000001</v>
      </c>
      <c r="BA87">
        <v>1.8885339999999999</v>
      </c>
      <c r="BB87">
        <v>1.362676</v>
      </c>
      <c r="BD87">
        <v>2.6310440000000002</v>
      </c>
      <c r="BF87">
        <v>2.450993</v>
      </c>
      <c r="BG87">
        <v>1.815607</v>
      </c>
      <c r="BH87">
        <v>2.081674</v>
      </c>
      <c r="BI87">
        <v>2.1413820000000001</v>
      </c>
      <c r="BJ87">
        <v>1.8676809999999999</v>
      </c>
      <c r="BK87">
        <v>2.0257260000000001</v>
      </c>
      <c r="BL87">
        <v>2.1863000000000001</v>
      </c>
      <c r="BM87">
        <v>1.724245</v>
      </c>
    </row>
    <row r="88" spans="2:65" x14ac:dyDescent="0.25">
      <c r="B88">
        <v>74</v>
      </c>
      <c r="C88" t="s">
        <v>415</v>
      </c>
      <c r="D88">
        <v>1.343842</v>
      </c>
      <c r="E88">
        <v>1.400609</v>
      </c>
      <c r="H88">
        <v>1.688145</v>
      </c>
      <c r="J88">
        <v>1.823542</v>
      </c>
      <c r="K88">
        <v>1.4939789999999999</v>
      </c>
      <c r="L88">
        <v>0</v>
      </c>
      <c r="M88">
        <v>1.7906930000000001</v>
      </c>
      <c r="N88">
        <v>1.40283</v>
      </c>
      <c r="O88">
        <v>0</v>
      </c>
      <c r="Q88">
        <v>2.044718</v>
      </c>
      <c r="R88">
        <v>1.7611570000000001</v>
      </c>
      <c r="V88">
        <v>1.6179159999999999</v>
      </c>
      <c r="W88">
        <v>1.98681</v>
      </c>
      <c r="X88">
        <v>1.234013</v>
      </c>
      <c r="Y88">
        <v>1.856538</v>
      </c>
      <c r="Z88">
        <v>1.7910140000000001</v>
      </c>
      <c r="AA88">
        <v>2.291579</v>
      </c>
      <c r="AB88">
        <v>1.4941180000000001</v>
      </c>
      <c r="AF88">
        <f>'User Add-In Location'!E89</f>
        <v>0</v>
      </c>
      <c r="AI88">
        <v>2.155065</v>
      </c>
      <c r="AJ88">
        <v>2.1713019999999998</v>
      </c>
      <c r="AL88">
        <v>1.370368</v>
      </c>
      <c r="AM88">
        <v>1.5224200000000001</v>
      </c>
      <c r="AO88">
        <v>1.7347490000000001</v>
      </c>
      <c r="AQ88">
        <v>1.8598239999999999</v>
      </c>
      <c r="AR88">
        <v>2.354603</v>
      </c>
      <c r="AS88">
        <v>1.74122</v>
      </c>
      <c r="AT88">
        <v>1.4232769999999999</v>
      </c>
      <c r="AW88">
        <v>1.9975989999999999</v>
      </c>
      <c r="AX88" s="176">
        <v>3.8925559999999999</v>
      </c>
      <c r="BA88">
        <v>1.625497</v>
      </c>
      <c r="BB88">
        <v>1.2236400000000001</v>
      </c>
      <c r="BD88">
        <v>1.850619</v>
      </c>
      <c r="BF88">
        <v>2.1319499999999998</v>
      </c>
      <c r="BG88">
        <v>1.6829499999999999</v>
      </c>
      <c r="BH88">
        <v>1.900328</v>
      </c>
      <c r="BI88">
        <v>1.976837</v>
      </c>
      <c r="BJ88">
        <v>1.5950329999999999</v>
      </c>
      <c r="BK88">
        <v>1.9178930000000001</v>
      </c>
      <c r="BL88">
        <v>2.0692849999999998</v>
      </c>
      <c r="BM88">
        <v>1.6270439999999999</v>
      </c>
    </row>
    <row r="89" spans="2:65" x14ac:dyDescent="0.25">
      <c r="B89">
        <v>75</v>
      </c>
      <c r="C89" t="s">
        <v>595</v>
      </c>
      <c r="D89">
        <v>1.874047</v>
      </c>
      <c r="E89">
        <v>1.9911369999999999</v>
      </c>
      <c r="H89">
        <v>2.0144639999999998</v>
      </c>
      <c r="J89">
        <v>1.6217349999999999</v>
      </c>
      <c r="K89">
        <v>1.946272</v>
      </c>
      <c r="L89">
        <v>0.40448099999999998</v>
      </c>
      <c r="M89">
        <v>2.5384129999999998</v>
      </c>
      <c r="N89">
        <v>2.0274670000000001</v>
      </c>
      <c r="O89">
        <v>1.047474</v>
      </c>
      <c r="Q89">
        <v>2.11042</v>
      </c>
      <c r="R89">
        <v>1.9233039999999999</v>
      </c>
      <c r="V89">
        <v>2.107113</v>
      </c>
      <c r="W89">
        <v>1.932906</v>
      </c>
      <c r="X89">
        <v>1.8194969999999999</v>
      </c>
      <c r="Y89">
        <v>1.967695</v>
      </c>
      <c r="Z89">
        <v>2.433322</v>
      </c>
      <c r="AA89">
        <v>2.826953</v>
      </c>
      <c r="AB89">
        <v>1.8211170000000001</v>
      </c>
      <c r="AF89">
        <f>'User Add-In Location'!E90</f>
        <v>0</v>
      </c>
      <c r="AI89">
        <v>2.4313579999999999</v>
      </c>
      <c r="AJ89">
        <v>2.009125</v>
      </c>
      <c r="AL89">
        <v>1.59093</v>
      </c>
      <c r="AM89">
        <v>1.6787609999999999</v>
      </c>
      <c r="AO89">
        <v>2.0051209999999999</v>
      </c>
      <c r="AQ89">
        <v>2.163484</v>
      </c>
      <c r="AR89">
        <v>2.5023529999999998</v>
      </c>
      <c r="AS89">
        <v>1.701973</v>
      </c>
      <c r="AT89">
        <v>1.4188829999999999</v>
      </c>
      <c r="AW89">
        <v>2.3617759999999999</v>
      </c>
      <c r="AX89" s="176">
        <v>4.3961480000000002</v>
      </c>
      <c r="BA89">
        <v>1.9952970000000001</v>
      </c>
      <c r="BB89">
        <v>1.154323</v>
      </c>
      <c r="BD89">
        <v>2.1506690000000002</v>
      </c>
      <c r="BF89">
        <v>2.6856879999999999</v>
      </c>
      <c r="BG89">
        <v>1.873572</v>
      </c>
      <c r="BH89">
        <v>2.1764999999999999</v>
      </c>
      <c r="BI89">
        <v>2.3440799999999999</v>
      </c>
      <c r="BJ89">
        <v>1.9320379999999999</v>
      </c>
      <c r="BK89">
        <v>2.0907710000000002</v>
      </c>
      <c r="BL89">
        <v>2.255312</v>
      </c>
      <c r="BM89">
        <v>1.8063910000000001</v>
      </c>
    </row>
    <row r="90" spans="2:65" x14ac:dyDescent="0.25">
      <c r="B90">
        <v>76</v>
      </c>
      <c r="C90" t="s">
        <v>417</v>
      </c>
      <c r="D90">
        <v>1.8896310000000001</v>
      </c>
      <c r="E90">
        <v>2.662398</v>
      </c>
      <c r="H90">
        <v>1.9271069999999999</v>
      </c>
      <c r="J90">
        <v>1.93462</v>
      </c>
      <c r="K90">
        <v>2.0165130000000002</v>
      </c>
      <c r="L90">
        <v>0.89596799999999999</v>
      </c>
      <c r="M90">
        <v>2.273393</v>
      </c>
      <c r="N90">
        <v>1.946515</v>
      </c>
      <c r="O90">
        <v>1.615434</v>
      </c>
      <c r="Q90">
        <v>2.3557649999999999</v>
      </c>
      <c r="R90">
        <v>2.0879370000000002</v>
      </c>
      <c r="V90">
        <v>2.1378849999999998</v>
      </c>
      <c r="W90">
        <v>2.1701860000000002</v>
      </c>
      <c r="X90">
        <v>1.8127880000000001</v>
      </c>
      <c r="Y90">
        <v>2.0597259999999999</v>
      </c>
      <c r="Z90">
        <v>2.430078</v>
      </c>
      <c r="AA90">
        <v>2.534675</v>
      </c>
      <c r="AB90">
        <v>1.921098</v>
      </c>
      <c r="AF90">
        <f>'User Add-In Location'!E91</f>
        <v>0</v>
      </c>
      <c r="AI90">
        <v>2.601512</v>
      </c>
      <c r="AJ90">
        <v>2.2690890000000001</v>
      </c>
      <c r="AL90">
        <v>1.6242209999999999</v>
      </c>
      <c r="AM90">
        <v>1.710423</v>
      </c>
      <c r="AO90">
        <v>1.880039</v>
      </c>
      <c r="AQ90">
        <v>2.2837269999999998</v>
      </c>
      <c r="AR90">
        <v>2.6219600000000001</v>
      </c>
      <c r="AS90">
        <v>1.690024</v>
      </c>
      <c r="AT90">
        <v>1.3733979999999999</v>
      </c>
      <c r="AW90">
        <v>2.5087060000000001</v>
      </c>
      <c r="AX90" s="176">
        <v>4.5364199999999997</v>
      </c>
      <c r="BA90">
        <v>1.8017179999999999</v>
      </c>
      <c r="BB90">
        <v>1.398083</v>
      </c>
      <c r="BD90">
        <v>2.2556080000000001</v>
      </c>
      <c r="BF90">
        <v>2.689066</v>
      </c>
      <c r="BG90">
        <v>1.9199170000000001</v>
      </c>
      <c r="BH90">
        <v>2.208224</v>
      </c>
      <c r="BI90">
        <v>2.3421940000000001</v>
      </c>
      <c r="BJ90">
        <v>2.0244559999999998</v>
      </c>
      <c r="BK90">
        <v>2.0856690000000002</v>
      </c>
      <c r="BL90">
        <v>2.393141</v>
      </c>
      <c r="BM90">
        <v>1.877799</v>
      </c>
    </row>
    <row r="91" spans="2:65" x14ac:dyDescent="0.25">
      <c r="B91">
        <v>77</v>
      </c>
      <c r="C91" t="s">
        <v>418</v>
      </c>
      <c r="D91">
        <v>2.3300429999999999</v>
      </c>
      <c r="E91">
        <v>2.2080109999999999</v>
      </c>
      <c r="H91">
        <v>1.9057329999999999</v>
      </c>
      <c r="J91">
        <v>2.1393040000000001</v>
      </c>
      <c r="K91">
        <v>2.1421030000000001</v>
      </c>
      <c r="L91">
        <v>0.70856600000000003</v>
      </c>
      <c r="M91">
        <v>2.8057400000000001</v>
      </c>
      <c r="N91">
        <v>2.3528380000000002</v>
      </c>
      <c r="O91">
        <v>2.0966629999999999</v>
      </c>
      <c r="Q91">
        <v>2.59877</v>
      </c>
      <c r="R91">
        <v>2.6608010000000002</v>
      </c>
      <c r="V91">
        <v>2.58507</v>
      </c>
      <c r="W91">
        <v>2.6914259999999999</v>
      </c>
      <c r="X91">
        <v>2.275693</v>
      </c>
      <c r="Y91">
        <v>2.4109259999999999</v>
      </c>
      <c r="Z91">
        <v>2.8498000000000001</v>
      </c>
      <c r="AA91">
        <v>3.1407319999999999</v>
      </c>
      <c r="AB91">
        <v>2.400849</v>
      </c>
      <c r="AF91">
        <f>'User Add-In Location'!E92</f>
        <v>0</v>
      </c>
      <c r="AI91">
        <v>3.0276860000000001</v>
      </c>
      <c r="AJ91">
        <v>2.4384329999999999</v>
      </c>
      <c r="AL91">
        <v>1.860015</v>
      </c>
      <c r="AM91">
        <v>2.2644280000000001</v>
      </c>
      <c r="AO91">
        <v>2.4415070000000001</v>
      </c>
      <c r="AQ91">
        <v>2.9867409999999999</v>
      </c>
      <c r="AR91">
        <v>3.0801699999999999</v>
      </c>
      <c r="AS91">
        <v>2.0403389999999999</v>
      </c>
      <c r="AT91">
        <v>1.9456929999999999</v>
      </c>
      <c r="AW91">
        <v>2.754575</v>
      </c>
      <c r="AX91" s="176">
        <v>4.7051069999999999</v>
      </c>
      <c r="BA91">
        <v>2.3632710000000001</v>
      </c>
      <c r="BB91">
        <v>1.488515</v>
      </c>
      <c r="BD91">
        <v>2.847769</v>
      </c>
      <c r="BF91">
        <v>3.0743209999999999</v>
      </c>
      <c r="BG91">
        <v>1.95153</v>
      </c>
      <c r="BH91">
        <v>2.61876</v>
      </c>
      <c r="BI91">
        <v>2.7798090000000002</v>
      </c>
      <c r="BJ91">
        <v>2.2749130000000002</v>
      </c>
      <c r="BK91">
        <v>2.6608350000000001</v>
      </c>
      <c r="BL91">
        <v>2.7624770000000001</v>
      </c>
      <c r="BM91">
        <v>2.1189450000000001</v>
      </c>
    </row>
    <row r="92" spans="2:65" x14ac:dyDescent="0.25">
      <c r="B92">
        <v>78</v>
      </c>
      <c r="C92" t="s">
        <v>596</v>
      </c>
      <c r="D92">
        <v>2.7698390000000002</v>
      </c>
      <c r="E92">
        <v>2.3417289999999999</v>
      </c>
      <c r="H92">
        <v>2.4793219999999998</v>
      </c>
      <c r="J92">
        <v>2.8229150000000001</v>
      </c>
      <c r="K92">
        <v>2.4672429999999999</v>
      </c>
      <c r="L92">
        <v>1.346668</v>
      </c>
      <c r="M92">
        <v>2.9223119999999998</v>
      </c>
      <c r="N92">
        <v>2.438806</v>
      </c>
      <c r="O92">
        <v>1.8204009999999999</v>
      </c>
      <c r="Q92">
        <v>3.0770499999999998</v>
      </c>
      <c r="R92">
        <v>3.110995</v>
      </c>
      <c r="V92">
        <v>3.3257289999999999</v>
      </c>
      <c r="W92">
        <v>3.254194</v>
      </c>
      <c r="X92">
        <v>2.8022870000000002</v>
      </c>
      <c r="Y92">
        <v>2.6838069999999998</v>
      </c>
      <c r="Z92">
        <v>3.115345</v>
      </c>
      <c r="AA92">
        <v>3.5716860000000001</v>
      </c>
      <c r="AB92">
        <v>2.8360110000000001</v>
      </c>
      <c r="AF92">
        <f>'User Add-In Location'!E93</f>
        <v>0</v>
      </c>
      <c r="AI92">
        <v>3.2015799999999999</v>
      </c>
      <c r="AJ92">
        <v>2.9406599999999998</v>
      </c>
      <c r="AL92">
        <v>2.423861</v>
      </c>
      <c r="AM92">
        <v>2.540019</v>
      </c>
      <c r="AO92">
        <v>3.1081840000000001</v>
      </c>
      <c r="AQ92">
        <v>3.1989519999999998</v>
      </c>
      <c r="AR92">
        <v>3.8017660000000002</v>
      </c>
      <c r="AS92">
        <v>2.4004829999999999</v>
      </c>
      <c r="AT92">
        <v>2.355467</v>
      </c>
      <c r="AW92">
        <v>3.1965810000000001</v>
      </c>
      <c r="AX92" s="176">
        <v>5.4865599999999999</v>
      </c>
      <c r="BA92">
        <v>3.005706</v>
      </c>
      <c r="BB92">
        <v>1.889556</v>
      </c>
      <c r="BD92">
        <v>3.3622260000000002</v>
      </c>
      <c r="BF92">
        <v>3.4980639999999998</v>
      </c>
      <c r="BG92">
        <v>2.4887280000000001</v>
      </c>
      <c r="BH92">
        <v>3.0986099999999999</v>
      </c>
      <c r="BI92">
        <v>3.352865</v>
      </c>
      <c r="BJ92">
        <v>2.8407689999999999</v>
      </c>
      <c r="BK92">
        <v>3.0175529999999999</v>
      </c>
      <c r="BL92">
        <v>3.0638990000000002</v>
      </c>
      <c r="BM92">
        <v>2.6685099999999999</v>
      </c>
    </row>
    <row r="93" spans="2:65" x14ac:dyDescent="0.25">
      <c r="B93">
        <v>79</v>
      </c>
      <c r="C93" t="s">
        <v>597</v>
      </c>
      <c r="D93">
        <v>1.854257</v>
      </c>
      <c r="E93">
        <v>1.8937520000000001</v>
      </c>
      <c r="H93">
        <v>1.7209909999999999</v>
      </c>
      <c r="J93">
        <v>2.0440770000000001</v>
      </c>
      <c r="K93">
        <v>1.2485059999999999</v>
      </c>
      <c r="L93">
        <v>0.47588000000000003</v>
      </c>
      <c r="M93">
        <v>2.2539850000000001</v>
      </c>
      <c r="N93">
        <v>1.864933</v>
      </c>
      <c r="O93">
        <v>1.664285</v>
      </c>
      <c r="Q93">
        <v>2.3948809999999998</v>
      </c>
      <c r="R93">
        <v>2.4017270000000002</v>
      </c>
      <c r="V93">
        <v>2.4375369999999998</v>
      </c>
      <c r="W93">
        <v>2.0504519999999999</v>
      </c>
      <c r="X93">
        <v>1.861297</v>
      </c>
      <c r="Y93">
        <v>1.972931</v>
      </c>
      <c r="Z93">
        <v>2.25406</v>
      </c>
      <c r="AA93">
        <v>5.1523269999999997</v>
      </c>
      <c r="AB93">
        <v>2.3174410000000001</v>
      </c>
      <c r="AF93">
        <f>'User Add-In Location'!E94</f>
        <v>0</v>
      </c>
      <c r="AI93">
        <v>1.0587549999999999</v>
      </c>
      <c r="AJ93">
        <v>2.6697299999999999</v>
      </c>
      <c r="AL93">
        <v>1.563922</v>
      </c>
      <c r="AM93">
        <v>1.595953</v>
      </c>
      <c r="AO93">
        <v>2.0753560000000002</v>
      </c>
      <c r="AQ93">
        <v>2.427718</v>
      </c>
      <c r="AR93">
        <v>2.7016520000000002</v>
      </c>
      <c r="AS93">
        <v>1.569904</v>
      </c>
      <c r="AT93">
        <v>1.581116</v>
      </c>
      <c r="AW93">
        <v>2.5032570000000001</v>
      </c>
      <c r="AX93" s="176">
        <v>4.6926550000000002</v>
      </c>
      <c r="BA93">
        <v>1.9515359999999999</v>
      </c>
      <c r="BB93">
        <v>1.280165</v>
      </c>
      <c r="BD93">
        <v>2.333555</v>
      </c>
      <c r="BF93">
        <v>2.7258990000000001</v>
      </c>
      <c r="BG93">
        <v>1.7466569999999999</v>
      </c>
      <c r="BH93">
        <v>2.3253360000000001</v>
      </c>
      <c r="BI93">
        <v>2.6165630000000002</v>
      </c>
      <c r="BJ93">
        <v>2.0459100000000001</v>
      </c>
      <c r="BK93">
        <v>2.2014969999999998</v>
      </c>
      <c r="BL93">
        <v>2.1780750000000002</v>
      </c>
      <c r="BM93">
        <v>1.8410420000000001</v>
      </c>
    </row>
    <row r="94" spans="2:65" x14ac:dyDescent="0.25">
      <c r="B94">
        <v>80</v>
      </c>
      <c r="C94" t="s">
        <v>598</v>
      </c>
      <c r="D94">
        <v>2.2444730000000002</v>
      </c>
      <c r="E94">
        <v>2.1472410000000002</v>
      </c>
      <c r="H94">
        <v>1.8332889999999999</v>
      </c>
      <c r="J94">
        <v>1.909095</v>
      </c>
      <c r="K94">
        <v>1.7836209999999999</v>
      </c>
      <c r="L94">
        <v>0.68389100000000003</v>
      </c>
      <c r="M94">
        <v>2.6569449999999999</v>
      </c>
      <c r="N94">
        <v>2.2980369999999999</v>
      </c>
      <c r="O94">
        <v>1.908488</v>
      </c>
      <c r="Q94">
        <v>2.5928719999999998</v>
      </c>
      <c r="R94">
        <v>2.7654160000000001</v>
      </c>
      <c r="V94">
        <v>2.6260180000000002</v>
      </c>
      <c r="W94">
        <v>2.7150379999999998</v>
      </c>
      <c r="X94">
        <v>2.1695250000000001</v>
      </c>
      <c r="Y94">
        <v>2.2221630000000001</v>
      </c>
      <c r="Z94">
        <v>2.8076949999999998</v>
      </c>
      <c r="AA94">
        <v>3.209174</v>
      </c>
      <c r="AB94">
        <v>2.3650899999999999</v>
      </c>
      <c r="AF94">
        <f>'User Add-In Location'!E95</f>
        <v>0</v>
      </c>
      <c r="AI94">
        <v>2.5882749999999999</v>
      </c>
      <c r="AJ94">
        <v>2.352338</v>
      </c>
      <c r="AL94">
        <v>1.765855</v>
      </c>
      <c r="AM94">
        <v>2.1621450000000002</v>
      </c>
      <c r="AO94">
        <v>2.5106790000000001</v>
      </c>
      <c r="AQ94">
        <v>2.6527099999999999</v>
      </c>
      <c r="AR94">
        <v>3.1465610000000002</v>
      </c>
      <c r="AS94">
        <v>1.917969</v>
      </c>
      <c r="AT94">
        <v>1.8672</v>
      </c>
      <c r="AW94">
        <v>2.7567400000000002</v>
      </c>
      <c r="AX94" s="176">
        <v>4.5790050000000004</v>
      </c>
      <c r="BA94">
        <v>2.190455</v>
      </c>
      <c r="BB94">
        <v>1.372107</v>
      </c>
      <c r="BD94">
        <v>2.7751589999999999</v>
      </c>
      <c r="BF94">
        <v>3.010853</v>
      </c>
      <c r="BG94">
        <v>1.853254</v>
      </c>
      <c r="BH94">
        <v>2.4745409999999999</v>
      </c>
      <c r="BI94">
        <v>2.7552159999999999</v>
      </c>
      <c r="BJ94">
        <v>2.1608869999999998</v>
      </c>
      <c r="BK94">
        <v>2.5410979999999999</v>
      </c>
      <c r="BL94">
        <v>2.544009</v>
      </c>
      <c r="BM94">
        <v>1.982807</v>
      </c>
    </row>
    <row r="95" spans="2:65" x14ac:dyDescent="0.25">
      <c r="B95">
        <v>81</v>
      </c>
      <c r="C95" t="s">
        <v>599</v>
      </c>
      <c r="D95">
        <v>2.5437289999999999</v>
      </c>
      <c r="E95">
        <v>2.392909</v>
      </c>
      <c r="H95">
        <v>2.1959029999999999</v>
      </c>
      <c r="J95">
        <v>2.5898110000000001</v>
      </c>
      <c r="K95">
        <v>2.210664</v>
      </c>
      <c r="L95">
        <v>0.56876099999999996</v>
      </c>
      <c r="M95">
        <v>2.7089490000000001</v>
      </c>
      <c r="N95">
        <v>2.5465620000000002</v>
      </c>
      <c r="O95">
        <v>2.1180279999999998</v>
      </c>
      <c r="Q95">
        <v>2.9951829999999999</v>
      </c>
      <c r="R95">
        <v>3.1053989999999998</v>
      </c>
      <c r="V95">
        <v>2.8932540000000002</v>
      </c>
      <c r="W95">
        <v>3.2008610000000002</v>
      </c>
      <c r="X95">
        <v>2.3895029999999999</v>
      </c>
      <c r="Y95">
        <v>2.6609889999999998</v>
      </c>
      <c r="Z95">
        <v>2.9996679999999998</v>
      </c>
      <c r="AA95">
        <v>3.4860319999999998</v>
      </c>
      <c r="AB95">
        <v>2.7769539999999999</v>
      </c>
      <c r="AF95">
        <f>'User Add-In Location'!E96</f>
        <v>0</v>
      </c>
      <c r="AI95">
        <v>2.9474089999999999</v>
      </c>
      <c r="AJ95">
        <v>2.8005529999999998</v>
      </c>
      <c r="AL95">
        <v>1.8302210000000001</v>
      </c>
      <c r="AM95">
        <v>2.4733139999999998</v>
      </c>
      <c r="AO95">
        <v>2.7895080000000001</v>
      </c>
      <c r="AQ95">
        <v>3.0471729999999999</v>
      </c>
      <c r="AR95">
        <v>3.510138</v>
      </c>
      <c r="AS95">
        <v>1.9827729999999999</v>
      </c>
      <c r="AT95">
        <v>2.092454</v>
      </c>
      <c r="AW95">
        <v>3.0595750000000002</v>
      </c>
      <c r="AX95" s="176">
        <v>5.3146870000000002</v>
      </c>
      <c r="BA95">
        <v>2.5304540000000002</v>
      </c>
      <c r="BB95">
        <v>1.604948</v>
      </c>
      <c r="BD95">
        <v>3.1347330000000002</v>
      </c>
      <c r="BF95">
        <v>3.2971170000000001</v>
      </c>
      <c r="BG95">
        <v>2.207214</v>
      </c>
      <c r="BH95">
        <v>2.811226</v>
      </c>
      <c r="BI95">
        <v>3.0757379999999999</v>
      </c>
      <c r="BJ95">
        <v>2.3951950000000002</v>
      </c>
      <c r="BK95">
        <v>2.8802639999999999</v>
      </c>
      <c r="BL95">
        <v>3.020168</v>
      </c>
      <c r="BM95">
        <v>2.225787</v>
      </c>
    </row>
    <row r="96" spans="2:65" x14ac:dyDescent="0.25">
      <c r="B96">
        <v>82</v>
      </c>
      <c r="C96" t="s">
        <v>423</v>
      </c>
      <c r="D96">
        <v>2.041636</v>
      </c>
      <c r="E96">
        <v>1.73112</v>
      </c>
      <c r="H96">
        <v>2.1029279999999999</v>
      </c>
      <c r="J96">
        <v>2.2449759999999999</v>
      </c>
      <c r="K96">
        <v>1.090025</v>
      </c>
      <c r="L96">
        <v>0.733626</v>
      </c>
      <c r="M96">
        <v>2.9353940000000001</v>
      </c>
      <c r="N96">
        <v>1.950993</v>
      </c>
      <c r="O96">
        <v>1.738405</v>
      </c>
      <c r="Q96">
        <v>2.3916409999999999</v>
      </c>
      <c r="R96">
        <v>2.0277120000000002</v>
      </c>
      <c r="V96">
        <v>2.1063860000000001</v>
      </c>
      <c r="W96">
        <v>2.4705059999999999</v>
      </c>
      <c r="X96">
        <v>2.2140300000000002</v>
      </c>
      <c r="Y96">
        <v>2.4417330000000002</v>
      </c>
      <c r="Z96">
        <v>2.5564249999999999</v>
      </c>
      <c r="AA96">
        <v>3.04053</v>
      </c>
      <c r="AB96">
        <v>1.8821209999999999</v>
      </c>
      <c r="AF96">
        <f>'User Add-In Location'!E97</f>
        <v>0</v>
      </c>
      <c r="AI96">
        <v>2.3286570000000002</v>
      </c>
      <c r="AJ96">
        <v>2.745117</v>
      </c>
      <c r="AL96">
        <v>1.6843520000000001</v>
      </c>
      <c r="AM96">
        <v>1.856171</v>
      </c>
      <c r="AO96">
        <v>1.756697</v>
      </c>
      <c r="AQ96">
        <v>2.4398240000000002</v>
      </c>
      <c r="AR96">
        <v>2.8206929999999999</v>
      </c>
      <c r="AS96">
        <v>1.779935</v>
      </c>
      <c r="AT96">
        <v>1.9532529999999999</v>
      </c>
      <c r="AW96">
        <v>2.8345940000000001</v>
      </c>
      <c r="AX96" s="176">
        <v>4.7888970000000004</v>
      </c>
      <c r="BA96">
        <v>2.339134</v>
      </c>
      <c r="BB96">
        <v>1.3585499999999999</v>
      </c>
      <c r="BD96">
        <v>2.3210959999999998</v>
      </c>
      <c r="BF96">
        <v>3.1091250000000001</v>
      </c>
      <c r="BG96">
        <v>2.0718909999999999</v>
      </c>
      <c r="BH96">
        <v>2.467212</v>
      </c>
      <c r="BI96">
        <v>2.4725329999999999</v>
      </c>
      <c r="BJ96">
        <v>2.1186400000000001</v>
      </c>
      <c r="BK96">
        <v>2.3996300000000002</v>
      </c>
      <c r="BL96">
        <v>2.7191640000000001</v>
      </c>
      <c r="BM96">
        <v>1.9812190000000001</v>
      </c>
    </row>
    <row r="97" spans="1:65" x14ac:dyDescent="0.25">
      <c r="B97">
        <v>83</v>
      </c>
      <c r="C97" t="s">
        <v>600</v>
      </c>
      <c r="D97">
        <v>3.2627959999999998</v>
      </c>
      <c r="E97">
        <v>3.0257670000000001</v>
      </c>
      <c r="H97">
        <v>2.745911</v>
      </c>
      <c r="J97">
        <v>2.8824459999999998</v>
      </c>
      <c r="K97">
        <v>2.7281580000000001</v>
      </c>
      <c r="L97">
        <v>1.135613</v>
      </c>
      <c r="M97">
        <v>3.8745980000000002</v>
      </c>
      <c r="N97">
        <v>3.3283659999999999</v>
      </c>
      <c r="O97">
        <v>2.8746529999999999</v>
      </c>
      <c r="Q97">
        <v>3.7214700000000001</v>
      </c>
      <c r="R97">
        <v>3.1980379999999999</v>
      </c>
      <c r="V97">
        <v>3.6968109999999998</v>
      </c>
      <c r="W97">
        <v>3.6292610000000001</v>
      </c>
      <c r="X97">
        <v>3.1913019999999999</v>
      </c>
      <c r="Y97">
        <v>3.1542409999999999</v>
      </c>
      <c r="Z97">
        <v>3.949783</v>
      </c>
      <c r="AA97">
        <v>4.2436809999999996</v>
      </c>
      <c r="AB97">
        <v>3.2932649999999999</v>
      </c>
      <c r="AF97">
        <f>'User Add-In Location'!E98</f>
        <v>0</v>
      </c>
      <c r="AI97">
        <v>3.6198890000000001</v>
      </c>
      <c r="AJ97">
        <v>3.3358539999999999</v>
      </c>
      <c r="AL97">
        <v>2.5535410000000001</v>
      </c>
      <c r="AM97">
        <v>2.8696519999999999</v>
      </c>
      <c r="AO97">
        <v>3.3743259999999999</v>
      </c>
      <c r="AQ97">
        <v>3.498456</v>
      </c>
      <c r="AR97">
        <v>4.1302329999999996</v>
      </c>
      <c r="AS97">
        <v>2.6864219999999999</v>
      </c>
      <c r="AT97">
        <v>2.760059</v>
      </c>
      <c r="AW97">
        <v>3.8716759999999999</v>
      </c>
      <c r="AX97" s="176">
        <v>6.2263349999999997</v>
      </c>
      <c r="BA97">
        <v>3.566462</v>
      </c>
      <c r="BB97">
        <v>1.898015</v>
      </c>
      <c r="BD97">
        <v>3.6743739999999998</v>
      </c>
      <c r="BF97">
        <v>4.2785320000000002</v>
      </c>
      <c r="BG97">
        <v>2.7262050000000002</v>
      </c>
      <c r="BH97">
        <v>3.5628039999999999</v>
      </c>
      <c r="BI97">
        <v>3.7708789999999999</v>
      </c>
      <c r="BJ97">
        <v>3.0975519999999999</v>
      </c>
      <c r="BK97">
        <v>3.7292329999999998</v>
      </c>
      <c r="BL97">
        <v>3.595961</v>
      </c>
      <c r="BM97">
        <v>2.8598340000000002</v>
      </c>
    </row>
    <row r="98" spans="1:65" x14ac:dyDescent="0.25">
      <c r="B98">
        <v>84</v>
      </c>
      <c r="C98" t="s">
        <v>601</v>
      </c>
      <c r="D98">
        <v>2.4280560000000002</v>
      </c>
      <c r="E98">
        <v>2.4268299999999998</v>
      </c>
      <c r="H98">
        <v>2.2519330000000002</v>
      </c>
      <c r="J98">
        <v>2.324147</v>
      </c>
      <c r="K98">
        <v>2.176946</v>
      </c>
      <c r="L98">
        <v>0.66059999999999997</v>
      </c>
      <c r="M98">
        <v>2.9729640000000002</v>
      </c>
      <c r="N98">
        <v>2.488693</v>
      </c>
      <c r="O98">
        <v>2.1082299999999998</v>
      </c>
      <c r="Q98">
        <v>2.9040170000000001</v>
      </c>
      <c r="R98">
        <v>2.6178159999999999</v>
      </c>
      <c r="V98">
        <v>2.7809780000000002</v>
      </c>
      <c r="W98">
        <v>2.8626130000000001</v>
      </c>
      <c r="X98">
        <v>2.4447760000000001</v>
      </c>
      <c r="Y98">
        <v>2.5491760000000001</v>
      </c>
      <c r="Z98">
        <v>2.9619770000000001</v>
      </c>
      <c r="AA98">
        <v>3.3726319999999999</v>
      </c>
      <c r="AB98">
        <v>2.4653149999999999</v>
      </c>
      <c r="AF98">
        <f>'User Add-In Location'!E99</f>
        <v>0</v>
      </c>
      <c r="AI98">
        <v>2.8480210000000001</v>
      </c>
      <c r="AJ98">
        <v>2.7657660000000002</v>
      </c>
      <c r="AL98">
        <v>1.962936</v>
      </c>
      <c r="AM98">
        <v>2.499492</v>
      </c>
      <c r="AO98">
        <v>2.692831</v>
      </c>
      <c r="AQ98">
        <v>3.0820720000000001</v>
      </c>
      <c r="AR98">
        <v>3.3205849999999999</v>
      </c>
      <c r="AS98">
        <v>2.0757500000000002</v>
      </c>
      <c r="AT98">
        <v>2.0123039999999999</v>
      </c>
      <c r="AW98">
        <v>3.1201099999999999</v>
      </c>
      <c r="AX98" s="176">
        <v>5.0425740000000001</v>
      </c>
      <c r="BA98">
        <v>2.5247820000000001</v>
      </c>
      <c r="BB98">
        <v>1.5301480000000001</v>
      </c>
      <c r="BD98">
        <v>2.9923670000000002</v>
      </c>
      <c r="BF98">
        <v>3.3614980000000001</v>
      </c>
      <c r="BG98">
        <v>2.2387049999999999</v>
      </c>
      <c r="BH98">
        <v>2.7911009999999998</v>
      </c>
      <c r="BI98">
        <v>2.9649580000000002</v>
      </c>
      <c r="BJ98">
        <v>2.4350499999999999</v>
      </c>
      <c r="BK98">
        <v>2.8438020000000002</v>
      </c>
      <c r="BL98">
        <v>2.8682460000000001</v>
      </c>
      <c r="BM98">
        <v>2.2359960000000001</v>
      </c>
    </row>
    <row r="99" spans="1:65" x14ac:dyDescent="0.25">
      <c r="B99">
        <v>85</v>
      </c>
      <c r="C99" t="s">
        <v>602</v>
      </c>
      <c r="D99">
        <v>3.2100420000000001</v>
      </c>
      <c r="E99">
        <v>3.8885700000000001</v>
      </c>
      <c r="H99">
        <v>3.1698200000000001</v>
      </c>
      <c r="J99">
        <v>2.6507999999999998</v>
      </c>
      <c r="K99">
        <v>3.251214</v>
      </c>
      <c r="L99">
        <v>0.86360499999999996</v>
      </c>
      <c r="M99">
        <v>4.5080030000000004</v>
      </c>
      <c r="N99">
        <v>4.1050360000000001</v>
      </c>
      <c r="O99">
        <v>3.5610569999999999</v>
      </c>
      <c r="Q99">
        <v>4.544168</v>
      </c>
      <c r="R99">
        <v>4.0734820000000003</v>
      </c>
      <c r="V99">
        <v>4.6498590000000002</v>
      </c>
      <c r="W99">
        <v>4.8833390000000003</v>
      </c>
      <c r="X99">
        <v>2.9527459999999999</v>
      </c>
      <c r="Y99">
        <v>2.637213</v>
      </c>
      <c r="Z99">
        <v>4.6704400000000001</v>
      </c>
      <c r="AA99">
        <v>4.8153949999999996</v>
      </c>
      <c r="AB99">
        <v>4.5486890000000004</v>
      </c>
      <c r="AF99">
        <f>'User Add-In Location'!E100</f>
        <v>0</v>
      </c>
      <c r="AI99">
        <v>3.313294</v>
      </c>
      <c r="AJ99">
        <v>3.9406819999999998</v>
      </c>
      <c r="AL99">
        <v>2.9420030000000001</v>
      </c>
      <c r="AM99">
        <v>3.6992129999999999</v>
      </c>
      <c r="AO99">
        <v>3.969897</v>
      </c>
      <c r="AQ99">
        <v>4.3695329999999997</v>
      </c>
      <c r="AR99">
        <v>4.5190650000000003</v>
      </c>
      <c r="AS99">
        <v>2.954027</v>
      </c>
      <c r="AT99">
        <v>3.5417990000000001</v>
      </c>
      <c r="AW99">
        <v>4.3770239999999996</v>
      </c>
      <c r="AX99" s="176">
        <v>6.549169</v>
      </c>
      <c r="BA99">
        <v>3.8023159999999998</v>
      </c>
      <c r="BB99">
        <v>2.3956110000000002</v>
      </c>
      <c r="BD99">
        <v>4.7677459999999998</v>
      </c>
      <c r="BF99">
        <v>4.8283500000000004</v>
      </c>
      <c r="BG99">
        <v>3.1813889999999998</v>
      </c>
      <c r="BH99">
        <v>3.8539439999999998</v>
      </c>
      <c r="BI99">
        <v>4.3658080000000004</v>
      </c>
      <c r="BJ99">
        <v>3.42442</v>
      </c>
      <c r="BK99">
        <v>4.312538</v>
      </c>
      <c r="BL99">
        <v>3.163017</v>
      </c>
      <c r="BM99">
        <v>2.9887980000000001</v>
      </c>
    </row>
    <row r="100" spans="1:65" x14ac:dyDescent="0.25">
      <c r="B100">
        <v>86</v>
      </c>
    </row>
    <row r="101" spans="1:65" x14ac:dyDescent="0.25">
      <c r="B101">
        <v>87</v>
      </c>
      <c r="D101" s="174" t="s">
        <v>532</v>
      </c>
      <c r="E101" s="174" t="s">
        <v>680</v>
      </c>
      <c r="F101" s="174" t="s">
        <v>681</v>
      </c>
      <c r="G101" s="174" t="s">
        <v>682</v>
      </c>
      <c r="H101" s="174" t="s">
        <v>533</v>
      </c>
      <c r="I101" s="174" t="s">
        <v>683</v>
      </c>
      <c r="J101" s="174" t="s">
        <v>534</v>
      </c>
      <c r="K101" s="174" t="s">
        <v>535</v>
      </c>
      <c r="L101" s="174" t="s">
        <v>684</v>
      </c>
      <c r="M101" s="174" t="s">
        <v>536</v>
      </c>
      <c r="N101" s="174" t="s">
        <v>537</v>
      </c>
      <c r="O101" s="174" t="s">
        <v>538</v>
      </c>
      <c r="P101" s="174" t="s">
        <v>685</v>
      </c>
      <c r="Q101" s="174" t="s">
        <v>539</v>
      </c>
      <c r="R101" s="174" t="s">
        <v>540</v>
      </c>
      <c r="S101" s="174" t="s">
        <v>686</v>
      </c>
      <c r="T101" s="174" t="s">
        <v>687</v>
      </c>
      <c r="U101" s="174" t="s">
        <v>688</v>
      </c>
      <c r="V101" s="174" t="s">
        <v>541</v>
      </c>
      <c r="W101" s="174" t="s">
        <v>542</v>
      </c>
      <c r="X101" s="174" t="s">
        <v>543</v>
      </c>
      <c r="Y101" s="174" t="s">
        <v>544</v>
      </c>
      <c r="Z101" s="174" t="s">
        <v>545</v>
      </c>
      <c r="AA101" s="174" t="s">
        <v>546</v>
      </c>
      <c r="AB101" s="174" t="s">
        <v>549</v>
      </c>
      <c r="AC101" s="174" t="s">
        <v>689</v>
      </c>
      <c r="AD101" s="174" t="s">
        <v>690</v>
      </c>
      <c r="AE101" s="175" t="s">
        <v>691</v>
      </c>
      <c r="AF101" s="175" t="s">
        <v>1064</v>
      </c>
      <c r="AG101" s="174" t="s">
        <v>692</v>
      </c>
      <c r="AH101" s="174" t="s">
        <v>693</v>
      </c>
      <c r="AI101" s="174" t="s">
        <v>550</v>
      </c>
      <c r="AJ101" s="174" t="s">
        <v>551</v>
      </c>
      <c r="AK101" s="174" t="s">
        <v>694</v>
      </c>
      <c r="AL101" s="174" t="s">
        <v>695</v>
      </c>
      <c r="AM101" s="174" t="s">
        <v>553</v>
      </c>
      <c r="AN101" s="174" t="s">
        <v>696</v>
      </c>
      <c r="AO101" s="174" t="s">
        <v>554</v>
      </c>
      <c r="AP101" s="174" t="s">
        <v>697</v>
      </c>
      <c r="AQ101" s="174" t="s">
        <v>555</v>
      </c>
      <c r="AR101" s="174" t="s">
        <v>556</v>
      </c>
      <c r="AS101" s="174" t="s">
        <v>557</v>
      </c>
      <c r="AT101" s="174" t="s">
        <v>558</v>
      </c>
      <c r="AU101" s="174" t="s">
        <v>698</v>
      </c>
      <c r="AV101" s="174" t="s">
        <v>699</v>
      </c>
      <c r="AW101" s="174" t="s">
        <v>559</v>
      </c>
      <c r="AX101" s="174" t="s">
        <v>530</v>
      </c>
      <c r="AY101" s="174" t="s">
        <v>700</v>
      </c>
      <c r="AZ101" s="174" t="s">
        <v>701</v>
      </c>
      <c r="BA101" s="174" t="s">
        <v>560</v>
      </c>
      <c r="BB101" s="174" t="s">
        <v>561</v>
      </c>
      <c r="BC101" s="174" t="s">
        <v>702</v>
      </c>
      <c r="BD101" s="174" t="s">
        <v>562</v>
      </c>
      <c r="BE101" s="174" t="s">
        <v>703</v>
      </c>
      <c r="BF101" t="s">
        <v>704</v>
      </c>
      <c r="BG101" t="s">
        <v>705</v>
      </c>
      <c r="BH101" t="s">
        <v>706</v>
      </c>
      <c r="BI101" t="s">
        <v>707</v>
      </c>
      <c r="BJ101" t="s">
        <v>708</v>
      </c>
      <c r="BK101" t="s">
        <v>709</v>
      </c>
      <c r="BL101" t="s">
        <v>710</v>
      </c>
      <c r="BM101" t="s">
        <v>711</v>
      </c>
    </row>
    <row r="102" spans="1:65" x14ac:dyDescent="0.25">
      <c r="A102" t="s">
        <v>718</v>
      </c>
      <c r="B102">
        <v>88</v>
      </c>
      <c r="C102" t="s">
        <v>400</v>
      </c>
      <c r="D102">
        <v>0.10968</v>
      </c>
      <c r="E102">
        <v>5.6078999999999997E-2</v>
      </c>
      <c r="H102">
        <v>0.30203400000000002</v>
      </c>
      <c r="J102">
        <v>0.28736699999999998</v>
      </c>
      <c r="K102">
        <v>6.2900999999999999E-2</v>
      </c>
      <c r="L102">
        <v>7.0470000000000005E-2</v>
      </c>
      <c r="M102">
        <v>0.28970400000000002</v>
      </c>
      <c r="N102">
        <v>0.118241</v>
      </c>
      <c r="O102">
        <v>0.362562</v>
      </c>
      <c r="Q102">
        <v>6.1258E-2</v>
      </c>
      <c r="R102">
        <v>8.0494999999999997E-2</v>
      </c>
      <c r="V102">
        <v>0.14732999999999999</v>
      </c>
      <c r="W102">
        <v>0.23339299999999999</v>
      </c>
      <c r="X102">
        <v>0.144117</v>
      </c>
      <c r="Y102">
        <v>0.38654699999999997</v>
      </c>
      <c r="Z102">
        <v>0.18477399999999999</v>
      </c>
      <c r="AA102">
        <v>6.4574999999999994E-2</v>
      </c>
      <c r="AB102">
        <v>0.10867300000000001</v>
      </c>
      <c r="AF102">
        <f>'User Add-In Location'!E103</f>
        <v>0</v>
      </c>
      <c r="AI102">
        <v>0.24927299999999999</v>
      </c>
      <c r="AJ102">
        <v>0.32355400000000001</v>
      </c>
      <c r="AL102">
        <v>0.19522500000000001</v>
      </c>
      <c r="AM102">
        <v>0.11530899999999999</v>
      </c>
      <c r="AO102">
        <v>0.1163</v>
      </c>
      <c r="AQ102">
        <v>0.33703300000000003</v>
      </c>
      <c r="AR102">
        <v>0.13661699999999999</v>
      </c>
      <c r="AS102">
        <v>0.32873599999999997</v>
      </c>
      <c r="AT102">
        <v>0.17694699999999999</v>
      </c>
      <c r="AW102">
        <v>0.159163</v>
      </c>
      <c r="AX102" s="176">
        <v>0.14810699999999999</v>
      </c>
      <c r="BA102">
        <v>0.17611499999999999</v>
      </c>
      <c r="BB102">
        <v>0.309504</v>
      </c>
      <c r="BD102">
        <v>0.124281</v>
      </c>
      <c r="BF102">
        <v>0.17450099999999999</v>
      </c>
      <c r="BG102">
        <v>0.30622300000000002</v>
      </c>
      <c r="BH102">
        <v>0.15998499999999999</v>
      </c>
      <c r="BI102">
        <v>0.106324</v>
      </c>
      <c r="BJ102">
        <v>0.18686800000000001</v>
      </c>
      <c r="BK102">
        <v>0.130888</v>
      </c>
      <c r="BL102">
        <v>0.29797800000000002</v>
      </c>
      <c r="BM102">
        <v>0.23652300000000001</v>
      </c>
    </row>
    <row r="103" spans="1:65" x14ac:dyDescent="0.25">
      <c r="B103">
        <v>89</v>
      </c>
      <c r="C103" t="s">
        <v>583</v>
      </c>
      <c r="D103">
        <v>0.16597500000000001</v>
      </c>
      <c r="E103">
        <v>0.239514</v>
      </c>
      <c r="H103">
        <v>0.14912700000000001</v>
      </c>
      <c r="J103">
        <v>1.029E-3</v>
      </c>
      <c r="K103">
        <v>2.2322000000000002E-2</v>
      </c>
      <c r="L103">
        <v>0</v>
      </c>
      <c r="M103">
        <v>7.8740000000000008E-3</v>
      </c>
      <c r="N103">
        <v>2.4705999999999999E-2</v>
      </c>
      <c r="O103">
        <v>2.0860000000000002E-3</v>
      </c>
      <c r="Q103">
        <v>4.2824000000000001E-2</v>
      </c>
      <c r="R103">
        <v>2.5204000000000001E-2</v>
      </c>
      <c r="V103">
        <v>0.17930399999999999</v>
      </c>
      <c r="W103">
        <v>3.9240000000000004E-3</v>
      </c>
      <c r="X103">
        <v>1.146E-2</v>
      </c>
      <c r="Y103">
        <v>1.5179E-2</v>
      </c>
      <c r="Z103">
        <v>5.9887000000000003E-2</v>
      </c>
      <c r="AA103">
        <v>1.7565000000000001E-2</v>
      </c>
      <c r="AB103">
        <v>9.5434000000000005E-2</v>
      </c>
      <c r="AF103">
        <f>'User Add-In Location'!E104</f>
        <v>0</v>
      </c>
      <c r="AI103">
        <v>3.3466000000000003E-2</v>
      </c>
      <c r="AJ103">
        <v>5.9390999999999999E-2</v>
      </c>
      <c r="AL103">
        <v>3.3024999999999999E-2</v>
      </c>
      <c r="AM103">
        <v>1.8952E-2</v>
      </c>
      <c r="AO103">
        <v>4.4226000000000001E-2</v>
      </c>
      <c r="AQ103">
        <v>2.9529999999999999E-3</v>
      </c>
      <c r="AR103">
        <v>0.114483</v>
      </c>
      <c r="AS103">
        <v>0</v>
      </c>
      <c r="AT103">
        <v>1.9266999999999999E-2</v>
      </c>
      <c r="AW103">
        <v>0.159965</v>
      </c>
      <c r="AX103" s="176">
        <v>0.14125599999999999</v>
      </c>
      <c r="BA103">
        <v>4.2263000000000002E-2</v>
      </c>
      <c r="BB103">
        <v>6.613E-3</v>
      </c>
      <c r="BD103">
        <v>5.5269999999999998E-3</v>
      </c>
      <c r="BF103">
        <v>0.157942</v>
      </c>
      <c r="BG103">
        <v>0.13667499999999999</v>
      </c>
      <c r="BH103">
        <v>2.7375E-2</v>
      </c>
      <c r="BI103">
        <v>7.3242000000000002E-2</v>
      </c>
      <c r="BJ103">
        <v>3.3390000000000003E-2</v>
      </c>
      <c r="BK103">
        <v>2.7869999999999999E-2</v>
      </c>
      <c r="BL103">
        <v>1.7919999999999998E-2</v>
      </c>
      <c r="BM103">
        <v>2.3935999999999999E-2</v>
      </c>
    </row>
    <row r="104" spans="1:65" x14ac:dyDescent="0.25">
      <c r="B104">
        <v>90</v>
      </c>
      <c r="C104" t="s">
        <v>403</v>
      </c>
      <c r="D104">
        <v>0.18428700000000001</v>
      </c>
      <c r="E104">
        <v>0.108305</v>
      </c>
      <c r="H104">
        <v>0.149561</v>
      </c>
      <c r="J104">
        <v>0</v>
      </c>
      <c r="K104">
        <v>0</v>
      </c>
      <c r="L104">
        <v>0</v>
      </c>
      <c r="M104">
        <v>6.4397999999999997E-2</v>
      </c>
      <c r="N104">
        <v>0</v>
      </c>
      <c r="O104">
        <v>0</v>
      </c>
      <c r="Q104">
        <v>0.19667599999999999</v>
      </c>
      <c r="R104">
        <v>0.224912</v>
      </c>
      <c r="V104">
        <v>0.13699800000000001</v>
      </c>
      <c r="W104">
        <v>0</v>
      </c>
      <c r="X104">
        <v>0.108072</v>
      </c>
      <c r="Y104">
        <v>0</v>
      </c>
      <c r="Z104">
        <v>0</v>
      </c>
      <c r="AA104">
        <v>0</v>
      </c>
      <c r="AB104">
        <v>0.12664300000000001</v>
      </c>
      <c r="AF104">
        <f>'User Add-In Location'!E105</f>
        <v>0</v>
      </c>
      <c r="AI104">
        <v>0</v>
      </c>
      <c r="AJ104">
        <v>0</v>
      </c>
      <c r="AL104">
        <v>0</v>
      </c>
      <c r="AM104">
        <v>0</v>
      </c>
      <c r="AO104">
        <v>0.140823</v>
      </c>
      <c r="AQ104">
        <v>0</v>
      </c>
      <c r="AR104">
        <v>0.14810799999999999</v>
      </c>
      <c r="AS104">
        <v>0</v>
      </c>
      <c r="AT104">
        <v>0</v>
      </c>
      <c r="AW104">
        <v>0.147981</v>
      </c>
      <c r="AX104" s="176">
        <v>0.18026200000000001</v>
      </c>
      <c r="BA104">
        <v>0.18079600000000001</v>
      </c>
      <c r="BB104">
        <v>0.142155</v>
      </c>
      <c r="BD104">
        <v>0</v>
      </c>
      <c r="BF104">
        <v>0.15503900000000001</v>
      </c>
      <c r="BG104">
        <v>0.14336299999999999</v>
      </c>
      <c r="BH104">
        <v>0.172153</v>
      </c>
      <c r="BI104">
        <v>0.17117299999999999</v>
      </c>
      <c r="BJ104">
        <v>0.108072</v>
      </c>
      <c r="BK104">
        <v>0.18079600000000001</v>
      </c>
      <c r="BL104">
        <v>0</v>
      </c>
      <c r="BM104">
        <v>0</v>
      </c>
    </row>
    <row r="105" spans="1:65" x14ac:dyDescent="0.25">
      <c r="B105">
        <v>91</v>
      </c>
      <c r="C105" t="s">
        <v>584</v>
      </c>
      <c r="D105">
        <v>0.15857299999999999</v>
      </c>
      <c r="E105">
        <v>0.15359100000000001</v>
      </c>
      <c r="H105">
        <v>0.15695500000000001</v>
      </c>
      <c r="J105">
        <v>0.117064</v>
      </c>
      <c r="K105">
        <v>0.12870100000000001</v>
      </c>
      <c r="L105">
        <v>0</v>
      </c>
      <c r="M105">
        <v>0.103172</v>
      </c>
      <c r="N105">
        <v>0.172177</v>
      </c>
      <c r="O105">
        <v>0.18385899999999999</v>
      </c>
      <c r="Q105">
        <v>0.15664800000000001</v>
      </c>
      <c r="R105">
        <v>0.170015</v>
      </c>
      <c r="V105">
        <v>0.101246</v>
      </c>
      <c r="W105">
        <v>9.5152E-2</v>
      </c>
      <c r="X105">
        <v>0.11998499999999999</v>
      </c>
      <c r="Y105">
        <v>0.16403999999999999</v>
      </c>
      <c r="Z105">
        <v>0.128639</v>
      </c>
      <c r="AA105">
        <v>0.18045800000000001</v>
      </c>
      <c r="AB105">
        <v>8.1434999999999994E-2</v>
      </c>
      <c r="AF105">
        <f>'User Add-In Location'!E106</f>
        <v>0</v>
      </c>
      <c r="AI105">
        <v>0.18960399999999999</v>
      </c>
      <c r="AJ105">
        <v>0.172843</v>
      </c>
      <c r="AL105">
        <v>0.16277700000000001</v>
      </c>
      <c r="AM105">
        <v>0.1731</v>
      </c>
      <c r="AO105">
        <v>0.100421</v>
      </c>
      <c r="AQ105">
        <v>0.16375600000000001</v>
      </c>
      <c r="AR105">
        <v>9.7275E-2</v>
      </c>
      <c r="AS105">
        <v>0.192469</v>
      </c>
      <c r="AT105">
        <v>0.167295</v>
      </c>
      <c r="AW105">
        <v>0.114076</v>
      </c>
      <c r="AX105" s="176">
        <v>0.13833400000000001</v>
      </c>
      <c r="BA105">
        <v>0.15713299999999999</v>
      </c>
      <c r="BB105">
        <v>0.15446799999999999</v>
      </c>
      <c r="BD105">
        <v>0.122043</v>
      </c>
      <c r="BF105">
        <v>0.112675</v>
      </c>
      <c r="BG105">
        <v>0.15729199999999999</v>
      </c>
      <c r="BH105">
        <v>0.162078</v>
      </c>
      <c r="BI105">
        <v>0.13234799999999999</v>
      </c>
      <c r="BJ105">
        <v>0.157109</v>
      </c>
      <c r="BK105">
        <v>0.167879</v>
      </c>
      <c r="BL105">
        <v>0.157611</v>
      </c>
      <c r="BM105">
        <v>0.15778600000000001</v>
      </c>
    </row>
    <row r="106" spans="1:65" x14ac:dyDescent="0.25">
      <c r="B106">
        <v>92</v>
      </c>
      <c r="C106" t="s">
        <v>585</v>
      </c>
      <c r="D106">
        <v>0.22740299999999999</v>
      </c>
      <c r="E106">
        <v>0</v>
      </c>
      <c r="H106">
        <v>0</v>
      </c>
      <c r="J106">
        <v>0</v>
      </c>
      <c r="K106">
        <v>0</v>
      </c>
      <c r="L106">
        <v>0</v>
      </c>
      <c r="M106">
        <v>0.13089899999999999</v>
      </c>
      <c r="N106">
        <v>0</v>
      </c>
      <c r="O106">
        <v>0</v>
      </c>
      <c r="Q106">
        <v>0</v>
      </c>
      <c r="R106">
        <v>0</v>
      </c>
      <c r="V106">
        <v>0</v>
      </c>
      <c r="W106">
        <v>0</v>
      </c>
      <c r="X106">
        <v>0</v>
      </c>
      <c r="Y106">
        <v>0</v>
      </c>
      <c r="Z106">
        <v>0</v>
      </c>
      <c r="AA106">
        <v>0.12828200000000001</v>
      </c>
      <c r="AB106">
        <v>0</v>
      </c>
      <c r="AF106">
        <f>'User Add-In Location'!E107</f>
        <v>0</v>
      </c>
      <c r="AI106">
        <v>0</v>
      </c>
      <c r="AJ106">
        <v>0.14030400000000001</v>
      </c>
      <c r="AL106">
        <v>0</v>
      </c>
      <c r="AM106">
        <v>0</v>
      </c>
      <c r="AO106">
        <v>0</v>
      </c>
      <c r="AQ106">
        <v>0</v>
      </c>
      <c r="AR106">
        <v>0</v>
      </c>
      <c r="AS106">
        <v>0</v>
      </c>
      <c r="AT106">
        <v>0</v>
      </c>
      <c r="AW106">
        <v>0.163023</v>
      </c>
      <c r="AX106" s="176">
        <v>0.17385999999999999</v>
      </c>
      <c r="BA106">
        <v>0</v>
      </c>
      <c r="BB106">
        <v>0</v>
      </c>
      <c r="BD106">
        <v>0</v>
      </c>
      <c r="BF106">
        <v>0.15162200000000001</v>
      </c>
      <c r="BG106">
        <v>0</v>
      </c>
      <c r="BH106">
        <v>0.14030400000000001</v>
      </c>
      <c r="BI106">
        <v>0.12828200000000001</v>
      </c>
      <c r="BJ106">
        <v>0.14030400000000001</v>
      </c>
      <c r="BK106">
        <v>0</v>
      </c>
      <c r="BL106">
        <v>0</v>
      </c>
      <c r="BM106">
        <v>0</v>
      </c>
    </row>
    <row r="107" spans="1:65" x14ac:dyDescent="0.25">
      <c r="B107">
        <v>93</v>
      </c>
      <c r="C107" t="s">
        <v>586</v>
      </c>
      <c r="D107">
        <v>0.13639000000000001</v>
      </c>
      <c r="E107">
        <v>0.12643299999999999</v>
      </c>
      <c r="H107">
        <v>0.17732300000000001</v>
      </c>
      <c r="J107">
        <v>0.14035600000000001</v>
      </c>
      <c r="K107">
        <v>0.13253200000000001</v>
      </c>
      <c r="L107">
        <v>0.116855</v>
      </c>
      <c r="M107">
        <v>0.109474</v>
      </c>
      <c r="N107">
        <v>0.18362600000000001</v>
      </c>
      <c r="O107">
        <v>0.110166</v>
      </c>
      <c r="Q107">
        <v>0.147755</v>
      </c>
      <c r="R107">
        <v>0.10541499999999999</v>
      </c>
      <c r="V107">
        <v>0.130833</v>
      </c>
      <c r="W107">
        <v>8.6424000000000001E-2</v>
      </c>
      <c r="X107">
        <v>0.12621199999999999</v>
      </c>
      <c r="Y107">
        <v>0.13339799999999999</v>
      </c>
      <c r="Z107">
        <v>0.15089</v>
      </c>
      <c r="AA107">
        <v>0.153535</v>
      </c>
      <c r="AB107">
        <v>0.123833</v>
      </c>
      <c r="AF107">
        <f>'User Add-In Location'!E108</f>
        <v>0</v>
      </c>
      <c r="AI107">
        <v>0.123263</v>
      </c>
      <c r="AJ107">
        <v>0.13919500000000001</v>
      </c>
      <c r="AL107">
        <v>0.16450000000000001</v>
      </c>
      <c r="AM107">
        <v>0.118809</v>
      </c>
      <c r="AO107">
        <v>0.129797</v>
      </c>
      <c r="AQ107">
        <v>0.13034899999999999</v>
      </c>
      <c r="AR107">
        <v>0.15976000000000001</v>
      </c>
      <c r="AS107">
        <v>7.3178999999999994E-2</v>
      </c>
      <c r="AT107">
        <v>0.14380499999999999</v>
      </c>
      <c r="AW107">
        <v>0.12681500000000001</v>
      </c>
      <c r="AX107" s="176">
        <v>0.14377899999999999</v>
      </c>
      <c r="BA107">
        <v>0.13170599999999999</v>
      </c>
      <c r="BB107">
        <v>0.184951</v>
      </c>
      <c r="BD107">
        <v>0.113359</v>
      </c>
      <c r="BF107">
        <v>0.12629599999999999</v>
      </c>
      <c r="BG107">
        <v>0.174903</v>
      </c>
      <c r="BH107">
        <v>0.14048099999999999</v>
      </c>
      <c r="BI107">
        <v>0.14310999999999999</v>
      </c>
      <c r="BJ107">
        <v>0.14647099999999999</v>
      </c>
      <c r="BK107">
        <v>0.142152</v>
      </c>
      <c r="BL107">
        <v>0.129436</v>
      </c>
      <c r="BM107">
        <v>0.14574300000000001</v>
      </c>
    </row>
    <row r="108" spans="1:65" x14ac:dyDescent="0.25">
      <c r="B108">
        <v>94</v>
      </c>
      <c r="C108" t="s">
        <v>587</v>
      </c>
      <c r="D108">
        <v>0.42809999999999998</v>
      </c>
      <c r="E108">
        <v>0.12288499999999999</v>
      </c>
      <c r="H108">
        <v>0.115123</v>
      </c>
      <c r="J108">
        <v>0.105951</v>
      </c>
      <c r="K108">
        <v>0.13513800000000001</v>
      </c>
      <c r="L108">
        <v>0.117183</v>
      </c>
      <c r="M108">
        <v>8.4070000000000006E-2</v>
      </c>
      <c r="N108">
        <v>0.10340000000000001</v>
      </c>
      <c r="O108">
        <v>0.108179</v>
      </c>
      <c r="Q108">
        <v>0.13097300000000001</v>
      </c>
      <c r="R108">
        <v>0.11308600000000001</v>
      </c>
      <c r="V108">
        <v>8.8271000000000002E-2</v>
      </c>
      <c r="W108">
        <v>8.7044999999999997E-2</v>
      </c>
      <c r="X108">
        <v>0.102752</v>
      </c>
      <c r="Y108">
        <v>0.12055100000000001</v>
      </c>
      <c r="Z108">
        <v>0.136764</v>
      </c>
      <c r="AA108">
        <v>0.13570699999999999</v>
      </c>
      <c r="AB108">
        <v>9.8446000000000006E-2</v>
      </c>
      <c r="AF108">
        <f>'User Add-In Location'!E109</f>
        <v>0</v>
      </c>
      <c r="AI108">
        <v>0.101481</v>
      </c>
      <c r="AJ108">
        <v>0.111119</v>
      </c>
      <c r="AL108">
        <v>0.119863</v>
      </c>
      <c r="AM108">
        <v>9.4378000000000004E-2</v>
      </c>
      <c r="AO108">
        <v>0.101434</v>
      </c>
      <c r="AQ108">
        <v>0.113542</v>
      </c>
      <c r="AR108">
        <v>0.121471</v>
      </c>
      <c r="AS108">
        <v>8.4193000000000004E-2</v>
      </c>
      <c r="AT108">
        <v>9.2935000000000004E-2</v>
      </c>
      <c r="AW108">
        <v>0.114389</v>
      </c>
      <c r="AX108" s="176">
        <v>0.11086699999999999</v>
      </c>
      <c r="BA108">
        <v>0.102506</v>
      </c>
      <c r="BB108">
        <v>9.1499999999999998E-2</v>
      </c>
      <c r="BD108">
        <v>0.110585</v>
      </c>
      <c r="BF108">
        <v>0.106904</v>
      </c>
      <c r="BG108">
        <v>0.107237</v>
      </c>
      <c r="BH108">
        <v>0.109095</v>
      </c>
      <c r="BI108">
        <v>0.121457</v>
      </c>
      <c r="BJ108">
        <v>0.11662400000000001</v>
      </c>
      <c r="BK108">
        <v>9.9740999999999996E-2</v>
      </c>
      <c r="BL108">
        <v>0.111307</v>
      </c>
      <c r="BM108">
        <v>0.118024</v>
      </c>
    </row>
    <row r="109" spans="1:65" x14ac:dyDescent="0.25">
      <c r="B109">
        <v>95</v>
      </c>
      <c r="C109" t="s">
        <v>588</v>
      </c>
      <c r="D109">
        <v>0.22875499999999999</v>
      </c>
      <c r="E109">
        <v>4.4431999999999999E-2</v>
      </c>
      <c r="H109">
        <v>0.182417</v>
      </c>
      <c r="J109">
        <v>0.102282</v>
      </c>
      <c r="K109">
        <v>0.27392499999999997</v>
      </c>
      <c r="L109">
        <v>0.15844900000000001</v>
      </c>
      <c r="M109">
        <v>0.15027299999999999</v>
      </c>
      <c r="N109">
        <v>0.15482799999999999</v>
      </c>
      <c r="O109">
        <v>0.181173</v>
      </c>
      <c r="Q109">
        <v>0.17060900000000001</v>
      </c>
      <c r="R109">
        <v>0.194358</v>
      </c>
      <c r="V109">
        <v>0.22561600000000001</v>
      </c>
      <c r="W109">
        <v>0.167514</v>
      </c>
      <c r="X109">
        <v>0.15298400000000001</v>
      </c>
      <c r="Y109">
        <v>0.184166</v>
      </c>
      <c r="Z109">
        <v>0.214362</v>
      </c>
      <c r="AA109">
        <v>0.19825899999999999</v>
      </c>
      <c r="AB109">
        <v>0.21603700000000001</v>
      </c>
      <c r="AF109">
        <f>'User Add-In Location'!E110</f>
        <v>0</v>
      </c>
      <c r="AI109">
        <v>0.147339</v>
      </c>
      <c r="AJ109">
        <v>0.172372</v>
      </c>
      <c r="AL109">
        <v>0.16380400000000001</v>
      </c>
      <c r="AM109">
        <v>0.14628099999999999</v>
      </c>
      <c r="AO109">
        <v>0.16320000000000001</v>
      </c>
      <c r="AQ109">
        <v>0.17081199999999999</v>
      </c>
      <c r="AR109">
        <v>9.3979999999999994E-2</v>
      </c>
      <c r="AS109">
        <v>0.13353899999999999</v>
      </c>
      <c r="AT109">
        <v>0.18387000000000001</v>
      </c>
      <c r="AW109">
        <v>0.26456200000000002</v>
      </c>
      <c r="AX109" s="176">
        <v>0.167436</v>
      </c>
      <c r="BA109">
        <v>0.162635</v>
      </c>
      <c r="BB109">
        <v>0.16428300000000001</v>
      </c>
      <c r="BD109">
        <v>0.18898799999999999</v>
      </c>
      <c r="BF109">
        <v>0.24166000000000001</v>
      </c>
      <c r="BG109">
        <v>0.18146999999999999</v>
      </c>
      <c r="BH109">
        <v>0.16134499999999999</v>
      </c>
      <c r="BI109">
        <v>0.14805199999999999</v>
      </c>
      <c r="BJ109">
        <v>0.16966899999999999</v>
      </c>
      <c r="BK109">
        <v>0.157058</v>
      </c>
      <c r="BL109">
        <v>0.18020800000000001</v>
      </c>
      <c r="BM109">
        <v>0.156418</v>
      </c>
    </row>
    <row r="110" spans="1:65" x14ac:dyDescent="0.25">
      <c r="B110">
        <v>96</v>
      </c>
      <c r="C110" t="s">
        <v>348</v>
      </c>
      <c r="D110">
        <v>0.30590600000000001</v>
      </c>
      <c r="E110">
        <v>0.38453799999999999</v>
      </c>
      <c r="H110">
        <v>0.35495100000000002</v>
      </c>
      <c r="J110">
        <v>0.28899200000000003</v>
      </c>
      <c r="K110">
        <v>0.30689899999999998</v>
      </c>
      <c r="L110">
        <v>0.41638900000000001</v>
      </c>
      <c r="M110">
        <v>0.29746699999999998</v>
      </c>
      <c r="N110">
        <v>0.29114299999999999</v>
      </c>
      <c r="O110">
        <v>0.352296</v>
      </c>
      <c r="Q110">
        <v>0.34854400000000002</v>
      </c>
      <c r="R110">
        <v>0.32447300000000001</v>
      </c>
      <c r="V110">
        <v>0.37504700000000002</v>
      </c>
      <c r="W110">
        <v>0.26785900000000001</v>
      </c>
      <c r="X110">
        <v>0.34969099999999997</v>
      </c>
      <c r="Y110">
        <v>0.356541</v>
      </c>
      <c r="Z110">
        <v>0.299095</v>
      </c>
      <c r="AA110">
        <v>0.34311999999999998</v>
      </c>
      <c r="AB110">
        <v>0.25442799999999999</v>
      </c>
      <c r="AF110">
        <f>'User Add-In Location'!E111</f>
        <v>0</v>
      </c>
      <c r="AI110">
        <v>0.28985</v>
      </c>
      <c r="AJ110">
        <v>0.31736300000000001</v>
      </c>
      <c r="AL110">
        <v>0.36782900000000002</v>
      </c>
      <c r="AM110">
        <v>0.30220999999999998</v>
      </c>
      <c r="AO110">
        <v>0.30912699999999999</v>
      </c>
      <c r="AQ110">
        <v>0.344947</v>
      </c>
      <c r="AR110">
        <v>0.32043100000000002</v>
      </c>
      <c r="AS110">
        <v>0.29586000000000001</v>
      </c>
      <c r="AT110">
        <v>0.27791399999999999</v>
      </c>
      <c r="AW110">
        <v>0.32181500000000002</v>
      </c>
      <c r="AX110" s="176">
        <v>0.32503900000000002</v>
      </c>
      <c r="BA110">
        <v>0.32077099999999997</v>
      </c>
      <c r="BB110">
        <v>0.34656799999999999</v>
      </c>
      <c r="BD110">
        <v>0.32214999999999999</v>
      </c>
      <c r="BF110">
        <v>0.31523000000000001</v>
      </c>
      <c r="BG110">
        <v>0.352742</v>
      </c>
      <c r="BH110">
        <v>0.32575300000000001</v>
      </c>
      <c r="BI110">
        <v>0.33413399999999999</v>
      </c>
      <c r="BJ110">
        <v>0.35037499999999999</v>
      </c>
      <c r="BK110">
        <v>0.30015500000000001</v>
      </c>
      <c r="BL110">
        <v>0.33725899999999998</v>
      </c>
      <c r="BM110">
        <v>0.35398800000000002</v>
      </c>
    </row>
    <row r="111" spans="1:65" x14ac:dyDescent="0.25">
      <c r="B111">
        <v>97</v>
      </c>
      <c r="C111" t="s">
        <v>589</v>
      </c>
      <c r="D111">
        <v>0.59533700000000001</v>
      </c>
      <c r="E111">
        <v>0.37310500000000002</v>
      </c>
      <c r="H111">
        <v>0.321608</v>
      </c>
      <c r="J111">
        <v>0.29562300000000002</v>
      </c>
      <c r="K111">
        <v>0.271818</v>
      </c>
      <c r="L111">
        <v>0.370755</v>
      </c>
      <c r="M111">
        <v>0.26042799999999999</v>
      </c>
      <c r="N111">
        <v>0.25833400000000001</v>
      </c>
      <c r="O111">
        <v>0.31487700000000002</v>
      </c>
      <c r="Q111">
        <v>0.31683800000000001</v>
      </c>
      <c r="R111">
        <v>0.30989499999999998</v>
      </c>
      <c r="V111">
        <v>0.38053900000000002</v>
      </c>
      <c r="W111">
        <v>0.29189999999999999</v>
      </c>
      <c r="X111">
        <v>0.32769199999999998</v>
      </c>
      <c r="Y111">
        <v>0.3569</v>
      </c>
      <c r="Z111">
        <v>0.26646900000000001</v>
      </c>
      <c r="AA111">
        <v>0.30825900000000001</v>
      </c>
      <c r="AB111">
        <v>0.25000099999999997</v>
      </c>
      <c r="AF111">
        <f>'User Add-In Location'!E112</f>
        <v>0</v>
      </c>
      <c r="AI111">
        <v>0.37399900000000003</v>
      </c>
      <c r="AJ111">
        <v>0.29269899999999999</v>
      </c>
      <c r="AL111">
        <v>0.33299699999999999</v>
      </c>
      <c r="AM111">
        <v>0.29439100000000001</v>
      </c>
      <c r="AO111">
        <v>0.29149999999999998</v>
      </c>
      <c r="AQ111">
        <v>0.32770199999999999</v>
      </c>
      <c r="AR111">
        <v>0.29331299999999999</v>
      </c>
      <c r="AS111">
        <v>0.272922</v>
      </c>
      <c r="AT111">
        <v>0.243476</v>
      </c>
      <c r="AW111">
        <v>0.321911</v>
      </c>
      <c r="AX111" s="176">
        <v>0.30497800000000003</v>
      </c>
      <c r="BA111">
        <v>0.29579499999999997</v>
      </c>
      <c r="BB111">
        <v>0.313386</v>
      </c>
      <c r="BD111">
        <v>0.29083300000000001</v>
      </c>
      <c r="BF111">
        <v>0.304197</v>
      </c>
      <c r="BG111">
        <v>0.32073000000000002</v>
      </c>
      <c r="BH111">
        <v>0.304396</v>
      </c>
      <c r="BI111">
        <v>0.30496400000000001</v>
      </c>
      <c r="BJ111">
        <v>0.32056699999999999</v>
      </c>
      <c r="BK111">
        <v>0.27573799999999998</v>
      </c>
      <c r="BL111">
        <v>0.351385</v>
      </c>
      <c r="BM111">
        <v>0.33334399999999997</v>
      </c>
    </row>
    <row r="112" spans="1:65" x14ac:dyDescent="0.25">
      <c r="B112">
        <v>98</v>
      </c>
      <c r="C112" t="s">
        <v>590</v>
      </c>
      <c r="D112">
        <v>0.26244200000000001</v>
      </c>
      <c r="E112">
        <v>0.37356499999999998</v>
      </c>
      <c r="H112">
        <v>0.32137500000000002</v>
      </c>
      <c r="J112">
        <v>0.27890100000000001</v>
      </c>
      <c r="K112">
        <v>0.267594</v>
      </c>
      <c r="L112">
        <v>0.36212699999999998</v>
      </c>
      <c r="M112">
        <v>0.25528299999999998</v>
      </c>
      <c r="N112">
        <v>0.25129099999999999</v>
      </c>
      <c r="O112">
        <v>0.31085099999999999</v>
      </c>
      <c r="Q112">
        <v>0.30985299999999999</v>
      </c>
      <c r="R112">
        <v>0.28462999999999999</v>
      </c>
      <c r="V112">
        <v>0.33498699999999998</v>
      </c>
      <c r="W112">
        <v>0.25351899999999999</v>
      </c>
      <c r="X112">
        <v>0.31275900000000001</v>
      </c>
      <c r="Y112">
        <v>0.33251399999999998</v>
      </c>
      <c r="Z112">
        <v>0.26186799999999999</v>
      </c>
      <c r="AA112">
        <v>0.309282</v>
      </c>
      <c r="AB112">
        <v>0.22550500000000001</v>
      </c>
      <c r="AF112">
        <f>'User Add-In Location'!E113</f>
        <v>0</v>
      </c>
      <c r="AI112">
        <v>0.29864499999999999</v>
      </c>
      <c r="AJ112">
        <v>0.28787699999999999</v>
      </c>
      <c r="AL112">
        <v>0.33487699999999998</v>
      </c>
      <c r="AM112">
        <v>0.27047399999999999</v>
      </c>
      <c r="AO112">
        <v>0.27730700000000003</v>
      </c>
      <c r="AQ112">
        <v>0.31299100000000002</v>
      </c>
      <c r="AR112">
        <v>0.284941</v>
      </c>
      <c r="AS112">
        <v>0.26704499999999998</v>
      </c>
      <c r="AT112">
        <v>0.23765</v>
      </c>
      <c r="AW112">
        <v>0.28386400000000001</v>
      </c>
      <c r="AX112" s="176">
        <v>0.28998499999999999</v>
      </c>
      <c r="BA112">
        <v>0.28331400000000001</v>
      </c>
      <c r="BB112">
        <v>0.30666900000000002</v>
      </c>
      <c r="BD112">
        <v>0.28874499999999997</v>
      </c>
      <c r="BF112">
        <v>0.27613399999999999</v>
      </c>
      <c r="BG112">
        <v>0.31828000000000001</v>
      </c>
      <c r="BH112">
        <v>0.29382200000000003</v>
      </c>
      <c r="BI112">
        <v>0.299149</v>
      </c>
      <c r="BJ112">
        <v>0.31737100000000001</v>
      </c>
      <c r="BK112">
        <v>0.26308199999999998</v>
      </c>
      <c r="BL112">
        <v>0.31916800000000001</v>
      </c>
      <c r="BM112">
        <v>0.32638</v>
      </c>
    </row>
    <row r="113" spans="2:65" x14ac:dyDescent="0.25">
      <c r="B113">
        <v>99</v>
      </c>
      <c r="C113" t="s">
        <v>591</v>
      </c>
      <c r="D113">
        <v>0.30214600000000003</v>
      </c>
      <c r="E113">
        <v>0.124054</v>
      </c>
      <c r="H113">
        <v>0.18371299999999999</v>
      </c>
      <c r="J113">
        <v>0.22763600000000001</v>
      </c>
      <c r="K113">
        <v>0.13205900000000001</v>
      </c>
      <c r="L113">
        <v>0.17893000000000001</v>
      </c>
      <c r="M113">
        <v>0.17394999999999999</v>
      </c>
      <c r="N113">
        <v>0.151952</v>
      </c>
      <c r="O113">
        <v>0.123589</v>
      </c>
      <c r="Q113">
        <v>0.16192500000000001</v>
      </c>
      <c r="R113">
        <v>0.14097199999999999</v>
      </c>
      <c r="V113">
        <v>7.3449E-2</v>
      </c>
      <c r="W113">
        <v>0.176125</v>
      </c>
      <c r="X113">
        <v>0.18495300000000001</v>
      </c>
      <c r="Y113">
        <v>0.21712000000000001</v>
      </c>
      <c r="Z113">
        <v>0.15842400000000001</v>
      </c>
      <c r="AA113">
        <v>0.175037</v>
      </c>
      <c r="AB113">
        <v>0.11515499999999999</v>
      </c>
      <c r="AF113">
        <f>'User Add-In Location'!E114</f>
        <v>0</v>
      </c>
      <c r="AI113">
        <v>0.22867599999999999</v>
      </c>
      <c r="AJ113">
        <v>0.175423</v>
      </c>
      <c r="AL113">
        <v>0.183506</v>
      </c>
      <c r="AM113">
        <v>0.14022100000000001</v>
      </c>
      <c r="AO113">
        <v>0.14984500000000001</v>
      </c>
      <c r="AQ113">
        <v>0.17410800000000001</v>
      </c>
      <c r="AR113">
        <v>0.164932</v>
      </c>
      <c r="AS113">
        <v>0.19886100000000001</v>
      </c>
      <c r="AT113">
        <v>0.138511</v>
      </c>
      <c r="AW113">
        <v>0.106928</v>
      </c>
      <c r="AX113" s="176">
        <v>0.15056700000000001</v>
      </c>
      <c r="BA113">
        <v>0.153803</v>
      </c>
      <c r="BB113">
        <v>0.15407100000000001</v>
      </c>
      <c r="BD113">
        <v>0.16687299999999999</v>
      </c>
      <c r="BF113">
        <v>0.114042</v>
      </c>
      <c r="BG113">
        <v>0.17744099999999999</v>
      </c>
      <c r="BH113">
        <v>0.16870499999999999</v>
      </c>
      <c r="BI113">
        <v>0.160411</v>
      </c>
      <c r="BJ113">
        <v>0.17877299999999999</v>
      </c>
      <c r="BK113">
        <v>0.145479</v>
      </c>
      <c r="BL113">
        <v>0.213556</v>
      </c>
      <c r="BM113">
        <v>0.20183799999999999</v>
      </c>
    </row>
    <row r="114" spans="2:65" x14ac:dyDescent="0.25">
      <c r="B114">
        <v>100</v>
      </c>
      <c r="C114" t="s">
        <v>592</v>
      </c>
      <c r="D114">
        <v>0.15750700000000001</v>
      </c>
      <c r="E114">
        <v>0.21326200000000001</v>
      </c>
      <c r="H114">
        <v>0.175592</v>
      </c>
      <c r="J114">
        <v>0.204538</v>
      </c>
      <c r="K114">
        <v>0.192464</v>
      </c>
      <c r="L114">
        <v>0.12257</v>
      </c>
      <c r="M114">
        <v>0.149005</v>
      </c>
      <c r="N114">
        <v>0.15614800000000001</v>
      </c>
      <c r="O114">
        <v>0.19242999999999999</v>
      </c>
      <c r="Q114">
        <v>0.174701</v>
      </c>
      <c r="R114">
        <v>0.17095299999999999</v>
      </c>
      <c r="V114">
        <v>0.16151099999999999</v>
      </c>
      <c r="W114">
        <v>0.167652</v>
      </c>
      <c r="X114">
        <v>0.163887</v>
      </c>
      <c r="Y114">
        <v>0.209005</v>
      </c>
      <c r="Z114">
        <v>0.18378</v>
      </c>
      <c r="AA114">
        <v>0.16435900000000001</v>
      </c>
      <c r="AB114">
        <v>0.132552</v>
      </c>
      <c r="AF114">
        <f>'User Add-In Location'!E115</f>
        <v>0</v>
      </c>
      <c r="AI114">
        <v>0.179314</v>
      </c>
      <c r="AJ114">
        <v>0.20142599999999999</v>
      </c>
      <c r="AL114">
        <v>0.16628999999999999</v>
      </c>
      <c r="AM114">
        <v>0.16025500000000001</v>
      </c>
      <c r="AO114">
        <v>0.191188</v>
      </c>
      <c r="AQ114">
        <v>0.16431699999999999</v>
      </c>
      <c r="AR114">
        <v>0.18062700000000001</v>
      </c>
      <c r="AS114">
        <v>0.17172100000000001</v>
      </c>
      <c r="AT114">
        <v>0.16652</v>
      </c>
      <c r="AW114">
        <v>0.154644</v>
      </c>
      <c r="AX114" s="176">
        <v>0.16852</v>
      </c>
      <c r="BA114">
        <v>0.159472</v>
      </c>
      <c r="BB114">
        <v>0.19620599999999999</v>
      </c>
      <c r="BD114">
        <v>0.158971</v>
      </c>
      <c r="BF114">
        <v>0.151118</v>
      </c>
      <c r="BG114">
        <v>0.17799699999999999</v>
      </c>
      <c r="BH114">
        <v>0.170235</v>
      </c>
      <c r="BI114">
        <v>0.177566</v>
      </c>
      <c r="BJ114">
        <v>0.17344599999999999</v>
      </c>
      <c r="BK114">
        <v>0.160028</v>
      </c>
      <c r="BL114">
        <v>0.196044</v>
      </c>
      <c r="BM114">
        <v>0.18234400000000001</v>
      </c>
    </row>
    <row r="115" spans="2:65" x14ac:dyDescent="0.25">
      <c r="B115">
        <v>101</v>
      </c>
      <c r="C115" t="s">
        <v>593</v>
      </c>
      <c r="D115">
        <v>0.107322</v>
      </c>
      <c r="E115">
        <v>0.11530799999999999</v>
      </c>
      <c r="H115">
        <v>0.21415999999999999</v>
      </c>
      <c r="J115">
        <v>0.26704499999999998</v>
      </c>
      <c r="K115">
        <v>0.21449099999999999</v>
      </c>
      <c r="L115">
        <v>0.13719300000000001</v>
      </c>
      <c r="M115">
        <v>0.199464</v>
      </c>
      <c r="N115">
        <v>0.194574</v>
      </c>
      <c r="O115">
        <v>0.214507</v>
      </c>
      <c r="Q115">
        <v>0.226856</v>
      </c>
      <c r="R115">
        <v>0.20007900000000001</v>
      </c>
      <c r="V115">
        <v>0.19549900000000001</v>
      </c>
      <c r="W115">
        <v>0.17887900000000001</v>
      </c>
      <c r="X115">
        <v>0.18553900000000001</v>
      </c>
      <c r="Y115">
        <v>0.24843399999999999</v>
      </c>
      <c r="Z115">
        <v>0.20564199999999999</v>
      </c>
      <c r="AA115">
        <v>0.24087500000000001</v>
      </c>
      <c r="AB115">
        <v>0.162908</v>
      </c>
      <c r="AF115">
        <f>'User Add-In Location'!E116</f>
        <v>0</v>
      </c>
      <c r="AI115">
        <v>0.20746100000000001</v>
      </c>
      <c r="AJ115">
        <v>0.242475</v>
      </c>
      <c r="AL115">
        <v>0.181562</v>
      </c>
      <c r="AM115">
        <v>0.20355799999999999</v>
      </c>
      <c r="AO115">
        <v>0.20958399999999999</v>
      </c>
      <c r="AQ115">
        <v>0.185695</v>
      </c>
      <c r="AR115">
        <v>0.21057699999999999</v>
      </c>
      <c r="AS115">
        <v>0.20028199999999999</v>
      </c>
      <c r="AT115">
        <v>0.191607</v>
      </c>
      <c r="AW115">
        <v>0.19041</v>
      </c>
      <c r="AX115" s="176">
        <v>0.19798099999999999</v>
      </c>
      <c r="BA115">
        <v>0.195908</v>
      </c>
      <c r="BB115">
        <v>0.20855499999999999</v>
      </c>
      <c r="BD115">
        <v>0.17690400000000001</v>
      </c>
      <c r="BF115">
        <v>0.19214500000000001</v>
      </c>
      <c r="BG115">
        <v>0.21076900000000001</v>
      </c>
      <c r="BH115">
        <v>0.20172000000000001</v>
      </c>
      <c r="BI115">
        <v>0.206703</v>
      </c>
      <c r="BJ115">
        <v>0.198656</v>
      </c>
      <c r="BK115">
        <v>0.196798</v>
      </c>
      <c r="BL115">
        <v>0.22379099999999999</v>
      </c>
      <c r="BM115">
        <v>0.20456099999999999</v>
      </c>
    </row>
    <row r="116" spans="2:65" x14ac:dyDescent="0.25">
      <c r="B116">
        <v>102</v>
      </c>
      <c r="C116" t="s">
        <v>594</v>
      </c>
      <c r="D116">
        <v>0.137518</v>
      </c>
      <c r="E116">
        <v>0.22257299999999999</v>
      </c>
      <c r="H116">
        <v>0.264961</v>
      </c>
      <c r="J116">
        <v>0.25146600000000002</v>
      </c>
      <c r="K116">
        <v>0.175953</v>
      </c>
      <c r="L116">
        <v>5.5891999999999997E-2</v>
      </c>
      <c r="M116">
        <v>0.206372</v>
      </c>
      <c r="N116">
        <v>0.164603</v>
      </c>
      <c r="O116">
        <v>0.21666199999999999</v>
      </c>
      <c r="Q116">
        <v>0.20427100000000001</v>
      </c>
      <c r="R116">
        <v>0.13001299999999999</v>
      </c>
      <c r="V116">
        <v>0.226742</v>
      </c>
      <c r="W116">
        <v>0.27313999999999999</v>
      </c>
      <c r="X116">
        <v>0.264907</v>
      </c>
      <c r="Y116">
        <v>0.28145199999999998</v>
      </c>
      <c r="Z116">
        <v>0.21073900000000001</v>
      </c>
      <c r="AA116">
        <v>0.281588</v>
      </c>
      <c r="AB116">
        <v>0.13469700000000001</v>
      </c>
      <c r="AF116">
        <f>'User Add-In Location'!E117</f>
        <v>0</v>
      </c>
      <c r="AI116">
        <v>0.23860300000000001</v>
      </c>
      <c r="AJ116">
        <v>0.237923</v>
      </c>
      <c r="AL116">
        <v>0.21845600000000001</v>
      </c>
      <c r="AM116">
        <v>0.18498300000000001</v>
      </c>
      <c r="AO116">
        <v>0.166015</v>
      </c>
      <c r="AQ116">
        <v>0.20269899999999999</v>
      </c>
      <c r="AR116">
        <v>0.170934</v>
      </c>
      <c r="AS116">
        <v>0.156975</v>
      </c>
      <c r="AT116">
        <v>0.156391</v>
      </c>
      <c r="AW116">
        <v>0.208532</v>
      </c>
      <c r="AX116" s="176">
        <v>0.19481299999999999</v>
      </c>
      <c r="BA116">
        <v>0.22003900000000001</v>
      </c>
      <c r="BB116">
        <v>0.26041599999999998</v>
      </c>
      <c r="BD116">
        <v>0.26872099999999999</v>
      </c>
      <c r="BF116">
        <v>0.190189</v>
      </c>
      <c r="BG116">
        <v>0.25662400000000002</v>
      </c>
      <c r="BH116">
        <v>0.21079500000000001</v>
      </c>
      <c r="BI116">
        <v>0.182759</v>
      </c>
      <c r="BJ116">
        <v>0.22601299999999999</v>
      </c>
      <c r="BK116">
        <v>0.17777499999999999</v>
      </c>
      <c r="BL116">
        <v>0.27074100000000001</v>
      </c>
      <c r="BM116">
        <v>0.23791899999999999</v>
      </c>
    </row>
    <row r="117" spans="2:65" x14ac:dyDescent="0.25">
      <c r="B117">
        <v>103</v>
      </c>
      <c r="C117" t="s">
        <v>415</v>
      </c>
      <c r="D117">
        <v>0.186339</v>
      </c>
      <c r="E117">
        <v>0.187865</v>
      </c>
      <c r="H117">
        <v>0.24185100000000001</v>
      </c>
      <c r="J117">
        <v>0.23652000000000001</v>
      </c>
      <c r="K117">
        <v>0.23375199999999999</v>
      </c>
      <c r="L117">
        <v>0</v>
      </c>
      <c r="M117">
        <v>0.14430999999999999</v>
      </c>
      <c r="N117">
        <v>0.12100900000000001</v>
      </c>
      <c r="O117">
        <v>0</v>
      </c>
      <c r="Q117">
        <v>0.19737299999999999</v>
      </c>
      <c r="R117">
        <v>0.13069500000000001</v>
      </c>
      <c r="V117">
        <v>9.2920000000000003E-2</v>
      </c>
      <c r="W117">
        <v>0.194715</v>
      </c>
      <c r="X117">
        <v>9.9667000000000006E-2</v>
      </c>
      <c r="Y117">
        <v>0.25406000000000001</v>
      </c>
      <c r="Z117">
        <v>0.136766</v>
      </c>
      <c r="AA117">
        <v>0.16361100000000001</v>
      </c>
      <c r="AB117">
        <v>7.6818999999999998E-2</v>
      </c>
      <c r="AF117">
        <f>'User Add-In Location'!E118</f>
        <v>0</v>
      </c>
      <c r="AI117">
        <v>0.22067700000000001</v>
      </c>
      <c r="AJ117">
        <v>0.24190900000000001</v>
      </c>
      <c r="AL117">
        <v>0.21405299999999999</v>
      </c>
      <c r="AM117">
        <v>0.13231000000000001</v>
      </c>
      <c r="AO117">
        <v>0.17804700000000001</v>
      </c>
      <c r="AQ117">
        <v>0.19728699999999999</v>
      </c>
      <c r="AR117">
        <v>0.19409699999999999</v>
      </c>
      <c r="AS117">
        <v>0.29149900000000001</v>
      </c>
      <c r="AT117">
        <v>0.18554799999999999</v>
      </c>
      <c r="AW117">
        <v>0.145847</v>
      </c>
      <c r="AX117" s="176">
        <v>0.15198700000000001</v>
      </c>
      <c r="BA117">
        <v>0.19876199999999999</v>
      </c>
      <c r="BB117">
        <v>0.216283</v>
      </c>
      <c r="BD117">
        <v>0.121818</v>
      </c>
      <c r="BF117">
        <v>0.1237</v>
      </c>
      <c r="BG117">
        <v>0.23982899999999999</v>
      </c>
      <c r="BH117">
        <v>0.17205999999999999</v>
      </c>
      <c r="BI117">
        <v>0.15174000000000001</v>
      </c>
      <c r="BJ117">
        <v>0.17696999999999999</v>
      </c>
      <c r="BK117">
        <v>0.15662499999999999</v>
      </c>
      <c r="BL117">
        <v>0.229656</v>
      </c>
      <c r="BM117">
        <v>0.22409100000000001</v>
      </c>
    </row>
    <row r="118" spans="2:65" x14ac:dyDescent="0.25">
      <c r="B118">
        <v>104</v>
      </c>
      <c r="C118" t="s">
        <v>595</v>
      </c>
      <c r="D118">
        <v>8.8877999999999999E-2</v>
      </c>
      <c r="E118">
        <v>0.29539399999999999</v>
      </c>
      <c r="H118">
        <v>0.33355200000000002</v>
      </c>
      <c r="J118">
        <v>0.187885</v>
      </c>
      <c r="K118">
        <v>0.28765800000000002</v>
      </c>
      <c r="L118">
        <v>0.21293500000000001</v>
      </c>
      <c r="M118">
        <v>0.24273900000000001</v>
      </c>
      <c r="N118">
        <v>0.241476</v>
      </c>
      <c r="O118">
        <v>6.3451999999999995E-2</v>
      </c>
      <c r="Q118">
        <v>0.186219</v>
      </c>
      <c r="R118">
        <v>0.17249100000000001</v>
      </c>
      <c r="V118">
        <v>0.18404999999999999</v>
      </c>
      <c r="W118">
        <v>0.170464</v>
      </c>
      <c r="X118">
        <v>0.21377699999999999</v>
      </c>
      <c r="Y118">
        <v>0.24826899999999999</v>
      </c>
      <c r="Z118">
        <v>0.20714199999999999</v>
      </c>
      <c r="AA118">
        <v>0.218559</v>
      </c>
      <c r="AB118">
        <v>0.13900100000000001</v>
      </c>
      <c r="AF118">
        <f>'User Add-In Location'!E119</f>
        <v>0</v>
      </c>
      <c r="AI118">
        <v>0.22239100000000001</v>
      </c>
      <c r="AJ118">
        <v>0.198487</v>
      </c>
      <c r="AL118">
        <v>0.22384799999999999</v>
      </c>
      <c r="AM118">
        <v>0.204593</v>
      </c>
      <c r="AO118">
        <v>0.194855</v>
      </c>
      <c r="AQ118">
        <v>0.23456199999999999</v>
      </c>
      <c r="AR118">
        <v>0.212732</v>
      </c>
      <c r="AS118">
        <v>0.260743</v>
      </c>
      <c r="AT118">
        <v>0.203433</v>
      </c>
      <c r="AW118">
        <v>0.24687100000000001</v>
      </c>
      <c r="AX118" s="176">
        <v>0.25629099999999999</v>
      </c>
      <c r="BA118">
        <v>0.22450500000000001</v>
      </c>
      <c r="BB118">
        <v>0.190134</v>
      </c>
      <c r="BD118">
        <v>0.168986</v>
      </c>
      <c r="BF118">
        <v>0.24499799999999999</v>
      </c>
      <c r="BG118">
        <v>0.29624499999999998</v>
      </c>
      <c r="BH118">
        <v>0.22272600000000001</v>
      </c>
      <c r="BI118">
        <v>0.20529800000000001</v>
      </c>
      <c r="BJ118">
        <v>0.21953600000000001</v>
      </c>
      <c r="BK118">
        <v>0.214061</v>
      </c>
      <c r="BL118">
        <v>0.237508</v>
      </c>
      <c r="BM118">
        <v>0.233464</v>
      </c>
    </row>
    <row r="119" spans="2:65" x14ac:dyDescent="0.25">
      <c r="B119">
        <v>105</v>
      </c>
      <c r="C119" t="s">
        <v>417</v>
      </c>
      <c r="D119">
        <v>0.13703899999999999</v>
      </c>
      <c r="E119">
        <v>0.42657800000000001</v>
      </c>
      <c r="H119">
        <v>0.301985</v>
      </c>
      <c r="J119">
        <v>0.283856</v>
      </c>
      <c r="K119">
        <v>0.34304299999999999</v>
      </c>
      <c r="L119">
        <v>0.35385</v>
      </c>
      <c r="M119">
        <v>0.23449999999999999</v>
      </c>
      <c r="N119">
        <v>0.249108</v>
      </c>
      <c r="O119">
        <v>0.19094700000000001</v>
      </c>
      <c r="Q119">
        <v>0.24579400000000001</v>
      </c>
      <c r="R119">
        <v>0.21365500000000001</v>
      </c>
      <c r="V119">
        <v>0.22143299999999999</v>
      </c>
      <c r="W119">
        <v>0.22492699999999999</v>
      </c>
      <c r="X119">
        <v>0.23228699999999999</v>
      </c>
      <c r="Y119">
        <v>0.308915</v>
      </c>
      <c r="Z119">
        <v>0.26227499999999998</v>
      </c>
      <c r="AA119">
        <v>0.22439100000000001</v>
      </c>
      <c r="AB119">
        <v>0.193329</v>
      </c>
      <c r="AF119">
        <f>'User Add-In Location'!E120</f>
        <v>0</v>
      </c>
      <c r="AI119">
        <v>0.310305</v>
      </c>
      <c r="AJ119">
        <v>0.29485499999999998</v>
      </c>
      <c r="AL119">
        <v>0.27857100000000001</v>
      </c>
      <c r="AM119">
        <v>0.21130499999999999</v>
      </c>
      <c r="AO119">
        <v>0.223388</v>
      </c>
      <c r="AQ119">
        <v>0.25345899999999999</v>
      </c>
      <c r="AR119">
        <v>0.25679999999999997</v>
      </c>
      <c r="AS119">
        <v>0.284632</v>
      </c>
      <c r="AT119">
        <v>0.19841400000000001</v>
      </c>
      <c r="AW119">
        <v>0.25815900000000003</v>
      </c>
      <c r="AX119" s="176">
        <v>0.248831</v>
      </c>
      <c r="BA119">
        <v>0.22602700000000001</v>
      </c>
      <c r="BB119">
        <v>0.29322199999999998</v>
      </c>
      <c r="BD119">
        <v>0.224579</v>
      </c>
      <c r="BF119">
        <v>0.23755100000000001</v>
      </c>
      <c r="BG119">
        <v>0.29867700000000003</v>
      </c>
      <c r="BH119">
        <v>0.255824</v>
      </c>
      <c r="BI119">
        <v>0.24080599999999999</v>
      </c>
      <c r="BJ119">
        <v>0.28132200000000002</v>
      </c>
      <c r="BK119">
        <v>0.22131500000000001</v>
      </c>
      <c r="BL119">
        <v>0.30460599999999999</v>
      </c>
      <c r="BM119">
        <v>0.29050199999999998</v>
      </c>
    </row>
    <row r="120" spans="2:65" x14ac:dyDescent="0.25">
      <c r="B120">
        <v>106</v>
      </c>
      <c r="C120" t="s">
        <v>418</v>
      </c>
      <c r="D120">
        <v>0.31381700000000001</v>
      </c>
      <c r="E120">
        <v>0.29819499999999999</v>
      </c>
      <c r="H120">
        <v>0.28648000000000001</v>
      </c>
      <c r="J120">
        <v>0.320137</v>
      </c>
      <c r="K120">
        <v>0.33074900000000002</v>
      </c>
      <c r="L120">
        <v>0.42497299999999999</v>
      </c>
      <c r="M120">
        <v>0.29603499999999999</v>
      </c>
      <c r="N120">
        <v>0.29710900000000001</v>
      </c>
      <c r="O120">
        <v>0.28967999999999999</v>
      </c>
      <c r="Q120">
        <v>0.30383500000000002</v>
      </c>
      <c r="R120">
        <v>0.283416</v>
      </c>
      <c r="V120">
        <v>0.27213100000000001</v>
      </c>
      <c r="W120">
        <v>0.28389900000000001</v>
      </c>
      <c r="X120">
        <v>0.30302400000000002</v>
      </c>
      <c r="Y120">
        <v>0.35149000000000002</v>
      </c>
      <c r="Z120">
        <v>0.29850500000000002</v>
      </c>
      <c r="AA120">
        <v>0.29768299999999998</v>
      </c>
      <c r="AB120">
        <v>0.257046</v>
      </c>
      <c r="AF120">
        <f>'User Add-In Location'!E121</f>
        <v>0</v>
      </c>
      <c r="AI120">
        <v>0.36526599999999998</v>
      </c>
      <c r="AJ120">
        <v>0.29320800000000002</v>
      </c>
      <c r="AL120">
        <v>0.32278200000000001</v>
      </c>
      <c r="AM120">
        <v>0.30011599999999999</v>
      </c>
      <c r="AO120">
        <v>0.28405599999999998</v>
      </c>
      <c r="AQ120">
        <v>0.320407</v>
      </c>
      <c r="AR120">
        <v>0.30801400000000001</v>
      </c>
      <c r="AS120">
        <v>0.30624499999999999</v>
      </c>
      <c r="AT120">
        <v>0.29133799999999999</v>
      </c>
      <c r="AW120">
        <v>0.29802600000000001</v>
      </c>
      <c r="AX120" s="176">
        <v>0.29825699999999999</v>
      </c>
      <c r="BA120">
        <v>0.30685499999999999</v>
      </c>
      <c r="BB120">
        <v>0.34135399999999999</v>
      </c>
      <c r="BD120">
        <v>0.29296800000000001</v>
      </c>
      <c r="BF120">
        <v>0.294182</v>
      </c>
      <c r="BG120">
        <v>0.298622</v>
      </c>
      <c r="BH120">
        <v>0.31114999999999998</v>
      </c>
      <c r="BI120">
        <v>0.30288799999999999</v>
      </c>
      <c r="BJ120">
        <v>0.31087900000000002</v>
      </c>
      <c r="BK120">
        <v>0.29939500000000002</v>
      </c>
      <c r="BL120">
        <v>0.345142</v>
      </c>
      <c r="BM120">
        <v>0.32857599999999998</v>
      </c>
    </row>
    <row r="121" spans="2:65" x14ac:dyDescent="0.25">
      <c r="B121">
        <v>107</v>
      </c>
      <c r="C121" t="s">
        <v>596</v>
      </c>
      <c r="D121">
        <v>0.157115</v>
      </c>
      <c r="E121">
        <v>0.299313</v>
      </c>
      <c r="H121">
        <v>0.33297100000000002</v>
      </c>
      <c r="J121">
        <v>0.38073200000000001</v>
      </c>
      <c r="K121">
        <v>0.37124800000000002</v>
      </c>
      <c r="L121">
        <v>0.80929399999999996</v>
      </c>
      <c r="M121">
        <v>0.27732200000000001</v>
      </c>
      <c r="N121">
        <v>0.30362</v>
      </c>
      <c r="O121">
        <v>0.26281900000000002</v>
      </c>
      <c r="Q121">
        <v>0.32636100000000001</v>
      </c>
      <c r="R121">
        <v>0.31573099999999998</v>
      </c>
      <c r="V121">
        <v>0.33574700000000002</v>
      </c>
      <c r="W121">
        <v>0.314216</v>
      </c>
      <c r="X121">
        <v>0.357238</v>
      </c>
      <c r="Y121">
        <v>0.34957300000000002</v>
      </c>
      <c r="Z121">
        <v>0.337312</v>
      </c>
      <c r="AA121">
        <v>0.30709999999999998</v>
      </c>
      <c r="AB121">
        <v>0.29145199999999999</v>
      </c>
      <c r="AF121">
        <f>'User Add-In Location'!E122</f>
        <v>0</v>
      </c>
      <c r="AI121">
        <v>0.34360800000000002</v>
      </c>
      <c r="AJ121">
        <v>0.33344000000000001</v>
      </c>
      <c r="AL121">
        <v>0.36050700000000002</v>
      </c>
      <c r="AM121">
        <v>0.29644599999999999</v>
      </c>
      <c r="AO121">
        <v>0.32579000000000002</v>
      </c>
      <c r="AQ121">
        <v>0.31264799999999998</v>
      </c>
      <c r="AR121">
        <v>0.353738</v>
      </c>
      <c r="AS121">
        <v>0.33050000000000002</v>
      </c>
      <c r="AT121">
        <v>0.30483399999999999</v>
      </c>
      <c r="AW121">
        <v>0.320187</v>
      </c>
      <c r="AX121" s="176">
        <v>0.32150699999999999</v>
      </c>
      <c r="BA121">
        <v>0.36113299999999998</v>
      </c>
      <c r="BB121">
        <v>0.33521800000000002</v>
      </c>
      <c r="BD121">
        <v>0.31651800000000002</v>
      </c>
      <c r="BF121">
        <v>0.30615799999999999</v>
      </c>
      <c r="BG121">
        <v>0.33190700000000001</v>
      </c>
      <c r="BH121">
        <v>0.33643800000000001</v>
      </c>
      <c r="BI121">
        <v>0.33509899999999998</v>
      </c>
      <c r="BJ121">
        <v>0.35160599999999997</v>
      </c>
      <c r="BK121">
        <v>0.31651800000000002</v>
      </c>
      <c r="BL121">
        <v>0.34519</v>
      </c>
      <c r="BM121">
        <v>0.35909999999999997</v>
      </c>
    </row>
    <row r="122" spans="2:65" x14ac:dyDescent="0.25">
      <c r="B122">
        <v>108</v>
      </c>
      <c r="C122" t="s">
        <v>597</v>
      </c>
      <c r="D122">
        <v>0.29491200000000001</v>
      </c>
      <c r="E122">
        <v>0.14729</v>
      </c>
      <c r="H122">
        <v>0.14532700000000001</v>
      </c>
      <c r="J122">
        <v>0.13647999999999999</v>
      </c>
      <c r="K122">
        <v>7.2144E-2</v>
      </c>
      <c r="L122">
        <v>6.7943000000000003E-2</v>
      </c>
      <c r="M122">
        <v>0.15128800000000001</v>
      </c>
      <c r="N122">
        <v>8.5005999999999998E-2</v>
      </c>
      <c r="O122">
        <v>0.156277</v>
      </c>
      <c r="Q122">
        <v>0.134104</v>
      </c>
      <c r="R122">
        <v>0.16522400000000001</v>
      </c>
      <c r="V122">
        <v>0.15374599999999999</v>
      </c>
      <c r="W122">
        <v>4.3075000000000002E-2</v>
      </c>
      <c r="X122">
        <v>0.14640400000000001</v>
      </c>
      <c r="Y122">
        <v>9.7491999999999995E-2</v>
      </c>
      <c r="Z122">
        <v>0.120436</v>
      </c>
      <c r="AA122">
        <v>7.7778E-2</v>
      </c>
      <c r="AB122">
        <v>0.140486</v>
      </c>
      <c r="AF122">
        <f>'User Add-In Location'!E123</f>
        <v>0</v>
      </c>
      <c r="AI122">
        <v>5.5902E-2</v>
      </c>
      <c r="AJ122">
        <v>0.108002</v>
      </c>
      <c r="AL122">
        <v>0.164022</v>
      </c>
      <c r="AM122">
        <v>6.0156000000000001E-2</v>
      </c>
      <c r="AO122">
        <v>0.12614900000000001</v>
      </c>
      <c r="AQ122">
        <v>0.167158</v>
      </c>
      <c r="AR122">
        <v>0.120034</v>
      </c>
      <c r="AS122">
        <v>9.4205999999999998E-2</v>
      </c>
      <c r="AT122">
        <v>0.110092</v>
      </c>
      <c r="AW122">
        <v>0.156718</v>
      </c>
      <c r="AX122" s="176">
        <v>0.14505199999999999</v>
      </c>
      <c r="BA122">
        <v>0.18844</v>
      </c>
      <c r="BB122">
        <v>0.15166299999999999</v>
      </c>
      <c r="BD122">
        <v>6.2994999999999995E-2</v>
      </c>
      <c r="BF122">
        <v>0.152062</v>
      </c>
      <c r="BG122">
        <v>0.14821999999999999</v>
      </c>
      <c r="BH122">
        <v>0.13958999999999999</v>
      </c>
      <c r="BI122">
        <v>0.140319</v>
      </c>
      <c r="BJ122">
        <v>0.14732000000000001</v>
      </c>
      <c r="BK122">
        <v>0.14724300000000001</v>
      </c>
      <c r="BL122">
        <v>8.7639999999999996E-2</v>
      </c>
      <c r="BM122">
        <v>0.146365</v>
      </c>
    </row>
    <row r="123" spans="2:65" x14ac:dyDescent="0.25">
      <c r="B123">
        <v>109</v>
      </c>
      <c r="C123" t="s">
        <v>598</v>
      </c>
      <c r="D123">
        <v>0.27529500000000001</v>
      </c>
      <c r="E123">
        <v>0.27864899999999998</v>
      </c>
      <c r="H123">
        <v>0.268264</v>
      </c>
      <c r="J123">
        <v>0.27975</v>
      </c>
      <c r="K123">
        <v>0.27730300000000002</v>
      </c>
      <c r="L123">
        <v>0.40393800000000002</v>
      </c>
      <c r="M123">
        <v>0.258604</v>
      </c>
      <c r="N123">
        <v>0.27274300000000001</v>
      </c>
      <c r="O123">
        <v>0.249139</v>
      </c>
      <c r="Q123">
        <v>0.29383799999999999</v>
      </c>
      <c r="R123">
        <v>0.28158699999999998</v>
      </c>
      <c r="V123">
        <v>0.26415499999999997</v>
      </c>
      <c r="W123">
        <v>0.29416799999999999</v>
      </c>
      <c r="X123">
        <v>0.25595899999999999</v>
      </c>
      <c r="Y123">
        <v>0.32539600000000002</v>
      </c>
      <c r="Z123">
        <v>0.29117900000000002</v>
      </c>
      <c r="AA123">
        <v>0.32910600000000001</v>
      </c>
      <c r="AB123">
        <v>0.243057</v>
      </c>
      <c r="AF123">
        <f>'User Add-In Location'!E124</f>
        <v>0</v>
      </c>
      <c r="AI123">
        <v>0.29562899999999998</v>
      </c>
      <c r="AJ123">
        <v>0.2863</v>
      </c>
      <c r="AL123">
        <v>0.30047800000000002</v>
      </c>
      <c r="AM123">
        <v>0.278698</v>
      </c>
      <c r="AO123">
        <v>0.30561500000000003</v>
      </c>
      <c r="AQ123">
        <v>0.28472700000000001</v>
      </c>
      <c r="AR123">
        <v>0.31331700000000001</v>
      </c>
      <c r="AS123">
        <v>0.29540899999999998</v>
      </c>
      <c r="AT123">
        <v>0.25575799999999999</v>
      </c>
      <c r="AW123">
        <v>0.28453400000000001</v>
      </c>
      <c r="AX123" s="176">
        <v>0.28299999999999997</v>
      </c>
      <c r="BA123">
        <v>0.27467000000000003</v>
      </c>
      <c r="BB123">
        <v>0.28393299999999999</v>
      </c>
      <c r="BD123">
        <v>0.30290600000000001</v>
      </c>
      <c r="BF123">
        <v>0.27067000000000002</v>
      </c>
      <c r="BG123">
        <v>0.27172099999999999</v>
      </c>
      <c r="BH123">
        <v>0.287499</v>
      </c>
      <c r="BI123">
        <v>0.30211100000000002</v>
      </c>
      <c r="BJ123">
        <v>0.28992400000000002</v>
      </c>
      <c r="BK123">
        <v>0.27289400000000003</v>
      </c>
      <c r="BL123">
        <v>0.318749</v>
      </c>
      <c r="BM123">
        <v>0.30371599999999999</v>
      </c>
    </row>
    <row r="124" spans="2:65" x14ac:dyDescent="0.25">
      <c r="B124">
        <v>110</v>
      </c>
      <c r="C124" t="s">
        <v>599</v>
      </c>
      <c r="D124">
        <v>0.21160899999999999</v>
      </c>
      <c r="E124">
        <v>0.27599299999999999</v>
      </c>
      <c r="H124">
        <v>0.34123599999999998</v>
      </c>
      <c r="J124">
        <v>0.33595000000000003</v>
      </c>
      <c r="K124">
        <v>0.33470899999999998</v>
      </c>
      <c r="L124">
        <v>0.30520799999999998</v>
      </c>
      <c r="M124">
        <v>0.26350299999999999</v>
      </c>
      <c r="N124">
        <v>0.31213400000000002</v>
      </c>
      <c r="O124">
        <v>0.26605499999999999</v>
      </c>
      <c r="Q124">
        <v>0.349663</v>
      </c>
      <c r="R124">
        <v>0.360734</v>
      </c>
      <c r="V124">
        <v>0.28398699999999999</v>
      </c>
      <c r="W124">
        <v>0.28542699999999999</v>
      </c>
      <c r="X124">
        <v>0.304983</v>
      </c>
      <c r="Y124">
        <v>0.33272200000000002</v>
      </c>
      <c r="Z124">
        <v>0.305759</v>
      </c>
      <c r="AA124">
        <v>0.30352800000000002</v>
      </c>
      <c r="AB124">
        <v>0.30068499999999998</v>
      </c>
      <c r="AF124">
        <f>'User Add-In Location'!E125</f>
        <v>0</v>
      </c>
      <c r="AI124">
        <v>0.30465399999999998</v>
      </c>
      <c r="AJ124">
        <v>0.35657800000000001</v>
      </c>
      <c r="AL124">
        <v>0.29498200000000002</v>
      </c>
      <c r="AM124">
        <v>0.29492699999999999</v>
      </c>
      <c r="AO124">
        <v>0.34288600000000002</v>
      </c>
      <c r="AQ124">
        <v>0.31733600000000001</v>
      </c>
      <c r="AR124">
        <v>0.372226</v>
      </c>
      <c r="AS124">
        <v>0.251031</v>
      </c>
      <c r="AT124">
        <v>0.30168</v>
      </c>
      <c r="AW124">
        <v>0.28490900000000002</v>
      </c>
      <c r="AX124" s="176">
        <v>0.31433899999999998</v>
      </c>
      <c r="BA124">
        <v>0.30763499999999999</v>
      </c>
      <c r="BB124">
        <v>0.30195899999999998</v>
      </c>
      <c r="BD124">
        <v>0.31870399999999999</v>
      </c>
      <c r="BF124">
        <v>0.27898600000000001</v>
      </c>
      <c r="BG124">
        <v>0.33418100000000001</v>
      </c>
      <c r="BH124">
        <v>0.31339299999999998</v>
      </c>
      <c r="BI124">
        <v>0.33616000000000001</v>
      </c>
      <c r="BJ124">
        <v>0.31948700000000002</v>
      </c>
      <c r="BK124">
        <v>0.30508600000000002</v>
      </c>
      <c r="BL124">
        <v>0.32281799999999999</v>
      </c>
      <c r="BM124">
        <v>0.308562</v>
      </c>
    </row>
    <row r="125" spans="2:65" x14ac:dyDescent="0.25">
      <c r="B125">
        <v>111</v>
      </c>
      <c r="C125" t="s">
        <v>423</v>
      </c>
      <c r="D125">
        <v>0.29610900000000001</v>
      </c>
      <c r="E125">
        <v>0.209894</v>
      </c>
      <c r="H125">
        <v>0.28761799999999998</v>
      </c>
      <c r="J125">
        <v>0.31614399999999998</v>
      </c>
      <c r="K125">
        <v>0.192745</v>
      </c>
      <c r="L125">
        <v>0.33690399999999998</v>
      </c>
      <c r="M125">
        <v>0.24690999999999999</v>
      </c>
      <c r="N125">
        <v>0.21748799999999999</v>
      </c>
      <c r="O125">
        <v>0.20070199999999999</v>
      </c>
      <c r="Q125">
        <v>0.270708</v>
      </c>
      <c r="R125">
        <v>0.20419999999999999</v>
      </c>
      <c r="V125">
        <v>0.182785</v>
      </c>
      <c r="W125">
        <v>0.251606</v>
      </c>
      <c r="X125">
        <v>0.26411600000000002</v>
      </c>
      <c r="Y125">
        <v>0.34010000000000001</v>
      </c>
      <c r="Z125">
        <v>0.23811599999999999</v>
      </c>
      <c r="AA125">
        <v>0.28087499999999999</v>
      </c>
      <c r="AB125">
        <v>0.17516399999999999</v>
      </c>
      <c r="AF125">
        <f>'User Add-In Location'!E126</f>
        <v>0</v>
      </c>
      <c r="AI125">
        <v>0.27229100000000001</v>
      </c>
      <c r="AJ125">
        <v>0.33558199999999999</v>
      </c>
      <c r="AL125">
        <v>0.31504399999999999</v>
      </c>
      <c r="AM125">
        <v>0.24348</v>
      </c>
      <c r="AO125">
        <v>0.192081</v>
      </c>
      <c r="AQ125">
        <v>0.23332</v>
      </c>
      <c r="AR125">
        <v>0.26921800000000001</v>
      </c>
      <c r="AS125">
        <v>0.26958700000000002</v>
      </c>
      <c r="AT125">
        <v>0.22148999999999999</v>
      </c>
      <c r="AW125">
        <v>0.24279500000000001</v>
      </c>
      <c r="AX125" s="176">
        <v>0.26125900000000002</v>
      </c>
      <c r="BA125">
        <v>0.26745200000000002</v>
      </c>
      <c r="BB125">
        <v>0.24757199999999999</v>
      </c>
      <c r="BD125">
        <v>0.21604300000000001</v>
      </c>
      <c r="BF125">
        <v>0.23835300000000001</v>
      </c>
      <c r="BG125">
        <v>0.278783</v>
      </c>
      <c r="BH125">
        <v>0.29256199999999999</v>
      </c>
      <c r="BI125">
        <v>0.27300799999999997</v>
      </c>
      <c r="BJ125">
        <v>0.308529</v>
      </c>
      <c r="BK125">
        <v>0.23814299999999999</v>
      </c>
      <c r="BL125">
        <v>0.32607700000000001</v>
      </c>
      <c r="BM125">
        <v>0.31824599999999997</v>
      </c>
    </row>
    <row r="126" spans="2:65" x14ac:dyDescent="0.25">
      <c r="B126">
        <v>112</v>
      </c>
      <c r="C126" t="s">
        <v>600</v>
      </c>
      <c r="D126">
        <v>0.29381000000000002</v>
      </c>
      <c r="E126">
        <v>0.386685</v>
      </c>
      <c r="H126">
        <v>0.47245599999999999</v>
      </c>
      <c r="J126">
        <v>0.420705</v>
      </c>
      <c r="K126">
        <v>0.44245699999999999</v>
      </c>
      <c r="L126">
        <v>0.52420299999999997</v>
      </c>
      <c r="M126">
        <v>0.43009799999999998</v>
      </c>
      <c r="N126">
        <v>0.44373000000000001</v>
      </c>
      <c r="O126">
        <v>0.38139000000000001</v>
      </c>
      <c r="Q126">
        <v>0.45637800000000001</v>
      </c>
      <c r="R126">
        <v>0.35648600000000003</v>
      </c>
      <c r="V126">
        <v>0.37324499999999999</v>
      </c>
      <c r="W126">
        <v>0.37593799999999999</v>
      </c>
      <c r="X126">
        <v>0.47034399999999998</v>
      </c>
      <c r="Y126">
        <v>0.48936200000000002</v>
      </c>
      <c r="Z126">
        <v>0.45608799999999999</v>
      </c>
      <c r="AA126">
        <v>0.44678899999999999</v>
      </c>
      <c r="AB126">
        <v>0.33728599999999997</v>
      </c>
      <c r="AF126">
        <f>'User Add-In Location'!E127</f>
        <v>0</v>
      </c>
      <c r="AI126">
        <v>0.43234099999999998</v>
      </c>
      <c r="AJ126">
        <v>0.45635799999999999</v>
      </c>
      <c r="AL126">
        <v>0.44425100000000001</v>
      </c>
      <c r="AM126">
        <v>0.40560400000000002</v>
      </c>
      <c r="AO126">
        <v>0.410466</v>
      </c>
      <c r="AQ126">
        <v>0.38778499999999999</v>
      </c>
      <c r="AR126">
        <v>0.44206200000000001</v>
      </c>
      <c r="AS126">
        <v>0.40393400000000002</v>
      </c>
      <c r="AT126">
        <v>0.39599000000000001</v>
      </c>
      <c r="AW126">
        <v>0.45483000000000001</v>
      </c>
      <c r="AX126" s="176">
        <v>0.44666299999999998</v>
      </c>
      <c r="BA126">
        <v>0.52982799999999997</v>
      </c>
      <c r="BB126">
        <v>0.41806399999999999</v>
      </c>
      <c r="BD126">
        <v>0.39836100000000002</v>
      </c>
      <c r="BF126">
        <v>0.43822299999999997</v>
      </c>
      <c r="BG126">
        <v>0.46093200000000001</v>
      </c>
      <c r="BH126">
        <v>0.457758</v>
      </c>
      <c r="BI126">
        <v>0.43761899999999998</v>
      </c>
      <c r="BJ126">
        <v>0.45162200000000002</v>
      </c>
      <c r="BK126">
        <v>0.46193499999999998</v>
      </c>
      <c r="BL126">
        <v>0.478439</v>
      </c>
      <c r="BM126">
        <v>0.45554899999999998</v>
      </c>
    </row>
    <row r="127" spans="2:65" x14ac:dyDescent="0.25">
      <c r="B127">
        <v>113</v>
      </c>
      <c r="C127" t="s">
        <v>601</v>
      </c>
      <c r="D127">
        <v>0.12657399999999999</v>
      </c>
      <c r="E127">
        <v>0.33473000000000003</v>
      </c>
      <c r="H127">
        <v>0.36201</v>
      </c>
      <c r="J127">
        <v>0.33926000000000001</v>
      </c>
      <c r="K127">
        <v>0.34405000000000002</v>
      </c>
      <c r="L127">
        <v>0.44207400000000002</v>
      </c>
      <c r="M127">
        <v>0.35105399999999998</v>
      </c>
      <c r="N127">
        <v>0.32788099999999998</v>
      </c>
      <c r="O127">
        <v>0.334256</v>
      </c>
      <c r="Q127">
        <v>0.33871699999999999</v>
      </c>
      <c r="R127">
        <v>0.30072100000000002</v>
      </c>
      <c r="V127">
        <v>0.307145</v>
      </c>
      <c r="W127">
        <v>0.31071700000000002</v>
      </c>
      <c r="X127">
        <v>0.32802599999999998</v>
      </c>
      <c r="Y127">
        <v>0.38148700000000002</v>
      </c>
      <c r="Z127">
        <v>0.32563300000000001</v>
      </c>
      <c r="AA127">
        <v>0.34058899999999998</v>
      </c>
      <c r="AB127">
        <v>0.27579300000000001</v>
      </c>
      <c r="AF127">
        <f>'User Add-In Location'!E128</f>
        <v>0</v>
      </c>
      <c r="AI127">
        <v>0.29349599999999998</v>
      </c>
      <c r="AJ127">
        <v>0.361097</v>
      </c>
      <c r="AL127">
        <v>0.36307600000000001</v>
      </c>
      <c r="AM127">
        <v>0.31929099999999999</v>
      </c>
      <c r="AO127">
        <v>0.31169999999999998</v>
      </c>
      <c r="AQ127">
        <v>0.32823400000000003</v>
      </c>
      <c r="AR127">
        <v>0.34778300000000001</v>
      </c>
      <c r="AS127">
        <v>0.346001</v>
      </c>
      <c r="AT127">
        <v>0.28986800000000001</v>
      </c>
      <c r="AW127">
        <v>0.33079799999999998</v>
      </c>
      <c r="AX127" s="176">
        <v>0.33553100000000002</v>
      </c>
      <c r="BA127">
        <v>0.31605299999999997</v>
      </c>
      <c r="BB127">
        <v>0.31941399999999998</v>
      </c>
      <c r="BD127">
        <v>0.32709700000000003</v>
      </c>
      <c r="BF127">
        <v>0.33304099999999998</v>
      </c>
      <c r="BG127">
        <v>0.35416300000000001</v>
      </c>
      <c r="BH127">
        <v>0.34310000000000002</v>
      </c>
      <c r="BI127">
        <v>0.34019700000000003</v>
      </c>
      <c r="BJ127">
        <v>0.35720099999999999</v>
      </c>
      <c r="BK127">
        <v>0.31646099999999999</v>
      </c>
      <c r="BL127">
        <v>0.36126900000000001</v>
      </c>
      <c r="BM127">
        <v>0.36451800000000001</v>
      </c>
    </row>
    <row r="128" spans="2:65" x14ac:dyDescent="0.25">
      <c r="B128">
        <v>114</v>
      </c>
      <c r="C128" t="s">
        <v>602</v>
      </c>
      <c r="D128">
        <v>0.147508</v>
      </c>
      <c r="E128">
        <v>0.79469100000000004</v>
      </c>
      <c r="H128">
        <v>0.753251</v>
      </c>
      <c r="J128">
        <v>0.60012699999999997</v>
      </c>
      <c r="K128">
        <v>0.75145300000000004</v>
      </c>
      <c r="L128">
        <v>0.74093799999999999</v>
      </c>
      <c r="M128">
        <v>0.72955000000000003</v>
      </c>
      <c r="N128">
        <v>0.79764999999999997</v>
      </c>
      <c r="O128">
        <v>0.743672</v>
      </c>
      <c r="Q128">
        <v>0.83206500000000005</v>
      </c>
      <c r="R128">
        <v>0.700743</v>
      </c>
      <c r="V128">
        <v>0.77149199999999996</v>
      </c>
      <c r="W128">
        <v>0.79147999999999996</v>
      </c>
      <c r="X128">
        <v>0.621726</v>
      </c>
      <c r="Y128">
        <v>0.59271300000000005</v>
      </c>
      <c r="Z128">
        <v>0.77405100000000004</v>
      </c>
      <c r="AA128">
        <v>0.739846</v>
      </c>
      <c r="AB128">
        <v>0.769173</v>
      </c>
      <c r="AF128">
        <f>'User Add-In Location'!E129</f>
        <v>0</v>
      </c>
      <c r="AI128">
        <v>0.59301499999999996</v>
      </c>
      <c r="AJ128">
        <v>0.79316399999999998</v>
      </c>
      <c r="AL128">
        <v>0.78838299999999994</v>
      </c>
      <c r="AM128">
        <v>0.74002999999999997</v>
      </c>
      <c r="AO128">
        <v>0.739788</v>
      </c>
      <c r="AQ128">
        <v>0.74410200000000004</v>
      </c>
      <c r="AR128">
        <v>0.72570699999999999</v>
      </c>
      <c r="AS128">
        <v>0.67149499999999995</v>
      </c>
      <c r="AT128">
        <v>0.75825699999999996</v>
      </c>
      <c r="AW128">
        <v>0.75589300000000004</v>
      </c>
      <c r="AX128" s="176">
        <v>0.73280900000000004</v>
      </c>
      <c r="BA128">
        <v>0.73960099999999995</v>
      </c>
      <c r="BB128">
        <v>0.71044300000000005</v>
      </c>
      <c r="BD128">
        <v>0.781837</v>
      </c>
      <c r="BF128">
        <v>0.73271399999999998</v>
      </c>
      <c r="BG128">
        <v>0.74566699999999997</v>
      </c>
      <c r="BH128">
        <v>0.72604500000000005</v>
      </c>
      <c r="BI128">
        <v>0.76910699999999999</v>
      </c>
      <c r="BJ128">
        <v>0.74368999999999996</v>
      </c>
      <c r="BK128">
        <v>0.75602800000000003</v>
      </c>
      <c r="BL128">
        <v>0.61376399999999998</v>
      </c>
      <c r="BM128">
        <v>0.71716800000000003</v>
      </c>
    </row>
    <row r="129" spans="1:65" x14ac:dyDescent="0.25">
      <c r="B129">
        <v>115</v>
      </c>
    </row>
    <row r="130" spans="1:65" x14ac:dyDescent="0.25">
      <c r="A130" t="s">
        <v>719</v>
      </c>
      <c r="B130">
        <v>116</v>
      </c>
      <c r="D130" s="174" t="s">
        <v>532</v>
      </c>
      <c r="E130" s="174" t="s">
        <v>680</v>
      </c>
      <c r="F130" s="174" t="s">
        <v>681</v>
      </c>
      <c r="G130" s="174" t="s">
        <v>682</v>
      </c>
      <c r="H130" s="174" t="s">
        <v>533</v>
      </c>
      <c r="I130" s="174" t="s">
        <v>683</v>
      </c>
      <c r="J130" s="174" t="s">
        <v>534</v>
      </c>
      <c r="K130" s="174" t="s">
        <v>535</v>
      </c>
      <c r="L130" s="174" t="s">
        <v>684</v>
      </c>
      <c r="M130" s="174" t="s">
        <v>536</v>
      </c>
      <c r="N130" s="174" t="s">
        <v>537</v>
      </c>
      <c r="O130" s="174" t="s">
        <v>538</v>
      </c>
      <c r="P130" s="174" t="s">
        <v>685</v>
      </c>
      <c r="Q130" s="174" t="s">
        <v>539</v>
      </c>
      <c r="R130" s="174" t="s">
        <v>540</v>
      </c>
      <c r="S130" s="174" t="s">
        <v>686</v>
      </c>
      <c r="T130" s="174" t="s">
        <v>687</v>
      </c>
      <c r="U130" s="174" t="s">
        <v>688</v>
      </c>
      <c r="V130" s="174" t="s">
        <v>541</v>
      </c>
      <c r="W130" s="174" t="s">
        <v>542</v>
      </c>
      <c r="X130" s="174" t="s">
        <v>543</v>
      </c>
      <c r="Y130" s="174" t="s">
        <v>544</v>
      </c>
      <c r="Z130" s="174" t="s">
        <v>545</v>
      </c>
      <c r="AA130" s="174" t="s">
        <v>546</v>
      </c>
      <c r="AB130" s="174" t="s">
        <v>549</v>
      </c>
      <c r="AC130" s="174" t="s">
        <v>689</v>
      </c>
      <c r="AD130" s="174" t="s">
        <v>690</v>
      </c>
      <c r="AE130" s="175" t="s">
        <v>691</v>
      </c>
      <c r="AF130" s="175" t="s">
        <v>1064</v>
      </c>
      <c r="AG130" s="174" t="s">
        <v>692</v>
      </c>
      <c r="AH130" s="174" t="s">
        <v>693</v>
      </c>
      <c r="AI130" s="174" t="s">
        <v>550</v>
      </c>
      <c r="AJ130" s="174" t="s">
        <v>551</v>
      </c>
      <c r="AK130" s="174" t="s">
        <v>694</v>
      </c>
      <c r="AL130" s="174" t="s">
        <v>695</v>
      </c>
      <c r="AM130" s="174" t="s">
        <v>553</v>
      </c>
      <c r="AN130" s="174" t="s">
        <v>696</v>
      </c>
      <c r="AO130" s="174" t="s">
        <v>554</v>
      </c>
      <c r="AP130" s="174" t="s">
        <v>697</v>
      </c>
      <c r="AQ130" s="174" t="s">
        <v>555</v>
      </c>
      <c r="AR130" s="174" t="s">
        <v>556</v>
      </c>
      <c r="AS130" s="174" t="s">
        <v>557</v>
      </c>
      <c r="AT130" s="174" t="s">
        <v>558</v>
      </c>
      <c r="AU130" s="174" t="s">
        <v>698</v>
      </c>
      <c r="AV130" s="174" t="s">
        <v>699</v>
      </c>
      <c r="AW130" s="174" t="s">
        <v>559</v>
      </c>
      <c r="AX130" s="174" t="s">
        <v>530</v>
      </c>
      <c r="AY130" s="174" t="s">
        <v>700</v>
      </c>
      <c r="AZ130" s="174" t="s">
        <v>701</v>
      </c>
      <c r="BA130" s="174" t="s">
        <v>560</v>
      </c>
      <c r="BB130" s="174" t="s">
        <v>561</v>
      </c>
      <c r="BC130" s="174" t="s">
        <v>702</v>
      </c>
      <c r="BD130" s="174" t="s">
        <v>562</v>
      </c>
      <c r="BE130" s="174" t="s">
        <v>703</v>
      </c>
      <c r="BF130" t="s">
        <v>704</v>
      </c>
      <c r="BG130" t="s">
        <v>705</v>
      </c>
      <c r="BH130" t="s">
        <v>706</v>
      </c>
      <c r="BI130" t="s">
        <v>707</v>
      </c>
      <c r="BJ130" t="s">
        <v>708</v>
      </c>
      <c r="BK130" t="s">
        <v>709</v>
      </c>
      <c r="BL130" t="s">
        <v>710</v>
      </c>
      <c r="BM130" t="s">
        <v>711</v>
      </c>
    </row>
    <row r="131" spans="1:65" x14ac:dyDescent="0.25">
      <c r="B131">
        <v>117</v>
      </c>
      <c r="C131" t="s">
        <v>400</v>
      </c>
      <c r="D131">
        <v>0.13353599999999999</v>
      </c>
      <c r="E131">
        <v>7.2656999999999999E-2</v>
      </c>
      <c r="H131">
        <v>9.4225000000000003E-2</v>
      </c>
      <c r="J131">
        <v>8.1534999999999996E-2</v>
      </c>
      <c r="K131">
        <v>0.125</v>
      </c>
      <c r="L131">
        <v>3.5465999999999998E-2</v>
      </c>
      <c r="M131">
        <v>8.0126000000000003E-2</v>
      </c>
      <c r="N131">
        <v>0.14128399999999999</v>
      </c>
      <c r="O131">
        <v>7.1978E-2</v>
      </c>
      <c r="Q131">
        <v>0.14820700000000001</v>
      </c>
      <c r="R131">
        <v>0.13244900000000001</v>
      </c>
      <c r="V131">
        <v>0.118703</v>
      </c>
      <c r="W131">
        <v>6.4423999999999995E-2</v>
      </c>
      <c r="X131">
        <v>0.107405</v>
      </c>
      <c r="Y131">
        <v>4.8816999999999999E-2</v>
      </c>
      <c r="Z131">
        <v>0.11973200000000001</v>
      </c>
      <c r="AA131">
        <v>0.18942700000000001</v>
      </c>
      <c r="AB131">
        <v>0.135656</v>
      </c>
      <c r="AF131">
        <f>'User Add-In Location'!E132</f>
        <v>0</v>
      </c>
      <c r="AI131">
        <v>9.7828999999999999E-2</v>
      </c>
      <c r="AJ131">
        <v>7.5597999999999999E-2</v>
      </c>
      <c r="AL131">
        <v>0.101769</v>
      </c>
      <c r="AM131">
        <v>0.15276699999999999</v>
      </c>
      <c r="AO131">
        <v>0.113686</v>
      </c>
      <c r="AQ131">
        <v>0.11740100000000001</v>
      </c>
      <c r="AR131">
        <v>0.14530100000000001</v>
      </c>
      <c r="AS131">
        <v>2.9262E-2</v>
      </c>
      <c r="AT131">
        <v>0.104742</v>
      </c>
      <c r="AW131">
        <v>0.16122800000000001</v>
      </c>
      <c r="AX131" s="176">
        <v>0.212199</v>
      </c>
      <c r="BA131">
        <v>0.123275</v>
      </c>
      <c r="BB131">
        <v>9.0234999999999996E-2</v>
      </c>
      <c r="BD131">
        <v>0.152363</v>
      </c>
      <c r="BF131">
        <v>0.152338</v>
      </c>
      <c r="BG131">
        <v>9.7051999999999999E-2</v>
      </c>
      <c r="BH131">
        <v>0.13822699999999999</v>
      </c>
      <c r="BI131">
        <v>0.15093699999999999</v>
      </c>
      <c r="BJ131">
        <v>0.106156</v>
      </c>
      <c r="BK131">
        <v>0.15743499999999999</v>
      </c>
      <c r="BL131">
        <v>7.1065000000000003E-2</v>
      </c>
      <c r="BM131">
        <v>9.3855999999999995E-2</v>
      </c>
    </row>
    <row r="132" spans="1:65" x14ac:dyDescent="0.25">
      <c r="B132">
        <v>118</v>
      </c>
      <c r="C132" t="s">
        <v>583</v>
      </c>
      <c r="D132">
        <v>6.8212999999999996E-2</v>
      </c>
      <c r="E132">
        <v>5.3567999999999998E-2</v>
      </c>
      <c r="H132">
        <v>0.17511199999999999</v>
      </c>
      <c r="J132">
        <v>0.19334000000000001</v>
      </c>
      <c r="K132">
        <v>0.18573899999999999</v>
      </c>
      <c r="L132">
        <v>0.183425</v>
      </c>
      <c r="M132">
        <v>0.26926099999999997</v>
      </c>
      <c r="N132">
        <v>0.20955699999999999</v>
      </c>
      <c r="O132">
        <v>0.17780699999999999</v>
      </c>
      <c r="Q132">
        <v>0.29267599999999999</v>
      </c>
      <c r="R132">
        <v>0.20721300000000001</v>
      </c>
      <c r="V132">
        <v>0.13858799999999999</v>
      </c>
      <c r="W132">
        <v>0.195053</v>
      </c>
      <c r="X132">
        <v>0.26917400000000002</v>
      </c>
      <c r="Y132">
        <v>0.30314999999999998</v>
      </c>
      <c r="Z132">
        <v>0.247056</v>
      </c>
      <c r="AA132">
        <v>0.30593999999999999</v>
      </c>
      <c r="AB132">
        <v>0.166989</v>
      </c>
      <c r="AF132">
        <f>'User Add-In Location'!E133</f>
        <v>0</v>
      </c>
      <c r="AI132">
        <v>0.19786200000000001</v>
      </c>
      <c r="AJ132">
        <v>0.26379799999999998</v>
      </c>
      <c r="AL132">
        <v>0.267453</v>
      </c>
      <c r="AM132">
        <v>0.21260999999999999</v>
      </c>
      <c r="AO132">
        <v>9.3880000000000005E-2</v>
      </c>
      <c r="AQ132">
        <v>0.259662</v>
      </c>
      <c r="AR132">
        <v>0.117325</v>
      </c>
      <c r="AS132">
        <v>0.158939</v>
      </c>
      <c r="AT132">
        <v>0.17618600000000001</v>
      </c>
      <c r="AW132">
        <v>0.14352000000000001</v>
      </c>
      <c r="AX132" s="176">
        <v>0.22900899999999999</v>
      </c>
      <c r="BA132">
        <v>0.26620500000000002</v>
      </c>
      <c r="BB132">
        <v>0.23045399999999999</v>
      </c>
      <c r="BD132">
        <v>0.24413099999999999</v>
      </c>
      <c r="BF132">
        <v>0.14752499999999999</v>
      </c>
      <c r="BG132">
        <v>0.18387600000000001</v>
      </c>
      <c r="BH132">
        <v>0.27598800000000001</v>
      </c>
      <c r="BI132">
        <v>0.159826</v>
      </c>
      <c r="BJ132">
        <v>0.27496700000000002</v>
      </c>
      <c r="BK132">
        <v>0.258608</v>
      </c>
      <c r="BL132">
        <v>0.28932200000000002</v>
      </c>
      <c r="BM132">
        <v>0.26896700000000001</v>
      </c>
    </row>
    <row r="133" spans="1:65" x14ac:dyDescent="0.25">
      <c r="B133">
        <v>119</v>
      </c>
      <c r="C133" t="s">
        <v>403</v>
      </c>
      <c r="D133">
        <v>9.8128000000000007E-2</v>
      </c>
      <c r="E133">
        <v>6.6261E-2</v>
      </c>
      <c r="H133">
        <v>0.12543000000000001</v>
      </c>
      <c r="J133">
        <v>0</v>
      </c>
      <c r="K133">
        <v>0</v>
      </c>
      <c r="L133">
        <v>0</v>
      </c>
      <c r="M133">
        <v>0.124126</v>
      </c>
      <c r="N133">
        <v>0</v>
      </c>
      <c r="O133">
        <v>0</v>
      </c>
      <c r="Q133">
        <v>0.11926100000000001</v>
      </c>
      <c r="R133">
        <v>0.103243</v>
      </c>
      <c r="V133">
        <v>0.101757</v>
      </c>
      <c r="W133">
        <v>0</v>
      </c>
      <c r="X133">
        <v>9.3488000000000002E-2</v>
      </c>
      <c r="Y133">
        <v>0</v>
      </c>
      <c r="Z133">
        <v>0</v>
      </c>
      <c r="AA133">
        <v>0</v>
      </c>
      <c r="AB133">
        <v>0.112112</v>
      </c>
      <c r="AF133">
        <f>'User Add-In Location'!E134</f>
        <v>0</v>
      </c>
      <c r="AI133">
        <v>0</v>
      </c>
      <c r="AJ133">
        <v>0</v>
      </c>
      <c r="AL133">
        <v>0</v>
      </c>
      <c r="AM133">
        <v>0</v>
      </c>
      <c r="AO133">
        <v>7.7118000000000006E-2</v>
      </c>
      <c r="AQ133">
        <v>0</v>
      </c>
      <c r="AR133">
        <v>0.13396</v>
      </c>
      <c r="AS133">
        <v>0</v>
      </c>
      <c r="AT133">
        <v>0</v>
      </c>
      <c r="AW133">
        <v>0.130438</v>
      </c>
      <c r="AX133" s="176">
        <v>0.16673299999999999</v>
      </c>
      <c r="BA133">
        <v>0.10194</v>
      </c>
      <c r="BB133">
        <v>0.12914200000000001</v>
      </c>
      <c r="BD133">
        <v>0</v>
      </c>
      <c r="BF133">
        <v>0.109364</v>
      </c>
      <c r="BG133">
        <v>0.14033799999999999</v>
      </c>
      <c r="BH133">
        <v>0.111266</v>
      </c>
      <c r="BI133">
        <v>0.121546</v>
      </c>
      <c r="BJ133">
        <v>0.103218</v>
      </c>
      <c r="BK133">
        <v>0.10707</v>
      </c>
      <c r="BL133">
        <v>0</v>
      </c>
      <c r="BM133">
        <v>0</v>
      </c>
    </row>
    <row r="134" spans="1:65" x14ac:dyDescent="0.25">
      <c r="B134">
        <v>120</v>
      </c>
      <c r="C134" t="s">
        <v>584</v>
      </c>
      <c r="D134">
        <v>9.357E-2</v>
      </c>
      <c r="E134">
        <v>8.5999000000000006E-2</v>
      </c>
      <c r="H134">
        <v>0.15901899999999999</v>
      </c>
      <c r="J134">
        <v>0.13286200000000001</v>
      </c>
      <c r="K134">
        <v>0.16787299999999999</v>
      </c>
      <c r="L134">
        <v>0.154033</v>
      </c>
      <c r="M134">
        <v>0.13686499999999999</v>
      </c>
      <c r="N134">
        <v>0.110748</v>
      </c>
      <c r="O134">
        <v>7.8949000000000005E-2</v>
      </c>
      <c r="Q134">
        <v>0.17785200000000001</v>
      </c>
      <c r="R134">
        <v>0.13804900000000001</v>
      </c>
      <c r="V134">
        <v>0.134493</v>
      </c>
      <c r="W134">
        <v>0.18102599999999999</v>
      </c>
      <c r="X134">
        <v>0.13103500000000001</v>
      </c>
      <c r="Y134">
        <v>0.16450000000000001</v>
      </c>
      <c r="Z134">
        <v>0.115936</v>
      </c>
      <c r="AA134">
        <v>0.13141900000000001</v>
      </c>
      <c r="AB134">
        <v>0.16630400000000001</v>
      </c>
      <c r="AF134">
        <f>'User Add-In Location'!E135</f>
        <v>0</v>
      </c>
      <c r="AI134">
        <v>0.17802200000000001</v>
      </c>
      <c r="AJ134">
        <v>0.15074000000000001</v>
      </c>
      <c r="AL134">
        <v>0.160523</v>
      </c>
      <c r="AM134">
        <v>0.14240800000000001</v>
      </c>
      <c r="AO134">
        <v>0.10491200000000001</v>
      </c>
      <c r="AQ134">
        <v>0.17974300000000001</v>
      </c>
      <c r="AR134">
        <v>0.121488</v>
      </c>
      <c r="AS134">
        <v>9.5316999999999999E-2</v>
      </c>
      <c r="AT134">
        <v>9.5369999999999996E-2</v>
      </c>
      <c r="AW134">
        <v>0.132607</v>
      </c>
      <c r="AX134" s="176">
        <v>0.214004</v>
      </c>
      <c r="BA134">
        <v>0.139399</v>
      </c>
      <c r="BB134">
        <v>0.16819400000000001</v>
      </c>
      <c r="BD134">
        <v>8.2957000000000003E-2</v>
      </c>
      <c r="BF134">
        <v>0.13447400000000001</v>
      </c>
      <c r="BG134">
        <v>0.16966500000000001</v>
      </c>
      <c r="BH134">
        <v>0.15776999999999999</v>
      </c>
      <c r="BI134">
        <v>0.134356</v>
      </c>
      <c r="BJ134">
        <v>0.159163</v>
      </c>
      <c r="BK134">
        <v>0.13955100000000001</v>
      </c>
      <c r="BL134">
        <v>0.189335</v>
      </c>
      <c r="BM134">
        <v>0.166078</v>
      </c>
    </row>
    <row r="135" spans="1:65" x14ac:dyDescent="0.25">
      <c r="B135">
        <v>121</v>
      </c>
      <c r="C135" t="s">
        <v>585</v>
      </c>
      <c r="D135">
        <v>0.117183</v>
      </c>
      <c r="E135">
        <v>0</v>
      </c>
      <c r="H135">
        <v>0</v>
      </c>
      <c r="J135">
        <v>0</v>
      </c>
      <c r="K135">
        <v>0</v>
      </c>
      <c r="L135">
        <v>0</v>
      </c>
      <c r="M135">
        <v>8.4010000000000001E-2</v>
      </c>
      <c r="N135">
        <v>0</v>
      </c>
      <c r="O135">
        <v>0</v>
      </c>
      <c r="Q135">
        <v>0</v>
      </c>
      <c r="R135">
        <v>0</v>
      </c>
      <c r="V135">
        <v>0</v>
      </c>
      <c r="W135">
        <v>0</v>
      </c>
      <c r="X135">
        <v>0</v>
      </c>
      <c r="Y135">
        <v>0</v>
      </c>
      <c r="Z135">
        <v>0</v>
      </c>
      <c r="AA135">
        <v>5.5475999999999998E-2</v>
      </c>
      <c r="AB135">
        <v>0</v>
      </c>
      <c r="AF135">
        <f>'User Add-In Location'!E136</f>
        <v>0</v>
      </c>
      <c r="AI135">
        <v>0</v>
      </c>
      <c r="AJ135">
        <v>0.103254</v>
      </c>
      <c r="AL135">
        <v>0</v>
      </c>
      <c r="AM135">
        <v>0</v>
      </c>
      <c r="AO135">
        <v>0</v>
      </c>
      <c r="AQ135">
        <v>0</v>
      </c>
      <c r="AR135">
        <v>0</v>
      </c>
      <c r="AS135">
        <v>0</v>
      </c>
      <c r="AT135">
        <v>0</v>
      </c>
      <c r="AW135">
        <v>0.143432</v>
      </c>
      <c r="AX135" s="176">
        <v>0.187835</v>
      </c>
      <c r="BA135">
        <v>0</v>
      </c>
      <c r="BB135">
        <v>0</v>
      </c>
      <c r="BD135">
        <v>0</v>
      </c>
      <c r="BF135">
        <v>0.125774</v>
      </c>
      <c r="BG135">
        <v>0</v>
      </c>
      <c r="BH135">
        <v>0.10853500000000001</v>
      </c>
      <c r="BI135">
        <v>4.8760999999999999E-2</v>
      </c>
      <c r="BJ135">
        <v>9.3881000000000006E-2</v>
      </c>
      <c r="BK135">
        <v>0</v>
      </c>
      <c r="BL135">
        <v>0</v>
      </c>
      <c r="BM135">
        <v>0</v>
      </c>
    </row>
    <row r="136" spans="1:65" x14ac:dyDescent="0.25">
      <c r="B136">
        <v>122</v>
      </c>
      <c r="C136" t="s">
        <v>586</v>
      </c>
      <c r="D136">
        <v>3.3029999999999999E-3</v>
      </c>
      <c r="E136">
        <v>9.4562999999999994E-2</v>
      </c>
      <c r="H136">
        <v>6.0032000000000002E-2</v>
      </c>
      <c r="J136">
        <v>5.2986999999999999E-2</v>
      </c>
      <c r="K136">
        <v>7.9924999999999996E-2</v>
      </c>
      <c r="L136">
        <v>6.4784999999999995E-2</v>
      </c>
      <c r="M136">
        <v>5.6237000000000002E-2</v>
      </c>
      <c r="N136">
        <v>6.6067000000000001E-2</v>
      </c>
      <c r="O136">
        <v>6.2557000000000001E-2</v>
      </c>
      <c r="Q136">
        <v>8.0582000000000001E-2</v>
      </c>
      <c r="R136">
        <v>7.9978999999999995E-2</v>
      </c>
      <c r="V136">
        <v>7.5664999999999996E-2</v>
      </c>
      <c r="W136">
        <v>6.5625000000000003E-2</v>
      </c>
      <c r="X136">
        <v>6.5058000000000005E-2</v>
      </c>
      <c r="Y136">
        <v>7.7317999999999998E-2</v>
      </c>
      <c r="Z136">
        <v>8.7609999999999993E-2</v>
      </c>
      <c r="AA136">
        <v>9.2714000000000005E-2</v>
      </c>
      <c r="AB136">
        <v>8.4471000000000004E-2</v>
      </c>
      <c r="AF136">
        <f>'User Add-In Location'!E137</f>
        <v>0</v>
      </c>
      <c r="AI136">
        <v>6.1363000000000001E-2</v>
      </c>
      <c r="AJ136">
        <v>6.2440000000000002E-2</v>
      </c>
      <c r="AL136">
        <v>7.5786000000000006E-2</v>
      </c>
      <c r="AM136">
        <v>6.4963000000000007E-2</v>
      </c>
      <c r="AO136">
        <v>6.6678000000000001E-2</v>
      </c>
      <c r="AQ136">
        <v>8.2489000000000007E-2</v>
      </c>
      <c r="AR136">
        <v>9.0164999999999995E-2</v>
      </c>
      <c r="AS136">
        <v>4.1762000000000001E-2</v>
      </c>
      <c r="AT136">
        <v>6.5764000000000003E-2</v>
      </c>
      <c r="AW136">
        <v>9.4299999999999995E-2</v>
      </c>
      <c r="AX136" s="176">
        <v>0.187782</v>
      </c>
      <c r="BA136">
        <v>7.2821999999999998E-2</v>
      </c>
      <c r="BB136">
        <v>6.3295000000000004E-2</v>
      </c>
      <c r="BD136">
        <v>7.1490999999999999E-2</v>
      </c>
      <c r="BF136">
        <v>9.0704999999999994E-2</v>
      </c>
      <c r="BG136">
        <v>6.4227000000000006E-2</v>
      </c>
      <c r="BH136">
        <v>7.9169000000000003E-2</v>
      </c>
      <c r="BI136">
        <v>9.1145000000000004E-2</v>
      </c>
      <c r="BJ136">
        <v>7.4107000000000006E-2</v>
      </c>
      <c r="BK136">
        <v>7.8478000000000006E-2</v>
      </c>
      <c r="BL136">
        <v>7.7137999999999998E-2</v>
      </c>
      <c r="BM136">
        <v>7.8422000000000006E-2</v>
      </c>
    </row>
    <row r="137" spans="1:65" x14ac:dyDescent="0.25">
      <c r="B137">
        <v>123</v>
      </c>
      <c r="C137" t="s">
        <v>587</v>
      </c>
      <c r="D137">
        <v>0.10230400000000001</v>
      </c>
      <c r="E137">
        <v>2.8641E-2</v>
      </c>
      <c r="H137">
        <v>5.0679999999999996E-3</v>
      </c>
      <c r="J137">
        <v>1.8990000000000001E-3</v>
      </c>
      <c r="K137">
        <v>2.1999999999999999E-5</v>
      </c>
      <c r="L137">
        <v>1.3407000000000001E-2</v>
      </c>
      <c r="M137">
        <v>2.9799999999999998E-4</v>
      </c>
      <c r="N137">
        <v>1.6930000000000001E-3</v>
      </c>
      <c r="O137">
        <v>2.0999999999999999E-5</v>
      </c>
      <c r="Q137">
        <v>2.0249999999999999E-3</v>
      </c>
      <c r="R137">
        <v>2.5599999999999999E-4</v>
      </c>
      <c r="V137">
        <v>8.52E-4</v>
      </c>
      <c r="W137">
        <v>1.9525000000000001E-2</v>
      </c>
      <c r="X137">
        <v>6.1700000000000004E-4</v>
      </c>
      <c r="Y137">
        <v>1.9449999999999999E-3</v>
      </c>
      <c r="Z137">
        <v>3.4099999999999998E-3</v>
      </c>
      <c r="AA137">
        <v>7.62E-3</v>
      </c>
      <c r="AB137">
        <v>2.3E-5</v>
      </c>
      <c r="AF137">
        <f>'User Add-In Location'!E138</f>
        <v>0</v>
      </c>
      <c r="AI137">
        <v>6.4720000000000003E-3</v>
      </c>
      <c r="AJ137">
        <v>8.7000000000000001E-4</v>
      </c>
      <c r="AL137">
        <v>4.9249999999999997E-3</v>
      </c>
      <c r="AM137">
        <v>1.2340000000000001E-3</v>
      </c>
      <c r="AO137">
        <v>2.9E-4</v>
      </c>
      <c r="AQ137">
        <v>4.8459999999999996E-3</v>
      </c>
      <c r="AR137">
        <v>1.7049999999999999E-3</v>
      </c>
      <c r="AS137">
        <v>1.534E-3</v>
      </c>
      <c r="AT137">
        <v>2.4109999999999999E-3</v>
      </c>
      <c r="AW137">
        <v>5.6730000000000001E-3</v>
      </c>
      <c r="AX137" s="176">
        <v>0.18518999999999999</v>
      </c>
      <c r="BA137">
        <v>2.0140000000000002E-3</v>
      </c>
      <c r="BB137">
        <v>4.1939999999999998E-3</v>
      </c>
      <c r="BD137">
        <v>1.091E-3</v>
      </c>
      <c r="BF137">
        <v>2.898E-3</v>
      </c>
      <c r="BG137">
        <v>5.0419999999999996E-3</v>
      </c>
      <c r="BH137">
        <v>2.8660000000000001E-3</v>
      </c>
      <c r="BI137">
        <v>2.9459999999999998E-3</v>
      </c>
      <c r="BJ137">
        <v>2.6970000000000002E-3</v>
      </c>
      <c r="BK137">
        <v>2.1480000000000002E-3</v>
      </c>
      <c r="BL137">
        <v>4.1359999999999999E-3</v>
      </c>
      <c r="BM137">
        <v>3.4789999999999999E-3</v>
      </c>
    </row>
    <row r="138" spans="1:65" x14ac:dyDescent="0.25">
      <c r="B138">
        <v>124</v>
      </c>
      <c r="C138" t="s">
        <v>588</v>
      </c>
      <c r="D138">
        <v>0.138988</v>
      </c>
      <c r="E138">
        <v>1.0374E-2</v>
      </c>
      <c r="H138">
        <v>0.116337</v>
      </c>
      <c r="J138">
        <v>4.5589999999999999E-2</v>
      </c>
      <c r="K138">
        <v>9.2891000000000001E-2</v>
      </c>
      <c r="L138">
        <v>0.131212</v>
      </c>
      <c r="M138">
        <v>0.110358</v>
      </c>
      <c r="N138">
        <v>9.9901000000000004E-2</v>
      </c>
      <c r="O138">
        <v>0.107517</v>
      </c>
      <c r="Q138">
        <v>0.13700799999999999</v>
      </c>
      <c r="R138">
        <v>0.10220799999999999</v>
      </c>
      <c r="V138">
        <v>9.8986000000000005E-2</v>
      </c>
      <c r="W138">
        <v>9.2138999999999999E-2</v>
      </c>
      <c r="X138">
        <v>0.124085</v>
      </c>
      <c r="Y138">
        <v>0.13158400000000001</v>
      </c>
      <c r="Z138">
        <v>0.11534</v>
      </c>
      <c r="AA138">
        <v>0.127274</v>
      </c>
      <c r="AB138">
        <v>0.111081</v>
      </c>
      <c r="AF138">
        <f>'User Add-In Location'!E139</f>
        <v>0</v>
      </c>
      <c r="AI138">
        <v>9.8696999999999993E-2</v>
      </c>
      <c r="AJ138">
        <v>0.113954</v>
      </c>
      <c r="AL138">
        <v>0.115082</v>
      </c>
      <c r="AM138">
        <v>0.111294</v>
      </c>
      <c r="AO138">
        <v>9.3478000000000006E-2</v>
      </c>
      <c r="AQ138">
        <v>0.12667800000000001</v>
      </c>
      <c r="AR138">
        <v>6.2628000000000003E-2</v>
      </c>
      <c r="AS138">
        <v>9.1943999999999998E-2</v>
      </c>
      <c r="AT138">
        <v>9.3848000000000001E-2</v>
      </c>
      <c r="AW138">
        <v>0.102648</v>
      </c>
      <c r="AX138" s="176">
        <v>0.15073</v>
      </c>
      <c r="BA138">
        <v>0.11520900000000001</v>
      </c>
      <c r="BB138">
        <v>8.2985000000000003E-2</v>
      </c>
      <c r="BD138">
        <v>0.10144499999999999</v>
      </c>
      <c r="BF138">
        <v>0.10993600000000001</v>
      </c>
      <c r="BG138">
        <v>0.116033</v>
      </c>
      <c r="BH138">
        <v>0.11908199999999999</v>
      </c>
      <c r="BI138">
        <v>0.103591</v>
      </c>
      <c r="BJ138">
        <v>0.120939</v>
      </c>
      <c r="BK138">
        <v>0.11787400000000001</v>
      </c>
      <c r="BL138">
        <v>0.13022900000000001</v>
      </c>
      <c r="BM138">
        <v>0.109667</v>
      </c>
    </row>
    <row r="139" spans="1:65" x14ac:dyDescent="0.25">
      <c r="B139">
        <v>125</v>
      </c>
      <c r="C139" t="s">
        <v>348</v>
      </c>
      <c r="D139">
        <v>9.7738000000000005E-2</v>
      </c>
      <c r="E139">
        <v>6.8501999999999993E-2</v>
      </c>
      <c r="H139">
        <v>0.10519100000000001</v>
      </c>
      <c r="J139">
        <v>0.11360099999999999</v>
      </c>
      <c r="K139">
        <v>8.3505999999999997E-2</v>
      </c>
      <c r="L139">
        <v>7.3851E-2</v>
      </c>
      <c r="M139">
        <v>0.100247</v>
      </c>
      <c r="N139">
        <v>0.103933</v>
      </c>
      <c r="O139">
        <v>5.6869000000000003E-2</v>
      </c>
      <c r="Q139">
        <v>0.116453</v>
      </c>
      <c r="R139">
        <v>0.10168199999999999</v>
      </c>
      <c r="V139">
        <v>0.103614</v>
      </c>
      <c r="W139">
        <v>0.10556400000000001</v>
      </c>
      <c r="X139">
        <v>9.3133999999999995E-2</v>
      </c>
      <c r="Y139">
        <v>0.116773</v>
      </c>
      <c r="Z139">
        <v>9.6282000000000006E-2</v>
      </c>
      <c r="AA139">
        <v>0.129078</v>
      </c>
      <c r="AB139">
        <v>0.105923</v>
      </c>
      <c r="AF139">
        <f>'User Add-In Location'!E140</f>
        <v>0</v>
      </c>
      <c r="AI139">
        <v>0.13230600000000001</v>
      </c>
      <c r="AJ139">
        <v>0.10172399999999999</v>
      </c>
      <c r="AL139">
        <v>9.5423999999999995E-2</v>
      </c>
      <c r="AM139">
        <v>0.110982</v>
      </c>
      <c r="AO139">
        <v>8.6407999999999999E-2</v>
      </c>
      <c r="AQ139">
        <v>0.10725899999999999</v>
      </c>
      <c r="AR139">
        <v>0.117908</v>
      </c>
      <c r="AS139">
        <v>6.9561999999999999E-2</v>
      </c>
      <c r="AT139">
        <v>7.5391E-2</v>
      </c>
      <c r="AW139">
        <v>0.12598100000000001</v>
      </c>
      <c r="AX139" s="176">
        <v>0.18083199999999999</v>
      </c>
      <c r="BA139">
        <v>0.104466</v>
      </c>
      <c r="BB139">
        <v>9.4228000000000006E-2</v>
      </c>
      <c r="BD139">
        <v>0.105861</v>
      </c>
      <c r="BF139">
        <v>0.124892</v>
      </c>
      <c r="BG139">
        <v>0.106128</v>
      </c>
      <c r="BH139">
        <v>0.117117</v>
      </c>
      <c r="BI139">
        <v>0.117202</v>
      </c>
      <c r="BJ139">
        <v>9.9643999999999996E-2</v>
      </c>
      <c r="BK139">
        <v>0.11920500000000001</v>
      </c>
      <c r="BL139">
        <v>0.126302</v>
      </c>
      <c r="BM139">
        <v>0.106131</v>
      </c>
    </row>
    <row r="140" spans="1:65" x14ac:dyDescent="0.25">
      <c r="B140">
        <v>126</v>
      </c>
      <c r="C140" t="s">
        <v>589</v>
      </c>
      <c r="D140">
        <v>1.8290000000000001E-2</v>
      </c>
      <c r="E140">
        <v>5.2644000000000003E-2</v>
      </c>
      <c r="H140">
        <v>8.4939000000000001E-2</v>
      </c>
      <c r="J140">
        <v>0.107005</v>
      </c>
      <c r="K140">
        <v>6.5519999999999995E-2</v>
      </c>
      <c r="L140">
        <v>6.7720000000000002E-2</v>
      </c>
      <c r="M140">
        <v>8.1625000000000003E-2</v>
      </c>
      <c r="N140">
        <v>8.1783999999999996E-2</v>
      </c>
      <c r="O140">
        <v>4.6242999999999999E-2</v>
      </c>
      <c r="Q140">
        <v>9.3725000000000003E-2</v>
      </c>
      <c r="R140">
        <v>8.3471000000000004E-2</v>
      </c>
      <c r="V140">
        <v>8.8152999999999995E-2</v>
      </c>
      <c r="W140">
        <v>0.11076</v>
      </c>
      <c r="X140">
        <v>8.2113000000000005E-2</v>
      </c>
      <c r="Y140">
        <v>0.105019</v>
      </c>
      <c r="Z140">
        <v>8.1341999999999998E-2</v>
      </c>
      <c r="AA140">
        <v>0.100687</v>
      </c>
      <c r="AB140">
        <v>8.9692999999999995E-2</v>
      </c>
      <c r="AF140">
        <f>'User Add-In Location'!E141</f>
        <v>0</v>
      </c>
      <c r="AI140">
        <v>0.150448</v>
      </c>
      <c r="AJ140">
        <v>8.5099999999999995E-2</v>
      </c>
      <c r="AL140">
        <v>7.9413999999999998E-2</v>
      </c>
      <c r="AM140">
        <v>9.3428999999999998E-2</v>
      </c>
      <c r="AO140">
        <v>7.8371999999999997E-2</v>
      </c>
      <c r="AQ140">
        <v>9.1484999999999997E-2</v>
      </c>
      <c r="AR140">
        <v>9.4237000000000001E-2</v>
      </c>
      <c r="AS140">
        <v>6.1062999999999999E-2</v>
      </c>
      <c r="AT140">
        <v>5.9755000000000003E-2</v>
      </c>
      <c r="AW140">
        <v>0.100421</v>
      </c>
      <c r="AX140" s="176">
        <v>0.15301000000000001</v>
      </c>
      <c r="BA140">
        <v>8.8178999999999993E-2</v>
      </c>
      <c r="BB140">
        <v>7.3494000000000004E-2</v>
      </c>
      <c r="BD140">
        <v>8.5419999999999996E-2</v>
      </c>
      <c r="BF140">
        <v>9.9752999999999994E-2</v>
      </c>
      <c r="BG140">
        <v>8.5782999999999998E-2</v>
      </c>
      <c r="BH140">
        <v>9.8144999999999996E-2</v>
      </c>
      <c r="BI140">
        <v>9.5093999999999998E-2</v>
      </c>
      <c r="BJ140">
        <v>8.3375000000000005E-2</v>
      </c>
      <c r="BK140">
        <v>9.6642000000000006E-2</v>
      </c>
      <c r="BL140">
        <v>0.118627</v>
      </c>
      <c r="BM140">
        <v>9.0941999999999995E-2</v>
      </c>
    </row>
    <row r="141" spans="1:65" x14ac:dyDescent="0.25">
      <c r="B141">
        <v>127</v>
      </c>
      <c r="C141" t="s">
        <v>590</v>
      </c>
      <c r="D141">
        <v>0.10521999999999999</v>
      </c>
      <c r="E141">
        <v>6.7235000000000003E-2</v>
      </c>
      <c r="H141">
        <v>9.6332000000000001E-2</v>
      </c>
      <c r="J141">
        <v>0.112403</v>
      </c>
      <c r="K141">
        <v>7.4705999999999995E-2</v>
      </c>
      <c r="L141">
        <v>6.7140000000000005E-2</v>
      </c>
      <c r="M141">
        <v>8.6109000000000005E-2</v>
      </c>
      <c r="N141">
        <v>9.0426000000000006E-2</v>
      </c>
      <c r="O141">
        <v>4.8344999999999999E-2</v>
      </c>
      <c r="Q141">
        <v>0.106083</v>
      </c>
      <c r="R141">
        <v>9.4130000000000005E-2</v>
      </c>
      <c r="V141">
        <v>9.7901000000000002E-2</v>
      </c>
      <c r="W141">
        <v>0.10233299999999999</v>
      </c>
      <c r="X141">
        <v>8.4928000000000003E-2</v>
      </c>
      <c r="Y141">
        <v>0.110541</v>
      </c>
      <c r="Z141">
        <v>8.8494000000000003E-2</v>
      </c>
      <c r="AA141">
        <v>0.120035</v>
      </c>
      <c r="AB141">
        <v>9.8804000000000003E-2</v>
      </c>
      <c r="AF141">
        <f>'User Add-In Location'!E142</f>
        <v>0</v>
      </c>
      <c r="AI141">
        <v>0.14056399999999999</v>
      </c>
      <c r="AJ141">
        <v>9.3673999999999993E-2</v>
      </c>
      <c r="AL141">
        <v>8.5212999999999997E-2</v>
      </c>
      <c r="AM141">
        <v>0.10283</v>
      </c>
      <c r="AO141">
        <v>8.4451999999999999E-2</v>
      </c>
      <c r="AQ141">
        <v>9.6570000000000003E-2</v>
      </c>
      <c r="AR141">
        <v>0.109046</v>
      </c>
      <c r="AS141">
        <v>6.4704999999999999E-2</v>
      </c>
      <c r="AT141">
        <v>6.5771999999999997E-2</v>
      </c>
      <c r="AW141">
        <v>0.117797</v>
      </c>
      <c r="AX141" s="176">
        <v>0.18574099999999999</v>
      </c>
      <c r="BA141">
        <v>9.5458000000000001E-2</v>
      </c>
      <c r="BB141">
        <v>8.6470000000000005E-2</v>
      </c>
      <c r="BD141">
        <v>9.7671999999999995E-2</v>
      </c>
      <c r="BF141">
        <v>0.11454400000000001</v>
      </c>
      <c r="BG141">
        <v>9.7344E-2</v>
      </c>
      <c r="BH141">
        <v>0.10754</v>
      </c>
      <c r="BI141">
        <v>0.10693</v>
      </c>
      <c r="BJ141">
        <v>8.9845999999999995E-2</v>
      </c>
      <c r="BK141">
        <v>0.10764</v>
      </c>
      <c r="BL141">
        <v>0.121656</v>
      </c>
      <c r="BM141">
        <v>9.7675999999999999E-2</v>
      </c>
    </row>
    <row r="142" spans="1:65" x14ac:dyDescent="0.25">
      <c r="B142">
        <v>128</v>
      </c>
      <c r="C142" t="s">
        <v>591</v>
      </c>
      <c r="D142">
        <v>0.12562200000000001</v>
      </c>
      <c r="E142">
        <v>0.106737</v>
      </c>
      <c r="H142">
        <v>0.156446</v>
      </c>
      <c r="J142">
        <v>0.135459</v>
      </c>
      <c r="K142">
        <v>0.133215</v>
      </c>
      <c r="L142">
        <v>8.2558999999999994E-2</v>
      </c>
      <c r="M142">
        <v>0.119865</v>
      </c>
      <c r="N142">
        <v>0.12926199999999999</v>
      </c>
      <c r="O142">
        <v>8.8907E-2</v>
      </c>
      <c r="Q142">
        <v>0.16245299999999999</v>
      </c>
      <c r="R142">
        <v>0.132461</v>
      </c>
      <c r="V142">
        <v>0.15038099999999999</v>
      </c>
      <c r="W142">
        <v>0.11744300000000001</v>
      </c>
      <c r="X142">
        <v>0.100079</v>
      </c>
      <c r="Y142">
        <v>0.13261700000000001</v>
      </c>
      <c r="Z142">
        <v>0.130187</v>
      </c>
      <c r="AA142">
        <v>0.18163099999999999</v>
      </c>
      <c r="AB142">
        <v>0.151255</v>
      </c>
      <c r="AF142">
        <f>'User Add-In Location'!E143</f>
        <v>0</v>
      </c>
      <c r="AI142">
        <v>0.15098200000000001</v>
      </c>
      <c r="AJ142">
        <v>0.13565199999999999</v>
      </c>
      <c r="AL142">
        <v>0.12865599999999999</v>
      </c>
      <c r="AM142">
        <v>0.130276</v>
      </c>
      <c r="AO142">
        <v>0.12825600000000001</v>
      </c>
      <c r="AQ142">
        <v>0.16039600000000001</v>
      </c>
      <c r="AR142">
        <v>0.17385100000000001</v>
      </c>
      <c r="AS142">
        <v>8.9352000000000001E-2</v>
      </c>
      <c r="AT142">
        <v>0.103066</v>
      </c>
      <c r="AW142">
        <v>0.19040399999999999</v>
      </c>
      <c r="AX142" s="176">
        <v>0.250361</v>
      </c>
      <c r="BA142">
        <v>0.12622</v>
      </c>
      <c r="BB142">
        <v>0.148311</v>
      </c>
      <c r="BD142">
        <v>0.15323999999999999</v>
      </c>
      <c r="BF142">
        <v>0.18374599999999999</v>
      </c>
      <c r="BG142">
        <v>0.159216</v>
      </c>
      <c r="BH142">
        <v>0.148872</v>
      </c>
      <c r="BI142">
        <v>0.162831</v>
      </c>
      <c r="BJ142">
        <v>0.12865199999999999</v>
      </c>
      <c r="BK142">
        <v>0.148484</v>
      </c>
      <c r="BL142">
        <v>0.14372499999999999</v>
      </c>
      <c r="BM142">
        <v>0.13569500000000001</v>
      </c>
    </row>
    <row r="143" spans="1:65" x14ac:dyDescent="0.25">
      <c r="B143">
        <v>129</v>
      </c>
      <c r="C143" t="s">
        <v>592</v>
      </c>
      <c r="D143">
        <v>0.121964</v>
      </c>
      <c r="E143">
        <v>0.112959</v>
      </c>
      <c r="H143">
        <v>0.179233</v>
      </c>
      <c r="J143">
        <v>0.180562</v>
      </c>
      <c r="K143">
        <v>0.12926299999999999</v>
      </c>
      <c r="L143">
        <v>3.3952999999999997E-2</v>
      </c>
      <c r="M143">
        <v>0.115172</v>
      </c>
      <c r="N143">
        <v>0.122528</v>
      </c>
      <c r="O143">
        <v>5.7574E-2</v>
      </c>
      <c r="Q143">
        <v>0.17336199999999999</v>
      </c>
      <c r="R143">
        <v>0.156366</v>
      </c>
      <c r="V143">
        <v>0.14314299999999999</v>
      </c>
      <c r="W143">
        <v>0.125274</v>
      </c>
      <c r="X143">
        <v>0.108749</v>
      </c>
      <c r="Y143">
        <v>0.17141600000000001</v>
      </c>
      <c r="Z143">
        <v>0.13756399999999999</v>
      </c>
      <c r="AA143">
        <v>0.177311</v>
      </c>
      <c r="AB143">
        <v>0.15323300000000001</v>
      </c>
      <c r="AF143">
        <f>'User Add-In Location'!E144</f>
        <v>0</v>
      </c>
      <c r="AI143">
        <v>0.18288399999999999</v>
      </c>
      <c r="AJ143">
        <v>0.150562</v>
      </c>
      <c r="AL143">
        <v>0.124902</v>
      </c>
      <c r="AM143">
        <v>0.16353300000000001</v>
      </c>
      <c r="AO143">
        <v>0.13720199999999999</v>
      </c>
      <c r="AQ143">
        <v>0.15793099999999999</v>
      </c>
      <c r="AR143">
        <v>0.18642600000000001</v>
      </c>
      <c r="AS143">
        <v>0.11070000000000001</v>
      </c>
      <c r="AT143">
        <v>0.10292800000000001</v>
      </c>
      <c r="AW143">
        <v>0.186138</v>
      </c>
      <c r="AX143" s="176">
        <v>0.25740499999999999</v>
      </c>
      <c r="BA143">
        <v>0.130443</v>
      </c>
      <c r="BB143">
        <v>0.170538</v>
      </c>
      <c r="BD143">
        <v>0.156331</v>
      </c>
      <c r="BF143">
        <v>0.17719399999999999</v>
      </c>
      <c r="BG143">
        <v>0.17982799999999999</v>
      </c>
      <c r="BH143">
        <v>0.16778199999999999</v>
      </c>
      <c r="BI143">
        <v>0.17280499999999999</v>
      </c>
      <c r="BJ143">
        <v>0.13145100000000001</v>
      </c>
      <c r="BK143">
        <v>0.16511200000000001</v>
      </c>
      <c r="BL143">
        <v>0.17976800000000001</v>
      </c>
      <c r="BM143">
        <v>0.15279400000000001</v>
      </c>
    </row>
    <row r="144" spans="1:65" x14ac:dyDescent="0.25">
      <c r="B144">
        <v>130</v>
      </c>
      <c r="C144" t="s">
        <v>593</v>
      </c>
      <c r="D144">
        <v>0.135659</v>
      </c>
      <c r="E144">
        <v>0.110379</v>
      </c>
      <c r="H144">
        <v>0.123331</v>
      </c>
      <c r="J144">
        <v>0.107766</v>
      </c>
      <c r="K144">
        <v>0.108917</v>
      </c>
      <c r="L144">
        <v>9.4858999999999999E-2</v>
      </c>
      <c r="M144">
        <v>9.7572999999999993E-2</v>
      </c>
      <c r="N144">
        <v>0.104309</v>
      </c>
      <c r="O144">
        <v>7.3400000000000007E-2</v>
      </c>
      <c r="Q144">
        <v>0.113354</v>
      </c>
      <c r="R144">
        <v>0.108816</v>
      </c>
      <c r="V144">
        <v>0.109648</v>
      </c>
      <c r="W144">
        <v>0.105222</v>
      </c>
      <c r="X144">
        <v>0.10490099999999999</v>
      </c>
      <c r="Y144">
        <v>0.129778</v>
      </c>
      <c r="Z144">
        <v>0.107263</v>
      </c>
      <c r="AA144">
        <v>0.13692399999999999</v>
      </c>
      <c r="AB144">
        <v>9.9904999999999994E-2</v>
      </c>
      <c r="AF144">
        <f>'User Add-In Location'!E145</f>
        <v>0</v>
      </c>
      <c r="AI144">
        <v>0.10909199999999999</v>
      </c>
      <c r="AJ144">
        <v>0.111765</v>
      </c>
      <c r="AL144">
        <v>9.6841999999999998E-2</v>
      </c>
      <c r="AM144">
        <v>0.111107</v>
      </c>
      <c r="AO144">
        <v>0.10720499999999999</v>
      </c>
      <c r="AQ144">
        <v>0.120044</v>
      </c>
      <c r="AR144">
        <v>0.125337</v>
      </c>
      <c r="AS144">
        <v>9.2312000000000005E-2</v>
      </c>
      <c r="AT144">
        <v>8.0267000000000005E-2</v>
      </c>
      <c r="AW144">
        <v>0.12803500000000001</v>
      </c>
      <c r="AX144" s="176">
        <v>0.25937100000000002</v>
      </c>
      <c r="BA144">
        <v>0.10653799999999999</v>
      </c>
      <c r="BB144">
        <v>0.114357</v>
      </c>
      <c r="BD144">
        <v>0.101018</v>
      </c>
      <c r="BF144">
        <v>0.124746</v>
      </c>
      <c r="BG144">
        <v>0.12503800000000001</v>
      </c>
      <c r="BH144">
        <v>0.121584</v>
      </c>
      <c r="BI144">
        <v>0.12126199999999999</v>
      </c>
      <c r="BJ144">
        <v>0.10692500000000001</v>
      </c>
      <c r="BK144">
        <v>0.117844</v>
      </c>
      <c r="BL144">
        <v>0.13165499999999999</v>
      </c>
      <c r="BM144">
        <v>0.110609</v>
      </c>
    </row>
    <row r="145" spans="1:65" x14ac:dyDescent="0.25">
      <c r="B145">
        <v>131</v>
      </c>
      <c r="C145" t="s">
        <v>594</v>
      </c>
      <c r="D145">
        <v>9.8831000000000002E-2</v>
      </c>
      <c r="E145">
        <v>0.12635399999999999</v>
      </c>
      <c r="H145">
        <v>0.15438199999999999</v>
      </c>
      <c r="J145">
        <v>0.144839</v>
      </c>
      <c r="K145">
        <v>0.15270700000000001</v>
      </c>
      <c r="L145">
        <v>0.164434</v>
      </c>
      <c r="M145">
        <v>0.12658900000000001</v>
      </c>
      <c r="N145">
        <v>0.15077699999999999</v>
      </c>
      <c r="O145">
        <v>0.118809</v>
      </c>
      <c r="Q145">
        <v>0.172211</v>
      </c>
      <c r="R145">
        <v>0.147976</v>
      </c>
      <c r="V145">
        <v>0.14574100000000001</v>
      </c>
      <c r="W145">
        <v>0.113431</v>
      </c>
      <c r="X145">
        <v>0.122003</v>
      </c>
      <c r="Y145">
        <v>0.133714</v>
      </c>
      <c r="Z145">
        <v>0.14826</v>
      </c>
      <c r="AA145">
        <v>0.162022</v>
      </c>
      <c r="AB145">
        <v>0.15012900000000001</v>
      </c>
      <c r="AF145">
        <f>'User Add-In Location'!E146</f>
        <v>0</v>
      </c>
      <c r="AI145">
        <v>0.14108699999999999</v>
      </c>
      <c r="AJ145">
        <v>0.15348700000000001</v>
      </c>
      <c r="AL145">
        <v>0.152972</v>
      </c>
      <c r="AM145">
        <v>0.14799000000000001</v>
      </c>
      <c r="AO145">
        <v>0.140706</v>
      </c>
      <c r="AQ145">
        <v>0.16201699999999999</v>
      </c>
      <c r="AR145">
        <v>0.185116</v>
      </c>
      <c r="AS145">
        <v>0.129717</v>
      </c>
      <c r="AT145">
        <v>0.12596599999999999</v>
      </c>
      <c r="AW145">
        <v>0.17515600000000001</v>
      </c>
      <c r="AX145" s="176">
        <v>0.31018699999999999</v>
      </c>
      <c r="BA145">
        <v>0.14111499999999999</v>
      </c>
      <c r="BB145">
        <v>0.135265</v>
      </c>
      <c r="BD145">
        <v>0.14529500000000001</v>
      </c>
      <c r="BF145">
        <v>0.16944200000000001</v>
      </c>
      <c r="BG145">
        <v>0.15600900000000001</v>
      </c>
      <c r="BH145">
        <v>0.16148999999999999</v>
      </c>
      <c r="BI145">
        <v>0.17333299999999999</v>
      </c>
      <c r="BJ145">
        <v>0.15251200000000001</v>
      </c>
      <c r="BK145">
        <v>0.16312299999999999</v>
      </c>
      <c r="BL145">
        <v>0.14009099999999999</v>
      </c>
      <c r="BM145">
        <v>0.15237100000000001</v>
      </c>
    </row>
    <row r="146" spans="1:65" x14ac:dyDescent="0.25">
      <c r="B146">
        <v>132</v>
      </c>
      <c r="C146" t="s">
        <v>415</v>
      </c>
      <c r="D146">
        <v>7.0068000000000005E-2</v>
      </c>
      <c r="E146">
        <v>8.2228999999999997E-2</v>
      </c>
      <c r="H146">
        <v>0.15024799999999999</v>
      </c>
      <c r="J146">
        <v>0.15867899999999999</v>
      </c>
      <c r="K146">
        <v>0.1019</v>
      </c>
      <c r="L146">
        <v>0</v>
      </c>
      <c r="M146">
        <v>0.14113000000000001</v>
      </c>
      <c r="N146">
        <v>0.13753000000000001</v>
      </c>
      <c r="O146">
        <v>0</v>
      </c>
      <c r="Q146">
        <v>0.163689</v>
      </c>
      <c r="R146">
        <v>0.15803800000000001</v>
      </c>
      <c r="V146">
        <v>0.145729</v>
      </c>
      <c r="W146">
        <v>0.12845500000000001</v>
      </c>
      <c r="X146">
        <v>0.14003399999999999</v>
      </c>
      <c r="Y146">
        <v>0.14848600000000001</v>
      </c>
      <c r="Z146">
        <v>0.14965300000000001</v>
      </c>
      <c r="AA146">
        <v>0.181255</v>
      </c>
      <c r="AB146">
        <v>0.16003000000000001</v>
      </c>
      <c r="AF146">
        <f>'User Add-In Location'!E147</f>
        <v>0</v>
      </c>
      <c r="AI146">
        <v>0.15457399999999999</v>
      </c>
      <c r="AJ146">
        <v>0.13699800000000001</v>
      </c>
      <c r="AL146">
        <v>0.13922200000000001</v>
      </c>
      <c r="AM146">
        <v>0.16020499999999999</v>
      </c>
      <c r="AO146">
        <v>0.130608</v>
      </c>
      <c r="AQ146">
        <v>0.12917200000000001</v>
      </c>
      <c r="AR146">
        <v>0.17178099999999999</v>
      </c>
      <c r="AS146">
        <v>9.6940999999999999E-2</v>
      </c>
      <c r="AT146">
        <v>0.112473</v>
      </c>
      <c r="AW146">
        <v>0.185999</v>
      </c>
      <c r="AX146" s="176">
        <v>0.26669199999999998</v>
      </c>
      <c r="BA146">
        <v>0.116841</v>
      </c>
      <c r="BB146">
        <v>0.14535000000000001</v>
      </c>
      <c r="BD146">
        <v>0.17576600000000001</v>
      </c>
      <c r="BF146">
        <v>0.18721399999999999</v>
      </c>
      <c r="BG146">
        <v>0.1479</v>
      </c>
      <c r="BH146">
        <v>0.17013700000000001</v>
      </c>
      <c r="BI146">
        <v>0.182479</v>
      </c>
      <c r="BJ146">
        <v>0.148419</v>
      </c>
      <c r="BK146">
        <v>0.16960900000000001</v>
      </c>
      <c r="BL146">
        <v>0.15970500000000001</v>
      </c>
      <c r="BM146">
        <v>0.14995700000000001</v>
      </c>
    </row>
    <row r="147" spans="1:65" x14ac:dyDescent="0.25">
      <c r="B147">
        <v>133</v>
      </c>
      <c r="C147" t="s">
        <v>595</v>
      </c>
      <c r="D147">
        <v>0.16763500000000001</v>
      </c>
      <c r="E147">
        <v>9.6846000000000002E-2</v>
      </c>
      <c r="H147">
        <v>0.14396300000000001</v>
      </c>
      <c r="J147">
        <v>0.17218800000000001</v>
      </c>
      <c r="K147">
        <v>0.14036299999999999</v>
      </c>
      <c r="L147">
        <v>0.111331</v>
      </c>
      <c r="M147">
        <v>0.163492</v>
      </c>
      <c r="N147">
        <v>0.13445299999999999</v>
      </c>
      <c r="O147">
        <v>0.13326499999999999</v>
      </c>
      <c r="Q147">
        <v>0.178591</v>
      </c>
      <c r="R147">
        <v>0.141291</v>
      </c>
      <c r="V147">
        <v>0.15301699999999999</v>
      </c>
      <c r="W147">
        <v>0.13541500000000001</v>
      </c>
      <c r="X147">
        <v>0.143147</v>
      </c>
      <c r="Y147">
        <v>0.18043699999999999</v>
      </c>
      <c r="Z147">
        <v>0.182777</v>
      </c>
      <c r="AA147">
        <v>0.21119399999999999</v>
      </c>
      <c r="AB147">
        <v>0.15224599999999999</v>
      </c>
      <c r="AF147">
        <f>'User Add-In Location'!E148</f>
        <v>0</v>
      </c>
      <c r="AI147">
        <v>0.197379</v>
      </c>
      <c r="AJ147">
        <v>0.18004000000000001</v>
      </c>
      <c r="AL147">
        <v>0.182086</v>
      </c>
      <c r="AM147">
        <v>0.122334</v>
      </c>
      <c r="AO147">
        <v>0.16523099999999999</v>
      </c>
      <c r="AQ147">
        <v>0.13004399999999999</v>
      </c>
      <c r="AR147">
        <v>0.176672</v>
      </c>
      <c r="AS147">
        <v>0.11441800000000001</v>
      </c>
      <c r="AT147">
        <v>9.3910999999999994E-2</v>
      </c>
      <c r="AW147">
        <v>0.15285799999999999</v>
      </c>
      <c r="AX147" s="176">
        <v>0.22578500000000001</v>
      </c>
      <c r="BA147">
        <v>0.159742</v>
      </c>
      <c r="BB147">
        <v>0.153697</v>
      </c>
      <c r="BD147">
        <v>0.17381199999999999</v>
      </c>
      <c r="BF147">
        <v>0.15659300000000001</v>
      </c>
      <c r="BG147">
        <v>0.14227200000000001</v>
      </c>
      <c r="BH147">
        <v>0.172926</v>
      </c>
      <c r="BI147">
        <v>0.190799</v>
      </c>
      <c r="BJ147">
        <v>0.17860999999999999</v>
      </c>
      <c r="BK147">
        <v>0.14279700000000001</v>
      </c>
      <c r="BL147">
        <v>0.18731500000000001</v>
      </c>
      <c r="BM147">
        <v>0.18462000000000001</v>
      </c>
    </row>
    <row r="148" spans="1:65" x14ac:dyDescent="0.25">
      <c r="B148">
        <v>134</v>
      </c>
      <c r="C148" t="s">
        <v>417</v>
      </c>
      <c r="D148">
        <v>0.121374</v>
      </c>
      <c r="E148">
        <v>0.106223</v>
      </c>
      <c r="H148">
        <v>0.15326200000000001</v>
      </c>
      <c r="J148">
        <v>0.14965300000000001</v>
      </c>
      <c r="K148">
        <v>0.10451299999999999</v>
      </c>
      <c r="L148">
        <v>0.11734700000000001</v>
      </c>
      <c r="M148">
        <v>0.13492000000000001</v>
      </c>
      <c r="N148">
        <v>0.113317</v>
      </c>
      <c r="O148">
        <v>0.110443</v>
      </c>
      <c r="Q148">
        <v>0.15344099999999999</v>
      </c>
      <c r="R148">
        <v>0.13545399999999999</v>
      </c>
      <c r="V148">
        <v>0.119926</v>
      </c>
      <c r="W148">
        <v>0.121867</v>
      </c>
      <c r="X148">
        <v>0.12700500000000001</v>
      </c>
      <c r="Y148">
        <v>0.14357500000000001</v>
      </c>
      <c r="Z148">
        <v>0.13525300000000001</v>
      </c>
      <c r="AA148">
        <v>0.16550699999999999</v>
      </c>
      <c r="AB148">
        <v>0.122156</v>
      </c>
      <c r="AF148">
        <f>'User Add-In Location'!E149</f>
        <v>0</v>
      </c>
      <c r="AI148">
        <v>0.14918100000000001</v>
      </c>
      <c r="AJ148">
        <v>0.13472400000000001</v>
      </c>
      <c r="AL148">
        <v>0.14638599999999999</v>
      </c>
      <c r="AM148">
        <v>0.123449</v>
      </c>
      <c r="AO148">
        <v>0.120838</v>
      </c>
      <c r="AQ148">
        <v>0.13111600000000001</v>
      </c>
      <c r="AR148">
        <v>0.159853</v>
      </c>
      <c r="AS148">
        <v>8.9641999999999999E-2</v>
      </c>
      <c r="AT148">
        <v>9.1725000000000001E-2</v>
      </c>
      <c r="AW148">
        <v>0.160048</v>
      </c>
      <c r="AX148" s="176">
        <v>0.24737100000000001</v>
      </c>
      <c r="BA148">
        <v>0.137847</v>
      </c>
      <c r="BB148">
        <v>0.12994700000000001</v>
      </c>
      <c r="BD148">
        <v>0.14017099999999999</v>
      </c>
      <c r="BF148">
        <v>0.161188</v>
      </c>
      <c r="BG148">
        <v>0.15077099999999999</v>
      </c>
      <c r="BH148">
        <v>0.15033299999999999</v>
      </c>
      <c r="BI148">
        <v>0.15879499999999999</v>
      </c>
      <c r="BJ148">
        <v>0.14157400000000001</v>
      </c>
      <c r="BK148">
        <v>0.14000499999999999</v>
      </c>
      <c r="BL148">
        <v>0.15099299999999999</v>
      </c>
      <c r="BM148">
        <v>0.15013299999999999</v>
      </c>
    </row>
    <row r="149" spans="1:65" x14ac:dyDescent="0.25">
      <c r="B149">
        <v>135</v>
      </c>
      <c r="C149" t="s">
        <v>418</v>
      </c>
      <c r="D149">
        <v>0.132966</v>
      </c>
      <c r="E149">
        <v>0.10000199999999999</v>
      </c>
      <c r="H149">
        <v>0.120606</v>
      </c>
      <c r="J149">
        <v>0.1163</v>
      </c>
      <c r="K149">
        <v>0.118921</v>
      </c>
      <c r="L149">
        <v>0.116342</v>
      </c>
      <c r="M149">
        <v>0.13202800000000001</v>
      </c>
      <c r="N149">
        <v>0.122887</v>
      </c>
      <c r="O149">
        <v>9.8563999999999999E-2</v>
      </c>
      <c r="Q149">
        <v>0.13582</v>
      </c>
      <c r="R149">
        <v>0.12606999999999999</v>
      </c>
      <c r="V149">
        <v>0.114771</v>
      </c>
      <c r="W149">
        <v>0.121574</v>
      </c>
      <c r="X149">
        <v>0.12601899999999999</v>
      </c>
      <c r="Y149">
        <v>0.14263899999999999</v>
      </c>
      <c r="Z149">
        <v>0.13628199999999999</v>
      </c>
      <c r="AA149">
        <v>0.151085</v>
      </c>
      <c r="AB149">
        <v>0.104476</v>
      </c>
      <c r="AF149">
        <f>'User Add-In Location'!E150</f>
        <v>0</v>
      </c>
      <c r="AI149">
        <v>0.120725</v>
      </c>
      <c r="AJ149">
        <v>0.129825</v>
      </c>
      <c r="AL149">
        <v>0.12145400000000001</v>
      </c>
      <c r="AM149">
        <v>0.118076</v>
      </c>
      <c r="AO149">
        <v>0.13169600000000001</v>
      </c>
      <c r="AQ149">
        <v>0.14268</v>
      </c>
      <c r="AR149">
        <v>0.14879200000000001</v>
      </c>
      <c r="AS149">
        <v>9.4468999999999997E-2</v>
      </c>
      <c r="AT149">
        <v>9.6086000000000005E-2</v>
      </c>
      <c r="AW149">
        <v>0.14088000000000001</v>
      </c>
      <c r="AX149" s="176">
        <v>0.18908900000000001</v>
      </c>
      <c r="BA149">
        <v>0.13258200000000001</v>
      </c>
      <c r="BB149">
        <v>8.2235000000000003E-2</v>
      </c>
      <c r="BD149">
        <v>0.14080699999999999</v>
      </c>
      <c r="BF149">
        <v>0.140402</v>
      </c>
      <c r="BG149">
        <v>0.11858299999999999</v>
      </c>
      <c r="BH149">
        <v>0.137377</v>
      </c>
      <c r="BI149">
        <v>0.144784</v>
      </c>
      <c r="BJ149">
        <v>0.128001</v>
      </c>
      <c r="BK149">
        <v>0.135545</v>
      </c>
      <c r="BL149">
        <v>0.14468900000000001</v>
      </c>
      <c r="BM149">
        <v>0.128381</v>
      </c>
    </row>
    <row r="150" spans="1:65" x14ac:dyDescent="0.25">
      <c r="B150">
        <v>136</v>
      </c>
      <c r="C150" t="s">
        <v>596</v>
      </c>
      <c r="D150">
        <v>9.3810000000000004E-2</v>
      </c>
      <c r="E150">
        <v>0.116852</v>
      </c>
      <c r="H150">
        <v>0.14283699999999999</v>
      </c>
      <c r="J150">
        <v>0.131052</v>
      </c>
      <c r="K150">
        <v>0.14021400000000001</v>
      </c>
      <c r="L150">
        <v>0.202047</v>
      </c>
      <c r="M150">
        <v>0.13136600000000001</v>
      </c>
      <c r="N150">
        <v>0.128992</v>
      </c>
      <c r="O150">
        <v>8.1500000000000003E-2</v>
      </c>
      <c r="Q150">
        <v>0.158412</v>
      </c>
      <c r="R150">
        <v>0.138625</v>
      </c>
      <c r="V150">
        <v>0.14192299999999999</v>
      </c>
      <c r="W150">
        <v>0.13281999999999999</v>
      </c>
      <c r="X150">
        <v>0.139124</v>
      </c>
      <c r="Y150">
        <v>0.149121</v>
      </c>
      <c r="Z150">
        <v>0.13733000000000001</v>
      </c>
      <c r="AA150">
        <v>0.16400200000000001</v>
      </c>
      <c r="AB150">
        <v>0.13881599999999999</v>
      </c>
      <c r="AF150">
        <f>'User Add-In Location'!E151</f>
        <v>0</v>
      </c>
      <c r="AI150">
        <v>0.127496</v>
      </c>
      <c r="AJ150">
        <v>0.131914</v>
      </c>
      <c r="AL150">
        <v>0.125889</v>
      </c>
      <c r="AM150">
        <v>0.137851</v>
      </c>
      <c r="AO150">
        <v>0.13553100000000001</v>
      </c>
      <c r="AQ150">
        <v>0.14269399999999999</v>
      </c>
      <c r="AR150">
        <v>0.169243</v>
      </c>
      <c r="AS150">
        <v>0.114686</v>
      </c>
      <c r="AT150">
        <v>0.118238</v>
      </c>
      <c r="AW150">
        <v>0.16295399999999999</v>
      </c>
      <c r="AX150" s="176">
        <v>0.209899</v>
      </c>
      <c r="BA150">
        <v>0.15496299999999999</v>
      </c>
      <c r="BB150">
        <v>0.12547</v>
      </c>
      <c r="BD150">
        <v>0.13795299999999999</v>
      </c>
      <c r="BF150">
        <v>0.15935199999999999</v>
      </c>
      <c r="BG150">
        <v>0.142958</v>
      </c>
      <c r="BH150">
        <v>0.15018500000000001</v>
      </c>
      <c r="BI150">
        <v>0.15648799999999999</v>
      </c>
      <c r="BJ150">
        <v>0.13266</v>
      </c>
      <c r="BK150">
        <v>0.152591</v>
      </c>
      <c r="BL150">
        <v>0.15068599999999999</v>
      </c>
      <c r="BM150">
        <v>0.13734499999999999</v>
      </c>
    </row>
    <row r="151" spans="1:65" x14ac:dyDescent="0.25">
      <c r="B151">
        <v>137</v>
      </c>
      <c r="C151" t="s">
        <v>597</v>
      </c>
      <c r="D151">
        <v>8.1008999999999998E-2</v>
      </c>
      <c r="E151">
        <v>0.17779600000000001</v>
      </c>
      <c r="H151">
        <v>0.233768</v>
      </c>
      <c r="J151">
        <v>0.21965599999999999</v>
      </c>
      <c r="K151">
        <v>0.24137800000000001</v>
      </c>
      <c r="L151">
        <v>0.283912</v>
      </c>
      <c r="M151">
        <v>0.199629</v>
      </c>
      <c r="N151">
        <v>0.25057200000000002</v>
      </c>
      <c r="O151">
        <v>0.17357400000000001</v>
      </c>
      <c r="Q151">
        <v>0.26144299999999998</v>
      </c>
      <c r="R151">
        <v>0.20647399999999999</v>
      </c>
      <c r="V151">
        <v>0.23249300000000001</v>
      </c>
      <c r="W151">
        <v>0.25144699999999998</v>
      </c>
      <c r="X151">
        <v>0.21537200000000001</v>
      </c>
      <c r="Y151">
        <v>0.235155</v>
      </c>
      <c r="Z151">
        <v>0.236515</v>
      </c>
      <c r="AA151">
        <v>0.153613</v>
      </c>
      <c r="AB151">
        <v>0.204127</v>
      </c>
      <c r="AF151">
        <f>'User Add-In Location'!E152</f>
        <v>0</v>
      </c>
      <c r="AI151">
        <v>0.117025</v>
      </c>
      <c r="AJ151">
        <v>0.20029</v>
      </c>
      <c r="AL151">
        <v>0.225601</v>
      </c>
      <c r="AM151">
        <v>0.239401</v>
      </c>
      <c r="AO151">
        <v>0.219528</v>
      </c>
      <c r="AQ151">
        <v>0.226051</v>
      </c>
      <c r="AR151">
        <v>0.284858</v>
      </c>
      <c r="AS151">
        <v>0.19846</v>
      </c>
      <c r="AT151">
        <v>0.203262</v>
      </c>
      <c r="AW151">
        <v>0.250056</v>
      </c>
      <c r="AX151" s="176">
        <v>0.33530199999999999</v>
      </c>
      <c r="BA151">
        <v>0.182341</v>
      </c>
      <c r="BB151">
        <v>0.214305</v>
      </c>
      <c r="BD151">
        <v>0.263874</v>
      </c>
      <c r="BF151">
        <v>0.241369</v>
      </c>
      <c r="BG151">
        <v>0.235595</v>
      </c>
      <c r="BH151">
        <v>0.23551800000000001</v>
      </c>
      <c r="BI151">
        <v>0.249033</v>
      </c>
      <c r="BJ151">
        <v>0.22323799999999999</v>
      </c>
      <c r="BK151">
        <v>0.22078999999999999</v>
      </c>
      <c r="BL151">
        <v>0.24105399999999999</v>
      </c>
      <c r="BM151">
        <v>0.23615800000000001</v>
      </c>
    </row>
    <row r="152" spans="1:65" x14ac:dyDescent="0.25">
      <c r="B152">
        <v>138</v>
      </c>
      <c r="C152" t="s">
        <v>598</v>
      </c>
      <c r="D152">
        <v>9.0716000000000005E-2</v>
      </c>
      <c r="E152">
        <v>8.6293999999999996E-2</v>
      </c>
      <c r="H152">
        <v>0.108642</v>
      </c>
      <c r="J152">
        <v>0.103797</v>
      </c>
      <c r="K152">
        <v>8.2775000000000001E-2</v>
      </c>
      <c r="L152">
        <v>0.11999899999999999</v>
      </c>
      <c r="M152">
        <v>0.12768199999999999</v>
      </c>
      <c r="N152">
        <v>0.112347</v>
      </c>
      <c r="O152">
        <v>8.1181000000000003E-2</v>
      </c>
      <c r="Q152">
        <v>0.12725700000000001</v>
      </c>
      <c r="R152">
        <v>0.107325</v>
      </c>
      <c r="V152">
        <v>0.112373</v>
      </c>
      <c r="W152">
        <v>0.104715</v>
      </c>
      <c r="X152">
        <v>0.105736</v>
      </c>
      <c r="Y152">
        <v>0.121545</v>
      </c>
      <c r="Z152">
        <v>0.121173</v>
      </c>
      <c r="AA152">
        <v>0.134968</v>
      </c>
      <c r="AB152">
        <v>9.9641999999999994E-2</v>
      </c>
      <c r="AF152">
        <f>'User Add-In Location'!E153</f>
        <v>0</v>
      </c>
      <c r="AI152">
        <v>0.106124</v>
      </c>
      <c r="AJ152">
        <v>0.11439100000000001</v>
      </c>
      <c r="AL152">
        <v>0.105033</v>
      </c>
      <c r="AM152">
        <v>0.104606</v>
      </c>
      <c r="AO152">
        <v>0.11454499999999999</v>
      </c>
      <c r="AQ152">
        <v>0.11119900000000001</v>
      </c>
      <c r="AR152">
        <v>0.12163499999999999</v>
      </c>
      <c r="AS152">
        <v>9.3475000000000003E-2</v>
      </c>
      <c r="AT152">
        <v>9.0678999999999996E-2</v>
      </c>
      <c r="AW152">
        <v>0.1336</v>
      </c>
      <c r="AX152" s="176">
        <v>0.17442299999999999</v>
      </c>
      <c r="BA152">
        <v>0.117838</v>
      </c>
      <c r="BB152">
        <v>8.9754E-2</v>
      </c>
      <c r="BD152">
        <v>0.113979</v>
      </c>
      <c r="BF152">
        <v>0.13514799999999999</v>
      </c>
      <c r="BG152">
        <v>0.10867499999999999</v>
      </c>
      <c r="BH152">
        <v>0.12024</v>
      </c>
      <c r="BI152">
        <v>0.124435</v>
      </c>
      <c r="BJ152">
        <v>0.11018799999999999</v>
      </c>
      <c r="BK152">
        <v>0.122873</v>
      </c>
      <c r="BL152">
        <v>0.123821</v>
      </c>
      <c r="BM152">
        <v>0.11162999999999999</v>
      </c>
    </row>
    <row r="153" spans="1:65" x14ac:dyDescent="0.25">
      <c r="B153">
        <v>139</v>
      </c>
      <c r="C153" t="s">
        <v>599</v>
      </c>
      <c r="D153">
        <v>0.12969600000000001</v>
      </c>
      <c r="E153">
        <v>0.107656</v>
      </c>
      <c r="H153">
        <v>0.13300899999999999</v>
      </c>
      <c r="J153">
        <v>0.147005</v>
      </c>
      <c r="K153">
        <v>0.112139</v>
      </c>
      <c r="L153">
        <v>0.116287</v>
      </c>
      <c r="M153">
        <v>0.13098599999999999</v>
      </c>
      <c r="N153">
        <v>0.131878</v>
      </c>
      <c r="O153">
        <v>8.7123999999999993E-2</v>
      </c>
      <c r="Q153">
        <v>0.146228</v>
      </c>
      <c r="R153">
        <v>0.127221</v>
      </c>
      <c r="V153">
        <v>0.134681</v>
      </c>
      <c r="W153">
        <v>0.14214499999999999</v>
      </c>
      <c r="X153">
        <v>0.12922500000000001</v>
      </c>
      <c r="Y153">
        <v>0.15249399999999999</v>
      </c>
      <c r="Z153">
        <v>0.12851499999999999</v>
      </c>
      <c r="AA153">
        <v>0.16300400000000001</v>
      </c>
      <c r="AB153">
        <v>0.123667</v>
      </c>
      <c r="AF153">
        <f>'User Add-In Location'!E154</f>
        <v>0</v>
      </c>
      <c r="AI153">
        <v>0.16855200000000001</v>
      </c>
      <c r="AJ153">
        <v>0.13416600000000001</v>
      </c>
      <c r="AL153">
        <v>0.128439</v>
      </c>
      <c r="AM153">
        <v>0.13670599999999999</v>
      </c>
      <c r="AO153">
        <v>0.120601</v>
      </c>
      <c r="AQ153">
        <v>0.139039</v>
      </c>
      <c r="AR153">
        <v>0.149254</v>
      </c>
      <c r="AS153">
        <v>0.101136</v>
      </c>
      <c r="AT153">
        <v>9.9539000000000002E-2</v>
      </c>
      <c r="AW153">
        <v>0.159583</v>
      </c>
      <c r="AX153" s="176">
        <v>0.22004699999999999</v>
      </c>
      <c r="BA153">
        <v>0.128025</v>
      </c>
      <c r="BB153">
        <v>0.11573799999999999</v>
      </c>
      <c r="BD153">
        <v>0.135604</v>
      </c>
      <c r="BF153">
        <v>0.15749199999999999</v>
      </c>
      <c r="BG153">
        <v>0.13419</v>
      </c>
      <c r="BH153">
        <v>0.14994199999999999</v>
      </c>
      <c r="BI153">
        <v>0.14947199999999999</v>
      </c>
      <c r="BJ153">
        <v>0.13459399999999999</v>
      </c>
      <c r="BK153">
        <v>0.14486599999999999</v>
      </c>
      <c r="BL153">
        <v>0.16267400000000001</v>
      </c>
      <c r="BM153">
        <v>0.140706</v>
      </c>
    </row>
    <row r="154" spans="1:65" x14ac:dyDescent="0.25">
      <c r="B154">
        <v>140</v>
      </c>
      <c r="C154" t="s">
        <v>423</v>
      </c>
      <c r="D154">
        <v>0.110331</v>
      </c>
      <c r="E154">
        <v>0.119614</v>
      </c>
      <c r="H154">
        <v>0.167295</v>
      </c>
      <c r="J154">
        <v>0.108433</v>
      </c>
      <c r="K154">
        <v>4.6498999999999999E-2</v>
      </c>
      <c r="L154">
        <v>0.133493</v>
      </c>
      <c r="M154">
        <v>0.203018</v>
      </c>
      <c r="N154">
        <v>0.13286999999999999</v>
      </c>
      <c r="O154">
        <v>0.13005900000000001</v>
      </c>
      <c r="Q154">
        <v>0.15220600000000001</v>
      </c>
      <c r="R154">
        <v>0.11798699999999999</v>
      </c>
      <c r="V154">
        <v>0.13350600000000001</v>
      </c>
      <c r="W154">
        <v>0.12832099999999999</v>
      </c>
      <c r="X154">
        <v>0.148428</v>
      </c>
      <c r="Y154">
        <v>0.14544199999999999</v>
      </c>
      <c r="Z154">
        <v>0.16370000000000001</v>
      </c>
      <c r="AA154">
        <v>0.173957</v>
      </c>
      <c r="AB154">
        <v>0.12299300000000001</v>
      </c>
      <c r="AF154">
        <f>'User Add-In Location'!E155</f>
        <v>0</v>
      </c>
      <c r="AI154">
        <v>0.120966</v>
      </c>
      <c r="AJ154">
        <v>0.17138999999999999</v>
      </c>
      <c r="AL154">
        <v>8.5343000000000002E-2</v>
      </c>
      <c r="AM154">
        <v>0.105948</v>
      </c>
      <c r="AO154">
        <v>0.116081</v>
      </c>
      <c r="AQ154">
        <v>0.16205800000000001</v>
      </c>
      <c r="AR154">
        <v>0.190299</v>
      </c>
      <c r="AS154">
        <v>0.128607</v>
      </c>
      <c r="AT154">
        <v>0.130248</v>
      </c>
      <c r="AW154">
        <v>0.1893</v>
      </c>
      <c r="AX154" s="176">
        <v>0.23938000000000001</v>
      </c>
      <c r="BA154">
        <v>0.16279199999999999</v>
      </c>
      <c r="BB154">
        <v>0.137846</v>
      </c>
      <c r="BD154">
        <v>0.143427</v>
      </c>
      <c r="BF154">
        <v>0.193301</v>
      </c>
      <c r="BG154">
        <v>0.167853</v>
      </c>
      <c r="BH154">
        <v>0.12756300000000001</v>
      </c>
      <c r="BI154">
        <v>0.13419500000000001</v>
      </c>
      <c r="BJ154">
        <v>0.10555200000000001</v>
      </c>
      <c r="BK154">
        <v>0.15239</v>
      </c>
      <c r="BL154">
        <v>0.14799599999999999</v>
      </c>
      <c r="BM154">
        <v>0.10185</v>
      </c>
    </row>
    <row r="155" spans="1:65" x14ac:dyDescent="0.25">
      <c r="B155">
        <v>141</v>
      </c>
      <c r="C155" t="s">
        <v>600</v>
      </c>
      <c r="D155">
        <v>0.126863</v>
      </c>
      <c r="E155">
        <v>9.9923999999999999E-2</v>
      </c>
      <c r="H155">
        <v>0.101476</v>
      </c>
      <c r="J155">
        <v>0.108013</v>
      </c>
      <c r="K155">
        <v>7.9659999999999995E-2</v>
      </c>
      <c r="L155">
        <v>9.0418999999999999E-2</v>
      </c>
      <c r="M155">
        <v>0.131327</v>
      </c>
      <c r="N155">
        <v>0.114617</v>
      </c>
      <c r="O155">
        <v>9.6887000000000001E-2</v>
      </c>
      <c r="Q155">
        <v>0.113915</v>
      </c>
      <c r="R155">
        <v>9.8923999999999998E-2</v>
      </c>
      <c r="V155">
        <v>0.116304</v>
      </c>
      <c r="W155">
        <v>0.112787</v>
      </c>
      <c r="X155">
        <v>0.111177</v>
      </c>
      <c r="Y155">
        <v>0.113733</v>
      </c>
      <c r="Z155">
        <v>0.129551</v>
      </c>
      <c r="AA155">
        <v>0.13425599999999999</v>
      </c>
      <c r="AB155">
        <v>0.10681</v>
      </c>
      <c r="AF155">
        <f>'User Add-In Location'!E156</f>
        <v>0</v>
      </c>
      <c r="AI155">
        <v>0.10582</v>
      </c>
      <c r="AJ155">
        <v>0.110836</v>
      </c>
      <c r="AL155">
        <v>9.7193000000000002E-2</v>
      </c>
      <c r="AM155">
        <v>9.4021999999999994E-2</v>
      </c>
      <c r="AO155">
        <v>0.12302399999999999</v>
      </c>
      <c r="AQ155">
        <v>0.12045699999999999</v>
      </c>
      <c r="AR155">
        <v>0.13180500000000001</v>
      </c>
      <c r="AS155">
        <v>9.2567999999999998E-2</v>
      </c>
      <c r="AT155">
        <v>8.9577000000000004E-2</v>
      </c>
      <c r="AW155">
        <v>0.121617</v>
      </c>
      <c r="AX155" s="176">
        <v>0.16475899999999999</v>
      </c>
      <c r="BA155">
        <v>0.103089</v>
      </c>
      <c r="BB155">
        <v>7.9092999999999997E-2</v>
      </c>
      <c r="BD155">
        <v>0.122942</v>
      </c>
      <c r="BF155">
        <v>0.12914900000000001</v>
      </c>
      <c r="BG155">
        <v>0.10197199999999999</v>
      </c>
      <c r="BH155">
        <v>0.113778</v>
      </c>
      <c r="BI155">
        <v>0.1216</v>
      </c>
      <c r="BJ155">
        <v>0.104752</v>
      </c>
      <c r="BK155">
        <v>0.11462700000000001</v>
      </c>
      <c r="BL155">
        <v>0.117509</v>
      </c>
      <c r="BM155">
        <v>0.10491300000000001</v>
      </c>
    </row>
    <row r="156" spans="1:65" x14ac:dyDescent="0.25">
      <c r="B156">
        <v>142</v>
      </c>
      <c r="C156" t="s">
        <v>601</v>
      </c>
      <c r="D156">
        <v>0.20371300000000001</v>
      </c>
      <c r="E156">
        <v>9.5825999999999995E-2</v>
      </c>
      <c r="H156">
        <v>0.10956299999999999</v>
      </c>
      <c r="J156">
        <v>0.108857</v>
      </c>
      <c r="K156">
        <v>0.112106</v>
      </c>
      <c r="L156">
        <v>9.2771999999999993E-2</v>
      </c>
      <c r="M156">
        <v>0.117163</v>
      </c>
      <c r="N156">
        <v>0.13050800000000001</v>
      </c>
      <c r="O156">
        <v>6.6042000000000003E-2</v>
      </c>
      <c r="Q156">
        <v>0.122762</v>
      </c>
      <c r="R156">
        <v>0.115633</v>
      </c>
      <c r="V156">
        <v>0.11740399999999999</v>
      </c>
      <c r="W156">
        <v>0.103146</v>
      </c>
      <c r="X156">
        <v>0.107901</v>
      </c>
      <c r="Y156">
        <v>0.11217199999999999</v>
      </c>
      <c r="Z156">
        <v>0.13264599999999999</v>
      </c>
      <c r="AA156">
        <v>0.15169299999999999</v>
      </c>
      <c r="AB156">
        <v>0.11419700000000001</v>
      </c>
      <c r="AF156">
        <f>'User Add-In Location'!E157</f>
        <v>0</v>
      </c>
      <c r="AI156">
        <v>0.10531500000000001</v>
      </c>
      <c r="AJ156">
        <v>0.120533</v>
      </c>
      <c r="AL156">
        <v>9.0185000000000001E-2</v>
      </c>
      <c r="AM156">
        <v>0.114243</v>
      </c>
      <c r="AO156">
        <v>0.12567200000000001</v>
      </c>
      <c r="AQ156">
        <v>0.12347</v>
      </c>
      <c r="AR156">
        <v>0.134742</v>
      </c>
      <c r="AS156">
        <v>8.6470000000000005E-2</v>
      </c>
      <c r="AT156">
        <v>9.5005000000000006E-2</v>
      </c>
      <c r="AW156">
        <v>0.14543500000000001</v>
      </c>
      <c r="AX156" s="176">
        <v>0.177125</v>
      </c>
      <c r="BA156">
        <v>0.13214300000000001</v>
      </c>
      <c r="BB156">
        <v>8.9911000000000005E-2</v>
      </c>
      <c r="BD156">
        <v>0.13576099999999999</v>
      </c>
      <c r="BF156">
        <v>0.140323</v>
      </c>
      <c r="BG156">
        <v>0.109984</v>
      </c>
      <c r="BH156">
        <v>0.120852</v>
      </c>
      <c r="BI156">
        <v>0.126133</v>
      </c>
      <c r="BJ156">
        <v>0.1021</v>
      </c>
      <c r="BK156">
        <v>0.13669100000000001</v>
      </c>
      <c r="BL156">
        <v>0.116826</v>
      </c>
      <c r="BM156">
        <v>9.9836999999999995E-2</v>
      </c>
    </row>
    <row r="157" spans="1:65" x14ac:dyDescent="0.25">
      <c r="B157">
        <v>143</v>
      </c>
      <c r="C157" t="s">
        <v>602</v>
      </c>
      <c r="D157">
        <v>0.1336</v>
      </c>
      <c r="E157">
        <v>4.0049999999999999E-3</v>
      </c>
      <c r="H157">
        <v>2.2842999999999999E-2</v>
      </c>
      <c r="J157">
        <v>2.7310999999999998E-2</v>
      </c>
      <c r="K157">
        <v>3.0969999999999999E-3</v>
      </c>
      <c r="L157">
        <v>2.4740000000000001E-3</v>
      </c>
      <c r="M157">
        <v>1.9039E-2</v>
      </c>
      <c r="N157">
        <v>6.548E-3</v>
      </c>
      <c r="O157">
        <v>9.4059999999999994E-3</v>
      </c>
      <c r="Q157">
        <v>6.9560000000000004E-3</v>
      </c>
      <c r="R157">
        <v>1.3656E-2</v>
      </c>
      <c r="V157">
        <v>2.0837000000000001E-2</v>
      </c>
      <c r="W157">
        <v>1.8026E-2</v>
      </c>
      <c r="X157">
        <v>3.7009999999999999E-3</v>
      </c>
      <c r="Y157">
        <v>4.6129999999999999E-3</v>
      </c>
      <c r="Z157">
        <v>1.4827E-2</v>
      </c>
      <c r="AA157">
        <v>2.7498000000000002E-2</v>
      </c>
      <c r="AB157">
        <v>1.4449999999999999E-2</v>
      </c>
      <c r="AF157">
        <f>'User Add-In Location'!E158</f>
        <v>0</v>
      </c>
      <c r="AI157">
        <v>1.1620999999999999E-2</v>
      </c>
      <c r="AJ157">
        <v>1.3492000000000001E-2</v>
      </c>
      <c r="AL157">
        <v>1.5298000000000001E-2</v>
      </c>
      <c r="AM157">
        <v>8.5030000000000001E-3</v>
      </c>
      <c r="AO157">
        <v>1.2520999999999999E-2</v>
      </c>
      <c r="AQ157">
        <v>2.3623999999999999E-2</v>
      </c>
      <c r="AR157">
        <v>2.5461000000000001E-2</v>
      </c>
      <c r="AS157">
        <v>4.6940000000000003E-3</v>
      </c>
      <c r="AT157">
        <v>1.0517E-2</v>
      </c>
      <c r="AW157">
        <v>2.0996999999999998E-2</v>
      </c>
      <c r="AX157" s="176">
        <v>2.7439000000000002E-2</v>
      </c>
      <c r="BA157">
        <v>1.8964000000000002E-2</v>
      </c>
      <c r="BB157">
        <v>2.5919000000000001E-2</v>
      </c>
      <c r="BD157">
        <v>1.9632E-2</v>
      </c>
      <c r="BF157">
        <v>2.1425E-2</v>
      </c>
      <c r="BG157">
        <v>2.4542000000000001E-2</v>
      </c>
      <c r="BH157">
        <v>1.3585E-2</v>
      </c>
      <c r="BI157">
        <v>1.7801999999999998E-2</v>
      </c>
      <c r="BJ157">
        <v>1.2452E-2</v>
      </c>
      <c r="BK157">
        <v>1.3157E-2</v>
      </c>
      <c r="BL157">
        <v>7.6439999999999998E-3</v>
      </c>
      <c r="BM157">
        <v>1.4716999999999999E-2</v>
      </c>
    </row>
    <row r="158" spans="1:65" x14ac:dyDescent="0.25">
      <c r="B158">
        <v>144</v>
      </c>
    </row>
    <row r="159" spans="1:65" x14ac:dyDescent="0.25">
      <c r="A159" t="s">
        <v>720</v>
      </c>
      <c r="B159">
        <v>145</v>
      </c>
      <c r="D159" s="174" t="s">
        <v>532</v>
      </c>
      <c r="E159" s="174" t="s">
        <v>680</v>
      </c>
      <c r="F159" s="174" t="s">
        <v>681</v>
      </c>
      <c r="G159" s="174" t="s">
        <v>682</v>
      </c>
      <c r="H159" s="174" t="s">
        <v>533</v>
      </c>
      <c r="I159" s="174" t="s">
        <v>683</v>
      </c>
      <c r="J159" s="174" t="s">
        <v>534</v>
      </c>
      <c r="K159" s="174" t="s">
        <v>535</v>
      </c>
      <c r="L159" s="174" t="s">
        <v>684</v>
      </c>
      <c r="M159" s="174" t="s">
        <v>536</v>
      </c>
      <c r="N159" s="174" t="s">
        <v>537</v>
      </c>
      <c r="O159" s="174" t="s">
        <v>538</v>
      </c>
      <c r="P159" s="174" t="s">
        <v>685</v>
      </c>
      <c r="Q159" s="174" t="s">
        <v>539</v>
      </c>
      <c r="R159" s="174" t="s">
        <v>540</v>
      </c>
      <c r="S159" s="174" t="s">
        <v>686</v>
      </c>
      <c r="T159" s="174" t="s">
        <v>687</v>
      </c>
      <c r="U159" s="174" t="s">
        <v>688</v>
      </c>
      <c r="V159" s="174" t="s">
        <v>541</v>
      </c>
      <c r="W159" s="174" t="s">
        <v>542</v>
      </c>
      <c r="X159" s="174" t="s">
        <v>543</v>
      </c>
      <c r="Y159" s="174" t="s">
        <v>544</v>
      </c>
      <c r="Z159" s="174" t="s">
        <v>545</v>
      </c>
      <c r="AA159" s="174" t="s">
        <v>546</v>
      </c>
      <c r="AB159" s="174" t="s">
        <v>549</v>
      </c>
      <c r="AC159" s="174" t="s">
        <v>689</v>
      </c>
      <c r="AD159" s="174" t="s">
        <v>690</v>
      </c>
      <c r="AE159" s="175" t="s">
        <v>691</v>
      </c>
      <c r="AF159" s="175" t="s">
        <v>1064</v>
      </c>
      <c r="AG159" s="174" t="s">
        <v>692</v>
      </c>
      <c r="AH159" s="174" t="s">
        <v>693</v>
      </c>
      <c r="AI159" s="174" t="s">
        <v>550</v>
      </c>
      <c r="AJ159" s="174" t="s">
        <v>551</v>
      </c>
      <c r="AK159" s="174" t="s">
        <v>694</v>
      </c>
      <c r="AL159" s="174" t="s">
        <v>695</v>
      </c>
      <c r="AM159" s="174" t="s">
        <v>553</v>
      </c>
      <c r="AN159" s="174" t="s">
        <v>696</v>
      </c>
      <c r="AO159" s="174" t="s">
        <v>554</v>
      </c>
      <c r="AP159" s="174" t="s">
        <v>697</v>
      </c>
      <c r="AQ159" s="174" t="s">
        <v>555</v>
      </c>
      <c r="AR159" s="174" t="s">
        <v>556</v>
      </c>
      <c r="AS159" s="174" t="s">
        <v>557</v>
      </c>
      <c r="AT159" s="174" t="s">
        <v>558</v>
      </c>
      <c r="AU159" s="174" t="s">
        <v>698</v>
      </c>
      <c r="AV159" s="174" t="s">
        <v>699</v>
      </c>
      <c r="AW159" s="174" t="s">
        <v>559</v>
      </c>
      <c r="AX159" s="174" t="s">
        <v>530</v>
      </c>
      <c r="AY159" s="174" t="s">
        <v>700</v>
      </c>
      <c r="AZ159" s="174" t="s">
        <v>701</v>
      </c>
      <c r="BA159" s="174" t="s">
        <v>560</v>
      </c>
      <c r="BB159" s="174" t="s">
        <v>561</v>
      </c>
      <c r="BC159" s="174" t="s">
        <v>702</v>
      </c>
      <c r="BD159" s="174" t="s">
        <v>562</v>
      </c>
      <c r="BE159" s="174" t="s">
        <v>703</v>
      </c>
      <c r="BF159" t="s">
        <v>704</v>
      </c>
      <c r="BG159" t="s">
        <v>705</v>
      </c>
      <c r="BH159" t="s">
        <v>706</v>
      </c>
      <c r="BI159" t="s">
        <v>707</v>
      </c>
      <c r="BJ159" t="s">
        <v>708</v>
      </c>
      <c r="BK159" t="s">
        <v>709</v>
      </c>
      <c r="BL159" t="s">
        <v>710</v>
      </c>
      <c r="BM159" t="s">
        <v>711</v>
      </c>
    </row>
    <row r="160" spans="1:65" x14ac:dyDescent="0.25">
      <c r="B160">
        <v>146</v>
      </c>
      <c r="C160" t="s">
        <v>400</v>
      </c>
      <c r="D160">
        <v>9.4741000000000006E-2</v>
      </c>
      <c r="E160">
        <v>8.5832000000000006E-2</v>
      </c>
      <c r="H160">
        <v>0.133932</v>
      </c>
      <c r="J160">
        <v>0.12095599999999999</v>
      </c>
      <c r="K160">
        <v>0.13347000000000001</v>
      </c>
      <c r="L160">
        <v>0.15267900000000001</v>
      </c>
      <c r="M160">
        <v>0.12559799999999999</v>
      </c>
      <c r="N160">
        <v>0.110406</v>
      </c>
      <c r="O160">
        <v>0.115122</v>
      </c>
      <c r="Q160">
        <v>0.12634200000000001</v>
      </c>
      <c r="R160">
        <v>0.103979</v>
      </c>
      <c r="V160">
        <v>0.102655</v>
      </c>
      <c r="W160">
        <v>0.159579</v>
      </c>
      <c r="X160">
        <v>8.7049000000000001E-2</v>
      </c>
      <c r="Y160">
        <v>0.19228899999999999</v>
      </c>
      <c r="Z160">
        <v>9.4770999999999994E-2</v>
      </c>
      <c r="AA160">
        <v>0.12564400000000001</v>
      </c>
      <c r="AB160">
        <v>0.103866</v>
      </c>
      <c r="AF160">
        <f>'User Add-In Location'!E161</f>
        <v>0</v>
      </c>
      <c r="AI160">
        <v>0.173758</v>
      </c>
      <c r="AJ160">
        <v>0.13739199999999999</v>
      </c>
      <c r="AL160">
        <v>8.9793999999999999E-2</v>
      </c>
      <c r="AM160">
        <v>9.7857E-2</v>
      </c>
      <c r="AO160">
        <v>9.5187999999999995E-2</v>
      </c>
      <c r="AQ160">
        <v>0.14000299999999999</v>
      </c>
      <c r="AR160">
        <v>0.13319800000000001</v>
      </c>
      <c r="AS160">
        <v>0.15481400000000001</v>
      </c>
      <c r="AT160">
        <v>5.3020999999999999E-2</v>
      </c>
      <c r="AW160">
        <v>9.7372E-2</v>
      </c>
      <c r="AX160" s="176">
        <v>0.23195499999999999</v>
      </c>
      <c r="BA160">
        <v>8.1244999999999998E-2</v>
      </c>
      <c r="BB160">
        <v>0.121113</v>
      </c>
      <c r="BD160">
        <v>8.7720000000000006E-2</v>
      </c>
      <c r="BF160">
        <v>0.12689700000000001</v>
      </c>
      <c r="BG160">
        <v>0.13598099999999999</v>
      </c>
      <c r="BH160">
        <v>0.128049</v>
      </c>
      <c r="BI160">
        <v>0.117425</v>
      </c>
      <c r="BJ160">
        <v>0.113612</v>
      </c>
      <c r="BK160">
        <v>0.114562</v>
      </c>
      <c r="BL160">
        <v>0.194881</v>
      </c>
      <c r="BM160">
        <v>0.116179</v>
      </c>
    </row>
    <row r="161" spans="2:65" x14ac:dyDescent="0.25">
      <c r="B161">
        <v>147</v>
      </c>
      <c r="C161" t="s">
        <v>583</v>
      </c>
      <c r="D161">
        <v>5.1775000000000002E-2</v>
      </c>
      <c r="E161">
        <v>7.7806E-2</v>
      </c>
      <c r="H161">
        <v>8.9235999999999996E-2</v>
      </c>
      <c r="J161">
        <v>0.122151</v>
      </c>
      <c r="K161">
        <v>6.3812999999999995E-2</v>
      </c>
      <c r="L161">
        <v>0.110265</v>
      </c>
      <c r="M161">
        <v>8.8409000000000001E-2</v>
      </c>
      <c r="N161">
        <v>0.102368</v>
      </c>
      <c r="O161">
        <v>5.1409000000000003E-2</v>
      </c>
      <c r="Q161">
        <v>0.13111200000000001</v>
      </c>
      <c r="R161">
        <v>8.1130999999999995E-2</v>
      </c>
      <c r="V161">
        <v>0.10730099999999999</v>
      </c>
      <c r="W161">
        <v>7.2399000000000005E-2</v>
      </c>
      <c r="X161">
        <v>7.6012999999999997E-2</v>
      </c>
      <c r="Y161">
        <v>0.134602</v>
      </c>
      <c r="Z161">
        <v>0.10101</v>
      </c>
      <c r="AA161">
        <v>0.178012</v>
      </c>
      <c r="AB161">
        <v>7.1938000000000002E-2</v>
      </c>
      <c r="AF161">
        <f>'User Add-In Location'!E162</f>
        <v>0</v>
      </c>
      <c r="AI161">
        <v>0.122571</v>
      </c>
      <c r="AJ161">
        <v>0.26947500000000002</v>
      </c>
      <c r="AL161">
        <v>0.41848099999999999</v>
      </c>
      <c r="AM161">
        <v>5.9423999999999998E-2</v>
      </c>
      <c r="AO161">
        <v>4.3893000000000001E-2</v>
      </c>
      <c r="AQ161">
        <v>8.4947999999999996E-2</v>
      </c>
      <c r="AR161">
        <v>0.107256</v>
      </c>
      <c r="AS161">
        <v>6.9738999999999995E-2</v>
      </c>
      <c r="AT161">
        <v>4.1404000000000003E-2</v>
      </c>
      <c r="AW161">
        <v>0.14028499999999999</v>
      </c>
      <c r="AX161" s="176">
        <v>0.24527399999999999</v>
      </c>
      <c r="BA161">
        <v>0.108866</v>
      </c>
      <c r="BB161">
        <v>5.2936999999999998E-2</v>
      </c>
      <c r="BD161">
        <v>7.9811999999999994E-2</v>
      </c>
      <c r="BF161">
        <v>0.14443400000000001</v>
      </c>
      <c r="BG161">
        <v>8.8681999999999997E-2</v>
      </c>
      <c r="BH161">
        <v>0.204626</v>
      </c>
      <c r="BI161">
        <v>0.109488</v>
      </c>
      <c r="BJ161">
        <v>0.33838200000000002</v>
      </c>
      <c r="BK161">
        <v>0.103828</v>
      </c>
      <c r="BL161">
        <v>0.141487</v>
      </c>
      <c r="BM161">
        <v>0.33666699999999999</v>
      </c>
    </row>
    <row r="162" spans="2:65" x14ac:dyDescent="0.25">
      <c r="B162">
        <v>148</v>
      </c>
      <c r="C162" t="s">
        <v>403</v>
      </c>
      <c r="D162">
        <v>5.8893000000000001E-2</v>
      </c>
      <c r="E162">
        <v>4.1585999999999998E-2</v>
      </c>
      <c r="H162">
        <v>7.0777999999999994E-2</v>
      </c>
      <c r="J162">
        <v>0</v>
      </c>
      <c r="K162">
        <v>0</v>
      </c>
      <c r="L162">
        <v>0</v>
      </c>
      <c r="M162">
        <v>5.4429999999999999E-2</v>
      </c>
      <c r="N162">
        <v>0</v>
      </c>
      <c r="O162">
        <v>0</v>
      </c>
      <c r="Q162">
        <v>0.102962</v>
      </c>
      <c r="R162">
        <v>8.4103999999999998E-2</v>
      </c>
      <c r="V162">
        <v>5.5281999999999998E-2</v>
      </c>
      <c r="W162">
        <v>0</v>
      </c>
      <c r="X162">
        <v>6.5321000000000004E-2</v>
      </c>
      <c r="Y162">
        <v>0</v>
      </c>
      <c r="Z162">
        <v>0</v>
      </c>
      <c r="AA162">
        <v>0</v>
      </c>
      <c r="AB162">
        <v>5.0380000000000001E-2</v>
      </c>
      <c r="AF162">
        <f>'User Add-In Location'!E163</f>
        <v>0</v>
      </c>
      <c r="AI162">
        <v>0</v>
      </c>
      <c r="AJ162">
        <v>0</v>
      </c>
      <c r="AL162">
        <v>0</v>
      </c>
      <c r="AM162">
        <v>0</v>
      </c>
      <c r="AO162">
        <v>0.176126</v>
      </c>
      <c r="AQ162">
        <v>0</v>
      </c>
      <c r="AR162">
        <v>9.3019000000000004E-2</v>
      </c>
      <c r="AS162">
        <v>0</v>
      </c>
      <c r="AT162">
        <v>0</v>
      </c>
      <c r="AW162">
        <v>8.0074000000000006E-2</v>
      </c>
      <c r="AX162" s="176">
        <v>0.17685699999999999</v>
      </c>
      <c r="BA162">
        <v>7.1373000000000006E-2</v>
      </c>
      <c r="BB162">
        <v>0.117397</v>
      </c>
      <c r="BD162">
        <v>0</v>
      </c>
      <c r="BF162">
        <v>8.1578999999999999E-2</v>
      </c>
      <c r="BG162">
        <v>0.13276499999999999</v>
      </c>
      <c r="BH162">
        <v>8.4517999999999996E-2</v>
      </c>
      <c r="BI162">
        <v>0.103531</v>
      </c>
      <c r="BJ162">
        <v>7.7478000000000005E-2</v>
      </c>
      <c r="BK162">
        <v>7.5982999999999995E-2</v>
      </c>
      <c r="BL162">
        <v>0</v>
      </c>
      <c r="BM162">
        <v>0</v>
      </c>
    </row>
    <row r="163" spans="2:65" x14ac:dyDescent="0.25">
      <c r="B163">
        <v>149</v>
      </c>
      <c r="C163" t="s">
        <v>584</v>
      </c>
      <c r="D163">
        <v>5.3316000000000002E-2</v>
      </c>
      <c r="E163">
        <v>5.9597999999999998E-2</v>
      </c>
      <c r="H163">
        <v>8.6217000000000002E-2</v>
      </c>
      <c r="J163">
        <v>6.0391E-2</v>
      </c>
      <c r="K163">
        <v>7.3312000000000002E-2</v>
      </c>
      <c r="L163">
        <v>0.101547</v>
      </c>
      <c r="M163">
        <v>7.0669999999999997E-2</v>
      </c>
      <c r="N163">
        <v>8.7070999999999996E-2</v>
      </c>
      <c r="O163">
        <v>6.1504999999999997E-2</v>
      </c>
      <c r="Q163">
        <v>0.112835</v>
      </c>
      <c r="R163">
        <v>8.4723000000000007E-2</v>
      </c>
      <c r="V163">
        <v>9.1452000000000006E-2</v>
      </c>
      <c r="W163">
        <v>7.8040999999999999E-2</v>
      </c>
      <c r="X163">
        <v>6.8460999999999994E-2</v>
      </c>
      <c r="Y163">
        <v>0.10377</v>
      </c>
      <c r="Z163">
        <v>7.1150000000000005E-2</v>
      </c>
      <c r="AA163">
        <v>0.10963299999999999</v>
      </c>
      <c r="AB163">
        <v>6.5754999999999994E-2</v>
      </c>
      <c r="AF163">
        <f>'User Add-In Location'!E164</f>
        <v>0</v>
      </c>
      <c r="AI163">
        <v>0.11536299999999999</v>
      </c>
      <c r="AJ163">
        <v>0.221578</v>
      </c>
      <c r="AL163">
        <v>0.13541300000000001</v>
      </c>
      <c r="AM163">
        <v>7.9663999999999999E-2</v>
      </c>
      <c r="AO163">
        <v>7.9584000000000002E-2</v>
      </c>
      <c r="AQ163">
        <v>9.9197999999999995E-2</v>
      </c>
      <c r="AR163">
        <v>8.7316000000000005E-2</v>
      </c>
      <c r="AS163">
        <v>7.0594000000000004E-2</v>
      </c>
      <c r="AT163">
        <v>5.1714999999999997E-2</v>
      </c>
      <c r="AW163">
        <v>0.12564500000000001</v>
      </c>
      <c r="AX163" s="176">
        <v>0.21301899999999999</v>
      </c>
      <c r="BA163">
        <v>7.6754000000000003E-2</v>
      </c>
      <c r="BB163">
        <v>0.10827199999999999</v>
      </c>
      <c r="BD163">
        <v>5.9739E-2</v>
      </c>
      <c r="BF163">
        <v>0.12532299999999999</v>
      </c>
      <c r="BG163">
        <v>9.6090999999999996E-2</v>
      </c>
      <c r="BH163">
        <v>0.121949</v>
      </c>
      <c r="BI163">
        <v>9.9554000000000004E-2</v>
      </c>
      <c r="BJ163">
        <v>0.151952</v>
      </c>
      <c r="BK163">
        <v>9.3440999999999996E-2</v>
      </c>
      <c r="BL163">
        <v>0.11643199999999999</v>
      </c>
      <c r="BM163">
        <v>0.12904599999999999</v>
      </c>
    </row>
    <row r="164" spans="2:65" x14ac:dyDescent="0.25">
      <c r="B164">
        <v>150</v>
      </c>
      <c r="C164" t="s">
        <v>585</v>
      </c>
      <c r="D164">
        <v>7.2914999999999994E-2</v>
      </c>
      <c r="E164">
        <v>0</v>
      </c>
      <c r="H164">
        <v>0</v>
      </c>
      <c r="J164">
        <v>0</v>
      </c>
      <c r="K164">
        <v>0</v>
      </c>
      <c r="L164">
        <v>0</v>
      </c>
      <c r="M164">
        <v>5.9643000000000002E-2</v>
      </c>
      <c r="N164">
        <v>0</v>
      </c>
      <c r="O164">
        <v>0</v>
      </c>
      <c r="Q164">
        <v>0</v>
      </c>
      <c r="R164">
        <v>0</v>
      </c>
      <c r="V164">
        <v>0</v>
      </c>
      <c r="W164">
        <v>0</v>
      </c>
      <c r="X164">
        <v>0</v>
      </c>
      <c r="Y164">
        <v>0</v>
      </c>
      <c r="Z164">
        <v>0</v>
      </c>
      <c r="AA164">
        <v>6.2653E-2</v>
      </c>
      <c r="AB164">
        <v>0</v>
      </c>
      <c r="AF164">
        <f>'User Add-In Location'!E165</f>
        <v>0</v>
      </c>
      <c r="AI164">
        <v>0</v>
      </c>
      <c r="AJ164">
        <v>0.18898599999999999</v>
      </c>
      <c r="AL164">
        <v>0</v>
      </c>
      <c r="AM164">
        <v>0</v>
      </c>
      <c r="AO164">
        <v>0</v>
      </c>
      <c r="AQ164">
        <v>0</v>
      </c>
      <c r="AR164">
        <v>0</v>
      </c>
      <c r="AS164">
        <v>0</v>
      </c>
      <c r="AT164">
        <v>0</v>
      </c>
      <c r="AW164">
        <v>8.7522000000000003E-2</v>
      </c>
      <c r="AX164" s="176">
        <v>0.18662699999999999</v>
      </c>
      <c r="BA164">
        <v>0</v>
      </c>
      <c r="BB164">
        <v>0</v>
      </c>
      <c r="BD164">
        <v>0</v>
      </c>
      <c r="BF164">
        <v>8.4932999999999995E-2</v>
      </c>
      <c r="BG164">
        <v>0</v>
      </c>
      <c r="BH164">
        <v>0.188996</v>
      </c>
      <c r="BI164">
        <v>5.3676000000000001E-2</v>
      </c>
      <c r="BJ164">
        <v>0.17627999999999999</v>
      </c>
      <c r="BK164">
        <v>0</v>
      </c>
      <c r="BL164">
        <v>0</v>
      </c>
      <c r="BM164">
        <v>0</v>
      </c>
    </row>
    <row r="165" spans="2:65" x14ac:dyDescent="0.25">
      <c r="B165">
        <v>151</v>
      </c>
      <c r="C165" t="s">
        <v>586</v>
      </c>
      <c r="D165">
        <v>2.8154999999999999E-2</v>
      </c>
      <c r="E165">
        <v>5.2844000000000002E-2</v>
      </c>
      <c r="H165">
        <v>6.5472000000000002E-2</v>
      </c>
      <c r="J165">
        <v>5.0408000000000001E-2</v>
      </c>
      <c r="K165">
        <v>4.6699999999999998E-2</v>
      </c>
      <c r="L165">
        <v>2.6407E-2</v>
      </c>
      <c r="M165">
        <v>5.2342E-2</v>
      </c>
      <c r="N165">
        <v>7.1902999999999995E-2</v>
      </c>
      <c r="O165">
        <v>4.0594999999999999E-2</v>
      </c>
      <c r="Q165">
        <v>7.8992999999999994E-2</v>
      </c>
      <c r="R165">
        <v>4.7278000000000001E-2</v>
      </c>
      <c r="V165">
        <v>5.1853999999999997E-2</v>
      </c>
      <c r="W165">
        <v>4.0680000000000001E-2</v>
      </c>
      <c r="X165">
        <v>6.7392999999999995E-2</v>
      </c>
      <c r="Y165">
        <v>7.3162000000000005E-2</v>
      </c>
      <c r="Z165">
        <v>7.0913000000000004E-2</v>
      </c>
      <c r="AA165">
        <v>8.5049E-2</v>
      </c>
      <c r="AB165">
        <v>4.2819000000000003E-2</v>
      </c>
      <c r="AF165">
        <f>'User Add-In Location'!E166</f>
        <v>0</v>
      </c>
      <c r="AI165">
        <v>5.6271000000000002E-2</v>
      </c>
      <c r="AJ165">
        <v>6.8678000000000003E-2</v>
      </c>
      <c r="AL165">
        <v>6.8712999999999996E-2</v>
      </c>
      <c r="AM165">
        <v>5.0861999999999997E-2</v>
      </c>
      <c r="AO165">
        <v>5.2663000000000001E-2</v>
      </c>
      <c r="AQ165">
        <v>6.0915999999999998E-2</v>
      </c>
      <c r="AR165">
        <v>8.8002999999999998E-2</v>
      </c>
      <c r="AS165">
        <v>2.6263000000000002E-2</v>
      </c>
      <c r="AT165">
        <v>3.8018000000000003E-2</v>
      </c>
      <c r="AW165">
        <v>7.6697000000000001E-2</v>
      </c>
      <c r="AX165" s="176">
        <v>0.17205599999999999</v>
      </c>
      <c r="BA165">
        <v>6.0814E-2</v>
      </c>
      <c r="BB165">
        <v>5.0555999999999997E-2</v>
      </c>
      <c r="BD165">
        <v>6.0298999999999998E-2</v>
      </c>
      <c r="BF165">
        <v>7.5534000000000004E-2</v>
      </c>
      <c r="BG165">
        <v>6.4776E-2</v>
      </c>
      <c r="BH165">
        <v>7.4962000000000001E-2</v>
      </c>
      <c r="BI165">
        <v>7.9131000000000007E-2</v>
      </c>
      <c r="BJ165">
        <v>7.6289999999999997E-2</v>
      </c>
      <c r="BK165">
        <v>6.5378000000000006E-2</v>
      </c>
      <c r="BL165">
        <v>7.5444999999999998E-2</v>
      </c>
      <c r="BM165">
        <v>7.0055000000000006E-2</v>
      </c>
    </row>
    <row r="166" spans="2:65" x14ac:dyDescent="0.25">
      <c r="B166">
        <v>152</v>
      </c>
      <c r="C166" t="s">
        <v>587</v>
      </c>
      <c r="D166">
        <v>0.12589500000000001</v>
      </c>
      <c r="E166">
        <v>3.5000999999999997E-2</v>
      </c>
      <c r="H166">
        <v>3.8502000000000002E-2</v>
      </c>
      <c r="J166">
        <v>2.6405000000000001E-2</v>
      </c>
      <c r="K166">
        <v>2.9510000000000002E-2</v>
      </c>
      <c r="L166">
        <v>2.1146000000000002E-2</v>
      </c>
      <c r="M166">
        <v>3.0318999999999999E-2</v>
      </c>
      <c r="N166">
        <v>3.0003999999999999E-2</v>
      </c>
      <c r="O166">
        <v>2.4961000000000001E-2</v>
      </c>
      <c r="Q166">
        <v>4.6453000000000001E-2</v>
      </c>
      <c r="R166">
        <v>2.7432999999999999E-2</v>
      </c>
      <c r="V166">
        <v>2.1222999999999999E-2</v>
      </c>
      <c r="W166">
        <v>2.7907999999999999E-2</v>
      </c>
      <c r="X166">
        <v>3.9793000000000002E-2</v>
      </c>
      <c r="Y166">
        <v>4.7024000000000003E-2</v>
      </c>
      <c r="Z166">
        <v>4.1468999999999999E-2</v>
      </c>
      <c r="AA166">
        <v>4.7620999999999997E-2</v>
      </c>
      <c r="AB166">
        <v>1.9324999999999998E-2</v>
      </c>
      <c r="AF166">
        <f>'User Add-In Location'!E167</f>
        <v>0</v>
      </c>
      <c r="AI166">
        <v>3.2112000000000002E-2</v>
      </c>
      <c r="AJ166">
        <v>3.8148000000000001E-2</v>
      </c>
      <c r="AL166">
        <v>3.6124999999999997E-2</v>
      </c>
      <c r="AM166">
        <v>2.8154999999999999E-2</v>
      </c>
      <c r="AO166">
        <v>2.5853000000000001E-2</v>
      </c>
      <c r="AQ166">
        <v>3.6396999999999999E-2</v>
      </c>
      <c r="AR166">
        <v>3.8538000000000003E-2</v>
      </c>
      <c r="AS166">
        <v>1.9723999999999998E-2</v>
      </c>
      <c r="AT166">
        <v>1.6808E-2</v>
      </c>
      <c r="AW166">
        <v>4.1689999999999998E-2</v>
      </c>
      <c r="AX166" s="176">
        <v>0.15376400000000001</v>
      </c>
      <c r="BA166">
        <v>3.2117E-2</v>
      </c>
      <c r="BB166">
        <v>1.9081999999999998E-2</v>
      </c>
      <c r="BD166">
        <v>3.8106000000000001E-2</v>
      </c>
      <c r="BF166">
        <v>3.8456999999999998E-2</v>
      </c>
      <c r="BG166">
        <v>3.2662999999999998E-2</v>
      </c>
      <c r="BH166">
        <v>3.9584000000000001E-2</v>
      </c>
      <c r="BI166">
        <v>4.1669999999999999E-2</v>
      </c>
      <c r="BJ166">
        <v>4.1028000000000002E-2</v>
      </c>
      <c r="BK166">
        <v>3.2564999999999997E-2</v>
      </c>
      <c r="BL166">
        <v>4.4086E-2</v>
      </c>
      <c r="BM166">
        <v>3.8307000000000001E-2</v>
      </c>
    </row>
    <row r="167" spans="2:65" x14ac:dyDescent="0.25">
      <c r="B167">
        <v>153</v>
      </c>
      <c r="C167" t="s">
        <v>588</v>
      </c>
      <c r="D167">
        <v>7.8781000000000004E-2</v>
      </c>
      <c r="E167">
        <v>1.5289000000000001E-2</v>
      </c>
      <c r="H167">
        <v>8.5736000000000007E-2</v>
      </c>
      <c r="J167">
        <v>0.17038600000000001</v>
      </c>
      <c r="K167">
        <v>8.1365999999999994E-2</v>
      </c>
      <c r="L167">
        <v>3.8522000000000001E-2</v>
      </c>
      <c r="M167">
        <v>8.2015000000000005E-2</v>
      </c>
      <c r="N167">
        <v>9.4612000000000002E-2</v>
      </c>
      <c r="O167">
        <v>6.8217E-2</v>
      </c>
      <c r="Q167">
        <v>0.105818</v>
      </c>
      <c r="R167">
        <v>8.4122000000000002E-2</v>
      </c>
      <c r="V167">
        <v>0.100096</v>
      </c>
      <c r="W167">
        <v>6.9643999999999998E-2</v>
      </c>
      <c r="X167">
        <v>8.4111000000000005E-2</v>
      </c>
      <c r="Y167">
        <v>0.10417800000000001</v>
      </c>
      <c r="Z167">
        <v>0.107864</v>
      </c>
      <c r="AA167">
        <v>0.151225</v>
      </c>
      <c r="AB167">
        <v>6.8015000000000006E-2</v>
      </c>
      <c r="AF167">
        <f>'User Add-In Location'!E168</f>
        <v>0</v>
      </c>
      <c r="AI167">
        <v>7.8589999999999993E-2</v>
      </c>
      <c r="AJ167">
        <v>9.2582999999999999E-2</v>
      </c>
      <c r="AL167">
        <v>0.10508099999999999</v>
      </c>
      <c r="AM167">
        <v>6.6084000000000004E-2</v>
      </c>
      <c r="AO167">
        <v>0.107086</v>
      </c>
      <c r="AQ167">
        <v>9.0934000000000001E-2</v>
      </c>
      <c r="AR167">
        <v>0.23583799999999999</v>
      </c>
      <c r="AS167">
        <v>5.1679000000000003E-2</v>
      </c>
      <c r="AT167">
        <v>5.1366000000000002E-2</v>
      </c>
      <c r="AW167">
        <v>0.29989900000000003</v>
      </c>
      <c r="AX167" s="176">
        <v>0.276451</v>
      </c>
      <c r="BA167">
        <v>8.0968999999999999E-2</v>
      </c>
      <c r="BB167">
        <v>5.1678000000000002E-2</v>
      </c>
      <c r="BD167">
        <v>9.2055999999999999E-2</v>
      </c>
      <c r="BF167">
        <v>0.26041999999999998</v>
      </c>
      <c r="BG167">
        <v>8.5352999999999998E-2</v>
      </c>
      <c r="BH167">
        <v>0.114193</v>
      </c>
      <c r="BI167">
        <v>0.15989999999999999</v>
      </c>
      <c r="BJ167">
        <v>0.103737</v>
      </c>
      <c r="BK167">
        <v>9.2391000000000001E-2</v>
      </c>
      <c r="BL167">
        <v>0.10940900000000001</v>
      </c>
      <c r="BM167">
        <v>0.12337099999999999</v>
      </c>
    </row>
    <row r="168" spans="2:65" x14ac:dyDescent="0.25">
      <c r="B168">
        <v>154</v>
      </c>
      <c r="C168" t="s">
        <v>348</v>
      </c>
      <c r="D168">
        <v>0.109803</v>
      </c>
      <c r="E168">
        <v>0.14661399999999999</v>
      </c>
      <c r="H168">
        <v>0.14199300000000001</v>
      </c>
      <c r="J168">
        <v>0.16465299999999999</v>
      </c>
      <c r="K168">
        <v>0.113454</v>
      </c>
      <c r="L168">
        <v>6.0359000000000003E-2</v>
      </c>
      <c r="M168">
        <v>0.131407</v>
      </c>
      <c r="N168">
        <v>0.12501300000000001</v>
      </c>
      <c r="O168">
        <v>0.12231300000000001</v>
      </c>
      <c r="Q168">
        <v>0.174396</v>
      </c>
      <c r="R168">
        <v>0.13708799999999999</v>
      </c>
      <c r="V168">
        <v>0.133993</v>
      </c>
      <c r="W168">
        <v>0.149453</v>
      </c>
      <c r="X168">
        <v>0.13434299999999999</v>
      </c>
      <c r="Y168">
        <v>0.18579499999999999</v>
      </c>
      <c r="Z168">
        <v>0.149729</v>
      </c>
      <c r="AA168">
        <v>0.20960500000000001</v>
      </c>
      <c r="AB168">
        <v>0.101188</v>
      </c>
      <c r="AF168">
        <f>'User Add-In Location'!E169</f>
        <v>0</v>
      </c>
      <c r="AI168">
        <v>0.212335</v>
      </c>
      <c r="AJ168">
        <v>0.17274999999999999</v>
      </c>
      <c r="AL168">
        <v>0.13692299999999999</v>
      </c>
      <c r="AM168">
        <v>0.122102</v>
      </c>
      <c r="AO168">
        <v>0.136322</v>
      </c>
      <c r="AQ168">
        <v>0.16089100000000001</v>
      </c>
      <c r="AR168">
        <v>0.19083600000000001</v>
      </c>
      <c r="AS168">
        <v>0.112705</v>
      </c>
      <c r="AT168">
        <v>8.5337999999999997E-2</v>
      </c>
      <c r="AW168">
        <v>0.16820399999999999</v>
      </c>
      <c r="AX168" s="176">
        <v>0.29530200000000001</v>
      </c>
      <c r="BA168">
        <v>0.136462</v>
      </c>
      <c r="BB168">
        <v>0.11550199999999999</v>
      </c>
      <c r="BD168">
        <v>0.16023699999999999</v>
      </c>
      <c r="BF168">
        <v>0.16708500000000001</v>
      </c>
      <c r="BG168">
        <v>0.14296300000000001</v>
      </c>
      <c r="BH168">
        <v>0.16885900000000001</v>
      </c>
      <c r="BI168">
        <v>0.17707000000000001</v>
      </c>
      <c r="BJ168">
        <v>0.15873300000000001</v>
      </c>
      <c r="BK168">
        <v>0.144067</v>
      </c>
      <c r="BL168">
        <v>0.20250299999999999</v>
      </c>
      <c r="BM168">
        <v>0.158861</v>
      </c>
    </row>
    <row r="169" spans="2:65" x14ac:dyDescent="0.25">
      <c r="B169">
        <v>155</v>
      </c>
      <c r="C169" t="s">
        <v>589</v>
      </c>
      <c r="D169">
        <v>0.12386900000000001</v>
      </c>
      <c r="E169">
        <v>0.12662999999999999</v>
      </c>
      <c r="H169">
        <v>0.12696099999999999</v>
      </c>
      <c r="J169">
        <v>0.170123</v>
      </c>
      <c r="K169">
        <v>0.100007</v>
      </c>
      <c r="L169">
        <v>5.5282999999999999E-2</v>
      </c>
      <c r="M169">
        <v>0.114227</v>
      </c>
      <c r="N169">
        <v>0.110794</v>
      </c>
      <c r="O169">
        <v>0.108948</v>
      </c>
      <c r="Q169">
        <v>0.15576100000000001</v>
      </c>
      <c r="R169">
        <v>0.126691</v>
      </c>
      <c r="V169">
        <v>0.12904399999999999</v>
      </c>
      <c r="W169">
        <v>0.16609499999999999</v>
      </c>
      <c r="X169">
        <v>0.12622700000000001</v>
      </c>
      <c r="Y169">
        <v>0.185164</v>
      </c>
      <c r="Z169">
        <v>0.13320599999999999</v>
      </c>
      <c r="AA169">
        <v>0.182534</v>
      </c>
      <c r="AB169">
        <v>9.6190999999999999E-2</v>
      </c>
      <c r="AF169">
        <f>'User Add-In Location'!E170</f>
        <v>0</v>
      </c>
      <c r="AI169">
        <v>0.27170299999999997</v>
      </c>
      <c r="AJ169">
        <v>0.160991</v>
      </c>
      <c r="AL169">
        <v>0.124199</v>
      </c>
      <c r="AM169">
        <v>0.116809</v>
      </c>
      <c r="AO169">
        <v>0.132244</v>
      </c>
      <c r="AQ169">
        <v>0.15095900000000001</v>
      </c>
      <c r="AR169">
        <v>0.16748099999999999</v>
      </c>
      <c r="AS169">
        <v>0.105632</v>
      </c>
      <c r="AT169">
        <v>7.4233999999999994E-2</v>
      </c>
      <c r="AW169">
        <v>0.15528900000000001</v>
      </c>
      <c r="AX169" s="176">
        <v>0.268424</v>
      </c>
      <c r="BA169">
        <v>0.122991</v>
      </c>
      <c r="BB169">
        <v>0.10399</v>
      </c>
      <c r="BD169">
        <v>0.14255200000000001</v>
      </c>
      <c r="BF169">
        <v>0.15227499999999999</v>
      </c>
      <c r="BG169">
        <v>0.128444</v>
      </c>
      <c r="BH169">
        <v>0.15649299999999999</v>
      </c>
      <c r="BI169">
        <v>0.15909499999999999</v>
      </c>
      <c r="BJ169">
        <v>0.14546799999999999</v>
      </c>
      <c r="BK169">
        <v>0.130025</v>
      </c>
      <c r="BL169">
        <v>0.21007799999999999</v>
      </c>
      <c r="BM169">
        <v>0.149505</v>
      </c>
    </row>
    <row r="170" spans="2:65" x14ac:dyDescent="0.25">
      <c r="B170">
        <v>156</v>
      </c>
      <c r="C170" t="s">
        <v>590</v>
      </c>
      <c r="D170">
        <v>8.6604E-2</v>
      </c>
      <c r="E170">
        <v>0.136991</v>
      </c>
      <c r="H170">
        <v>0.12676999999999999</v>
      </c>
      <c r="J170">
        <v>0.15706500000000001</v>
      </c>
      <c r="K170">
        <v>9.7823999999999994E-2</v>
      </c>
      <c r="L170">
        <v>5.3575999999999999E-2</v>
      </c>
      <c r="M170">
        <v>0.111959</v>
      </c>
      <c r="N170">
        <v>0.1072</v>
      </c>
      <c r="O170">
        <v>0.10616399999999999</v>
      </c>
      <c r="Q170">
        <v>0.153949</v>
      </c>
      <c r="R170">
        <v>0.120722</v>
      </c>
      <c r="V170">
        <v>0.12045599999999999</v>
      </c>
      <c r="W170">
        <v>0.140816</v>
      </c>
      <c r="X170">
        <v>0.119492</v>
      </c>
      <c r="Y170">
        <v>0.17138100000000001</v>
      </c>
      <c r="Z170">
        <v>0.13106699999999999</v>
      </c>
      <c r="AA170">
        <v>0.18774399999999999</v>
      </c>
      <c r="AB170">
        <v>8.9774000000000007E-2</v>
      </c>
      <c r="AF170">
        <f>'User Add-In Location'!E171</f>
        <v>0</v>
      </c>
      <c r="AI170">
        <v>0.21637999999999999</v>
      </c>
      <c r="AJ170">
        <v>0.15454699999999999</v>
      </c>
      <c r="AL170">
        <v>0.122047</v>
      </c>
      <c r="AM170">
        <v>0.109031</v>
      </c>
      <c r="AO170">
        <v>0.122419</v>
      </c>
      <c r="AQ170">
        <v>0.143488</v>
      </c>
      <c r="AR170">
        <v>0.169321</v>
      </c>
      <c r="AS170">
        <v>0.10030600000000001</v>
      </c>
      <c r="AT170">
        <v>7.2552000000000005E-2</v>
      </c>
      <c r="AW170">
        <v>0.14997199999999999</v>
      </c>
      <c r="AX170" s="176">
        <v>0.27345199999999997</v>
      </c>
      <c r="BA170">
        <v>0.12016400000000001</v>
      </c>
      <c r="BB170">
        <v>0.102035</v>
      </c>
      <c r="BD170">
        <v>0.14245099999999999</v>
      </c>
      <c r="BF170">
        <v>0.14732200000000001</v>
      </c>
      <c r="BG170">
        <v>0.12748300000000001</v>
      </c>
      <c r="BH170">
        <v>0.15095700000000001</v>
      </c>
      <c r="BI170">
        <v>0.15709500000000001</v>
      </c>
      <c r="BJ170">
        <v>0.14147299999999999</v>
      </c>
      <c r="BK170">
        <v>0.12601499999999999</v>
      </c>
      <c r="BL170">
        <v>0.18970400000000001</v>
      </c>
      <c r="BM170">
        <v>0.143896</v>
      </c>
    </row>
    <row r="171" spans="2:65" x14ac:dyDescent="0.25">
      <c r="B171">
        <v>157</v>
      </c>
      <c r="C171" t="s">
        <v>591</v>
      </c>
      <c r="D171">
        <v>9.3689999999999996E-2</v>
      </c>
      <c r="E171">
        <v>5.8957000000000002E-2</v>
      </c>
      <c r="H171">
        <v>8.6948999999999999E-2</v>
      </c>
      <c r="J171">
        <v>0.10263700000000001</v>
      </c>
      <c r="K171">
        <v>6.0485999999999998E-2</v>
      </c>
      <c r="L171">
        <v>2.8551E-2</v>
      </c>
      <c r="M171">
        <v>8.1951999999999997E-2</v>
      </c>
      <c r="N171">
        <v>7.1892999999999999E-2</v>
      </c>
      <c r="O171">
        <v>5.2228999999999998E-2</v>
      </c>
      <c r="Q171">
        <v>0.102702</v>
      </c>
      <c r="R171">
        <v>7.2334999999999997E-2</v>
      </c>
      <c r="V171">
        <v>5.8805999999999997E-2</v>
      </c>
      <c r="W171">
        <v>8.0256999999999995E-2</v>
      </c>
      <c r="X171">
        <v>7.0455000000000004E-2</v>
      </c>
      <c r="Y171">
        <v>0.101309</v>
      </c>
      <c r="Z171">
        <v>8.3804000000000003E-2</v>
      </c>
      <c r="AA171">
        <v>0.12833700000000001</v>
      </c>
      <c r="AB171">
        <v>5.9185000000000001E-2</v>
      </c>
      <c r="AF171">
        <f>'User Add-In Location'!E172</f>
        <v>0</v>
      </c>
      <c r="AI171">
        <v>0.11348</v>
      </c>
      <c r="AJ171">
        <v>0.10482</v>
      </c>
      <c r="AL171">
        <v>7.9977999999999994E-2</v>
      </c>
      <c r="AM171">
        <v>6.2913999999999998E-2</v>
      </c>
      <c r="AO171">
        <v>7.3978000000000002E-2</v>
      </c>
      <c r="AQ171">
        <v>9.5235E-2</v>
      </c>
      <c r="AR171">
        <v>0.119393</v>
      </c>
      <c r="AS171">
        <v>6.2108999999999998E-2</v>
      </c>
      <c r="AT171">
        <v>4.5566000000000002E-2</v>
      </c>
      <c r="AW171">
        <v>9.3326000000000006E-2</v>
      </c>
      <c r="AX171" s="176">
        <v>0.20022300000000001</v>
      </c>
      <c r="BA171">
        <v>7.2977E-2</v>
      </c>
      <c r="BB171">
        <v>6.4360000000000001E-2</v>
      </c>
      <c r="BD171">
        <v>9.3028E-2</v>
      </c>
      <c r="BF171">
        <v>9.7128000000000006E-2</v>
      </c>
      <c r="BG171">
        <v>8.6563000000000001E-2</v>
      </c>
      <c r="BH171">
        <v>9.8159999999999997E-2</v>
      </c>
      <c r="BI171">
        <v>0.104147</v>
      </c>
      <c r="BJ171">
        <v>9.3085000000000001E-2</v>
      </c>
      <c r="BK171">
        <v>8.1518999999999994E-2</v>
      </c>
      <c r="BL171">
        <v>0.11226800000000001</v>
      </c>
      <c r="BM171">
        <v>9.4268000000000005E-2</v>
      </c>
    </row>
    <row r="172" spans="2:65" x14ac:dyDescent="0.25">
      <c r="B172">
        <v>158</v>
      </c>
      <c r="C172" t="s">
        <v>592</v>
      </c>
      <c r="D172">
        <v>5.9457000000000003E-2</v>
      </c>
      <c r="E172">
        <v>7.9046000000000005E-2</v>
      </c>
      <c r="H172">
        <v>9.0254000000000001E-2</v>
      </c>
      <c r="J172">
        <v>0.100323</v>
      </c>
      <c r="K172">
        <v>6.9400000000000003E-2</v>
      </c>
      <c r="L172">
        <v>2.0996000000000001E-2</v>
      </c>
      <c r="M172">
        <v>7.2969000000000006E-2</v>
      </c>
      <c r="N172">
        <v>6.8167000000000005E-2</v>
      </c>
      <c r="O172">
        <v>6.3828999999999997E-2</v>
      </c>
      <c r="Q172">
        <v>0.107851</v>
      </c>
      <c r="R172">
        <v>8.4501000000000007E-2</v>
      </c>
      <c r="V172">
        <v>7.4496999999999994E-2</v>
      </c>
      <c r="W172">
        <v>7.6869999999999994E-2</v>
      </c>
      <c r="X172">
        <v>6.7063999999999999E-2</v>
      </c>
      <c r="Y172">
        <v>0.108589</v>
      </c>
      <c r="Z172">
        <v>9.3284000000000006E-2</v>
      </c>
      <c r="AA172">
        <v>0.111747</v>
      </c>
      <c r="AB172">
        <v>5.8000000000000003E-2</v>
      </c>
      <c r="AF172">
        <f>'User Add-In Location'!E173</f>
        <v>0</v>
      </c>
      <c r="AI172">
        <v>0.10842400000000001</v>
      </c>
      <c r="AJ172">
        <v>0.108142</v>
      </c>
      <c r="AL172">
        <v>7.0531999999999997E-2</v>
      </c>
      <c r="AM172">
        <v>7.4027999999999997E-2</v>
      </c>
      <c r="AO172">
        <v>8.4431000000000006E-2</v>
      </c>
      <c r="AQ172">
        <v>9.0784000000000004E-2</v>
      </c>
      <c r="AR172">
        <v>0.123519</v>
      </c>
      <c r="AS172">
        <v>6.0766000000000001E-2</v>
      </c>
      <c r="AT172">
        <v>4.9588E-2</v>
      </c>
      <c r="AW172">
        <v>0.102438</v>
      </c>
      <c r="AX172" s="176">
        <v>0.20541200000000001</v>
      </c>
      <c r="BA172">
        <v>7.5963000000000003E-2</v>
      </c>
      <c r="BB172">
        <v>7.5915999999999997E-2</v>
      </c>
      <c r="BD172">
        <v>9.0721999999999997E-2</v>
      </c>
      <c r="BF172">
        <v>0.10230499999999999</v>
      </c>
      <c r="BG172">
        <v>9.1206999999999996E-2</v>
      </c>
      <c r="BH172">
        <v>0.100887</v>
      </c>
      <c r="BI172">
        <v>0.109532</v>
      </c>
      <c r="BJ172">
        <v>8.6739999999999998E-2</v>
      </c>
      <c r="BK172">
        <v>8.8317999999999994E-2</v>
      </c>
      <c r="BL172">
        <v>0.11643199999999999</v>
      </c>
      <c r="BM172">
        <v>8.9247999999999994E-2</v>
      </c>
    </row>
    <row r="173" spans="2:65" x14ac:dyDescent="0.25">
      <c r="B173">
        <v>159</v>
      </c>
      <c r="C173" t="s">
        <v>593</v>
      </c>
      <c r="D173">
        <v>5.1854999999999998E-2</v>
      </c>
      <c r="E173">
        <v>5.7110000000000001E-2</v>
      </c>
      <c r="H173">
        <v>8.6788000000000004E-2</v>
      </c>
      <c r="J173">
        <v>9.7561999999999996E-2</v>
      </c>
      <c r="K173">
        <v>7.5227000000000002E-2</v>
      </c>
      <c r="L173">
        <v>2.9434999999999999E-2</v>
      </c>
      <c r="M173">
        <v>8.1517999999999993E-2</v>
      </c>
      <c r="N173">
        <v>7.4173000000000003E-2</v>
      </c>
      <c r="O173">
        <v>7.4454999999999993E-2</v>
      </c>
      <c r="Q173">
        <v>0.10929999999999999</v>
      </c>
      <c r="R173">
        <v>7.8595999999999999E-2</v>
      </c>
      <c r="V173">
        <v>7.2794999999999999E-2</v>
      </c>
      <c r="W173">
        <v>7.4819999999999998E-2</v>
      </c>
      <c r="X173">
        <v>7.3837E-2</v>
      </c>
      <c r="Y173">
        <v>0.10871</v>
      </c>
      <c r="Z173">
        <v>9.7610000000000002E-2</v>
      </c>
      <c r="AA173">
        <v>0.112677</v>
      </c>
      <c r="AB173">
        <v>5.8146999999999997E-2</v>
      </c>
      <c r="AF173">
        <f>'User Add-In Location'!E174</f>
        <v>0</v>
      </c>
      <c r="AI173">
        <v>0.100995</v>
      </c>
      <c r="AJ173">
        <v>0.10655100000000001</v>
      </c>
      <c r="AL173">
        <v>6.8212999999999996E-2</v>
      </c>
      <c r="AM173">
        <v>7.4659000000000003E-2</v>
      </c>
      <c r="AO173">
        <v>8.2738999999999993E-2</v>
      </c>
      <c r="AQ173">
        <v>8.7650000000000006E-2</v>
      </c>
      <c r="AR173">
        <v>0.108713</v>
      </c>
      <c r="AS173">
        <v>6.5142000000000005E-2</v>
      </c>
      <c r="AT173">
        <v>5.0029999999999998E-2</v>
      </c>
      <c r="AW173">
        <v>0.102252</v>
      </c>
      <c r="AX173" s="176">
        <v>0.22590199999999999</v>
      </c>
      <c r="BA173">
        <v>8.2737000000000005E-2</v>
      </c>
      <c r="BB173">
        <v>6.9259000000000001E-2</v>
      </c>
      <c r="BD173">
        <v>7.9693E-2</v>
      </c>
      <c r="BF173">
        <v>0.102144</v>
      </c>
      <c r="BG173">
        <v>8.6710999999999996E-2</v>
      </c>
      <c r="BH173">
        <v>9.8149E-2</v>
      </c>
      <c r="BI173">
        <v>0.10224</v>
      </c>
      <c r="BJ173">
        <v>8.7823999999999999E-2</v>
      </c>
      <c r="BK173">
        <v>8.7396000000000001E-2</v>
      </c>
      <c r="BL173">
        <v>0.112024</v>
      </c>
      <c r="BM173">
        <v>8.4780999999999995E-2</v>
      </c>
    </row>
    <row r="174" spans="2:65" x14ac:dyDescent="0.25">
      <c r="B174">
        <v>160</v>
      </c>
      <c r="C174" t="s">
        <v>594</v>
      </c>
      <c r="D174">
        <v>6.0065E-2</v>
      </c>
      <c r="E174">
        <v>8.8218000000000005E-2</v>
      </c>
      <c r="H174">
        <v>0.106443</v>
      </c>
      <c r="J174">
        <v>0.104375</v>
      </c>
      <c r="K174">
        <v>7.1404999999999996E-2</v>
      </c>
      <c r="L174">
        <v>2.5158E-2</v>
      </c>
      <c r="M174">
        <v>9.1174000000000005E-2</v>
      </c>
      <c r="N174">
        <v>8.0236000000000002E-2</v>
      </c>
      <c r="O174">
        <v>7.9717999999999997E-2</v>
      </c>
      <c r="Q174">
        <v>0.11734899999999999</v>
      </c>
      <c r="R174">
        <v>7.4189000000000005E-2</v>
      </c>
      <c r="V174">
        <v>8.9673000000000003E-2</v>
      </c>
      <c r="W174">
        <v>0.101188</v>
      </c>
      <c r="X174">
        <v>9.4885999999999998E-2</v>
      </c>
      <c r="Y174">
        <v>0.11756800000000001</v>
      </c>
      <c r="Z174">
        <v>0.103793</v>
      </c>
      <c r="AA174">
        <v>0.15539800000000001</v>
      </c>
      <c r="AB174">
        <v>5.8958999999999998E-2</v>
      </c>
      <c r="AF174">
        <f>'User Add-In Location'!E175</f>
        <v>0</v>
      </c>
      <c r="AI174">
        <v>0.113509</v>
      </c>
      <c r="AJ174">
        <v>0.12009499999999999</v>
      </c>
      <c r="AL174">
        <v>9.1717000000000007E-2</v>
      </c>
      <c r="AM174">
        <v>7.578E-2</v>
      </c>
      <c r="AO174">
        <v>8.0795000000000006E-2</v>
      </c>
      <c r="AQ174">
        <v>0.104646</v>
      </c>
      <c r="AR174">
        <v>0.121049</v>
      </c>
      <c r="AS174">
        <v>6.2784999999999994E-2</v>
      </c>
      <c r="AT174">
        <v>5.2771999999999999E-2</v>
      </c>
      <c r="AW174">
        <v>0.11040800000000001</v>
      </c>
      <c r="AX174" s="176">
        <v>0.243451</v>
      </c>
      <c r="BA174">
        <v>9.4015000000000001E-2</v>
      </c>
      <c r="BB174">
        <v>8.3529000000000006E-2</v>
      </c>
      <c r="BD174">
        <v>0.12127400000000001</v>
      </c>
      <c r="BF174">
        <v>0.109514</v>
      </c>
      <c r="BG174">
        <v>0.10546899999999999</v>
      </c>
      <c r="BH174">
        <v>0.111863</v>
      </c>
      <c r="BI174">
        <v>0.11311400000000001</v>
      </c>
      <c r="BJ174">
        <v>0.10875799999999999</v>
      </c>
      <c r="BK174">
        <v>9.3492000000000006E-2</v>
      </c>
      <c r="BL174">
        <v>0.126524</v>
      </c>
      <c r="BM174">
        <v>0.104993</v>
      </c>
    </row>
    <row r="175" spans="2:65" x14ac:dyDescent="0.25">
      <c r="B175">
        <v>161</v>
      </c>
      <c r="C175" t="s">
        <v>415</v>
      </c>
      <c r="D175">
        <v>5.4919000000000003E-2</v>
      </c>
      <c r="E175">
        <v>6.6083000000000003E-2</v>
      </c>
      <c r="H175">
        <v>9.8521999999999998E-2</v>
      </c>
      <c r="J175">
        <v>0.104365</v>
      </c>
      <c r="K175">
        <v>7.0822999999999997E-2</v>
      </c>
      <c r="L175">
        <v>0</v>
      </c>
      <c r="M175">
        <v>7.7866000000000005E-2</v>
      </c>
      <c r="N175">
        <v>6.4656000000000005E-2</v>
      </c>
      <c r="O175">
        <v>0</v>
      </c>
      <c r="Q175">
        <v>0.11101999999999999</v>
      </c>
      <c r="R175">
        <v>7.4950000000000003E-2</v>
      </c>
      <c r="V175">
        <v>6.3649999999999998E-2</v>
      </c>
      <c r="W175">
        <v>8.3956000000000003E-2</v>
      </c>
      <c r="X175">
        <v>6.0795000000000002E-2</v>
      </c>
      <c r="Y175">
        <v>0.11415500000000001</v>
      </c>
      <c r="Z175">
        <v>8.2227999999999996E-2</v>
      </c>
      <c r="AA175">
        <v>0.120852</v>
      </c>
      <c r="AB175">
        <v>5.0867000000000002E-2</v>
      </c>
      <c r="AF175">
        <f>'User Add-In Location'!E176</f>
        <v>0</v>
      </c>
      <c r="AI175">
        <v>0.110794</v>
      </c>
      <c r="AJ175">
        <v>0.122943</v>
      </c>
      <c r="AL175">
        <v>8.4295999999999996E-2</v>
      </c>
      <c r="AM175">
        <v>6.6948999999999995E-2</v>
      </c>
      <c r="AO175">
        <v>8.0118999999999996E-2</v>
      </c>
      <c r="AQ175">
        <v>8.6906999999999998E-2</v>
      </c>
      <c r="AR175">
        <v>0.12246799999999999</v>
      </c>
      <c r="AS175">
        <v>8.2297999999999996E-2</v>
      </c>
      <c r="AT175">
        <v>5.4647000000000001E-2</v>
      </c>
      <c r="AW175">
        <v>9.5391000000000004E-2</v>
      </c>
      <c r="AX175" s="176">
        <v>0.200743</v>
      </c>
      <c r="BA175">
        <v>8.0920000000000006E-2</v>
      </c>
      <c r="BB175">
        <v>7.5008000000000005E-2</v>
      </c>
      <c r="BD175">
        <v>8.5301000000000002E-2</v>
      </c>
      <c r="BF175">
        <v>9.5256999999999994E-2</v>
      </c>
      <c r="BG175">
        <v>9.7763000000000003E-2</v>
      </c>
      <c r="BH175">
        <v>0.102117</v>
      </c>
      <c r="BI175">
        <v>0.104421</v>
      </c>
      <c r="BJ175">
        <v>9.2881000000000005E-2</v>
      </c>
      <c r="BK175">
        <v>8.8514999999999996E-2</v>
      </c>
      <c r="BL175">
        <v>0.119751</v>
      </c>
      <c r="BM175">
        <v>9.9072999999999994E-2</v>
      </c>
    </row>
    <row r="176" spans="2:65" x14ac:dyDescent="0.25">
      <c r="B176">
        <v>162</v>
      </c>
      <c r="C176" t="s">
        <v>595</v>
      </c>
      <c r="D176">
        <v>7.4149999999999994E-2</v>
      </c>
      <c r="E176">
        <v>9.3945000000000001E-2</v>
      </c>
      <c r="H176">
        <v>0.11756900000000001</v>
      </c>
      <c r="J176">
        <v>9.2815999999999996E-2</v>
      </c>
      <c r="K176">
        <v>9.2262999999999998E-2</v>
      </c>
      <c r="L176">
        <v>3.4120999999999999E-2</v>
      </c>
      <c r="M176">
        <v>0.110379</v>
      </c>
      <c r="N176">
        <v>9.3446000000000001E-2</v>
      </c>
      <c r="O176">
        <v>4.8841000000000002E-2</v>
      </c>
      <c r="Q176">
        <v>0.11458599999999999</v>
      </c>
      <c r="R176">
        <v>8.1850999999999993E-2</v>
      </c>
      <c r="V176">
        <v>8.2903000000000004E-2</v>
      </c>
      <c r="W176">
        <v>8.1679000000000002E-2</v>
      </c>
      <c r="X176">
        <v>8.9639999999999997E-2</v>
      </c>
      <c r="Y176">
        <v>0.12099</v>
      </c>
      <c r="Z176">
        <v>0.111718</v>
      </c>
      <c r="AA176">
        <v>0.149088</v>
      </c>
      <c r="AB176">
        <v>6.2E-2</v>
      </c>
      <c r="AF176">
        <f>'User Add-In Location'!E177</f>
        <v>0</v>
      </c>
      <c r="AI176">
        <v>0.124998</v>
      </c>
      <c r="AJ176">
        <v>0.113769</v>
      </c>
      <c r="AL176">
        <v>9.7864999999999994E-2</v>
      </c>
      <c r="AM176">
        <v>7.3825000000000002E-2</v>
      </c>
      <c r="AO176">
        <v>9.2605999999999994E-2</v>
      </c>
      <c r="AQ176">
        <v>0.101094</v>
      </c>
      <c r="AR176">
        <v>0.13015299999999999</v>
      </c>
      <c r="AS176">
        <v>8.0444000000000002E-2</v>
      </c>
      <c r="AT176">
        <v>5.4479E-2</v>
      </c>
      <c r="AW176">
        <v>0.112784</v>
      </c>
      <c r="AX176" s="176">
        <v>0.226714</v>
      </c>
      <c r="BA176">
        <v>9.9330000000000002E-2</v>
      </c>
      <c r="BB176">
        <v>7.0760000000000003E-2</v>
      </c>
      <c r="BD176">
        <v>9.9131999999999998E-2</v>
      </c>
      <c r="BF176">
        <v>0.12</v>
      </c>
      <c r="BG176">
        <v>0.108838</v>
      </c>
      <c r="BH176">
        <v>0.11695800000000001</v>
      </c>
      <c r="BI176">
        <v>0.12382</v>
      </c>
      <c r="BJ176">
        <v>0.11250400000000001</v>
      </c>
      <c r="BK176">
        <v>9.6493999999999996E-2</v>
      </c>
      <c r="BL176">
        <v>0.13051599999999999</v>
      </c>
      <c r="BM176">
        <v>0.10999299999999999</v>
      </c>
    </row>
    <row r="177" spans="1:65" x14ac:dyDescent="0.25">
      <c r="B177">
        <v>163</v>
      </c>
      <c r="C177" t="s">
        <v>417</v>
      </c>
      <c r="D177">
        <v>5.6795999999999999E-2</v>
      </c>
      <c r="E177">
        <v>0.125615</v>
      </c>
      <c r="H177">
        <v>0.11247</v>
      </c>
      <c r="J177">
        <v>0.110723</v>
      </c>
      <c r="K177">
        <v>9.5593999999999998E-2</v>
      </c>
      <c r="L177">
        <v>7.5619000000000006E-2</v>
      </c>
      <c r="M177">
        <v>9.8854999999999998E-2</v>
      </c>
      <c r="N177">
        <v>8.9715000000000003E-2</v>
      </c>
      <c r="O177">
        <v>7.5324000000000002E-2</v>
      </c>
      <c r="Q177">
        <v>0.12790499999999999</v>
      </c>
      <c r="R177">
        <v>8.8858999999999994E-2</v>
      </c>
      <c r="V177">
        <v>8.4113999999999994E-2</v>
      </c>
      <c r="W177">
        <v>9.1705999999999996E-2</v>
      </c>
      <c r="X177">
        <v>8.931E-2</v>
      </c>
      <c r="Y177">
        <v>0.12665000000000001</v>
      </c>
      <c r="Z177">
        <v>0.111571</v>
      </c>
      <c r="AA177">
        <v>0.13367399999999999</v>
      </c>
      <c r="AB177">
        <v>6.5405000000000005E-2</v>
      </c>
      <c r="AF177">
        <f>'User Add-In Location'!E178</f>
        <v>0</v>
      </c>
      <c r="AI177">
        <v>0.13374800000000001</v>
      </c>
      <c r="AJ177">
        <v>0.12848999999999999</v>
      </c>
      <c r="AL177">
        <v>9.9909999999999999E-2</v>
      </c>
      <c r="AM177">
        <v>7.5217000000000006E-2</v>
      </c>
      <c r="AO177">
        <v>8.6830000000000004E-2</v>
      </c>
      <c r="AQ177">
        <v>0.106713</v>
      </c>
      <c r="AR177">
        <v>0.13637299999999999</v>
      </c>
      <c r="AS177">
        <v>7.9879000000000006E-2</v>
      </c>
      <c r="AT177">
        <v>5.2733000000000002E-2</v>
      </c>
      <c r="AW177">
        <v>0.119799</v>
      </c>
      <c r="AX177" s="176">
        <v>0.23394799999999999</v>
      </c>
      <c r="BA177">
        <v>8.9691999999999994E-2</v>
      </c>
      <c r="BB177">
        <v>8.5705000000000003E-2</v>
      </c>
      <c r="BD177">
        <v>0.10396900000000001</v>
      </c>
      <c r="BF177">
        <v>0.12015000000000001</v>
      </c>
      <c r="BG177">
        <v>0.11153</v>
      </c>
      <c r="BH177">
        <v>0.118662</v>
      </c>
      <c r="BI177">
        <v>0.12372</v>
      </c>
      <c r="BJ177">
        <v>0.117885</v>
      </c>
      <c r="BK177">
        <v>9.6257999999999996E-2</v>
      </c>
      <c r="BL177">
        <v>0.138493</v>
      </c>
      <c r="BM177">
        <v>0.114341</v>
      </c>
    </row>
    <row r="178" spans="1:65" x14ac:dyDescent="0.25">
      <c r="B178">
        <v>164</v>
      </c>
      <c r="C178" t="s">
        <v>418</v>
      </c>
      <c r="D178">
        <v>0.106874</v>
      </c>
      <c r="E178">
        <v>0.104181</v>
      </c>
      <c r="H178">
        <v>0.11121399999999999</v>
      </c>
      <c r="J178">
        <v>0.122435</v>
      </c>
      <c r="K178">
        <v>0.10154299999999999</v>
      </c>
      <c r="L178">
        <v>5.9776000000000003E-2</v>
      </c>
      <c r="M178">
        <v>0.122003</v>
      </c>
      <c r="N178">
        <v>0.10843999999999999</v>
      </c>
      <c r="O178">
        <v>9.7764000000000004E-2</v>
      </c>
      <c r="Q178">
        <v>0.141099</v>
      </c>
      <c r="R178">
        <v>0.113231</v>
      </c>
      <c r="V178">
        <v>0.1017</v>
      </c>
      <c r="W178">
        <v>0.113733</v>
      </c>
      <c r="X178">
        <v>0.112112</v>
      </c>
      <c r="Y178">
        <v>0.14823800000000001</v>
      </c>
      <c r="Z178">
        <v>0.130833</v>
      </c>
      <c r="AA178">
        <v>0.165629</v>
      </c>
      <c r="AB178">
        <v>8.1733E-2</v>
      </c>
      <c r="AF178">
        <f>'User Add-In Location'!E179</f>
        <v>0</v>
      </c>
      <c r="AI178">
        <v>0.15564500000000001</v>
      </c>
      <c r="AJ178">
        <v>0.138067</v>
      </c>
      <c r="AL178">
        <v>0.114426</v>
      </c>
      <c r="AM178">
        <v>9.9574999999999997E-2</v>
      </c>
      <c r="AO178">
        <v>0.112758</v>
      </c>
      <c r="AQ178">
        <v>0.13955699999999999</v>
      </c>
      <c r="AR178">
        <v>0.16020699999999999</v>
      </c>
      <c r="AS178">
        <v>9.6436999999999995E-2</v>
      </c>
      <c r="AT178">
        <v>7.4702000000000005E-2</v>
      </c>
      <c r="AW178">
        <v>0.13153300000000001</v>
      </c>
      <c r="AX178" s="176">
        <v>0.242647</v>
      </c>
      <c r="BA178">
        <v>0.11765</v>
      </c>
      <c r="BB178">
        <v>9.1236999999999999E-2</v>
      </c>
      <c r="BD178">
        <v>0.13126099999999999</v>
      </c>
      <c r="BF178">
        <v>0.13735900000000001</v>
      </c>
      <c r="BG178">
        <v>0.113357</v>
      </c>
      <c r="BH178">
        <v>0.14072599999999999</v>
      </c>
      <c r="BI178">
        <v>0.14683599999999999</v>
      </c>
      <c r="BJ178">
        <v>0.13247400000000001</v>
      </c>
      <c r="BK178">
        <v>0.122803</v>
      </c>
      <c r="BL178">
        <v>0.159862</v>
      </c>
      <c r="BM178">
        <v>0.12903000000000001</v>
      </c>
    </row>
    <row r="179" spans="1:65" x14ac:dyDescent="0.25">
      <c r="B179">
        <v>165</v>
      </c>
      <c r="C179" t="s">
        <v>596</v>
      </c>
      <c r="D179">
        <v>9.6309000000000006E-2</v>
      </c>
      <c r="E179">
        <v>0.11049100000000001</v>
      </c>
      <c r="H179">
        <v>0.144677</v>
      </c>
      <c r="J179">
        <v>0.16155600000000001</v>
      </c>
      <c r="K179">
        <v>0.116955</v>
      </c>
      <c r="L179">
        <v>0.11361</v>
      </c>
      <c r="M179">
        <v>0.12706999999999999</v>
      </c>
      <c r="N179">
        <v>0.112402</v>
      </c>
      <c r="O179">
        <v>8.4879999999999997E-2</v>
      </c>
      <c r="Q179">
        <v>0.16705999999999999</v>
      </c>
      <c r="R179">
        <v>0.132383</v>
      </c>
      <c r="V179">
        <v>0.130832</v>
      </c>
      <c r="W179">
        <v>0.137516</v>
      </c>
      <c r="X179">
        <v>0.13805000000000001</v>
      </c>
      <c r="Y179">
        <v>0.16500799999999999</v>
      </c>
      <c r="Z179">
        <v>0.14302500000000001</v>
      </c>
      <c r="AA179">
        <v>0.18834699999999999</v>
      </c>
      <c r="AB179">
        <v>9.6547999999999995E-2</v>
      </c>
      <c r="AF179">
        <f>'User Add-In Location'!E180</f>
        <v>0</v>
      </c>
      <c r="AI179">
        <v>0.164574</v>
      </c>
      <c r="AJ179">
        <v>0.166491</v>
      </c>
      <c r="AL179">
        <v>0.14913899999999999</v>
      </c>
      <c r="AM179">
        <v>0.11168699999999999</v>
      </c>
      <c r="AO179">
        <v>0.14354</v>
      </c>
      <c r="AQ179">
        <v>0.14946599999999999</v>
      </c>
      <c r="AR179">
        <v>0.197741</v>
      </c>
      <c r="AS179">
        <v>0.11346000000000001</v>
      </c>
      <c r="AT179">
        <v>9.0427999999999994E-2</v>
      </c>
      <c r="AW179">
        <v>0.15262999999999999</v>
      </c>
      <c r="AX179" s="176">
        <v>0.28294599999999998</v>
      </c>
      <c r="BA179">
        <v>0.14963499999999999</v>
      </c>
      <c r="BB179">
        <v>0.115785</v>
      </c>
      <c r="BD179">
        <v>0.15496799999999999</v>
      </c>
      <c r="BF179">
        <v>0.15628400000000001</v>
      </c>
      <c r="BG179">
        <v>0.14454800000000001</v>
      </c>
      <c r="BH179">
        <v>0.166515</v>
      </c>
      <c r="BI179">
        <v>0.17710699999999999</v>
      </c>
      <c r="BJ179">
        <v>0.165432</v>
      </c>
      <c r="BK179">
        <v>0.139267</v>
      </c>
      <c r="BL179">
        <v>0.17729900000000001</v>
      </c>
      <c r="BM179">
        <v>0.16250600000000001</v>
      </c>
    </row>
    <row r="180" spans="1:65" x14ac:dyDescent="0.25">
      <c r="B180">
        <v>166</v>
      </c>
      <c r="C180" t="s">
        <v>597</v>
      </c>
      <c r="D180">
        <v>0.10269</v>
      </c>
      <c r="E180">
        <v>8.9355000000000004E-2</v>
      </c>
      <c r="H180">
        <v>0.100437</v>
      </c>
      <c r="J180">
        <v>0.116983</v>
      </c>
      <c r="K180">
        <v>5.9193999999999997E-2</v>
      </c>
      <c r="L180">
        <v>4.0147000000000002E-2</v>
      </c>
      <c r="M180">
        <v>9.8012000000000002E-2</v>
      </c>
      <c r="N180">
        <v>8.5956000000000005E-2</v>
      </c>
      <c r="O180">
        <v>7.7594999999999997E-2</v>
      </c>
      <c r="Q180">
        <v>0.13003000000000001</v>
      </c>
      <c r="R180">
        <v>0.10220899999999999</v>
      </c>
      <c r="V180">
        <v>9.5905000000000004E-2</v>
      </c>
      <c r="W180">
        <v>8.6648000000000003E-2</v>
      </c>
      <c r="X180">
        <v>9.1700000000000004E-2</v>
      </c>
      <c r="Y180">
        <v>0.121297</v>
      </c>
      <c r="Z180">
        <v>0.103489</v>
      </c>
      <c r="AA180">
        <v>0.27160099999999998</v>
      </c>
      <c r="AB180">
        <v>7.8894000000000006E-2</v>
      </c>
      <c r="AF180">
        <f>'User Add-In Location'!E181</f>
        <v>0</v>
      </c>
      <c r="AI180">
        <v>5.4429999999999999E-2</v>
      </c>
      <c r="AJ180">
        <v>0.15112</v>
      </c>
      <c r="AL180">
        <v>9.6204999999999999E-2</v>
      </c>
      <c r="AM180">
        <v>7.0182999999999995E-2</v>
      </c>
      <c r="AO180">
        <v>9.5849000000000004E-2</v>
      </c>
      <c r="AQ180">
        <v>0.11344</v>
      </c>
      <c r="AR180">
        <v>0.14052000000000001</v>
      </c>
      <c r="AS180">
        <v>7.4203000000000005E-2</v>
      </c>
      <c r="AT180">
        <v>6.0706999999999997E-2</v>
      </c>
      <c r="AW180">
        <v>0.11953800000000001</v>
      </c>
      <c r="AX180" s="176">
        <v>0.242006</v>
      </c>
      <c r="BA180">
        <v>9.7152000000000002E-2</v>
      </c>
      <c r="BB180">
        <v>7.8469999999999998E-2</v>
      </c>
      <c r="BD180">
        <v>0.107559</v>
      </c>
      <c r="BF180">
        <v>0.121796</v>
      </c>
      <c r="BG180">
        <v>0.101462</v>
      </c>
      <c r="BH180">
        <v>0.12496</v>
      </c>
      <c r="BI180">
        <v>0.138214</v>
      </c>
      <c r="BJ180">
        <v>0.119141</v>
      </c>
      <c r="BK180">
        <v>0.101605</v>
      </c>
      <c r="BL180">
        <v>0.12603700000000001</v>
      </c>
      <c r="BM180">
        <v>0.112109</v>
      </c>
    </row>
    <row r="181" spans="1:65" x14ac:dyDescent="0.25">
      <c r="B181">
        <v>167</v>
      </c>
      <c r="C181" t="s">
        <v>598</v>
      </c>
      <c r="D181">
        <v>9.8718E-2</v>
      </c>
      <c r="E181">
        <v>0.101316</v>
      </c>
      <c r="H181">
        <v>0.10698299999999999</v>
      </c>
      <c r="J181">
        <v>0.10926</v>
      </c>
      <c r="K181">
        <v>8.4546999999999997E-2</v>
      </c>
      <c r="L181">
        <v>5.7694000000000002E-2</v>
      </c>
      <c r="M181">
        <v>0.115532</v>
      </c>
      <c r="N181">
        <v>0.10591</v>
      </c>
      <c r="O181">
        <v>8.8997000000000007E-2</v>
      </c>
      <c r="Q181">
        <v>0.14077500000000001</v>
      </c>
      <c r="R181">
        <v>0.117674</v>
      </c>
      <c r="V181">
        <v>0.10330499999999999</v>
      </c>
      <c r="W181">
        <v>0.114731</v>
      </c>
      <c r="X181">
        <v>0.106874</v>
      </c>
      <c r="Y181">
        <v>0.13663</v>
      </c>
      <c r="Z181">
        <v>0.12889600000000001</v>
      </c>
      <c r="AA181">
        <v>0.169239</v>
      </c>
      <c r="AB181">
        <v>8.0513000000000001E-2</v>
      </c>
      <c r="AF181">
        <f>'User Add-In Location'!E182</f>
        <v>0</v>
      </c>
      <c r="AI181">
        <v>0.133053</v>
      </c>
      <c r="AJ181">
        <v>0.13319</v>
      </c>
      <c r="AL181">
        <v>0.108638</v>
      </c>
      <c r="AM181">
        <v>9.5074000000000006E-2</v>
      </c>
      <c r="AO181">
        <v>0.115952</v>
      </c>
      <c r="AQ181">
        <v>0.123946</v>
      </c>
      <c r="AR181">
        <v>0.163661</v>
      </c>
      <c r="AS181">
        <v>9.0652999999999997E-2</v>
      </c>
      <c r="AT181">
        <v>7.1683999999999998E-2</v>
      </c>
      <c r="AW181">
        <v>0.131629</v>
      </c>
      <c r="AX181" s="176">
        <v>0.23614299999999999</v>
      </c>
      <c r="BA181">
        <v>0.10904800000000001</v>
      </c>
      <c r="BB181">
        <v>8.4094000000000002E-2</v>
      </c>
      <c r="BD181">
        <v>0.127914</v>
      </c>
      <c r="BF181">
        <v>0.134518</v>
      </c>
      <c r="BG181">
        <v>0.107645</v>
      </c>
      <c r="BH181">
        <v>0.13297700000000001</v>
      </c>
      <c r="BI181">
        <v>0.145537</v>
      </c>
      <c r="BJ181">
        <v>0.125836</v>
      </c>
      <c r="BK181">
        <v>0.11727700000000001</v>
      </c>
      <c r="BL181">
        <v>0.14721799999999999</v>
      </c>
      <c r="BM181">
        <v>0.120742</v>
      </c>
    </row>
    <row r="182" spans="1:65" x14ac:dyDescent="0.25">
      <c r="B182">
        <v>168</v>
      </c>
      <c r="C182" t="s">
        <v>599</v>
      </c>
      <c r="D182">
        <v>7.2314000000000003E-2</v>
      </c>
      <c r="E182">
        <v>0.11291</v>
      </c>
      <c r="H182">
        <v>0.12814900000000001</v>
      </c>
      <c r="J182">
        <v>0.14821599999999999</v>
      </c>
      <c r="K182">
        <v>0.10478999999999999</v>
      </c>
      <c r="L182">
        <v>4.7983999999999999E-2</v>
      </c>
      <c r="M182">
        <v>0.11779299999999999</v>
      </c>
      <c r="N182">
        <v>0.117366</v>
      </c>
      <c r="O182">
        <v>9.8773E-2</v>
      </c>
      <c r="Q182">
        <v>0.16261999999999999</v>
      </c>
      <c r="R182">
        <v>0.13215299999999999</v>
      </c>
      <c r="V182">
        <v>0.113819</v>
      </c>
      <c r="W182">
        <v>0.13526299999999999</v>
      </c>
      <c r="X182">
        <v>0.117717</v>
      </c>
      <c r="Y182">
        <v>0.163603</v>
      </c>
      <c r="Z182">
        <v>0.137708</v>
      </c>
      <c r="AA182">
        <v>0.183832</v>
      </c>
      <c r="AB182">
        <v>9.4537999999999997E-2</v>
      </c>
      <c r="AF182">
        <f>'User Add-In Location'!E183</f>
        <v>0</v>
      </c>
      <c r="AI182">
        <v>0.15151800000000001</v>
      </c>
      <c r="AJ182">
        <v>0.15857199999999999</v>
      </c>
      <c r="AL182">
        <v>0.112597</v>
      </c>
      <c r="AM182">
        <v>0.108755</v>
      </c>
      <c r="AO182">
        <v>0.128829</v>
      </c>
      <c r="AQ182">
        <v>0.142378</v>
      </c>
      <c r="AR182">
        <v>0.18257100000000001</v>
      </c>
      <c r="AS182">
        <v>9.3715999999999994E-2</v>
      </c>
      <c r="AT182">
        <v>8.0334000000000003E-2</v>
      </c>
      <c r="AW182">
        <v>0.14608099999999999</v>
      </c>
      <c r="AX182" s="176">
        <v>0.27408199999999999</v>
      </c>
      <c r="BA182">
        <v>0.125975</v>
      </c>
      <c r="BB182">
        <v>9.8355999999999999E-2</v>
      </c>
      <c r="BD182">
        <v>0.144485</v>
      </c>
      <c r="BF182">
        <v>0.14730499999999999</v>
      </c>
      <c r="BG182">
        <v>0.12820799999999999</v>
      </c>
      <c r="BH182">
        <v>0.15107000000000001</v>
      </c>
      <c r="BI182">
        <v>0.162468</v>
      </c>
      <c r="BJ182">
        <v>0.13947899999999999</v>
      </c>
      <c r="BK182">
        <v>0.13292999999999999</v>
      </c>
      <c r="BL182">
        <v>0.17476700000000001</v>
      </c>
      <c r="BM182">
        <v>0.13553999999999999</v>
      </c>
    </row>
    <row r="183" spans="1:65" x14ac:dyDescent="0.25">
      <c r="B183">
        <v>169</v>
      </c>
      <c r="C183" t="s">
        <v>423</v>
      </c>
      <c r="D183">
        <v>8.9908000000000002E-2</v>
      </c>
      <c r="E183">
        <v>8.1678000000000001E-2</v>
      </c>
      <c r="H183">
        <v>0.122723</v>
      </c>
      <c r="J183">
        <v>0.12848100000000001</v>
      </c>
      <c r="K183">
        <v>5.1672999999999997E-2</v>
      </c>
      <c r="L183">
        <v>6.1904000000000001E-2</v>
      </c>
      <c r="M183">
        <v>0.127641</v>
      </c>
      <c r="N183">
        <v>8.992E-2</v>
      </c>
      <c r="O183">
        <v>8.1056000000000003E-2</v>
      </c>
      <c r="Q183">
        <v>0.129857</v>
      </c>
      <c r="R183">
        <v>8.6291999999999994E-2</v>
      </c>
      <c r="V183">
        <v>8.2867999999999997E-2</v>
      </c>
      <c r="W183">
        <v>0.104397</v>
      </c>
      <c r="X183">
        <v>0.109074</v>
      </c>
      <c r="Y183">
        <v>0.15013000000000001</v>
      </c>
      <c r="Z183">
        <v>0.117368</v>
      </c>
      <c r="AA183">
        <v>0.16034999999999999</v>
      </c>
      <c r="AB183">
        <v>6.4076999999999995E-2</v>
      </c>
      <c r="AF183">
        <f>'User Add-In Location'!E184</f>
        <v>0</v>
      </c>
      <c r="AI183">
        <v>0.119715</v>
      </c>
      <c r="AJ183">
        <v>0.155442</v>
      </c>
      <c r="AL183">
        <v>0.10362</v>
      </c>
      <c r="AM183">
        <v>8.1624000000000002E-2</v>
      </c>
      <c r="AO183">
        <v>8.1131999999999996E-2</v>
      </c>
      <c r="AQ183">
        <v>0.11400399999999999</v>
      </c>
      <c r="AR183">
        <v>0.14671000000000001</v>
      </c>
      <c r="AS183">
        <v>8.4127999999999994E-2</v>
      </c>
      <c r="AT183">
        <v>7.4986999999999998E-2</v>
      </c>
      <c r="AW183">
        <v>0.135347</v>
      </c>
      <c r="AX183" s="176">
        <v>0.24696799999999999</v>
      </c>
      <c r="BA183">
        <v>0.116448</v>
      </c>
      <c r="BB183">
        <v>8.3270999999999998E-2</v>
      </c>
      <c r="BD183">
        <v>0.106986</v>
      </c>
      <c r="BF183">
        <v>0.13891200000000001</v>
      </c>
      <c r="BG183">
        <v>0.12035</v>
      </c>
      <c r="BH183">
        <v>0.13258200000000001</v>
      </c>
      <c r="BI183">
        <v>0.130605</v>
      </c>
      <c r="BJ183">
        <v>0.123373</v>
      </c>
      <c r="BK183">
        <v>0.110748</v>
      </c>
      <c r="BL183">
        <v>0.15735499999999999</v>
      </c>
      <c r="BM183">
        <v>0.120644</v>
      </c>
    </row>
    <row r="184" spans="1:65" x14ac:dyDescent="0.25">
      <c r="B184">
        <v>170</v>
      </c>
      <c r="C184" t="s">
        <v>600</v>
      </c>
      <c r="D184">
        <v>9.8151000000000002E-2</v>
      </c>
      <c r="E184">
        <v>0.14277200000000001</v>
      </c>
      <c r="H184">
        <v>0.160242</v>
      </c>
      <c r="J184">
        <v>0.164963</v>
      </c>
      <c r="K184">
        <v>0.12931599999999999</v>
      </c>
      <c r="L184">
        <v>9.5842999999999998E-2</v>
      </c>
      <c r="M184">
        <v>0.16847899999999999</v>
      </c>
      <c r="N184">
        <v>0.153395</v>
      </c>
      <c r="O184">
        <v>0.13405700000000001</v>
      </c>
      <c r="Q184">
        <v>0.202043</v>
      </c>
      <c r="R184">
        <v>0.13608400000000001</v>
      </c>
      <c r="V184">
        <v>0.14541699999999999</v>
      </c>
      <c r="W184">
        <v>0.153366</v>
      </c>
      <c r="X184">
        <v>0.157217</v>
      </c>
      <c r="Y184">
        <v>0.193934</v>
      </c>
      <c r="Z184">
        <v>0.18132899999999999</v>
      </c>
      <c r="AA184">
        <v>0.22378799999999999</v>
      </c>
      <c r="AB184">
        <v>0.112105</v>
      </c>
      <c r="AF184">
        <f>'User Add-In Location'!E185</f>
        <v>0</v>
      </c>
      <c r="AI184">
        <v>0.18607699999999999</v>
      </c>
      <c r="AJ184">
        <v>0.18887699999999999</v>
      </c>
      <c r="AL184">
        <v>0.15711</v>
      </c>
      <c r="AM184">
        <v>0.12618199999999999</v>
      </c>
      <c r="AO184">
        <v>0.155834</v>
      </c>
      <c r="AQ184">
        <v>0.163461</v>
      </c>
      <c r="AR184">
        <v>0.21482499999999999</v>
      </c>
      <c r="AS184">
        <v>0.126974</v>
      </c>
      <c r="AT184">
        <v>0.105958</v>
      </c>
      <c r="AW184">
        <v>0.18486</v>
      </c>
      <c r="AX184" s="176">
        <v>0.32109599999999999</v>
      </c>
      <c r="BA184">
        <v>0.17755000000000001</v>
      </c>
      <c r="BB184">
        <v>0.116317</v>
      </c>
      <c r="BD184">
        <v>0.16935700000000001</v>
      </c>
      <c r="BF184">
        <v>0.19115199999999999</v>
      </c>
      <c r="BG184">
        <v>0.15834999999999999</v>
      </c>
      <c r="BH184">
        <v>0.19145899999999999</v>
      </c>
      <c r="BI184">
        <v>0.199187</v>
      </c>
      <c r="BJ184">
        <v>0.18038299999999999</v>
      </c>
      <c r="BK184">
        <v>0.17211199999999999</v>
      </c>
      <c r="BL184">
        <v>0.208089</v>
      </c>
      <c r="BM184">
        <v>0.174153</v>
      </c>
    </row>
    <row r="185" spans="1:65" x14ac:dyDescent="0.25">
      <c r="B185">
        <v>171</v>
      </c>
      <c r="C185" t="s">
        <v>601</v>
      </c>
      <c r="D185">
        <v>7.1551000000000003E-2</v>
      </c>
      <c r="E185">
        <v>0.114506</v>
      </c>
      <c r="H185">
        <v>0.131415</v>
      </c>
      <c r="J185">
        <v>0.13301299999999999</v>
      </c>
      <c r="K185">
        <v>0.103195</v>
      </c>
      <c r="L185">
        <v>5.5724999999999997E-2</v>
      </c>
      <c r="M185">
        <v>0.129274</v>
      </c>
      <c r="N185">
        <v>0.114703</v>
      </c>
      <c r="O185">
        <v>9.8299999999999998E-2</v>
      </c>
      <c r="Q185">
        <v>0.157666</v>
      </c>
      <c r="R185">
        <v>0.111404</v>
      </c>
      <c r="V185">
        <v>0.10940900000000001</v>
      </c>
      <c r="W185">
        <v>0.12096800000000001</v>
      </c>
      <c r="X185">
        <v>0.120438</v>
      </c>
      <c r="Y185">
        <v>0.15673300000000001</v>
      </c>
      <c r="Z185">
        <v>0.13598499999999999</v>
      </c>
      <c r="AA185">
        <v>0.17786099999999999</v>
      </c>
      <c r="AB185">
        <v>8.3931000000000006E-2</v>
      </c>
      <c r="AF185">
        <f>'User Add-In Location'!E186</f>
        <v>0</v>
      </c>
      <c r="AI185">
        <v>0.146394</v>
      </c>
      <c r="AJ185">
        <v>0.15660199999999999</v>
      </c>
      <c r="AL185">
        <v>0.12076199999999999</v>
      </c>
      <c r="AM185">
        <v>0.109905</v>
      </c>
      <c r="AO185">
        <v>0.124363</v>
      </c>
      <c r="AQ185">
        <v>0.144007</v>
      </c>
      <c r="AR185">
        <v>0.172712</v>
      </c>
      <c r="AS185">
        <v>9.8110000000000003E-2</v>
      </c>
      <c r="AT185">
        <v>7.7257000000000006E-2</v>
      </c>
      <c r="AW185">
        <v>0.14898</v>
      </c>
      <c r="AX185" s="176">
        <v>0.26005</v>
      </c>
      <c r="BA185">
        <v>0.125692</v>
      </c>
      <c r="BB185">
        <v>9.3776999999999999E-2</v>
      </c>
      <c r="BD185">
        <v>0.13792699999999999</v>
      </c>
      <c r="BF185">
        <v>0.15018899999999999</v>
      </c>
      <c r="BG185">
        <v>0.13003500000000001</v>
      </c>
      <c r="BH185">
        <v>0.14998800000000001</v>
      </c>
      <c r="BI185">
        <v>0.15661600000000001</v>
      </c>
      <c r="BJ185">
        <v>0.14180000000000001</v>
      </c>
      <c r="BK185">
        <v>0.131248</v>
      </c>
      <c r="BL185">
        <v>0.16597899999999999</v>
      </c>
      <c r="BM185">
        <v>0.13616</v>
      </c>
    </row>
    <row r="186" spans="1:65" x14ac:dyDescent="0.25">
      <c r="B186">
        <v>172</v>
      </c>
      <c r="C186" t="s">
        <v>602</v>
      </c>
      <c r="D186">
        <v>6.0252E-2</v>
      </c>
      <c r="E186">
        <v>0.18346499999999999</v>
      </c>
      <c r="H186">
        <v>0.185002</v>
      </c>
      <c r="J186">
        <v>0.15171399999999999</v>
      </c>
      <c r="K186">
        <v>0.15412999999999999</v>
      </c>
      <c r="L186">
        <v>7.2843000000000005E-2</v>
      </c>
      <c r="M186">
        <v>0.196024</v>
      </c>
      <c r="N186">
        <v>0.18920799999999999</v>
      </c>
      <c r="O186">
        <v>0.166018</v>
      </c>
      <c r="Q186">
        <v>0.24673700000000001</v>
      </c>
      <c r="R186">
        <v>0.17336699999999999</v>
      </c>
      <c r="V186">
        <v>0.18296000000000001</v>
      </c>
      <c r="W186">
        <v>0.20635400000000001</v>
      </c>
      <c r="X186">
        <v>0.145478</v>
      </c>
      <c r="Y186">
        <v>0.162161</v>
      </c>
      <c r="Z186">
        <v>0.21443599999999999</v>
      </c>
      <c r="AA186">
        <v>0.25396099999999999</v>
      </c>
      <c r="AB186">
        <v>0.15486900000000001</v>
      </c>
      <c r="AF186">
        <f>'User Add-In Location'!E187</f>
        <v>0</v>
      </c>
      <c r="AI186">
        <v>0.170346</v>
      </c>
      <c r="AJ186">
        <v>0.223163</v>
      </c>
      <c r="AL186">
        <v>0.18096000000000001</v>
      </c>
      <c r="AM186">
        <v>0.16268099999999999</v>
      </c>
      <c r="AO186">
        <v>0.18335299999999999</v>
      </c>
      <c r="AQ186">
        <v>0.204181</v>
      </c>
      <c r="AR186">
        <v>0.235044</v>
      </c>
      <c r="AS186">
        <v>0.139621</v>
      </c>
      <c r="AT186">
        <v>0.135993</v>
      </c>
      <c r="AW186">
        <v>0.209032</v>
      </c>
      <c r="AX186" s="176">
        <v>0.33774900000000002</v>
      </c>
      <c r="BA186">
        <v>0.18928400000000001</v>
      </c>
      <c r="BB186">
        <v>0.14685999999999999</v>
      </c>
      <c r="BD186">
        <v>0.21976499999999999</v>
      </c>
      <c r="BF186">
        <v>0.21574499999999999</v>
      </c>
      <c r="BG186">
        <v>0.18481600000000001</v>
      </c>
      <c r="BH186">
        <v>0.207094</v>
      </c>
      <c r="BI186">
        <v>0.23061200000000001</v>
      </c>
      <c r="BJ186">
        <v>0.19940099999999999</v>
      </c>
      <c r="BK186">
        <v>0.19903299999999999</v>
      </c>
      <c r="BL186">
        <v>0.18304899999999999</v>
      </c>
      <c r="BM186">
        <v>0.18198600000000001</v>
      </c>
    </row>
    <row r="187" spans="1:65" x14ac:dyDescent="0.25">
      <c r="B187">
        <v>173</v>
      </c>
    </row>
    <row r="188" spans="1:65" x14ac:dyDescent="0.25">
      <c r="B188">
        <v>174</v>
      </c>
      <c r="D188" s="174" t="s">
        <v>532</v>
      </c>
      <c r="E188" s="174" t="s">
        <v>680</v>
      </c>
      <c r="F188" s="174" t="s">
        <v>681</v>
      </c>
      <c r="G188" s="174" t="s">
        <v>682</v>
      </c>
      <c r="H188" s="174" t="s">
        <v>533</v>
      </c>
      <c r="I188" s="174" t="s">
        <v>683</v>
      </c>
      <c r="J188" s="174" t="s">
        <v>534</v>
      </c>
      <c r="K188" s="174" t="s">
        <v>535</v>
      </c>
      <c r="L188" s="174" t="s">
        <v>684</v>
      </c>
      <c r="M188" s="174" t="s">
        <v>536</v>
      </c>
      <c r="N188" s="174" t="s">
        <v>537</v>
      </c>
      <c r="O188" s="174" t="s">
        <v>538</v>
      </c>
      <c r="P188" s="174" t="s">
        <v>685</v>
      </c>
      <c r="Q188" s="174" t="s">
        <v>539</v>
      </c>
      <c r="R188" s="174" t="s">
        <v>540</v>
      </c>
      <c r="S188" s="174" t="s">
        <v>686</v>
      </c>
      <c r="T188" s="174" t="s">
        <v>687</v>
      </c>
      <c r="U188" s="174" t="s">
        <v>688</v>
      </c>
      <c r="V188" s="174" t="s">
        <v>541</v>
      </c>
      <c r="W188" s="174" t="s">
        <v>542</v>
      </c>
      <c r="X188" s="174" t="s">
        <v>543</v>
      </c>
      <c r="Y188" s="174" t="s">
        <v>544</v>
      </c>
      <c r="Z188" s="174" t="s">
        <v>545</v>
      </c>
      <c r="AA188" s="174" t="s">
        <v>546</v>
      </c>
      <c r="AB188" s="174" t="s">
        <v>549</v>
      </c>
      <c r="AC188" s="174" t="s">
        <v>689</v>
      </c>
      <c r="AD188" s="174" t="s">
        <v>690</v>
      </c>
      <c r="AE188" s="175" t="s">
        <v>691</v>
      </c>
      <c r="AF188" s="175" t="s">
        <v>1064</v>
      </c>
      <c r="AG188" s="174" t="s">
        <v>692</v>
      </c>
      <c r="AH188" s="174" t="s">
        <v>693</v>
      </c>
      <c r="AI188" s="174" t="s">
        <v>550</v>
      </c>
      <c r="AJ188" s="174" t="s">
        <v>551</v>
      </c>
      <c r="AK188" s="174" t="s">
        <v>694</v>
      </c>
      <c r="AL188" s="174" t="s">
        <v>695</v>
      </c>
      <c r="AM188" s="174" t="s">
        <v>553</v>
      </c>
      <c r="AN188" s="174" t="s">
        <v>696</v>
      </c>
      <c r="AO188" s="174" t="s">
        <v>554</v>
      </c>
      <c r="AP188" s="174" t="s">
        <v>697</v>
      </c>
      <c r="AQ188" s="174" t="s">
        <v>555</v>
      </c>
      <c r="AR188" s="174" t="s">
        <v>556</v>
      </c>
      <c r="AS188" s="174" t="s">
        <v>557</v>
      </c>
      <c r="AT188" s="174" t="s">
        <v>558</v>
      </c>
      <c r="AU188" s="174" t="s">
        <v>698</v>
      </c>
      <c r="AV188" s="174" t="s">
        <v>699</v>
      </c>
      <c r="AW188" s="174" t="s">
        <v>559</v>
      </c>
      <c r="AX188" s="174" t="s">
        <v>530</v>
      </c>
      <c r="AY188" s="174" t="s">
        <v>700</v>
      </c>
      <c r="AZ188" s="174" t="s">
        <v>701</v>
      </c>
      <c r="BA188" s="174" t="s">
        <v>560</v>
      </c>
      <c r="BB188" s="174" t="s">
        <v>561</v>
      </c>
      <c r="BC188" s="174" t="s">
        <v>702</v>
      </c>
      <c r="BD188" s="174" t="s">
        <v>562</v>
      </c>
      <c r="BE188" s="174" t="s">
        <v>703</v>
      </c>
      <c r="BF188" t="s">
        <v>704</v>
      </c>
      <c r="BG188" t="s">
        <v>705</v>
      </c>
      <c r="BH188" t="s">
        <v>706</v>
      </c>
      <c r="BI188" t="s">
        <v>707</v>
      </c>
      <c r="BJ188" t="s">
        <v>708</v>
      </c>
      <c r="BK188" t="s">
        <v>709</v>
      </c>
      <c r="BL188" t="s">
        <v>710</v>
      </c>
      <c r="BM188" t="s">
        <v>711</v>
      </c>
    </row>
    <row r="189" spans="1:65" x14ac:dyDescent="0.25">
      <c r="A189" t="s">
        <v>721</v>
      </c>
      <c r="B189">
        <v>175</v>
      </c>
      <c r="C189" t="s">
        <v>400</v>
      </c>
      <c r="D189">
        <v>1</v>
      </c>
      <c r="E189">
        <v>1</v>
      </c>
      <c r="H189">
        <v>1</v>
      </c>
      <c r="J189">
        <v>1</v>
      </c>
      <c r="K189">
        <v>1</v>
      </c>
      <c r="L189">
        <v>1</v>
      </c>
      <c r="M189">
        <v>1</v>
      </c>
      <c r="N189">
        <v>1</v>
      </c>
      <c r="O189">
        <v>1</v>
      </c>
      <c r="Q189">
        <v>1</v>
      </c>
      <c r="R189">
        <v>1</v>
      </c>
      <c r="V189">
        <v>1</v>
      </c>
      <c r="W189">
        <v>1</v>
      </c>
      <c r="X189">
        <v>1</v>
      </c>
      <c r="Y189">
        <v>1</v>
      </c>
      <c r="Z189">
        <v>1</v>
      </c>
      <c r="AA189">
        <v>1</v>
      </c>
      <c r="AB189">
        <v>1</v>
      </c>
      <c r="AF189">
        <f>'User Add-In Location'!E190</f>
        <v>0</v>
      </c>
      <c r="AI189">
        <v>1</v>
      </c>
      <c r="AJ189">
        <v>1</v>
      </c>
      <c r="AL189">
        <v>1</v>
      </c>
      <c r="AM189">
        <v>1</v>
      </c>
      <c r="AO189">
        <v>1</v>
      </c>
      <c r="AQ189">
        <v>1</v>
      </c>
      <c r="AR189">
        <v>1</v>
      </c>
      <c r="AS189">
        <v>1</v>
      </c>
      <c r="AT189">
        <v>1</v>
      </c>
      <c r="AW189">
        <v>1</v>
      </c>
      <c r="AX189" s="176">
        <v>1</v>
      </c>
      <c r="BA189">
        <v>1</v>
      </c>
      <c r="BB189">
        <v>1</v>
      </c>
      <c r="BD189">
        <v>1</v>
      </c>
      <c r="BF189">
        <v>1</v>
      </c>
      <c r="BG189">
        <v>1</v>
      </c>
      <c r="BH189">
        <v>1</v>
      </c>
      <c r="BI189">
        <v>1</v>
      </c>
      <c r="BJ189">
        <v>1</v>
      </c>
      <c r="BK189">
        <v>1</v>
      </c>
      <c r="BL189">
        <v>1</v>
      </c>
      <c r="BM189">
        <v>1</v>
      </c>
    </row>
    <row r="190" spans="1:65" x14ac:dyDescent="0.25">
      <c r="B190">
        <v>176</v>
      </c>
      <c r="C190" t="s">
        <v>583</v>
      </c>
      <c r="D190">
        <v>1</v>
      </c>
      <c r="E190">
        <v>1</v>
      </c>
      <c r="H190">
        <v>1</v>
      </c>
      <c r="J190">
        <v>1</v>
      </c>
      <c r="K190">
        <v>1</v>
      </c>
      <c r="L190">
        <v>1</v>
      </c>
      <c r="M190">
        <v>1</v>
      </c>
      <c r="N190">
        <v>1</v>
      </c>
      <c r="O190">
        <v>1</v>
      </c>
      <c r="Q190">
        <v>1</v>
      </c>
      <c r="R190">
        <v>1</v>
      </c>
      <c r="V190">
        <v>1</v>
      </c>
      <c r="W190">
        <v>1</v>
      </c>
      <c r="X190">
        <v>1</v>
      </c>
      <c r="Y190">
        <v>1</v>
      </c>
      <c r="Z190">
        <v>1</v>
      </c>
      <c r="AA190">
        <v>1</v>
      </c>
      <c r="AB190">
        <v>1</v>
      </c>
      <c r="AF190">
        <f>'User Add-In Location'!E191</f>
        <v>0</v>
      </c>
      <c r="AI190">
        <v>1</v>
      </c>
      <c r="AJ190">
        <v>1</v>
      </c>
      <c r="AL190">
        <v>1</v>
      </c>
      <c r="AM190">
        <v>1</v>
      </c>
      <c r="AO190">
        <v>1</v>
      </c>
      <c r="AQ190">
        <v>1</v>
      </c>
      <c r="AR190">
        <v>1</v>
      </c>
      <c r="AS190">
        <v>1</v>
      </c>
      <c r="AT190">
        <v>1</v>
      </c>
      <c r="AW190">
        <v>1</v>
      </c>
      <c r="AX190" s="176">
        <v>1</v>
      </c>
      <c r="BA190">
        <v>1</v>
      </c>
      <c r="BB190">
        <v>1</v>
      </c>
      <c r="BD190">
        <v>1</v>
      </c>
      <c r="BF190">
        <v>1</v>
      </c>
      <c r="BG190">
        <v>1</v>
      </c>
      <c r="BH190">
        <v>1</v>
      </c>
      <c r="BI190">
        <v>1</v>
      </c>
      <c r="BJ190">
        <v>1</v>
      </c>
      <c r="BK190">
        <v>1</v>
      </c>
      <c r="BL190">
        <v>1</v>
      </c>
      <c r="BM190">
        <v>1</v>
      </c>
    </row>
    <row r="191" spans="1:65" x14ac:dyDescent="0.25">
      <c r="B191">
        <v>177</v>
      </c>
      <c r="C191" t="s">
        <v>403</v>
      </c>
      <c r="D191">
        <v>1</v>
      </c>
      <c r="E191">
        <v>1</v>
      </c>
      <c r="H191">
        <v>1</v>
      </c>
      <c r="J191">
        <v>1</v>
      </c>
      <c r="K191">
        <v>1</v>
      </c>
      <c r="L191">
        <v>1</v>
      </c>
      <c r="M191">
        <v>1</v>
      </c>
      <c r="N191">
        <v>1</v>
      </c>
      <c r="O191">
        <v>1</v>
      </c>
      <c r="Q191">
        <v>1</v>
      </c>
      <c r="R191">
        <v>1</v>
      </c>
      <c r="V191">
        <v>1</v>
      </c>
      <c r="W191">
        <v>1</v>
      </c>
      <c r="X191">
        <v>1</v>
      </c>
      <c r="Y191">
        <v>1</v>
      </c>
      <c r="Z191">
        <v>1</v>
      </c>
      <c r="AA191">
        <v>1</v>
      </c>
      <c r="AB191">
        <v>1</v>
      </c>
      <c r="AF191">
        <f>'User Add-In Location'!E192</f>
        <v>0</v>
      </c>
      <c r="AI191">
        <v>1</v>
      </c>
      <c r="AJ191">
        <v>1</v>
      </c>
      <c r="AL191">
        <v>1</v>
      </c>
      <c r="AM191">
        <v>1</v>
      </c>
      <c r="AO191">
        <v>1</v>
      </c>
      <c r="AQ191">
        <v>1</v>
      </c>
      <c r="AR191">
        <v>1</v>
      </c>
      <c r="AS191">
        <v>1</v>
      </c>
      <c r="AT191">
        <v>1</v>
      </c>
      <c r="AW191">
        <v>1</v>
      </c>
      <c r="AX191" s="176">
        <v>1</v>
      </c>
      <c r="BA191">
        <v>1</v>
      </c>
      <c r="BB191">
        <v>1</v>
      </c>
      <c r="BD191">
        <v>1</v>
      </c>
      <c r="BF191">
        <v>1</v>
      </c>
      <c r="BG191">
        <v>1</v>
      </c>
      <c r="BH191">
        <v>1</v>
      </c>
      <c r="BI191">
        <v>1</v>
      </c>
      <c r="BJ191">
        <v>1</v>
      </c>
      <c r="BK191">
        <v>1</v>
      </c>
      <c r="BL191">
        <v>1</v>
      </c>
      <c r="BM191">
        <v>1</v>
      </c>
    </row>
    <row r="192" spans="1:65" x14ac:dyDescent="0.25">
      <c r="B192">
        <v>178</v>
      </c>
      <c r="C192" t="s">
        <v>584</v>
      </c>
      <c r="D192">
        <v>1</v>
      </c>
      <c r="E192">
        <v>1</v>
      </c>
      <c r="H192">
        <v>1</v>
      </c>
      <c r="J192">
        <v>1</v>
      </c>
      <c r="K192">
        <v>1</v>
      </c>
      <c r="L192">
        <v>1</v>
      </c>
      <c r="M192">
        <v>1</v>
      </c>
      <c r="N192">
        <v>1</v>
      </c>
      <c r="O192">
        <v>1</v>
      </c>
      <c r="Q192">
        <v>1</v>
      </c>
      <c r="R192">
        <v>1</v>
      </c>
      <c r="V192">
        <v>1</v>
      </c>
      <c r="W192">
        <v>1</v>
      </c>
      <c r="X192">
        <v>1</v>
      </c>
      <c r="Y192">
        <v>1</v>
      </c>
      <c r="Z192">
        <v>1</v>
      </c>
      <c r="AA192">
        <v>1</v>
      </c>
      <c r="AB192">
        <v>1</v>
      </c>
      <c r="AF192">
        <f>'User Add-In Location'!E193</f>
        <v>0</v>
      </c>
      <c r="AI192">
        <v>1</v>
      </c>
      <c r="AJ192">
        <v>1</v>
      </c>
      <c r="AL192">
        <v>1</v>
      </c>
      <c r="AM192">
        <v>1</v>
      </c>
      <c r="AO192">
        <v>1</v>
      </c>
      <c r="AQ192">
        <v>1</v>
      </c>
      <c r="AR192">
        <v>1</v>
      </c>
      <c r="AS192">
        <v>1</v>
      </c>
      <c r="AT192">
        <v>1</v>
      </c>
      <c r="AW192">
        <v>1</v>
      </c>
      <c r="AX192" s="176">
        <v>1</v>
      </c>
      <c r="BA192">
        <v>1</v>
      </c>
      <c r="BB192">
        <v>1</v>
      </c>
      <c r="BD192">
        <v>1</v>
      </c>
      <c r="BF192">
        <v>1</v>
      </c>
      <c r="BG192">
        <v>1</v>
      </c>
      <c r="BH192">
        <v>1</v>
      </c>
      <c r="BI192">
        <v>1</v>
      </c>
      <c r="BJ192">
        <v>1</v>
      </c>
      <c r="BK192">
        <v>1</v>
      </c>
      <c r="BL192">
        <v>1</v>
      </c>
      <c r="BM192">
        <v>1</v>
      </c>
    </row>
    <row r="193" spans="2:65" x14ac:dyDescent="0.25">
      <c r="B193">
        <v>179</v>
      </c>
      <c r="C193" t="s">
        <v>585</v>
      </c>
      <c r="D193">
        <v>1</v>
      </c>
      <c r="E193">
        <v>1</v>
      </c>
      <c r="H193">
        <v>1</v>
      </c>
      <c r="J193">
        <v>1</v>
      </c>
      <c r="K193">
        <v>1</v>
      </c>
      <c r="L193">
        <v>1</v>
      </c>
      <c r="M193">
        <v>1</v>
      </c>
      <c r="N193">
        <v>1</v>
      </c>
      <c r="O193">
        <v>1</v>
      </c>
      <c r="Q193">
        <v>1</v>
      </c>
      <c r="R193">
        <v>1</v>
      </c>
      <c r="V193">
        <v>1</v>
      </c>
      <c r="W193">
        <v>1</v>
      </c>
      <c r="X193">
        <v>1</v>
      </c>
      <c r="Y193">
        <v>1</v>
      </c>
      <c r="Z193">
        <v>1</v>
      </c>
      <c r="AA193">
        <v>1</v>
      </c>
      <c r="AB193">
        <v>1</v>
      </c>
      <c r="AF193">
        <f>'User Add-In Location'!E194</f>
        <v>0</v>
      </c>
      <c r="AI193">
        <v>1</v>
      </c>
      <c r="AJ193">
        <v>1</v>
      </c>
      <c r="AL193">
        <v>1</v>
      </c>
      <c r="AM193">
        <v>1</v>
      </c>
      <c r="AO193">
        <v>1</v>
      </c>
      <c r="AQ193">
        <v>1</v>
      </c>
      <c r="AR193">
        <v>1</v>
      </c>
      <c r="AS193">
        <v>1</v>
      </c>
      <c r="AT193">
        <v>1</v>
      </c>
      <c r="AW193">
        <v>1</v>
      </c>
      <c r="AX193" s="176">
        <v>1</v>
      </c>
      <c r="BA193">
        <v>1</v>
      </c>
      <c r="BB193">
        <v>1</v>
      </c>
      <c r="BD193">
        <v>1</v>
      </c>
      <c r="BF193">
        <v>1</v>
      </c>
      <c r="BG193">
        <v>1</v>
      </c>
      <c r="BH193">
        <v>1</v>
      </c>
      <c r="BI193">
        <v>1</v>
      </c>
      <c r="BJ193">
        <v>1</v>
      </c>
      <c r="BK193">
        <v>1</v>
      </c>
      <c r="BL193">
        <v>1</v>
      </c>
      <c r="BM193">
        <v>1</v>
      </c>
    </row>
    <row r="194" spans="2:65" x14ac:dyDescent="0.25">
      <c r="B194">
        <v>180</v>
      </c>
      <c r="C194" t="s">
        <v>586</v>
      </c>
      <c r="D194">
        <v>1</v>
      </c>
      <c r="E194">
        <v>1</v>
      </c>
      <c r="H194">
        <v>1</v>
      </c>
      <c r="J194">
        <v>1</v>
      </c>
      <c r="K194">
        <v>1</v>
      </c>
      <c r="L194">
        <v>1</v>
      </c>
      <c r="M194">
        <v>1</v>
      </c>
      <c r="N194">
        <v>1</v>
      </c>
      <c r="O194">
        <v>1</v>
      </c>
      <c r="Q194">
        <v>1</v>
      </c>
      <c r="R194">
        <v>1</v>
      </c>
      <c r="V194">
        <v>1</v>
      </c>
      <c r="W194">
        <v>1</v>
      </c>
      <c r="X194">
        <v>1</v>
      </c>
      <c r="Y194">
        <v>1</v>
      </c>
      <c r="Z194">
        <v>1</v>
      </c>
      <c r="AA194">
        <v>1</v>
      </c>
      <c r="AB194">
        <v>1</v>
      </c>
      <c r="AF194">
        <f>'User Add-In Location'!E195</f>
        <v>0</v>
      </c>
      <c r="AI194">
        <v>1</v>
      </c>
      <c r="AJ194">
        <v>1</v>
      </c>
      <c r="AL194">
        <v>1</v>
      </c>
      <c r="AM194">
        <v>1</v>
      </c>
      <c r="AO194">
        <v>1</v>
      </c>
      <c r="AQ194">
        <v>1</v>
      </c>
      <c r="AR194">
        <v>1</v>
      </c>
      <c r="AS194">
        <v>1</v>
      </c>
      <c r="AT194">
        <v>1</v>
      </c>
      <c r="AW194">
        <v>1</v>
      </c>
      <c r="AX194" s="176">
        <v>1</v>
      </c>
      <c r="BA194">
        <v>1</v>
      </c>
      <c r="BB194">
        <v>1</v>
      </c>
      <c r="BD194">
        <v>1</v>
      </c>
      <c r="BF194">
        <v>1</v>
      </c>
      <c r="BG194">
        <v>1</v>
      </c>
      <c r="BH194">
        <v>1</v>
      </c>
      <c r="BI194">
        <v>1</v>
      </c>
      <c r="BJ194">
        <v>1</v>
      </c>
      <c r="BK194">
        <v>1</v>
      </c>
      <c r="BL194">
        <v>1</v>
      </c>
      <c r="BM194">
        <v>1</v>
      </c>
    </row>
    <row r="195" spans="2:65" x14ac:dyDescent="0.25">
      <c r="B195">
        <v>181</v>
      </c>
      <c r="C195" t="s">
        <v>587</v>
      </c>
      <c r="D195">
        <v>1</v>
      </c>
      <c r="E195">
        <v>1</v>
      </c>
      <c r="H195">
        <v>1</v>
      </c>
      <c r="J195">
        <v>1</v>
      </c>
      <c r="K195">
        <v>1</v>
      </c>
      <c r="L195">
        <v>1</v>
      </c>
      <c r="M195">
        <v>1</v>
      </c>
      <c r="N195">
        <v>1</v>
      </c>
      <c r="O195">
        <v>1</v>
      </c>
      <c r="Q195">
        <v>1</v>
      </c>
      <c r="R195">
        <v>1</v>
      </c>
      <c r="V195">
        <v>1</v>
      </c>
      <c r="W195">
        <v>1</v>
      </c>
      <c r="X195">
        <v>1</v>
      </c>
      <c r="Y195">
        <v>1</v>
      </c>
      <c r="Z195">
        <v>1</v>
      </c>
      <c r="AA195">
        <v>1</v>
      </c>
      <c r="AB195">
        <v>1</v>
      </c>
      <c r="AF195">
        <f>'User Add-In Location'!E196</f>
        <v>0</v>
      </c>
      <c r="AI195">
        <v>1</v>
      </c>
      <c r="AJ195">
        <v>1</v>
      </c>
      <c r="AL195">
        <v>1</v>
      </c>
      <c r="AM195">
        <v>1</v>
      </c>
      <c r="AO195">
        <v>1</v>
      </c>
      <c r="AQ195">
        <v>1</v>
      </c>
      <c r="AR195">
        <v>1</v>
      </c>
      <c r="AS195">
        <v>1</v>
      </c>
      <c r="AT195">
        <v>1</v>
      </c>
      <c r="AW195">
        <v>1</v>
      </c>
      <c r="AX195" s="176">
        <v>1</v>
      </c>
      <c r="BA195">
        <v>1</v>
      </c>
      <c r="BB195">
        <v>1</v>
      </c>
      <c r="BD195">
        <v>1</v>
      </c>
      <c r="BF195">
        <v>1</v>
      </c>
      <c r="BG195">
        <v>1</v>
      </c>
      <c r="BH195">
        <v>1</v>
      </c>
      <c r="BI195">
        <v>1</v>
      </c>
      <c r="BJ195">
        <v>1</v>
      </c>
      <c r="BK195">
        <v>1</v>
      </c>
      <c r="BL195">
        <v>1</v>
      </c>
      <c r="BM195">
        <v>1</v>
      </c>
    </row>
    <row r="196" spans="2:65" x14ac:dyDescent="0.25">
      <c r="B196">
        <v>182</v>
      </c>
      <c r="C196" t="s">
        <v>588</v>
      </c>
      <c r="D196">
        <v>1</v>
      </c>
      <c r="E196">
        <v>1</v>
      </c>
      <c r="H196">
        <v>1</v>
      </c>
      <c r="J196">
        <v>1</v>
      </c>
      <c r="K196">
        <v>1</v>
      </c>
      <c r="L196">
        <v>1</v>
      </c>
      <c r="M196">
        <v>1</v>
      </c>
      <c r="N196">
        <v>1</v>
      </c>
      <c r="O196">
        <v>1</v>
      </c>
      <c r="Q196">
        <v>1</v>
      </c>
      <c r="R196">
        <v>1</v>
      </c>
      <c r="V196">
        <v>1</v>
      </c>
      <c r="W196">
        <v>1</v>
      </c>
      <c r="X196">
        <v>1</v>
      </c>
      <c r="Y196">
        <v>1</v>
      </c>
      <c r="Z196">
        <v>1</v>
      </c>
      <c r="AA196">
        <v>1</v>
      </c>
      <c r="AB196">
        <v>1</v>
      </c>
      <c r="AF196">
        <f>'User Add-In Location'!E197</f>
        <v>0</v>
      </c>
      <c r="AI196">
        <v>1</v>
      </c>
      <c r="AJ196">
        <v>1</v>
      </c>
      <c r="AL196">
        <v>1</v>
      </c>
      <c r="AM196">
        <v>1</v>
      </c>
      <c r="AO196">
        <v>1</v>
      </c>
      <c r="AQ196">
        <v>1</v>
      </c>
      <c r="AR196">
        <v>1</v>
      </c>
      <c r="AS196">
        <v>1</v>
      </c>
      <c r="AT196">
        <v>1</v>
      </c>
      <c r="AW196">
        <v>1</v>
      </c>
      <c r="AX196" s="176">
        <v>1</v>
      </c>
      <c r="BA196">
        <v>1</v>
      </c>
      <c r="BB196">
        <v>1</v>
      </c>
      <c r="BD196">
        <v>1</v>
      </c>
      <c r="BF196">
        <v>1</v>
      </c>
      <c r="BG196">
        <v>1</v>
      </c>
      <c r="BH196">
        <v>1</v>
      </c>
      <c r="BI196">
        <v>1</v>
      </c>
      <c r="BJ196">
        <v>1</v>
      </c>
      <c r="BK196">
        <v>1</v>
      </c>
      <c r="BL196">
        <v>1</v>
      </c>
      <c r="BM196">
        <v>1</v>
      </c>
    </row>
    <row r="197" spans="2:65" x14ac:dyDescent="0.25">
      <c r="B197">
        <v>183</v>
      </c>
      <c r="C197" t="s">
        <v>348</v>
      </c>
      <c r="D197">
        <v>1</v>
      </c>
      <c r="E197">
        <v>1</v>
      </c>
      <c r="H197">
        <v>1</v>
      </c>
      <c r="J197">
        <v>1</v>
      </c>
      <c r="K197">
        <v>1</v>
      </c>
      <c r="L197">
        <v>1</v>
      </c>
      <c r="M197">
        <v>1</v>
      </c>
      <c r="N197">
        <v>1</v>
      </c>
      <c r="O197">
        <v>1</v>
      </c>
      <c r="Q197">
        <v>1</v>
      </c>
      <c r="R197">
        <v>1</v>
      </c>
      <c r="V197">
        <v>1</v>
      </c>
      <c r="W197">
        <v>1</v>
      </c>
      <c r="X197">
        <v>1</v>
      </c>
      <c r="Y197">
        <v>1</v>
      </c>
      <c r="Z197">
        <v>1</v>
      </c>
      <c r="AA197">
        <v>1</v>
      </c>
      <c r="AB197">
        <v>1</v>
      </c>
      <c r="AF197">
        <f>'User Add-In Location'!E198</f>
        <v>0</v>
      </c>
      <c r="AI197">
        <v>1</v>
      </c>
      <c r="AJ197">
        <v>1</v>
      </c>
      <c r="AL197">
        <v>1</v>
      </c>
      <c r="AM197">
        <v>1</v>
      </c>
      <c r="AO197">
        <v>1</v>
      </c>
      <c r="AQ197">
        <v>1</v>
      </c>
      <c r="AR197">
        <v>1</v>
      </c>
      <c r="AS197">
        <v>1</v>
      </c>
      <c r="AT197">
        <v>1</v>
      </c>
      <c r="AW197">
        <v>1</v>
      </c>
      <c r="AX197" s="176">
        <v>1</v>
      </c>
      <c r="BA197">
        <v>1</v>
      </c>
      <c r="BB197">
        <v>1</v>
      </c>
      <c r="BD197">
        <v>1</v>
      </c>
      <c r="BF197">
        <v>1</v>
      </c>
      <c r="BG197">
        <v>1</v>
      </c>
      <c r="BH197">
        <v>1</v>
      </c>
      <c r="BI197">
        <v>1</v>
      </c>
      <c r="BJ197">
        <v>1</v>
      </c>
      <c r="BK197">
        <v>1</v>
      </c>
      <c r="BL197">
        <v>1</v>
      </c>
      <c r="BM197">
        <v>1</v>
      </c>
    </row>
    <row r="198" spans="2:65" x14ac:dyDescent="0.25">
      <c r="B198">
        <v>184</v>
      </c>
      <c r="C198" t="s">
        <v>589</v>
      </c>
      <c r="D198">
        <v>1</v>
      </c>
      <c r="E198">
        <v>1</v>
      </c>
      <c r="H198">
        <v>1</v>
      </c>
      <c r="J198">
        <v>1</v>
      </c>
      <c r="K198">
        <v>1</v>
      </c>
      <c r="L198">
        <v>1</v>
      </c>
      <c r="M198">
        <v>1</v>
      </c>
      <c r="N198">
        <v>1</v>
      </c>
      <c r="O198">
        <v>1</v>
      </c>
      <c r="Q198">
        <v>1</v>
      </c>
      <c r="R198">
        <v>1</v>
      </c>
      <c r="V198">
        <v>1</v>
      </c>
      <c r="W198">
        <v>1</v>
      </c>
      <c r="X198">
        <v>1</v>
      </c>
      <c r="Y198">
        <v>1</v>
      </c>
      <c r="Z198">
        <v>1</v>
      </c>
      <c r="AA198">
        <v>1</v>
      </c>
      <c r="AB198">
        <v>1</v>
      </c>
      <c r="AF198">
        <f>'User Add-In Location'!E199</f>
        <v>0</v>
      </c>
      <c r="AI198">
        <v>1</v>
      </c>
      <c r="AJ198">
        <v>1</v>
      </c>
      <c r="AL198">
        <v>1</v>
      </c>
      <c r="AM198">
        <v>1</v>
      </c>
      <c r="AO198">
        <v>1</v>
      </c>
      <c r="AQ198">
        <v>1</v>
      </c>
      <c r="AR198">
        <v>1</v>
      </c>
      <c r="AS198">
        <v>1</v>
      </c>
      <c r="AT198">
        <v>1</v>
      </c>
      <c r="AW198">
        <v>1</v>
      </c>
      <c r="AX198" s="176">
        <v>1</v>
      </c>
      <c r="BA198">
        <v>1</v>
      </c>
      <c r="BB198">
        <v>1</v>
      </c>
      <c r="BD198">
        <v>1</v>
      </c>
      <c r="BF198">
        <v>1</v>
      </c>
      <c r="BG198">
        <v>1</v>
      </c>
      <c r="BH198">
        <v>1</v>
      </c>
      <c r="BI198">
        <v>1</v>
      </c>
      <c r="BJ198">
        <v>1</v>
      </c>
      <c r="BK198">
        <v>1</v>
      </c>
      <c r="BL198">
        <v>1</v>
      </c>
      <c r="BM198">
        <v>1</v>
      </c>
    </row>
    <row r="199" spans="2:65" x14ac:dyDescent="0.25">
      <c r="B199">
        <v>185</v>
      </c>
      <c r="C199" t="s">
        <v>590</v>
      </c>
      <c r="D199">
        <v>1</v>
      </c>
      <c r="E199">
        <v>1</v>
      </c>
      <c r="H199">
        <v>1</v>
      </c>
      <c r="J199">
        <v>1</v>
      </c>
      <c r="K199">
        <v>1</v>
      </c>
      <c r="L199">
        <v>1</v>
      </c>
      <c r="M199">
        <v>1</v>
      </c>
      <c r="N199">
        <v>1</v>
      </c>
      <c r="O199">
        <v>1</v>
      </c>
      <c r="Q199">
        <v>1</v>
      </c>
      <c r="R199">
        <v>1</v>
      </c>
      <c r="V199">
        <v>1</v>
      </c>
      <c r="W199">
        <v>1</v>
      </c>
      <c r="X199">
        <v>1</v>
      </c>
      <c r="Y199">
        <v>1</v>
      </c>
      <c r="Z199">
        <v>1</v>
      </c>
      <c r="AA199">
        <v>1</v>
      </c>
      <c r="AB199">
        <v>1</v>
      </c>
      <c r="AF199">
        <f>'User Add-In Location'!E200</f>
        <v>0</v>
      </c>
      <c r="AI199">
        <v>1</v>
      </c>
      <c r="AJ199">
        <v>1</v>
      </c>
      <c r="AL199">
        <v>1</v>
      </c>
      <c r="AM199">
        <v>1</v>
      </c>
      <c r="AO199">
        <v>1</v>
      </c>
      <c r="AQ199">
        <v>1</v>
      </c>
      <c r="AR199">
        <v>1</v>
      </c>
      <c r="AS199">
        <v>1</v>
      </c>
      <c r="AT199">
        <v>1</v>
      </c>
      <c r="AW199">
        <v>1</v>
      </c>
      <c r="AX199" s="176">
        <v>1</v>
      </c>
      <c r="BA199">
        <v>1</v>
      </c>
      <c r="BB199">
        <v>1</v>
      </c>
      <c r="BD199">
        <v>1</v>
      </c>
      <c r="BF199">
        <v>1</v>
      </c>
      <c r="BG199">
        <v>1</v>
      </c>
      <c r="BH199">
        <v>1</v>
      </c>
      <c r="BI199">
        <v>1</v>
      </c>
      <c r="BJ199">
        <v>1</v>
      </c>
      <c r="BK199">
        <v>1</v>
      </c>
      <c r="BL199">
        <v>1</v>
      </c>
      <c r="BM199">
        <v>1</v>
      </c>
    </row>
    <row r="200" spans="2:65" x14ac:dyDescent="0.25">
      <c r="B200">
        <v>186</v>
      </c>
      <c r="C200" t="s">
        <v>591</v>
      </c>
      <c r="D200">
        <v>1</v>
      </c>
      <c r="E200">
        <v>1</v>
      </c>
      <c r="H200">
        <v>1</v>
      </c>
      <c r="J200">
        <v>1</v>
      </c>
      <c r="K200">
        <v>1</v>
      </c>
      <c r="L200">
        <v>1</v>
      </c>
      <c r="M200">
        <v>1</v>
      </c>
      <c r="N200">
        <v>1</v>
      </c>
      <c r="O200">
        <v>1</v>
      </c>
      <c r="Q200">
        <v>1</v>
      </c>
      <c r="R200">
        <v>1</v>
      </c>
      <c r="V200">
        <v>1</v>
      </c>
      <c r="W200">
        <v>1</v>
      </c>
      <c r="X200">
        <v>1</v>
      </c>
      <c r="Y200">
        <v>1</v>
      </c>
      <c r="Z200">
        <v>1</v>
      </c>
      <c r="AA200">
        <v>1</v>
      </c>
      <c r="AB200">
        <v>1</v>
      </c>
      <c r="AF200">
        <f>'User Add-In Location'!E201</f>
        <v>0</v>
      </c>
      <c r="AI200">
        <v>1</v>
      </c>
      <c r="AJ200">
        <v>1</v>
      </c>
      <c r="AL200">
        <v>1</v>
      </c>
      <c r="AM200">
        <v>1</v>
      </c>
      <c r="AO200">
        <v>1</v>
      </c>
      <c r="AQ200">
        <v>1</v>
      </c>
      <c r="AR200">
        <v>1</v>
      </c>
      <c r="AS200">
        <v>1</v>
      </c>
      <c r="AT200">
        <v>1</v>
      </c>
      <c r="AW200">
        <v>1</v>
      </c>
      <c r="AX200" s="176">
        <v>1</v>
      </c>
      <c r="BA200">
        <v>1</v>
      </c>
      <c r="BB200">
        <v>1</v>
      </c>
      <c r="BD200">
        <v>1</v>
      </c>
      <c r="BF200">
        <v>1</v>
      </c>
      <c r="BG200">
        <v>1</v>
      </c>
      <c r="BH200">
        <v>1</v>
      </c>
      <c r="BI200">
        <v>1</v>
      </c>
      <c r="BJ200">
        <v>1</v>
      </c>
      <c r="BK200">
        <v>1</v>
      </c>
      <c r="BL200">
        <v>1</v>
      </c>
      <c r="BM200">
        <v>1</v>
      </c>
    </row>
    <row r="201" spans="2:65" x14ac:dyDescent="0.25">
      <c r="B201">
        <v>187</v>
      </c>
      <c r="C201" t="s">
        <v>592</v>
      </c>
      <c r="D201">
        <v>1</v>
      </c>
      <c r="E201">
        <v>1</v>
      </c>
      <c r="H201">
        <v>1</v>
      </c>
      <c r="J201">
        <v>1</v>
      </c>
      <c r="K201">
        <v>1</v>
      </c>
      <c r="L201">
        <v>1</v>
      </c>
      <c r="M201">
        <v>1</v>
      </c>
      <c r="N201">
        <v>1</v>
      </c>
      <c r="O201">
        <v>1</v>
      </c>
      <c r="Q201">
        <v>1</v>
      </c>
      <c r="R201">
        <v>1</v>
      </c>
      <c r="V201">
        <v>1</v>
      </c>
      <c r="W201">
        <v>1</v>
      </c>
      <c r="X201">
        <v>1</v>
      </c>
      <c r="Y201">
        <v>1</v>
      </c>
      <c r="Z201">
        <v>1</v>
      </c>
      <c r="AA201">
        <v>1</v>
      </c>
      <c r="AB201">
        <v>1</v>
      </c>
      <c r="AF201">
        <f>'User Add-In Location'!E202</f>
        <v>0</v>
      </c>
      <c r="AI201">
        <v>1</v>
      </c>
      <c r="AJ201">
        <v>1</v>
      </c>
      <c r="AL201">
        <v>1</v>
      </c>
      <c r="AM201">
        <v>1</v>
      </c>
      <c r="AO201">
        <v>1</v>
      </c>
      <c r="AQ201">
        <v>1</v>
      </c>
      <c r="AR201">
        <v>1</v>
      </c>
      <c r="AS201">
        <v>1</v>
      </c>
      <c r="AT201">
        <v>1</v>
      </c>
      <c r="AW201">
        <v>1</v>
      </c>
      <c r="AX201" s="176">
        <v>1</v>
      </c>
      <c r="BA201">
        <v>1</v>
      </c>
      <c r="BB201">
        <v>1</v>
      </c>
      <c r="BD201">
        <v>1</v>
      </c>
      <c r="BF201">
        <v>1</v>
      </c>
      <c r="BG201">
        <v>1</v>
      </c>
      <c r="BH201">
        <v>1</v>
      </c>
      <c r="BI201">
        <v>1</v>
      </c>
      <c r="BJ201">
        <v>1</v>
      </c>
      <c r="BK201">
        <v>1</v>
      </c>
      <c r="BL201">
        <v>1</v>
      </c>
      <c r="BM201">
        <v>1</v>
      </c>
    </row>
    <row r="202" spans="2:65" x14ac:dyDescent="0.25">
      <c r="B202">
        <v>188</v>
      </c>
      <c r="C202" t="s">
        <v>593</v>
      </c>
      <c r="D202">
        <v>1</v>
      </c>
      <c r="E202">
        <v>1</v>
      </c>
      <c r="H202">
        <v>1</v>
      </c>
      <c r="J202">
        <v>1</v>
      </c>
      <c r="K202">
        <v>1</v>
      </c>
      <c r="L202">
        <v>1</v>
      </c>
      <c r="M202">
        <v>1</v>
      </c>
      <c r="N202">
        <v>1</v>
      </c>
      <c r="O202">
        <v>1</v>
      </c>
      <c r="Q202">
        <v>1</v>
      </c>
      <c r="R202">
        <v>1</v>
      </c>
      <c r="V202">
        <v>1</v>
      </c>
      <c r="W202">
        <v>1</v>
      </c>
      <c r="X202">
        <v>1</v>
      </c>
      <c r="Y202">
        <v>1</v>
      </c>
      <c r="Z202">
        <v>1</v>
      </c>
      <c r="AA202">
        <v>1</v>
      </c>
      <c r="AB202">
        <v>1</v>
      </c>
      <c r="AF202">
        <f>'User Add-In Location'!E203</f>
        <v>0</v>
      </c>
      <c r="AI202">
        <v>1</v>
      </c>
      <c r="AJ202">
        <v>1</v>
      </c>
      <c r="AL202">
        <v>1</v>
      </c>
      <c r="AM202">
        <v>1</v>
      </c>
      <c r="AO202">
        <v>1</v>
      </c>
      <c r="AQ202">
        <v>1</v>
      </c>
      <c r="AR202">
        <v>1</v>
      </c>
      <c r="AS202">
        <v>1</v>
      </c>
      <c r="AT202">
        <v>1</v>
      </c>
      <c r="AW202">
        <v>1</v>
      </c>
      <c r="AX202" s="176">
        <v>1</v>
      </c>
      <c r="BA202">
        <v>1</v>
      </c>
      <c r="BB202">
        <v>1</v>
      </c>
      <c r="BD202">
        <v>1</v>
      </c>
      <c r="BF202">
        <v>1</v>
      </c>
      <c r="BG202">
        <v>1</v>
      </c>
      <c r="BH202">
        <v>1</v>
      </c>
      <c r="BI202">
        <v>1</v>
      </c>
      <c r="BJ202">
        <v>1</v>
      </c>
      <c r="BK202">
        <v>1</v>
      </c>
      <c r="BL202">
        <v>1</v>
      </c>
      <c r="BM202">
        <v>1</v>
      </c>
    </row>
    <row r="203" spans="2:65" x14ac:dyDescent="0.25">
      <c r="B203">
        <v>189</v>
      </c>
      <c r="C203" t="s">
        <v>594</v>
      </c>
      <c r="D203">
        <v>1</v>
      </c>
      <c r="E203">
        <v>1</v>
      </c>
      <c r="H203">
        <v>1</v>
      </c>
      <c r="J203">
        <v>1</v>
      </c>
      <c r="K203">
        <v>1</v>
      </c>
      <c r="L203">
        <v>1</v>
      </c>
      <c r="M203">
        <v>1</v>
      </c>
      <c r="N203">
        <v>1</v>
      </c>
      <c r="O203">
        <v>1</v>
      </c>
      <c r="Q203">
        <v>1</v>
      </c>
      <c r="R203">
        <v>1</v>
      </c>
      <c r="V203">
        <v>1</v>
      </c>
      <c r="W203">
        <v>1</v>
      </c>
      <c r="X203">
        <v>1</v>
      </c>
      <c r="Y203">
        <v>1</v>
      </c>
      <c r="Z203">
        <v>1</v>
      </c>
      <c r="AA203">
        <v>1</v>
      </c>
      <c r="AB203">
        <v>1</v>
      </c>
      <c r="AF203">
        <f>'User Add-In Location'!E204</f>
        <v>0</v>
      </c>
      <c r="AI203">
        <v>1</v>
      </c>
      <c r="AJ203">
        <v>1</v>
      </c>
      <c r="AL203">
        <v>1</v>
      </c>
      <c r="AM203">
        <v>1</v>
      </c>
      <c r="AO203">
        <v>1</v>
      </c>
      <c r="AQ203">
        <v>1</v>
      </c>
      <c r="AR203">
        <v>1</v>
      </c>
      <c r="AS203">
        <v>1</v>
      </c>
      <c r="AT203">
        <v>1</v>
      </c>
      <c r="AW203">
        <v>1</v>
      </c>
      <c r="AX203" s="176">
        <v>1</v>
      </c>
      <c r="BA203">
        <v>1</v>
      </c>
      <c r="BB203">
        <v>1</v>
      </c>
      <c r="BD203">
        <v>1</v>
      </c>
      <c r="BF203">
        <v>1</v>
      </c>
      <c r="BG203">
        <v>1</v>
      </c>
      <c r="BH203">
        <v>1</v>
      </c>
      <c r="BI203">
        <v>1</v>
      </c>
      <c r="BJ203">
        <v>1</v>
      </c>
      <c r="BK203">
        <v>1</v>
      </c>
      <c r="BL203">
        <v>1</v>
      </c>
      <c r="BM203">
        <v>1</v>
      </c>
    </row>
    <row r="204" spans="2:65" x14ac:dyDescent="0.25">
      <c r="B204">
        <v>190</v>
      </c>
      <c r="C204" t="s">
        <v>415</v>
      </c>
      <c r="D204">
        <v>1</v>
      </c>
      <c r="E204">
        <v>1</v>
      </c>
      <c r="H204">
        <v>1</v>
      </c>
      <c r="J204">
        <v>1</v>
      </c>
      <c r="K204">
        <v>1</v>
      </c>
      <c r="L204">
        <v>1</v>
      </c>
      <c r="M204">
        <v>1</v>
      </c>
      <c r="N204">
        <v>1</v>
      </c>
      <c r="O204">
        <v>1</v>
      </c>
      <c r="Q204">
        <v>1</v>
      </c>
      <c r="R204">
        <v>1</v>
      </c>
      <c r="V204">
        <v>1</v>
      </c>
      <c r="W204">
        <v>1</v>
      </c>
      <c r="X204">
        <v>1</v>
      </c>
      <c r="Y204">
        <v>1</v>
      </c>
      <c r="Z204">
        <v>1</v>
      </c>
      <c r="AA204">
        <v>1</v>
      </c>
      <c r="AB204">
        <v>1</v>
      </c>
      <c r="AF204">
        <f>'User Add-In Location'!E205</f>
        <v>0</v>
      </c>
      <c r="AI204">
        <v>1</v>
      </c>
      <c r="AJ204">
        <v>1</v>
      </c>
      <c r="AL204">
        <v>1</v>
      </c>
      <c r="AM204">
        <v>1</v>
      </c>
      <c r="AO204">
        <v>1</v>
      </c>
      <c r="AQ204">
        <v>1</v>
      </c>
      <c r="AR204">
        <v>1</v>
      </c>
      <c r="AS204">
        <v>1</v>
      </c>
      <c r="AT204">
        <v>1</v>
      </c>
      <c r="AW204">
        <v>1</v>
      </c>
      <c r="AX204" s="176">
        <v>1</v>
      </c>
      <c r="BA204">
        <v>1</v>
      </c>
      <c r="BB204">
        <v>1</v>
      </c>
      <c r="BD204">
        <v>1</v>
      </c>
      <c r="BF204">
        <v>1</v>
      </c>
      <c r="BG204">
        <v>1</v>
      </c>
      <c r="BH204">
        <v>1</v>
      </c>
      <c r="BI204">
        <v>1</v>
      </c>
      <c r="BJ204">
        <v>1</v>
      </c>
      <c r="BK204">
        <v>1</v>
      </c>
      <c r="BL204">
        <v>1</v>
      </c>
      <c r="BM204">
        <v>1</v>
      </c>
    </row>
    <row r="205" spans="2:65" x14ac:dyDescent="0.25">
      <c r="B205">
        <v>191</v>
      </c>
      <c r="C205" t="s">
        <v>595</v>
      </c>
      <c r="D205">
        <v>1</v>
      </c>
      <c r="E205">
        <v>1</v>
      </c>
      <c r="H205">
        <v>1</v>
      </c>
      <c r="J205">
        <v>1</v>
      </c>
      <c r="K205">
        <v>1</v>
      </c>
      <c r="L205">
        <v>1</v>
      </c>
      <c r="M205">
        <v>1</v>
      </c>
      <c r="N205">
        <v>1</v>
      </c>
      <c r="O205">
        <v>1</v>
      </c>
      <c r="Q205">
        <v>1</v>
      </c>
      <c r="R205">
        <v>1</v>
      </c>
      <c r="V205">
        <v>1</v>
      </c>
      <c r="W205">
        <v>1</v>
      </c>
      <c r="X205">
        <v>1</v>
      </c>
      <c r="Y205">
        <v>1</v>
      </c>
      <c r="Z205">
        <v>1</v>
      </c>
      <c r="AA205">
        <v>1</v>
      </c>
      <c r="AB205">
        <v>1</v>
      </c>
      <c r="AF205">
        <f>'User Add-In Location'!E206</f>
        <v>0</v>
      </c>
      <c r="AI205">
        <v>1</v>
      </c>
      <c r="AJ205">
        <v>1</v>
      </c>
      <c r="AL205">
        <v>1</v>
      </c>
      <c r="AM205">
        <v>1</v>
      </c>
      <c r="AO205">
        <v>1</v>
      </c>
      <c r="AQ205">
        <v>1</v>
      </c>
      <c r="AR205">
        <v>1</v>
      </c>
      <c r="AS205">
        <v>1</v>
      </c>
      <c r="AT205">
        <v>1</v>
      </c>
      <c r="AW205">
        <v>1</v>
      </c>
      <c r="AX205" s="176">
        <v>1</v>
      </c>
      <c r="BA205">
        <v>1</v>
      </c>
      <c r="BB205">
        <v>1</v>
      </c>
      <c r="BD205">
        <v>1</v>
      </c>
      <c r="BF205">
        <v>1</v>
      </c>
      <c r="BG205">
        <v>1</v>
      </c>
      <c r="BH205">
        <v>1</v>
      </c>
      <c r="BI205">
        <v>1</v>
      </c>
      <c r="BJ205">
        <v>1</v>
      </c>
      <c r="BK205">
        <v>1</v>
      </c>
      <c r="BL205">
        <v>1</v>
      </c>
      <c r="BM205">
        <v>1</v>
      </c>
    </row>
    <row r="206" spans="2:65" x14ac:dyDescent="0.25">
      <c r="B206">
        <v>192</v>
      </c>
      <c r="C206" t="s">
        <v>417</v>
      </c>
      <c r="D206">
        <v>1</v>
      </c>
      <c r="E206">
        <v>1</v>
      </c>
      <c r="H206">
        <v>1</v>
      </c>
      <c r="J206">
        <v>1</v>
      </c>
      <c r="K206">
        <v>1</v>
      </c>
      <c r="L206">
        <v>1</v>
      </c>
      <c r="M206">
        <v>1</v>
      </c>
      <c r="N206">
        <v>1</v>
      </c>
      <c r="O206">
        <v>1</v>
      </c>
      <c r="Q206">
        <v>1</v>
      </c>
      <c r="R206">
        <v>1</v>
      </c>
      <c r="V206">
        <v>1</v>
      </c>
      <c r="W206">
        <v>1</v>
      </c>
      <c r="X206">
        <v>1</v>
      </c>
      <c r="Y206">
        <v>1</v>
      </c>
      <c r="Z206">
        <v>1</v>
      </c>
      <c r="AA206">
        <v>1</v>
      </c>
      <c r="AB206">
        <v>1</v>
      </c>
      <c r="AF206">
        <f>'User Add-In Location'!E207</f>
        <v>0</v>
      </c>
      <c r="AI206">
        <v>1</v>
      </c>
      <c r="AJ206">
        <v>1</v>
      </c>
      <c r="AL206">
        <v>1</v>
      </c>
      <c r="AM206">
        <v>1</v>
      </c>
      <c r="AO206">
        <v>1</v>
      </c>
      <c r="AQ206">
        <v>1</v>
      </c>
      <c r="AR206">
        <v>1</v>
      </c>
      <c r="AS206">
        <v>1</v>
      </c>
      <c r="AT206">
        <v>1</v>
      </c>
      <c r="AW206">
        <v>1</v>
      </c>
      <c r="AX206" s="176">
        <v>1</v>
      </c>
      <c r="BA206">
        <v>1</v>
      </c>
      <c r="BB206">
        <v>1</v>
      </c>
      <c r="BD206">
        <v>1</v>
      </c>
      <c r="BF206">
        <v>1</v>
      </c>
      <c r="BG206">
        <v>1</v>
      </c>
      <c r="BH206">
        <v>1</v>
      </c>
      <c r="BI206">
        <v>1</v>
      </c>
      <c r="BJ206">
        <v>1</v>
      </c>
      <c r="BK206">
        <v>1</v>
      </c>
      <c r="BL206">
        <v>1</v>
      </c>
      <c r="BM206">
        <v>1</v>
      </c>
    </row>
    <row r="207" spans="2:65" x14ac:dyDescent="0.25">
      <c r="B207">
        <v>193</v>
      </c>
      <c r="C207" t="s">
        <v>418</v>
      </c>
      <c r="D207">
        <v>1</v>
      </c>
      <c r="E207">
        <v>1</v>
      </c>
      <c r="H207">
        <v>1</v>
      </c>
      <c r="J207">
        <v>1</v>
      </c>
      <c r="K207">
        <v>1</v>
      </c>
      <c r="L207">
        <v>1</v>
      </c>
      <c r="M207">
        <v>1</v>
      </c>
      <c r="N207">
        <v>1</v>
      </c>
      <c r="O207">
        <v>1</v>
      </c>
      <c r="Q207">
        <v>1</v>
      </c>
      <c r="R207">
        <v>1</v>
      </c>
      <c r="V207">
        <v>1</v>
      </c>
      <c r="W207">
        <v>1</v>
      </c>
      <c r="X207">
        <v>1</v>
      </c>
      <c r="Y207">
        <v>1</v>
      </c>
      <c r="Z207">
        <v>1</v>
      </c>
      <c r="AA207">
        <v>1</v>
      </c>
      <c r="AB207">
        <v>1</v>
      </c>
      <c r="AF207">
        <f>'User Add-In Location'!E208</f>
        <v>0</v>
      </c>
      <c r="AI207">
        <v>1</v>
      </c>
      <c r="AJ207">
        <v>1</v>
      </c>
      <c r="AL207">
        <v>1</v>
      </c>
      <c r="AM207">
        <v>1</v>
      </c>
      <c r="AO207">
        <v>1</v>
      </c>
      <c r="AQ207">
        <v>1</v>
      </c>
      <c r="AR207">
        <v>1</v>
      </c>
      <c r="AS207">
        <v>1</v>
      </c>
      <c r="AT207">
        <v>1</v>
      </c>
      <c r="AW207">
        <v>1</v>
      </c>
      <c r="AX207" s="176">
        <v>1</v>
      </c>
      <c r="BA207">
        <v>1</v>
      </c>
      <c r="BB207">
        <v>1</v>
      </c>
      <c r="BD207">
        <v>1</v>
      </c>
      <c r="BF207">
        <v>1</v>
      </c>
      <c r="BG207">
        <v>1</v>
      </c>
      <c r="BH207">
        <v>1</v>
      </c>
      <c r="BI207">
        <v>1</v>
      </c>
      <c r="BJ207">
        <v>1</v>
      </c>
      <c r="BK207">
        <v>1</v>
      </c>
      <c r="BL207">
        <v>1</v>
      </c>
      <c r="BM207">
        <v>1</v>
      </c>
    </row>
    <row r="208" spans="2:65" x14ac:dyDescent="0.25">
      <c r="B208">
        <v>194</v>
      </c>
      <c r="C208" t="s">
        <v>596</v>
      </c>
      <c r="D208">
        <v>1</v>
      </c>
      <c r="E208">
        <v>1</v>
      </c>
      <c r="H208">
        <v>1</v>
      </c>
      <c r="J208">
        <v>1</v>
      </c>
      <c r="K208">
        <v>1</v>
      </c>
      <c r="L208">
        <v>1</v>
      </c>
      <c r="M208">
        <v>1</v>
      </c>
      <c r="N208">
        <v>1</v>
      </c>
      <c r="O208">
        <v>1</v>
      </c>
      <c r="Q208">
        <v>1</v>
      </c>
      <c r="R208">
        <v>1</v>
      </c>
      <c r="V208">
        <v>1</v>
      </c>
      <c r="W208">
        <v>1</v>
      </c>
      <c r="X208">
        <v>1</v>
      </c>
      <c r="Y208">
        <v>1</v>
      </c>
      <c r="Z208">
        <v>1</v>
      </c>
      <c r="AA208">
        <v>1</v>
      </c>
      <c r="AB208">
        <v>1</v>
      </c>
      <c r="AF208">
        <f>'User Add-In Location'!E209</f>
        <v>0</v>
      </c>
      <c r="AI208">
        <v>1</v>
      </c>
      <c r="AJ208">
        <v>1</v>
      </c>
      <c r="AL208">
        <v>1</v>
      </c>
      <c r="AM208">
        <v>1</v>
      </c>
      <c r="AO208">
        <v>1</v>
      </c>
      <c r="AQ208">
        <v>1</v>
      </c>
      <c r="AR208">
        <v>1</v>
      </c>
      <c r="AS208">
        <v>1</v>
      </c>
      <c r="AT208">
        <v>1</v>
      </c>
      <c r="AW208">
        <v>1</v>
      </c>
      <c r="AX208" s="176">
        <v>1</v>
      </c>
      <c r="BA208">
        <v>1</v>
      </c>
      <c r="BB208">
        <v>1</v>
      </c>
      <c r="BD208">
        <v>1</v>
      </c>
      <c r="BF208">
        <v>1</v>
      </c>
      <c r="BG208">
        <v>1</v>
      </c>
      <c r="BH208">
        <v>1</v>
      </c>
      <c r="BI208">
        <v>1</v>
      </c>
      <c r="BJ208">
        <v>1</v>
      </c>
      <c r="BK208">
        <v>1</v>
      </c>
      <c r="BL208">
        <v>1</v>
      </c>
      <c r="BM208">
        <v>1</v>
      </c>
    </row>
    <row r="209" spans="1:65" x14ac:dyDescent="0.25">
      <c r="B209">
        <v>195</v>
      </c>
      <c r="C209" t="s">
        <v>597</v>
      </c>
      <c r="D209">
        <v>1</v>
      </c>
      <c r="E209">
        <v>1</v>
      </c>
      <c r="H209">
        <v>1</v>
      </c>
      <c r="J209">
        <v>1</v>
      </c>
      <c r="K209">
        <v>1</v>
      </c>
      <c r="L209">
        <v>1</v>
      </c>
      <c r="M209">
        <v>1</v>
      </c>
      <c r="N209">
        <v>1</v>
      </c>
      <c r="O209">
        <v>1</v>
      </c>
      <c r="Q209">
        <v>1</v>
      </c>
      <c r="R209">
        <v>1</v>
      </c>
      <c r="V209">
        <v>1</v>
      </c>
      <c r="W209">
        <v>1</v>
      </c>
      <c r="X209">
        <v>1</v>
      </c>
      <c r="Y209">
        <v>1</v>
      </c>
      <c r="Z209">
        <v>1</v>
      </c>
      <c r="AA209">
        <v>1</v>
      </c>
      <c r="AB209">
        <v>1</v>
      </c>
      <c r="AF209">
        <f>'User Add-In Location'!E210</f>
        <v>0</v>
      </c>
      <c r="AI209">
        <v>1</v>
      </c>
      <c r="AJ209">
        <v>1</v>
      </c>
      <c r="AL209">
        <v>1</v>
      </c>
      <c r="AM209">
        <v>1</v>
      </c>
      <c r="AO209">
        <v>1</v>
      </c>
      <c r="AQ209">
        <v>1</v>
      </c>
      <c r="AR209">
        <v>1</v>
      </c>
      <c r="AS209">
        <v>1</v>
      </c>
      <c r="AT209">
        <v>1</v>
      </c>
      <c r="AW209">
        <v>1</v>
      </c>
      <c r="AX209" s="176">
        <v>1</v>
      </c>
      <c r="BA209">
        <v>1</v>
      </c>
      <c r="BB209">
        <v>1</v>
      </c>
      <c r="BD209">
        <v>1</v>
      </c>
      <c r="BF209">
        <v>1</v>
      </c>
      <c r="BG209">
        <v>1</v>
      </c>
      <c r="BH209">
        <v>1</v>
      </c>
      <c r="BI209">
        <v>1</v>
      </c>
      <c r="BJ209">
        <v>1</v>
      </c>
      <c r="BK209">
        <v>1</v>
      </c>
      <c r="BL209">
        <v>1</v>
      </c>
      <c r="BM209">
        <v>1</v>
      </c>
    </row>
    <row r="210" spans="1:65" x14ac:dyDescent="0.25">
      <c r="B210">
        <v>196</v>
      </c>
      <c r="C210" t="s">
        <v>598</v>
      </c>
      <c r="D210">
        <v>1</v>
      </c>
      <c r="E210">
        <v>1</v>
      </c>
      <c r="H210">
        <v>1</v>
      </c>
      <c r="J210">
        <v>1</v>
      </c>
      <c r="K210">
        <v>1</v>
      </c>
      <c r="L210">
        <v>1</v>
      </c>
      <c r="M210">
        <v>1</v>
      </c>
      <c r="N210">
        <v>1</v>
      </c>
      <c r="O210">
        <v>1</v>
      </c>
      <c r="Q210">
        <v>1</v>
      </c>
      <c r="R210">
        <v>1</v>
      </c>
      <c r="V210">
        <v>1</v>
      </c>
      <c r="W210">
        <v>1</v>
      </c>
      <c r="X210">
        <v>1</v>
      </c>
      <c r="Y210">
        <v>1</v>
      </c>
      <c r="Z210">
        <v>1</v>
      </c>
      <c r="AA210">
        <v>1</v>
      </c>
      <c r="AB210">
        <v>1</v>
      </c>
      <c r="AF210">
        <f>'User Add-In Location'!E211</f>
        <v>0</v>
      </c>
      <c r="AI210">
        <v>1</v>
      </c>
      <c r="AJ210">
        <v>1</v>
      </c>
      <c r="AL210">
        <v>1</v>
      </c>
      <c r="AM210">
        <v>1</v>
      </c>
      <c r="AO210">
        <v>1</v>
      </c>
      <c r="AQ210">
        <v>1</v>
      </c>
      <c r="AR210">
        <v>1</v>
      </c>
      <c r="AS210">
        <v>1</v>
      </c>
      <c r="AT210">
        <v>1</v>
      </c>
      <c r="AW210">
        <v>1</v>
      </c>
      <c r="AX210" s="176">
        <v>1</v>
      </c>
      <c r="BA210">
        <v>1</v>
      </c>
      <c r="BB210">
        <v>1</v>
      </c>
      <c r="BD210">
        <v>1</v>
      </c>
      <c r="BF210">
        <v>1</v>
      </c>
      <c r="BG210">
        <v>1</v>
      </c>
      <c r="BH210">
        <v>1</v>
      </c>
      <c r="BI210">
        <v>1</v>
      </c>
      <c r="BJ210">
        <v>1</v>
      </c>
      <c r="BK210">
        <v>1</v>
      </c>
      <c r="BL210">
        <v>1</v>
      </c>
      <c r="BM210">
        <v>1</v>
      </c>
    </row>
    <row r="211" spans="1:65" x14ac:dyDescent="0.25">
      <c r="B211">
        <v>197</v>
      </c>
      <c r="C211" t="s">
        <v>599</v>
      </c>
      <c r="D211">
        <v>1</v>
      </c>
      <c r="E211">
        <v>1</v>
      </c>
      <c r="H211">
        <v>1</v>
      </c>
      <c r="J211">
        <v>1</v>
      </c>
      <c r="K211">
        <v>1</v>
      </c>
      <c r="L211">
        <v>1</v>
      </c>
      <c r="M211">
        <v>1</v>
      </c>
      <c r="N211">
        <v>1</v>
      </c>
      <c r="O211">
        <v>1</v>
      </c>
      <c r="Q211">
        <v>1</v>
      </c>
      <c r="R211">
        <v>1</v>
      </c>
      <c r="V211">
        <v>1</v>
      </c>
      <c r="W211">
        <v>1</v>
      </c>
      <c r="X211">
        <v>1</v>
      </c>
      <c r="Y211">
        <v>1</v>
      </c>
      <c r="Z211">
        <v>1</v>
      </c>
      <c r="AA211">
        <v>1</v>
      </c>
      <c r="AB211">
        <v>1</v>
      </c>
      <c r="AF211">
        <f>'User Add-In Location'!E212</f>
        <v>0</v>
      </c>
      <c r="AI211">
        <v>1</v>
      </c>
      <c r="AJ211">
        <v>1</v>
      </c>
      <c r="AL211">
        <v>1</v>
      </c>
      <c r="AM211">
        <v>1</v>
      </c>
      <c r="AO211">
        <v>1</v>
      </c>
      <c r="AQ211">
        <v>1</v>
      </c>
      <c r="AR211">
        <v>1</v>
      </c>
      <c r="AS211">
        <v>1</v>
      </c>
      <c r="AT211">
        <v>1</v>
      </c>
      <c r="AW211">
        <v>1</v>
      </c>
      <c r="AX211" s="176">
        <v>1</v>
      </c>
      <c r="BA211">
        <v>1</v>
      </c>
      <c r="BB211">
        <v>1</v>
      </c>
      <c r="BD211">
        <v>1</v>
      </c>
      <c r="BF211">
        <v>1</v>
      </c>
      <c r="BG211">
        <v>1</v>
      </c>
      <c r="BH211">
        <v>1</v>
      </c>
      <c r="BI211">
        <v>1</v>
      </c>
      <c r="BJ211">
        <v>1</v>
      </c>
      <c r="BK211">
        <v>1</v>
      </c>
      <c r="BL211">
        <v>1</v>
      </c>
      <c r="BM211">
        <v>1</v>
      </c>
    </row>
    <row r="212" spans="1:65" x14ac:dyDescent="0.25">
      <c r="B212">
        <v>198</v>
      </c>
      <c r="C212" t="s">
        <v>423</v>
      </c>
      <c r="D212">
        <v>1</v>
      </c>
      <c r="E212">
        <v>1</v>
      </c>
      <c r="H212">
        <v>1</v>
      </c>
      <c r="J212">
        <v>1</v>
      </c>
      <c r="K212">
        <v>1</v>
      </c>
      <c r="L212">
        <v>1</v>
      </c>
      <c r="M212">
        <v>1</v>
      </c>
      <c r="N212">
        <v>1</v>
      </c>
      <c r="O212">
        <v>1</v>
      </c>
      <c r="Q212">
        <v>1</v>
      </c>
      <c r="R212">
        <v>1</v>
      </c>
      <c r="V212">
        <v>1</v>
      </c>
      <c r="W212">
        <v>1</v>
      </c>
      <c r="X212">
        <v>1</v>
      </c>
      <c r="Y212">
        <v>1</v>
      </c>
      <c r="Z212">
        <v>1</v>
      </c>
      <c r="AA212">
        <v>1</v>
      </c>
      <c r="AB212">
        <v>1</v>
      </c>
      <c r="AF212">
        <f>'User Add-In Location'!E213</f>
        <v>0</v>
      </c>
      <c r="AI212">
        <v>1</v>
      </c>
      <c r="AJ212">
        <v>1</v>
      </c>
      <c r="AL212">
        <v>1</v>
      </c>
      <c r="AM212">
        <v>1</v>
      </c>
      <c r="AO212">
        <v>1</v>
      </c>
      <c r="AQ212">
        <v>1</v>
      </c>
      <c r="AR212">
        <v>1</v>
      </c>
      <c r="AS212">
        <v>1</v>
      </c>
      <c r="AT212">
        <v>1</v>
      </c>
      <c r="AW212">
        <v>1</v>
      </c>
      <c r="AX212" s="176">
        <v>1</v>
      </c>
      <c r="BA212">
        <v>1</v>
      </c>
      <c r="BB212">
        <v>1</v>
      </c>
      <c r="BD212">
        <v>1</v>
      </c>
      <c r="BF212">
        <v>1</v>
      </c>
      <c r="BG212">
        <v>1</v>
      </c>
      <c r="BH212">
        <v>1</v>
      </c>
      <c r="BI212">
        <v>1</v>
      </c>
      <c r="BJ212">
        <v>1</v>
      </c>
      <c r="BK212">
        <v>1</v>
      </c>
      <c r="BL212">
        <v>1</v>
      </c>
      <c r="BM212">
        <v>1</v>
      </c>
    </row>
    <row r="213" spans="1:65" x14ac:dyDescent="0.25">
      <c r="B213">
        <v>199</v>
      </c>
      <c r="C213" t="s">
        <v>600</v>
      </c>
      <c r="D213">
        <v>1</v>
      </c>
      <c r="E213">
        <v>1</v>
      </c>
      <c r="H213">
        <v>1</v>
      </c>
      <c r="J213">
        <v>1</v>
      </c>
      <c r="K213">
        <v>1</v>
      </c>
      <c r="L213">
        <v>1</v>
      </c>
      <c r="M213">
        <v>1</v>
      </c>
      <c r="N213">
        <v>1</v>
      </c>
      <c r="O213">
        <v>1</v>
      </c>
      <c r="Q213">
        <v>1</v>
      </c>
      <c r="R213">
        <v>1</v>
      </c>
      <c r="V213">
        <v>1</v>
      </c>
      <c r="W213">
        <v>1</v>
      </c>
      <c r="X213">
        <v>1</v>
      </c>
      <c r="Y213">
        <v>1</v>
      </c>
      <c r="Z213">
        <v>1</v>
      </c>
      <c r="AA213">
        <v>1</v>
      </c>
      <c r="AB213">
        <v>1</v>
      </c>
      <c r="AF213">
        <f>'User Add-In Location'!E214</f>
        <v>0</v>
      </c>
      <c r="AI213">
        <v>1</v>
      </c>
      <c r="AJ213">
        <v>1</v>
      </c>
      <c r="AL213">
        <v>1</v>
      </c>
      <c r="AM213">
        <v>1</v>
      </c>
      <c r="AO213">
        <v>1</v>
      </c>
      <c r="AQ213">
        <v>1</v>
      </c>
      <c r="AR213">
        <v>1</v>
      </c>
      <c r="AS213">
        <v>1</v>
      </c>
      <c r="AT213">
        <v>1</v>
      </c>
      <c r="AW213">
        <v>1</v>
      </c>
      <c r="AX213" s="176">
        <v>1</v>
      </c>
      <c r="BA213">
        <v>1</v>
      </c>
      <c r="BB213">
        <v>1</v>
      </c>
      <c r="BD213">
        <v>1</v>
      </c>
      <c r="BF213">
        <v>1</v>
      </c>
      <c r="BG213">
        <v>1</v>
      </c>
      <c r="BH213">
        <v>1</v>
      </c>
      <c r="BI213">
        <v>1</v>
      </c>
      <c r="BJ213">
        <v>1</v>
      </c>
      <c r="BK213">
        <v>1</v>
      </c>
      <c r="BL213">
        <v>1</v>
      </c>
      <c r="BM213">
        <v>1</v>
      </c>
    </row>
    <row r="214" spans="1:65" x14ac:dyDescent="0.25">
      <c r="B214">
        <v>200</v>
      </c>
      <c r="C214" t="s">
        <v>601</v>
      </c>
      <c r="D214">
        <v>1</v>
      </c>
      <c r="E214">
        <v>1</v>
      </c>
      <c r="H214">
        <v>1</v>
      </c>
      <c r="J214">
        <v>1</v>
      </c>
      <c r="K214">
        <v>1</v>
      </c>
      <c r="L214">
        <v>1</v>
      </c>
      <c r="M214">
        <v>1</v>
      </c>
      <c r="N214">
        <v>1</v>
      </c>
      <c r="O214">
        <v>1</v>
      </c>
      <c r="Q214">
        <v>1</v>
      </c>
      <c r="R214">
        <v>1</v>
      </c>
      <c r="V214">
        <v>1</v>
      </c>
      <c r="W214">
        <v>1</v>
      </c>
      <c r="X214">
        <v>1</v>
      </c>
      <c r="Y214">
        <v>1</v>
      </c>
      <c r="Z214">
        <v>1</v>
      </c>
      <c r="AA214">
        <v>1</v>
      </c>
      <c r="AB214">
        <v>1</v>
      </c>
      <c r="AF214">
        <f>'User Add-In Location'!E215</f>
        <v>0</v>
      </c>
      <c r="AI214">
        <v>1</v>
      </c>
      <c r="AJ214">
        <v>1</v>
      </c>
      <c r="AL214">
        <v>1</v>
      </c>
      <c r="AM214">
        <v>1</v>
      </c>
      <c r="AO214">
        <v>1</v>
      </c>
      <c r="AQ214">
        <v>1</v>
      </c>
      <c r="AR214">
        <v>1</v>
      </c>
      <c r="AS214">
        <v>1</v>
      </c>
      <c r="AT214">
        <v>1</v>
      </c>
      <c r="AW214">
        <v>1</v>
      </c>
      <c r="AX214" s="176">
        <v>1</v>
      </c>
      <c r="BA214">
        <v>1</v>
      </c>
      <c r="BB214">
        <v>1</v>
      </c>
      <c r="BD214">
        <v>1</v>
      </c>
      <c r="BF214">
        <v>1</v>
      </c>
      <c r="BG214">
        <v>1</v>
      </c>
      <c r="BH214">
        <v>1</v>
      </c>
      <c r="BI214">
        <v>1</v>
      </c>
      <c r="BJ214">
        <v>1</v>
      </c>
      <c r="BK214">
        <v>1</v>
      </c>
      <c r="BL214">
        <v>1</v>
      </c>
      <c r="BM214">
        <v>1</v>
      </c>
    </row>
    <row r="215" spans="1:65" x14ac:dyDescent="0.25">
      <c r="B215">
        <v>201</v>
      </c>
      <c r="C215" t="s">
        <v>602</v>
      </c>
      <c r="D215">
        <v>1</v>
      </c>
      <c r="E215">
        <v>1</v>
      </c>
      <c r="H215">
        <v>1</v>
      </c>
      <c r="J215">
        <v>1</v>
      </c>
      <c r="K215">
        <v>1</v>
      </c>
      <c r="L215">
        <v>1</v>
      </c>
      <c r="M215">
        <v>1</v>
      </c>
      <c r="N215">
        <v>1</v>
      </c>
      <c r="O215">
        <v>1</v>
      </c>
      <c r="Q215">
        <v>1</v>
      </c>
      <c r="R215">
        <v>1</v>
      </c>
      <c r="V215">
        <v>1</v>
      </c>
      <c r="W215">
        <v>1</v>
      </c>
      <c r="X215">
        <v>1</v>
      </c>
      <c r="Y215">
        <v>1</v>
      </c>
      <c r="Z215">
        <v>1</v>
      </c>
      <c r="AA215">
        <v>1</v>
      </c>
      <c r="AB215">
        <v>1</v>
      </c>
      <c r="AF215">
        <f>'User Add-In Location'!E216</f>
        <v>0</v>
      </c>
      <c r="AI215">
        <v>1</v>
      </c>
      <c r="AJ215">
        <v>1</v>
      </c>
      <c r="AL215">
        <v>1</v>
      </c>
      <c r="AM215">
        <v>1</v>
      </c>
      <c r="AO215">
        <v>1</v>
      </c>
      <c r="AQ215">
        <v>1</v>
      </c>
      <c r="AR215">
        <v>1</v>
      </c>
      <c r="AS215">
        <v>1</v>
      </c>
      <c r="AT215">
        <v>1</v>
      </c>
      <c r="AW215">
        <v>1</v>
      </c>
      <c r="AX215" s="176">
        <v>1</v>
      </c>
      <c r="BA215">
        <v>1</v>
      </c>
      <c r="BB215">
        <v>1</v>
      </c>
      <c r="BD215">
        <v>1</v>
      </c>
      <c r="BF215">
        <v>1</v>
      </c>
      <c r="BG215">
        <v>1</v>
      </c>
      <c r="BH215">
        <v>1</v>
      </c>
      <c r="BI215">
        <v>1</v>
      </c>
      <c r="BJ215">
        <v>1</v>
      </c>
      <c r="BK215">
        <v>1</v>
      </c>
      <c r="BL215">
        <v>1</v>
      </c>
      <c r="BM215">
        <v>1</v>
      </c>
    </row>
    <row r="216" spans="1:65" x14ac:dyDescent="0.25">
      <c r="B216">
        <v>202</v>
      </c>
    </row>
    <row r="217" spans="1:65" x14ac:dyDescent="0.25">
      <c r="A217" t="s">
        <v>722</v>
      </c>
      <c r="B217">
        <v>203</v>
      </c>
      <c r="D217" s="174" t="s">
        <v>532</v>
      </c>
      <c r="E217" s="174" t="s">
        <v>680</v>
      </c>
      <c r="F217" s="174" t="s">
        <v>681</v>
      </c>
      <c r="G217" s="174" t="s">
        <v>682</v>
      </c>
      <c r="H217" s="174" t="s">
        <v>533</v>
      </c>
      <c r="I217" s="174" t="s">
        <v>683</v>
      </c>
      <c r="J217" s="174" t="s">
        <v>534</v>
      </c>
      <c r="K217" s="174" t="s">
        <v>535</v>
      </c>
      <c r="L217" s="174" t="s">
        <v>684</v>
      </c>
      <c r="M217" s="174" t="s">
        <v>536</v>
      </c>
      <c r="N217" s="174" t="s">
        <v>537</v>
      </c>
      <c r="O217" s="174" t="s">
        <v>538</v>
      </c>
      <c r="P217" s="174" t="s">
        <v>685</v>
      </c>
      <c r="Q217" s="174" t="s">
        <v>539</v>
      </c>
      <c r="R217" s="174" t="s">
        <v>540</v>
      </c>
      <c r="S217" s="174" t="s">
        <v>686</v>
      </c>
      <c r="T217" s="174" t="s">
        <v>687</v>
      </c>
      <c r="U217" s="174" t="s">
        <v>688</v>
      </c>
      <c r="V217" s="174" t="s">
        <v>541</v>
      </c>
      <c r="W217" s="174" t="s">
        <v>542</v>
      </c>
      <c r="X217" s="174" t="s">
        <v>543</v>
      </c>
      <c r="Y217" s="174" t="s">
        <v>544</v>
      </c>
      <c r="Z217" s="174" t="s">
        <v>545</v>
      </c>
      <c r="AA217" s="174" t="s">
        <v>546</v>
      </c>
      <c r="AB217" s="174" t="s">
        <v>549</v>
      </c>
      <c r="AC217" s="174" t="s">
        <v>689</v>
      </c>
      <c r="AD217" s="174" t="s">
        <v>690</v>
      </c>
      <c r="AE217" s="175" t="s">
        <v>691</v>
      </c>
      <c r="AF217" s="175" t="s">
        <v>1064</v>
      </c>
      <c r="AG217" s="174" t="s">
        <v>692</v>
      </c>
      <c r="AH217" s="174" t="s">
        <v>693</v>
      </c>
      <c r="AI217" s="174" t="s">
        <v>550</v>
      </c>
      <c r="AJ217" s="174" t="s">
        <v>551</v>
      </c>
      <c r="AK217" s="174" t="s">
        <v>694</v>
      </c>
      <c r="AL217" s="174" t="s">
        <v>695</v>
      </c>
      <c r="AM217" s="174" t="s">
        <v>553</v>
      </c>
      <c r="AN217" s="174" t="s">
        <v>696</v>
      </c>
      <c r="AO217" s="174" t="s">
        <v>554</v>
      </c>
      <c r="AP217" s="174" t="s">
        <v>697</v>
      </c>
      <c r="AQ217" s="174" t="s">
        <v>555</v>
      </c>
      <c r="AR217" s="174" t="s">
        <v>556</v>
      </c>
      <c r="AS217" s="174" t="s">
        <v>557</v>
      </c>
      <c r="AT217" s="174" t="s">
        <v>558</v>
      </c>
      <c r="AU217" s="174" t="s">
        <v>698</v>
      </c>
      <c r="AV217" s="174" t="s">
        <v>699</v>
      </c>
      <c r="AW217" s="174" t="s">
        <v>559</v>
      </c>
      <c r="AX217" s="174" t="s">
        <v>530</v>
      </c>
      <c r="AY217" s="174" t="s">
        <v>700</v>
      </c>
      <c r="AZ217" s="174" t="s">
        <v>701</v>
      </c>
      <c r="BA217" s="174" t="s">
        <v>560</v>
      </c>
      <c r="BB217" s="174" t="s">
        <v>561</v>
      </c>
      <c r="BC217" s="174" t="s">
        <v>702</v>
      </c>
      <c r="BD217" s="174" t="s">
        <v>562</v>
      </c>
      <c r="BE217" s="174" t="s">
        <v>703</v>
      </c>
      <c r="BF217" t="s">
        <v>704</v>
      </c>
      <c r="BG217" t="s">
        <v>705</v>
      </c>
      <c r="BH217" t="s">
        <v>706</v>
      </c>
      <c r="BI217" t="s">
        <v>707</v>
      </c>
      <c r="BJ217" t="s">
        <v>708</v>
      </c>
      <c r="BK217" t="s">
        <v>709</v>
      </c>
      <c r="BL217" t="s">
        <v>710</v>
      </c>
      <c r="BM217" t="s">
        <v>711</v>
      </c>
    </row>
    <row r="218" spans="1:65" x14ac:dyDescent="0.25">
      <c r="B218">
        <v>204</v>
      </c>
      <c r="C218" t="s">
        <v>400</v>
      </c>
      <c r="D218">
        <v>0.636293</v>
      </c>
      <c r="E218">
        <v>0.31905899999999998</v>
      </c>
      <c r="H218">
        <v>0.35372199999999998</v>
      </c>
      <c r="J218">
        <v>0.28716399999999997</v>
      </c>
      <c r="K218">
        <v>0.59326000000000001</v>
      </c>
      <c r="L218">
        <v>8.3594000000000002E-2</v>
      </c>
      <c r="M218">
        <v>0.29821799999999998</v>
      </c>
      <c r="N218">
        <v>0.61811499999999997</v>
      </c>
      <c r="O218">
        <v>0.26547399999999999</v>
      </c>
      <c r="Q218">
        <v>0.59471300000000005</v>
      </c>
      <c r="R218">
        <v>0.62483699999999998</v>
      </c>
      <c r="V218">
        <v>0.65034499999999995</v>
      </c>
      <c r="W218">
        <v>0.246585</v>
      </c>
      <c r="X218">
        <v>0.41523399999999999</v>
      </c>
      <c r="Y218">
        <v>0.15870600000000001</v>
      </c>
      <c r="Z218">
        <v>0.47269699999999998</v>
      </c>
      <c r="AA218">
        <v>0.81537700000000002</v>
      </c>
      <c r="AB218">
        <v>0.75042699999999996</v>
      </c>
      <c r="AF218">
        <f>'User Add-In Location'!E219</f>
        <v>0</v>
      </c>
      <c r="AI218">
        <v>0.34109600000000001</v>
      </c>
      <c r="AJ218">
        <v>0.28310999999999997</v>
      </c>
      <c r="AL218">
        <v>0.364205</v>
      </c>
      <c r="AM218">
        <v>0.72567400000000004</v>
      </c>
      <c r="AO218">
        <v>0.515208</v>
      </c>
      <c r="AQ218">
        <v>0.41084300000000001</v>
      </c>
      <c r="AR218">
        <v>0.59842899999999999</v>
      </c>
      <c r="AS218">
        <v>0.10591399999999999</v>
      </c>
      <c r="AT218">
        <v>0.44596799999999998</v>
      </c>
      <c r="AW218">
        <v>0.74453400000000003</v>
      </c>
      <c r="AX218" s="176">
        <v>0.91372600000000004</v>
      </c>
      <c r="BA218">
        <v>0.49805100000000002</v>
      </c>
      <c r="BB218">
        <v>0.34407100000000002</v>
      </c>
      <c r="BD218">
        <v>0.67797200000000002</v>
      </c>
      <c r="BF218">
        <v>0.69314200000000004</v>
      </c>
      <c r="BG218">
        <v>0.36320599999999997</v>
      </c>
      <c r="BH218">
        <v>0.54346799999999995</v>
      </c>
      <c r="BI218">
        <v>0.62343599999999999</v>
      </c>
      <c r="BJ218">
        <v>0.39021</v>
      </c>
      <c r="BK218">
        <v>0.69206999999999996</v>
      </c>
      <c r="BL218">
        <v>0.23677400000000001</v>
      </c>
      <c r="BM218">
        <v>0.32459199999999999</v>
      </c>
    </row>
    <row r="219" spans="1:65" x14ac:dyDescent="0.25">
      <c r="B219">
        <v>205</v>
      </c>
      <c r="C219" t="s">
        <v>583</v>
      </c>
      <c r="D219">
        <v>0.28205000000000002</v>
      </c>
      <c r="E219">
        <v>0.20610300000000001</v>
      </c>
      <c r="H219">
        <v>0.55286800000000003</v>
      </c>
      <c r="J219">
        <v>0.61358999999999997</v>
      </c>
      <c r="K219">
        <v>0.64155200000000001</v>
      </c>
      <c r="L219">
        <v>0.40950799999999998</v>
      </c>
      <c r="M219">
        <v>0.88701399999999997</v>
      </c>
      <c r="N219">
        <v>0.68856700000000004</v>
      </c>
      <c r="O219">
        <v>0.616892</v>
      </c>
      <c r="Q219">
        <v>0.93430000000000002</v>
      </c>
      <c r="R219">
        <v>0.78575499999999998</v>
      </c>
      <c r="V219">
        <v>0.58625499999999997</v>
      </c>
      <c r="W219">
        <v>0.64835299999999996</v>
      </c>
      <c r="X219">
        <v>0.81845599999999996</v>
      </c>
      <c r="Y219">
        <v>0.84523999999999999</v>
      </c>
      <c r="Z219">
        <v>0.77944400000000003</v>
      </c>
      <c r="AA219">
        <v>0.96199699999999999</v>
      </c>
      <c r="AB219">
        <v>0.72459200000000001</v>
      </c>
      <c r="AF219">
        <f>'User Add-In Location'!E220</f>
        <v>0</v>
      </c>
      <c r="AI219">
        <v>0.62523499999999999</v>
      </c>
      <c r="AJ219">
        <v>0.81199699999999997</v>
      </c>
      <c r="AL219">
        <v>0.78299099999999999</v>
      </c>
      <c r="AM219">
        <v>0.76109000000000004</v>
      </c>
      <c r="AO219">
        <v>0.33785900000000002</v>
      </c>
      <c r="AQ219">
        <v>0.85895299999999997</v>
      </c>
      <c r="AR219">
        <v>0.39608399999999999</v>
      </c>
      <c r="AS219">
        <v>0.52382399999999996</v>
      </c>
      <c r="AT219">
        <v>0.61999099999999996</v>
      </c>
      <c r="AW219">
        <v>0.50734000000000001</v>
      </c>
      <c r="AX219" s="176">
        <v>0.79456800000000005</v>
      </c>
      <c r="BA219">
        <v>0.78973099999999996</v>
      </c>
      <c r="BB219">
        <v>0.77282899999999999</v>
      </c>
      <c r="BD219">
        <v>0.82464700000000002</v>
      </c>
      <c r="BF219">
        <v>0.52955300000000005</v>
      </c>
      <c r="BG219">
        <v>0.58547199999999999</v>
      </c>
      <c r="BH219">
        <v>0.85680800000000001</v>
      </c>
      <c r="BI219">
        <v>0.51841599999999999</v>
      </c>
      <c r="BJ219">
        <v>0.82494599999999996</v>
      </c>
      <c r="BK219">
        <v>0.85197400000000001</v>
      </c>
      <c r="BL219">
        <v>0.826573</v>
      </c>
      <c r="BM219">
        <v>0.78896100000000002</v>
      </c>
    </row>
    <row r="220" spans="1:65" x14ac:dyDescent="0.25">
      <c r="B220">
        <v>206</v>
      </c>
      <c r="C220" t="s">
        <v>403</v>
      </c>
      <c r="D220">
        <v>0.37745299999999998</v>
      </c>
      <c r="E220">
        <v>0.28703200000000001</v>
      </c>
      <c r="H220">
        <v>0.45926499999999998</v>
      </c>
      <c r="J220">
        <v>0</v>
      </c>
      <c r="K220">
        <v>0</v>
      </c>
      <c r="L220">
        <v>0</v>
      </c>
      <c r="M220">
        <v>0.47067700000000001</v>
      </c>
      <c r="N220">
        <v>0</v>
      </c>
      <c r="O220">
        <v>0</v>
      </c>
      <c r="Q220">
        <v>0.44714799999999999</v>
      </c>
      <c r="R220">
        <v>0.43438500000000002</v>
      </c>
      <c r="V220">
        <v>0.51697700000000002</v>
      </c>
      <c r="W220">
        <v>0</v>
      </c>
      <c r="X220">
        <v>0.338281</v>
      </c>
      <c r="Y220">
        <v>0</v>
      </c>
      <c r="Z220">
        <v>0</v>
      </c>
      <c r="AA220">
        <v>0</v>
      </c>
      <c r="AB220">
        <v>0.55276899999999995</v>
      </c>
      <c r="AF220">
        <f>'User Add-In Location'!E221</f>
        <v>0</v>
      </c>
      <c r="AI220">
        <v>0</v>
      </c>
      <c r="AJ220">
        <v>0</v>
      </c>
      <c r="AL220">
        <v>0</v>
      </c>
      <c r="AM220">
        <v>0</v>
      </c>
      <c r="AO220">
        <v>0.312473</v>
      </c>
      <c r="AQ220">
        <v>0</v>
      </c>
      <c r="AR220">
        <v>0.50523499999999999</v>
      </c>
      <c r="AS220">
        <v>0</v>
      </c>
      <c r="AT220">
        <v>0</v>
      </c>
      <c r="AW220">
        <v>0.56178700000000004</v>
      </c>
      <c r="AX220" s="176">
        <v>0.67208400000000001</v>
      </c>
      <c r="BA220">
        <v>0.380139</v>
      </c>
      <c r="BB220">
        <v>0.50586900000000001</v>
      </c>
      <c r="BD220">
        <v>0</v>
      </c>
      <c r="BF220">
        <v>0.46938200000000002</v>
      </c>
      <c r="BG220">
        <v>0.51798</v>
      </c>
      <c r="BH220">
        <v>0.40936299999999998</v>
      </c>
      <c r="BI220">
        <v>0.45643800000000001</v>
      </c>
      <c r="BJ220">
        <v>0.36255799999999999</v>
      </c>
      <c r="BK220">
        <v>0.42608000000000001</v>
      </c>
      <c r="BL220">
        <v>0</v>
      </c>
      <c r="BM220">
        <v>0</v>
      </c>
    </row>
    <row r="221" spans="1:65" x14ac:dyDescent="0.25">
      <c r="B221">
        <v>207</v>
      </c>
      <c r="C221" t="s">
        <v>584</v>
      </c>
      <c r="D221">
        <v>0.42761399999999999</v>
      </c>
      <c r="E221">
        <v>0.33390799999999998</v>
      </c>
      <c r="H221">
        <v>0.52940500000000001</v>
      </c>
      <c r="J221">
        <v>0.43740000000000001</v>
      </c>
      <c r="K221">
        <v>0.61471200000000004</v>
      </c>
      <c r="L221">
        <v>0.340812</v>
      </c>
      <c r="M221">
        <v>0.48012500000000002</v>
      </c>
      <c r="N221">
        <v>0.391148</v>
      </c>
      <c r="O221">
        <v>0.284331</v>
      </c>
      <c r="Q221">
        <v>0.61078699999999997</v>
      </c>
      <c r="R221">
        <v>0.53952500000000003</v>
      </c>
      <c r="V221">
        <v>0.60845700000000003</v>
      </c>
      <c r="W221">
        <v>0.63956500000000005</v>
      </c>
      <c r="X221">
        <v>0.42921100000000001</v>
      </c>
      <c r="Y221">
        <v>0.49932900000000002</v>
      </c>
      <c r="Z221">
        <v>0.39428000000000002</v>
      </c>
      <c r="AA221">
        <v>0.454482</v>
      </c>
      <c r="AB221">
        <v>0.73131900000000005</v>
      </c>
      <c r="AF221">
        <f>'User Add-In Location'!E222</f>
        <v>0</v>
      </c>
      <c r="AI221">
        <v>0.59599599999999997</v>
      </c>
      <c r="AJ221">
        <v>0.50030200000000002</v>
      </c>
      <c r="AL221">
        <v>0.50392800000000004</v>
      </c>
      <c r="AM221">
        <v>0.55564800000000003</v>
      </c>
      <c r="AO221">
        <v>0.38606400000000002</v>
      </c>
      <c r="AQ221">
        <v>0.62143499999999996</v>
      </c>
      <c r="AR221">
        <v>0.41694300000000001</v>
      </c>
      <c r="AS221">
        <v>0.32190999999999997</v>
      </c>
      <c r="AT221">
        <v>0.35112900000000002</v>
      </c>
      <c r="AW221">
        <v>0.51630699999999996</v>
      </c>
      <c r="AX221" s="176">
        <v>0.79283099999999995</v>
      </c>
      <c r="BA221">
        <v>0.46135500000000002</v>
      </c>
      <c r="BB221">
        <v>0.61246999999999996</v>
      </c>
      <c r="BD221">
        <v>0.296875</v>
      </c>
      <c r="BF221">
        <v>0.52425299999999997</v>
      </c>
      <c r="BG221">
        <v>0.573824</v>
      </c>
      <c r="BH221">
        <v>0.53440399999999999</v>
      </c>
      <c r="BI221">
        <v>0.46214699999999997</v>
      </c>
      <c r="BJ221">
        <v>0.51378199999999996</v>
      </c>
      <c r="BK221">
        <v>0.506023</v>
      </c>
      <c r="BL221">
        <v>0.58896599999999999</v>
      </c>
      <c r="BM221">
        <v>0.52334899999999995</v>
      </c>
    </row>
    <row r="222" spans="1:65" x14ac:dyDescent="0.25">
      <c r="B222">
        <v>208</v>
      </c>
      <c r="C222" t="s">
        <v>585</v>
      </c>
      <c r="D222">
        <v>0.48188199999999998</v>
      </c>
      <c r="E222">
        <v>0</v>
      </c>
      <c r="H222">
        <v>0</v>
      </c>
      <c r="J222">
        <v>0</v>
      </c>
      <c r="K222">
        <v>0</v>
      </c>
      <c r="L222">
        <v>0</v>
      </c>
      <c r="M222">
        <v>0.32719300000000001</v>
      </c>
      <c r="N222">
        <v>0</v>
      </c>
      <c r="O222">
        <v>0</v>
      </c>
      <c r="Q222">
        <v>0</v>
      </c>
      <c r="R222">
        <v>0</v>
      </c>
      <c r="V222">
        <v>0</v>
      </c>
      <c r="W222">
        <v>0</v>
      </c>
      <c r="X222">
        <v>0</v>
      </c>
      <c r="Y222">
        <v>0</v>
      </c>
      <c r="Z222">
        <v>0</v>
      </c>
      <c r="AA222">
        <v>0.22522600000000001</v>
      </c>
      <c r="AB222">
        <v>0</v>
      </c>
      <c r="AF222">
        <f>'User Add-In Location'!E223</f>
        <v>0</v>
      </c>
      <c r="AI222">
        <v>0</v>
      </c>
      <c r="AJ222">
        <v>0.40117900000000001</v>
      </c>
      <c r="AL222">
        <v>0</v>
      </c>
      <c r="AM222">
        <v>0</v>
      </c>
      <c r="AO222">
        <v>0</v>
      </c>
      <c r="AQ222">
        <v>0</v>
      </c>
      <c r="AR222">
        <v>0</v>
      </c>
      <c r="AS222">
        <v>0</v>
      </c>
      <c r="AT222">
        <v>0</v>
      </c>
      <c r="AW222">
        <v>0.696515</v>
      </c>
      <c r="AX222" s="176">
        <v>0.82040299999999999</v>
      </c>
      <c r="BA222">
        <v>0</v>
      </c>
      <c r="BB222">
        <v>0</v>
      </c>
      <c r="BD222">
        <v>0</v>
      </c>
      <c r="BF222">
        <v>0.59988399999999997</v>
      </c>
      <c r="BG222">
        <v>0</v>
      </c>
      <c r="BH222">
        <v>0.42895499999999998</v>
      </c>
      <c r="BI222">
        <v>0.198159</v>
      </c>
      <c r="BJ222">
        <v>0.34936699999999998</v>
      </c>
      <c r="BK222">
        <v>0</v>
      </c>
      <c r="BL222">
        <v>0</v>
      </c>
      <c r="BM222">
        <v>0</v>
      </c>
    </row>
    <row r="223" spans="1:65" x14ac:dyDescent="0.25">
      <c r="B223">
        <v>209</v>
      </c>
      <c r="C223" t="s">
        <v>586</v>
      </c>
      <c r="D223">
        <v>1.8665000000000001E-2</v>
      </c>
      <c r="E223">
        <v>0.51766900000000005</v>
      </c>
      <c r="H223">
        <v>0.21721199999999999</v>
      </c>
      <c r="J223">
        <v>0.24842700000000001</v>
      </c>
      <c r="K223">
        <v>0.34016400000000002</v>
      </c>
      <c r="L223">
        <v>0.20586399999999999</v>
      </c>
      <c r="M223">
        <v>0.27185599999999999</v>
      </c>
      <c r="N223">
        <v>0.299398</v>
      </c>
      <c r="O223">
        <v>0.236072</v>
      </c>
      <c r="Q223">
        <v>0.32833499999999999</v>
      </c>
      <c r="R223">
        <v>0.377915</v>
      </c>
      <c r="V223">
        <v>0.38501800000000003</v>
      </c>
      <c r="W223">
        <v>0.33744099999999999</v>
      </c>
      <c r="X223">
        <v>0.27965099999999998</v>
      </c>
      <c r="Y223">
        <v>0.29499399999999998</v>
      </c>
      <c r="Z223">
        <v>0.369145</v>
      </c>
      <c r="AA223">
        <v>0.36813000000000001</v>
      </c>
      <c r="AB223">
        <v>0.432836</v>
      </c>
      <c r="AF223">
        <f>'User Add-In Location'!E224</f>
        <v>0</v>
      </c>
      <c r="AI223">
        <v>0.28238799999999997</v>
      </c>
      <c r="AJ223">
        <v>0.259411</v>
      </c>
      <c r="AL223">
        <v>0.30377700000000002</v>
      </c>
      <c r="AM223">
        <v>0.30886000000000002</v>
      </c>
      <c r="AO223">
        <v>0.31868299999999999</v>
      </c>
      <c r="AQ223">
        <v>0.34473300000000001</v>
      </c>
      <c r="AR223">
        <v>0.41749000000000003</v>
      </c>
      <c r="AS223">
        <v>0.17844699999999999</v>
      </c>
      <c r="AT223">
        <v>0.30556899999999998</v>
      </c>
      <c r="AW223">
        <v>0.43453700000000001</v>
      </c>
      <c r="AX223" s="176">
        <v>0.91115999999999997</v>
      </c>
      <c r="BA223">
        <v>0.29497499999999999</v>
      </c>
      <c r="BB223">
        <v>0.265426</v>
      </c>
      <c r="BD223">
        <v>0.30044700000000002</v>
      </c>
      <c r="BF223">
        <v>0.42536400000000002</v>
      </c>
      <c r="BG223">
        <v>0.24005199999999999</v>
      </c>
      <c r="BH223">
        <v>0.34182499999999999</v>
      </c>
      <c r="BI223">
        <v>0.39895900000000001</v>
      </c>
      <c r="BJ223">
        <v>0.30919400000000002</v>
      </c>
      <c r="BK223">
        <v>0.35132799999999997</v>
      </c>
      <c r="BL223">
        <v>0.30744899999999997</v>
      </c>
      <c r="BM223">
        <v>0.32602700000000001</v>
      </c>
    </row>
    <row r="224" spans="1:65" x14ac:dyDescent="0.25">
      <c r="B224">
        <v>210</v>
      </c>
      <c r="C224" t="s">
        <v>587</v>
      </c>
      <c r="D224">
        <v>0.34277800000000003</v>
      </c>
      <c r="E224">
        <v>0.19661699999999999</v>
      </c>
      <c r="H224">
        <v>2.5949E-2</v>
      </c>
      <c r="J224">
        <v>1.2217E-2</v>
      </c>
      <c r="K224">
        <v>8.5000000000000006E-5</v>
      </c>
      <c r="L224">
        <v>8.8700000000000001E-2</v>
      </c>
      <c r="M224">
        <v>2.2190000000000001E-3</v>
      </c>
      <c r="N224">
        <v>8.7799999999999996E-3</v>
      </c>
      <c r="O224">
        <v>7.2000000000000002E-5</v>
      </c>
      <c r="Q224">
        <v>1.1723000000000001E-2</v>
      </c>
      <c r="R224">
        <v>1.833E-3</v>
      </c>
      <c r="V224">
        <v>5.6680000000000003E-3</v>
      </c>
      <c r="W224">
        <v>0.17161599999999999</v>
      </c>
      <c r="X224">
        <v>4.0629999999999998E-3</v>
      </c>
      <c r="Y224">
        <v>1.1882999999999999E-2</v>
      </c>
      <c r="Z224">
        <v>1.9519999999999999E-2</v>
      </c>
      <c r="AA224">
        <v>4.2275E-2</v>
      </c>
      <c r="AB224">
        <v>1.02E-4</v>
      </c>
      <c r="AF224">
        <f>'User Add-In Location'!E225</f>
        <v>0</v>
      </c>
      <c r="AI224">
        <v>4.4888999999999998E-2</v>
      </c>
      <c r="AJ224">
        <v>5.3810000000000004E-3</v>
      </c>
      <c r="AL224">
        <v>2.6669000000000002E-2</v>
      </c>
      <c r="AM224">
        <v>8.7250000000000001E-3</v>
      </c>
      <c r="AO224">
        <v>1.8890000000000001E-3</v>
      </c>
      <c r="AQ224">
        <v>3.0550999999999998E-2</v>
      </c>
      <c r="AR224">
        <v>9.6240000000000006E-3</v>
      </c>
      <c r="AS224">
        <v>1.5617000000000001E-2</v>
      </c>
      <c r="AT224">
        <v>1.4977000000000001E-2</v>
      </c>
      <c r="AW224">
        <v>3.6732000000000001E-2</v>
      </c>
      <c r="AX224" s="176">
        <v>1.067348</v>
      </c>
      <c r="BA224">
        <v>1.2688E-2</v>
      </c>
      <c r="BB224">
        <v>2.1354000000000001E-2</v>
      </c>
      <c r="BD224">
        <v>7.6049999999999998E-3</v>
      </c>
      <c r="BF224">
        <v>1.8970999999999998E-2</v>
      </c>
      <c r="BG224">
        <v>2.6109E-2</v>
      </c>
      <c r="BH224">
        <v>1.7446E-2</v>
      </c>
      <c r="BI224">
        <v>1.7531000000000001E-2</v>
      </c>
      <c r="BJ224">
        <v>1.5948E-2</v>
      </c>
      <c r="BK224">
        <v>1.3098E-2</v>
      </c>
      <c r="BL224">
        <v>2.6107999999999999E-2</v>
      </c>
      <c r="BM224">
        <v>2.0521000000000001E-2</v>
      </c>
    </row>
    <row r="225" spans="2:65" x14ac:dyDescent="0.25">
      <c r="B225">
        <v>211</v>
      </c>
      <c r="C225" t="s">
        <v>588</v>
      </c>
      <c r="D225">
        <v>0.49552499999999999</v>
      </c>
      <c r="E225">
        <v>4.1999000000000002E-2</v>
      </c>
      <c r="H225">
        <v>0.36388300000000001</v>
      </c>
      <c r="J225">
        <v>0.14573</v>
      </c>
      <c r="K225">
        <v>0.284217</v>
      </c>
      <c r="L225">
        <v>0.29043400000000003</v>
      </c>
      <c r="M225">
        <v>0.36814400000000003</v>
      </c>
      <c r="N225">
        <v>0.319965</v>
      </c>
      <c r="O225">
        <v>0.34195599999999998</v>
      </c>
      <c r="Q225">
        <v>0.425236</v>
      </c>
      <c r="R225">
        <v>0.35802400000000001</v>
      </c>
      <c r="V225">
        <v>0.38040400000000002</v>
      </c>
      <c r="W225">
        <v>0.28730499999999998</v>
      </c>
      <c r="X225">
        <v>0.36737799999999998</v>
      </c>
      <c r="Y225">
        <v>0.36957600000000002</v>
      </c>
      <c r="Z225">
        <v>0.35820200000000002</v>
      </c>
      <c r="AA225">
        <v>0.38042599999999999</v>
      </c>
      <c r="AB225">
        <v>0.44041000000000002</v>
      </c>
      <c r="AF225">
        <f>'User Add-In Location'!E226</f>
        <v>0</v>
      </c>
      <c r="AI225">
        <v>0.30963299999999999</v>
      </c>
      <c r="AJ225">
        <v>0.342528</v>
      </c>
      <c r="AL225">
        <v>0.32614500000000002</v>
      </c>
      <c r="AM225">
        <v>0.36005199999999998</v>
      </c>
      <c r="AO225">
        <v>0.34288299999999999</v>
      </c>
      <c r="AQ225">
        <v>0.40221600000000002</v>
      </c>
      <c r="AR225">
        <v>0.22473000000000001</v>
      </c>
      <c r="AS225">
        <v>0.29715799999999998</v>
      </c>
      <c r="AT225">
        <v>0.30453599999999997</v>
      </c>
      <c r="AW225">
        <v>0.35275000000000001</v>
      </c>
      <c r="AX225" s="176">
        <v>0.52400400000000003</v>
      </c>
      <c r="BA225">
        <v>0.32863799999999999</v>
      </c>
      <c r="BB225">
        <v>0.25201000000000001</v>
      </c>
      <c r="BD225">
        <v>0.31945800000000002</v>
      </c>
      <c r="BF225">
        <v>0.38623299999999999</v>
      </c>
      <c r="BG225">
        <v>0.362261</v>
      </c>
      <c r="BH225">
        <v>0.35669400000000001</v>
      </c>
      <c r="BI225">
        <v>0.33284000000000002</v>
      </c>
      <c r="BJ225">
        <v>0.35300100000000001</v>
      </c>
      <c r="BK225">
        <v>0.36735600000000002</v>
      </c>
      <c r="BL225">
        <v>0.37186900000000001</v>
      </c>
      <c r="BM225">
        <v>0.31740099999999999</v>
      </c>
    </row>
    <row r="226" spans="2:65" x14ac:dyDescent="0.25">
      <c r="B226">
        <v>212</v>
      </c>
      <c r="C226" t="s">
        <v>348</v>
      </c>
      <c r="D226">
        <v>0.384853</v>
      </c>
      <c r="E226">
        <v>0.272706</v>
      </c>
      <c r="H226">
        <v>0.38311899999999999</v>
      </c>
      <c r="J226">
        <v>0.38480999999999999</v>
      </c>
      <c r="K226">
        <v>0.331729</v>
      </c>
      <c r="L226">
        <v>0.168098</v>
      </c>
      <c r="M226">
        <v>0.35829800000000001</v>
      </c>
      <c r="N226">
        <v>0.38442100000000001</v>
      </c>
      <c r="O226">
        <v>0.21312999999999999</v>
      </c>
      <c r="Q226">
        <v>0.42683300000000002</v>
      </c>
      <c r="R226">
        <v>0.42786000000000002</v>
      </c>
      <c r="V226">
        <v>0.525007</v>
      </c>
      <c r="W226">
        <v>0.38868900000000001</v>
      </c>
      <c r="X226">
        <v>0.32068600000000003</v>
      </c>
      <c r="Y226">
        <v>0.36221599999999998</v>
      </c>
      <c r="Z226">
        <v>0.34561700000000001</v>
      </c>
      <c r="AA226">
        <v>0.47262300000000002</v>
      </c>
      <c r="AB226">
        <v>0.51355200000000001</v>
      </c>
      <c r="AF226">
        <f>'User Add-In Location'!E227</f>
        <v>0</v>
      </c>
      <c r="AI226">
        <v>0.43690000000000001</v>
      </c>
      <c r="AJ226">
        <v>0.36464800000000003</v>
      </c>
      <c r="AL226">
        <v>0.31363999999999997</v>
      </c>
      <c r="AM226">
        <v>0.45823799999999998</v>
      </c>
      <c r="AO226">
        <v>0.34903400000000001</v>
      </c>
      <c r="AQ226">
        <v>0.38014300000000001</v>
      </c>
      <c r="AR226">
        <v>0.43076399999999998</v>
      </c>
      <c r="AS226">
        <v>0.24650900000000001</v>
      </c>
      <c r="AT226">
        <v>0.29602400000000001</v>
      </c>
      <c r="AW226">
        <v>0.52572600000000003</v>
      </c>
      <c r="AX226" s="176">
        <v>0.70779499999999995</v>
      </c>
      <c r="BA226">
        <v>0.37347799999999998</v>
      </c>
      <c r="BB226">
        <v>0.35345399999999999</v>
      </c>
      <c r="BD226">
        <v>0.40067399999999997</v>
      </c>
      <c r="BF226">
        <v>0.516849</v>
      </c>
      <c r="BG226">
        <v>0.38636799999999999</v>
      </c>
      <c r="BH226">
        <v>0.417763</v>
      </c>
      <c r="BI226">
        <v>0.42795499999999997</v>
      </c>
      <c r="BJ226">
        <v>0.33925499999999997</v>
      </c>
      <c r="BK226">
        <v>0.457897</v>
      </c>
      <c r="BL226">
        <v>0.40112500000000001</v>
      </c>
      <c r="BM226">
        <v>0.34606100000000001</v>
      </c>
    </row>
    <row r="227" spans="2:65" x14ac:dyDescent="0.25">
      <c r="B227">
        <v>213</v>
      </c>
      <c r="C227" t="s">
        <v>589</v>
      </c>
      <c r="D227">
        <v>6.5651000000000001E-2</v>
      </c>
      <c r="E227">
        <v>0.19475400000000001</v>
      </c>
      <c r="H227">
        <v>0.290358</v>
      </c>
      <c r="J227">
        <v>0.351244</v>
      </c>
      <c r="K227">
        <v>0.24393699999999999</v>
      </c>
      <c r="L227">
        <v>0.14985899999999999</v>
      </c>
      <c r="M227">
        <v>0.27790599999999999</v>
      </c>
      <c r="N227">
        <v>0.28477999999999998</v>
      </c>
      <c r="O227">
        <v>0.16463800000000001</v>
      </c>
      <c r="Q227">
        <v>0.32311400000000001</v>
      </c>
      <c r="R227">
        <v>0.33330199999999999</v>
      </c>
      <c r="V227">
        <v>0.40612799999999999</v>
      </c>
      <c r="W227">
        <v>0.38410899999999998</v>
      </c>
      <c r="X227">
        <v>0.26904899999999998</v>
      </c>
      <c r="Y227">
        <v>0.31253999999999998</v>
      </c>
      <c r="Z227">
        <v>0.27393299999999998</v>
      </c>
      <c r="AA227">
        <v>0.34557300000000002</v>
      </c>
      <c r="AB227">
        <v>0.40547499999999997</v>
      </c>
      <c r="AF227">
        <f>'User Add-In Location'!E228</f>
        <v>0</v>
      </c>
      <c r="AI227">
        <v>0.48429</v>
      </c>
      <c r="AJ227">
        <v>0.28644500000000001</v>
      </c>
      <c r="AL227">
        <v>0.24793999999999999</v>
      </c>
      <c r="AM227">
        <v>0.36272700000000002</v>
      </c>
      <c r="AO227">
        <v>0.29064499999999999</v>
      </c>
      <c r="AQ227">
        <v>0.31023200000000001</v>
      </c>
      <c r="AR227">
        <v>0.32440200000000002</v>
      </c>
      <c r="AS227">
        <v>0.20627699999999999</v>
      </c>
      <c r="AT227">
        <v>0.22173899999999999</v>
      </c>
      <c r="AW227">
        <v>0.38815699999999997</v>
      </c>
      <c r="AX227" s="176">
        <v>0.57399800000000001</v>
      </c>
      <c r="BA227">
        <v>0.29182200000000003</v>
      </c>
      <c r="BB227">
        <v>0.26128800000000002</v>
      </c>
      <c r="BD227">
        <v>0.303981</v>
      </c>
      <c r="BF227">
        <v>0.38539200000000001</v>
      </c>
      <c r="BG227">
        <v>0.293929</v>
      </c>
      <c r="BH227">
        <v>0.33101599999999998</v>
      </c>
      <c r="BI227">
        <v>0.32744000000000001</v>
      </c>
      <c r="BJ227">
        <v>0.26900400000000002</v>
      </c>
      <c r="BK227">
        <v>0.34798299999999999</v>
      </c>
      <c r="BL227">
        <v>0.36136099999999999</v>
      </c>
      <c r="BM227">
        <v>0.28326200000000001</v>
      </c>
    </row>
    <row r="228" spans="2:65" x14ac:dyDescent="0.25">
      <c r="B228">
        <v>214</v>
      </c>
      <c r="C228" t="s">
        <v>590</v>
      </c>
      <c r="D228">
        <v>0.37827300000000003</v>
      </c>
      <c r="E228">
        <v>0.28137400000000001</v>
      </c>
      <c r="H228">
        <v>0.35630899999999999</v>
      </c>
      <c r="J228">
        <v>0.387299</v>
      </c>
      <c r="K228">
        <v>0.30763200000000002</v>
      </c>
      <c r="L228">
        <v>0.153055</v>
      </c>
      <c r="M228">
        <v>0.31260199999999999</v>
      </c>
      <c r="N228">
        <v>0.34216200000000002</v>
      </c>
      <c r="O228">
        <v>0.18506900000000001</v>
      </c>
      <c r="Q228">
        <v>0.39754099999999998</v>
      </c>
      <c r="R228">
        <v>0.40786</v>
      </c>
      <c r="V228">
        <v>0.51476900000000003</v>
      </c>
      <c r="W228">
        <v>0.38312200000000002</v>
      </c>
      <c r="X228">
        <v>0.295906</v>
      </c>
      <c r="Y228">
        <v>0.34928900000000002</v>
      </c>
      <c r="Z228">
        <v>0.32483600000000001</v>
      </c>
      <c r="AA228">
        <v>0.44747100000000001</v>
      </c>
      <c r="AB228">
        <v>0.49460399999999999</v>
      </c>
      <c r="AF228">
        <f>'User Add-In Location'!E229</f>
        <v>0</v>
      </c>
      <c r="AI228">
        <v>0.47655999999999998</v>
      </c>
      <c r="AJ228">
        <v>0.34100999999999998</v>
      </c>
      <c r="AL228">
        <v>0.28532000000000002</v>
      </c>
      <c r="AM228">
        <v>0.439164</v>
      </c>
      <c r="AO228">
        <v>0.34775600000000001</v>
      </c>
      <c r="AQ228">
        <v>0.35033700000000001</v>
      </c>
      <c r="AR228">
        <v>0.40816999999999998</v>
      </c>
      <c r="AS228">
        <v>0.233873</v>
      </c>
      <c r="AT228">
        <v>0.26627699999999999</v>
      </c>
      <c r="AW228">
        <v>0.50920900000000002</v>
      </c>
      <c r="AX228" s="176">
        <v>0.74956599999999995</v>
      </c>
      <c r="BA228">
        <v>0.34794000000000003</v>
      </c>
      <c r="BB228">
        <v>0.33810600000000002</v>
      </c>
      <c r="BD228">
        <v>0.37712000000000001</v>
      </c>
      <c r="BF228">
        <v>0.48988799999999999</v>
      </c>
      <c r="BG228">
        <v>0.36163200000000001</v>
      </c>
      <c r="BH228">
        <v>0.39229900000000001</v>
      </c>
      <c r="BI228">
        <v>0.39938099999999999</v>
      </c>
      <c r="BJ228">
        <v>0.31112200000000001</v>
      </c>
      <c r="BK228">
        <v>0.42460599999999998</v>
      </c>
      <c r="BL228">
        <v>0.39389200000000002</v>
      </c>
      <c r="BM228">
        <v>0.32436999999999999</v>
      </c>
    </row>
    <row r="229" spans="2:65" x14ac:dyDescent="0.25">
      <c r="B229">
        <v>215</v>
      </c>
      <c r="C229" t="s">
        <v>591</v>
      </c>
      <c r="D229">
        <v>0.46574500000000002</v>
      </c>
      <c r="E229">
        <v>0.473047</v>
      </c>
      <c r="H229">
        <v>0.60681799999999997</v>
      </c>
      <c r="J229">
        <v>0.49199100000000001</v>
      </c>
      <c r="K229">
        <v>0.60827600000000004</v>
      </c>
      <c r="L229">
        <v>0.19320100000000001</v>
      </c>
      <c r="M229">
        <v>0.46562700000000001</v>
      </c>
      <c r="N229">
        <v>0.54217899999999997</v>
      </c>
      <c r="O229">
        <v>0.34773399999999999</v>
      </c>
      <c r="Q229">
        <v>0.66581800000000002</v>
      </c>
      <c r="R229">
        <v>0.62657300000000005</v>
      </c>
      <c r="V229">
        <v>0.87400100000000003</v>
      </c>
      <c r="W229">
        <v>0.46528799999999998</v>
      </c>
      <c r="X229">
        <v>0.38059300000000001</v>
      </c>
      <c r="Y229">
        <v>0.44945400000000002</v>
      </c>
      <c r="Z229">
        <v>0.52066199999999996</v>
      </c>
      <c r="AA229">
        <v>0.749498</v>
      </c>
      <c r="AB229">
        <v>0.83211999999999997</v>
      </c>
      <c r="AF229">
        <f>'User Add-In Location'!E230</f>
        <v>0</v>
      </c>
      <c r="AI229">
        <v>0.54261400000000004</v>
      </c>
      <c r="AJ229">
        <v>0.53009600000000001</v>
      </c>
      <c r="AL229">
        <v>0.46408500000000003</v>
      </c>
      <c r="AM229">
        <v>0.613533</v>
      </c>
      <c r="AO229">
        <v>0.59723400000000004</v>
      </c>
      <c r="AQ229">
        <v>0.60541500000000004</v>
      </c>
      <c r="AR229">
        <v>0.73000799999999999</v>
      </c>
      <c r="AS229">
        <v>0.336509</v>
      </c>
      <c r="AT229">
        <v>0.44660699999999998</v>
      </c>
      <c r="AW229">
        <v>0.90974699999999997</v>
      </c>
      <c r="AX229" s="176">
        <v>1.07283</v>
      </c>
      <c r="BA229">
        <v>0.51008600000000004</v>
      </c>
      <c r="BB229">
        <v>0.61437299999999995</v>
      </c>
      <c r="BD229">
        <v>0.65230999999999995</v>
      </c>
      <c r="BF229">
        <v>0.86406300000000003</v>
      </c>
      <c r="BG229">
        <v>0.62234599999999995</v>
      </c>
      <c r="BH229">
        <v>0.59129100000000001</v>
      </c>
      <c r="BI229">
        <v>0.67349700000000001</v>
      </c>
      <c r="BJ229">
        <v>0.48048400000000002</v>
      </c>
      <c r="BK229">
        <v>0.64730100000000002</v>
      </c>
      <c r="BL229">
        <v>0.49832599999999999</v>
      </c>
      <c r="BM229">
        <v>0.48197899999999999</v>
      </c>
    </row>
    <row r="230" spans="2:65" x14ac:dyDescent="0.25">
      <c r="B230">
        <v>216</v>
      </c>
      <c r="C230" t="s">
        <v>592</v>
      </c>
      <c r="D230">
        <v>0.56215099999999996</v>
      </c>
      <c r="E230">
        <v>0.52512099999999995</v>
      </c>
      <c r="H230">
        <v>0.72582599999999997</v>
      </c>
      <c r="J230">
        <v>0.67315599999999998</v>
      </c>
      <c r="K230">
        <v>0.60457700000000003</v>
      </c>
      <c r="L230">
        <v>8.1139000000000003E-2</v>
      </c>
      <c r="M230">
        <v>0.46428700000000001</v>
      </c>
      <c r="N230">
        <v>0.52770600000000001</v>
      </c>
      <c r="O230">
        <v>0.24110500000000001</v>
      </c>
      <c r="Q230">
        <v>0.73220499999999999</v>
      </c>
      <c r="R230">
        <v>0.75430900000000001</v>
      </c>
      <c r="V230">
        <v>0.88880199999999998</v>
      </c>
      <c r="W230">
        <v>0.51932299999999998</v>
      </c>
      <c r="X230">
        <v>0.42304799999999998</v>
      </c>
      <c r="Y230">
        <v>0.60265800000000003</v>
      </c>
      <c r="Z230">
        <v>0.56943100000000002</v>
      </c>
      <c r="AA230">
        <v>0.73939299999999997</v>
      </c>
      <c r="AB230">
        <v>0.85990800000000001</v>
      </c>
      <c r="AF230">
        <f>'User Add-In Location'!E231</f>
        <v>0</v>
      </c>
      <c r="AI230">
        <v>0.68033299999999997</v>
      </c>
      <c r="AJ230">
        <v>0.61222600000000005</v>
      </c>
      <c r="AL230">
        <v>0.46940799999999999</v>
      </c>
      <c r="AM230">
        <v>0.79165300000000005</v>
      </c>
      <c r="AO230">
        <v>0.63703900000000002</v>
      </c>
      <c r="AQ230">
        <v>0.63128300000000004</v>
      </c>
      <c r="AR230">
        <v>0.78531499999999999</v>
      </c>
      <c r="AS230">
        <v>0.43642300000000001</v>
      </c>
      <c r="AT230">
        <v>0.46840500000000002</v>
      </c>
      <c r="AW230">
        <v>0.93353399999999997</v>
      </c>
      <c r="AX230" s="176">
        <v>1.121038</v>
      </c>
      <c r="BA230">
        <v>0.54830400000000001</v>
      </c>
      <c r="BB230">
        <v>0.75102400000000002</v>
      </c>
      <c r="BD230">
        <v>0.67157900000000004</v>
      </c>
      <c r="BF230">
        <v>0.87118600000000002</v>
      </c>
      <c r="BG230">
        <v>0.73622299999999996</v>
      </c>
      <c r="BH230">
        <v>0.69030199999999997</v>
      </c>
      <c r="BI230">
        <v>0.72748199999999996</v>
      </c>
      <c r="BJ230">
        <v>0.50975700000000002</v>
      </c>
      <c r="BK230">
        <v>0.74404999999999999</v>
      </c>
      <c r="BL230">
        <v>0.64757399999999998</v>
      </c>
      <c r="BM230">
        <v>0.56411599999999995</v>
      </c>
    </row>
    <row r="231" spans="2:65" x14ac:dyDescent="0.25">
      <c r="B231">
        <v>217</v>
      </c>
      <c r="C231" t="s">
        <v>593</v>
      </c>
      <c r="D231">
        <v>0.62697499999999995</v>
      </c>
      <c r="E231">
        <v>0.47798299999999999</v>
      </c>
      <c r="H231">
        <v>0.43416900000000003</v>
      </c>
      <c r="J231">
        <v>0.36671500000000001</v>
      </c>
      <c r="K231">
        <v>0.402555</v>
      </c>
      <c r="L231">
        <v>0.207617</v>
      </c>
      <c r="M231">
        <v>0.35762699999999997</v>
      </c>
      <c r="N231">
        <v>0.38308999999999999</v>
      </c>
      <c r="O231">
        <v>0.27329799999999999</v>
      </c>
      <c r="Q231">
        <v>0.40453899999999998</v>
      </c>
      <c r="R231">
        <v>0.43320700000000001</v>
      </c>
      <c r="V231">
        <v>0.50499700000000003</v>
      </c>
      <c r="W231">
        <v>0.38245099999999999</v>
      </c>
      <c r="X231">
        <v>0.35674400000000001</v>
      </c>
      <c r="Y231">
        <v>0.40467399999999998</v>
      </c>
      <c r="Z231">
        <v>0.38413399999999998</v>
      </c>
      <c r="AA231">
        <v>0.48508299999999999</v>
      </c>
      <c r="AB231">
        <v>0.44999</v>
      </c>
      <c r="AF231">
        <f>'User Add-In Location'!E232</f>
        <v>0</v>
      </c>
      <c r="AI231">
        <v>0.370116</v>
      </c>
      <c r="AJ231">
        <v>0.39041700000000001</v>
      </c>
      <c r="AL231">
        <v>0.315355</v>
      </c>
      <c r="AM231">
        <v>0.44601200000000002</v>
      </c>
      <c r="AO231">
        <v>0.406754</v>
      </c>
      <c r="AQ231">
        <v>0.42450199999999999</v>
      </c>
      <c r="AR231">
        <v>0.44812999999999997</v>
      </c>
      <c r="AS231">
        <v>0.31934899999999999</v>
      </c>
      <c r="AT231">
        <v>0.30908000000000002</v>
      </c>
      <c r="AW231">
        <v>0.52256199999999997</v>
      </c>
      <c r="AX231" s="176">
        <v>1.0564929999999999</v>
      </c>
      <c r="BA231">
        <v>0.36943700000000002</v>
      </c>
      <c r="BB231">
        <v>0.43409700000000001</v>
      </c>
      <c r="BD231">
        <v>0.36915700000000001</v>
      </c>
      <c r="BF231">
        <v>0.50858599999999998</v>
      </c>
      <c r="BG231">
        <v>0.44536999999999999</v>
      </c>
      <c r="BH231">
        <v>0.42854599999999998</v>
      </c>
      <c r="BI231">
        <v>0.43244899999999997</v>
      </c>
      <c r="BJ231">
        <v>0.35936899999999999</v>
      </c>
      <c r="BK231">
        <v>0.44445000000000001</v>
      </c>
      <c r="BL231">
        <v>0.42075400000000002</v>
      </c>
      <c r="BM231">
        <v>0.360344</v>
      </c>
    </row>
    <row r="232" spans="2:65" x14ac:dyDescent="0.25">
      <c r="B232">
        <v>218</v>
      </c>
      <c r="C232" t="s">
        <v>594</v>
      </c>
      <c r="D232">
        <v>0.36789899999999998</v>
      </c>
      <c r="E232">
        <v>0.40229500000000001</v>
      </c>
      <c r="H232">
        <v>0.47695700000000002</v>
      </c>
      <c r="J232">
        <v>0.45040599999999997</v>
      </c>
      <c r="K232">
        <v>0.50094000000000005</v>
      </c>
      <c r="L232">
        <v>0.33390599999999998</v>
      </c>
      <c r="M232">
        <v>0.396928</v>
      </c>
      <c r="N232">
        <v>0.47569600000000001</v>
      </c>
      <c r="O232">
        <v>0.35208699999999998</v>
      </c>
      <c r="Q232">
        <v>0.55158600000000002</v>
      </c>
      <c r="R232">
        <v>0.54001600000000005</v>
      </c>
      <c r="V232">
        <v>0.57947800000000005</v>
      </c>
      <c r="W232">
        <v>0.34409000000000001</v>
      </c>
      <c r="X232">
        <v>0.37367400000000001</v>
      </c>
      <c r="Y232">
        <v>0.39064900000000002</v>
      </c>
      <c r="Z232">
        <v>0.46197899999999997</v>
      </c>
      <c r="AA232">
        <v>0.52097899999999997</v>
      </c>
      <c r="AB232">
        <v>0.57126500000000002</v>
      </c>
      <c r="AF232">
        <f>'User Add-In Location'!E233</f>
        <v>0</v>
      </c>
      <c r="AI232">
        <v>0.437971</v>
      </c>
      <c r="AJ232">
        <v>0.47258899999999998</v>
      </c>
      <c r="AL232">
        <v>0.434865</v>
      </c>
      <c r="AM232">
        <v>0.51327900000000004</v>
      </c>
      <c r="AO232">
        <v>0.47528300000000001</v>
      </c>
      <c r="AQ232">
        <v>0.49619799999999997</v>
      </c>
      <c r="AR232">
        <v>0.60276200000000002</v>
      </c>
      <c r="AS232">
        <v>0.39217999999999997</v>
      </c>
      <c r="AT232">
        <v>0.40132299999999999</v>
      </c>
      <c r="AW232">
        <v>0.62657499999999999</v>
      </c>
      <c r="AX232" s="176">
        <v>1.1513949999999999</v>
      </c>
      <c r="BA232">
        <v>0.426979</v>
      </c>
      <c r="BB232">
        <v>0.43103000000000002</v>
      </c>
      <c r="BD232">
        <v>0.46459699999999998</v>
      </c>
      <c r="BF232">
        <v>0.60562499999999997</v>
      </c>
      <c r="BG232">
        <v>0.48507099999999997</v>
      </c>
      <c r="BH232">
        <v>0.50742799999999999</v>
      </c>
      <c r="BI232">
        <v>0.55625400000000003</v>
      </c>
      <c r="BJ232">
        <v>0.45330399999999998</v>
      </c>
      <c r="BK232">
        <v>0.53814399999999996</v>
      </c>
      <c r="BL232">
        <v>0.41608400000000001</v>
      </c>
      <c r="BM232">
        <v>0.445463</v>
      </c>
    </row>
    <row r="233" spans="2:65" x14ac:dyDescent="0.25">
      <c r="B233">
        <v>219</v>
      </c>
      <c r="C233" t="s">
        <v>415</v>
      </c>
      <c r="D233">
        <v>0.31252999999999997</v>
      </c>
      <c r="E233">
        <v>0.353825</v>
      </c>
      <c r="H233">
        <v>0.58240999999999998</v>
      </c>
      <c r="J233">
        <v>0.57911599999999996</v>
      </c>
      <c r="K233">
        <v>0.44485999999999998</v>
      </c>
      <c r="L233">
        <v>0</v>
      </c>
      <c r="M233">
        <v>0.55837000000000003</v>
      </c>
      <c r="N233">
        <v>0.590422</v>
      </c>
      <c r="O233">
        <v>0</v>
      </c>
      <c r="Q233">
        <v>0.67155600000000004</v>
      </c>
      <c r="R233">
        <v>0.76442299999999996</v>
      </c>
      <c r="V233">
        <v>0.84797800000000001</v>
      </c>
      <c r="W233">
        <v>0.51751199999999997</v>
      </c>
      <c r="X233">
        <v>0.59046699999999996</v>
      </c>
      <c r="Y233">
        <v>0.50043300000000002</v>
      </c>
      <c r="Z233">
        <v>0.63261599999999996</v>
      </c>
      <c r="AA233">
        <v>0.72433800000000004</v>
      </c>
      <c r="AB233">
        <v>0.91394500000000001</v>
      </c>
      <c r="AF233">
        <f>'User Add-In Location'!E234</f>
        <v>0</v>
      </c>
      <c r="AI233">
        <v>0.55927400000000005</v>
      </c>
      <c r="AJ233">
        <v>0.53212899999999996</v>
      </c>
      <c r="AL233">
        <v>0.50812000000000002</v>
      </c>
      <c r="AM233">
        <v>0.76350799999999996</v>
      </c>
      <c r="AO233">
        <v>0.60193700000000006</v>
      </c>
      <c r="AQ233">
        <v>0.493141</v>
      </c>
      <c r="AR233">
        <v>0.69567199999999996</v>
      </c>
      <c r="AS233">
        <v>0.361649</v>
      </c>
      <c r="AT233">
        <v>0.50004400000000004</v>
      </c>
      <c r="AW233">
        <v>0.87814400000000004</v>
      </c>
      <c r="AX233" s="176">
        <v>1.141011</v>
      </c>
      <c r="BA233">
        <v>0.468586</v>
      </c>
      <c r="BB233">
        <v>0.59790299999999996</v>
      </c>
      <c r="BD233">
        <v>0.76921200000000001</v>
      </c>
      <c r="BF233">
        <v>0.87859699999999996</v>
      </c>
      <c r="BG233">
        <v>0.57736299999999996</v>
      </c>
      <c r="BH233">
        <v>0.68884100000000004</v>
      </c>
      <c r="BI233">
        <v>0.76401600000000003</v>
      </c>
      <c r="BJ233">
        <v>0.56839099999999998</v>
      </c>
      <c r="BK233">
        <v>0.75426700000000002</v>
      </c>
      <c r="BL233">
        <v>0.556728</v>
      </c>
      <c r="BM233">
        <v>0.53656999999999999</v>
      </c>
    </row>
    <row r="234" spans="2:65" x14ac:dyDescent="0.25">
      <c r="B234">
        <v>220</v>
      </c>
      <c r="C234" t="s">
        <v>595</v>
      </c>
      <c r="D234">
        <v>0.58949099999999999</v>
      </c>
      <c r="E234">
        <v>0.36286499999999999</v>
      </c>
      <c r="H234">
        <v>0.48691099999999998</v>
      </c>
      <c r="J234">
        <v>0.60267000000000004</v>
      </c>
      <c r="K234">
        <v>0.52193900000000004</v>
      </c>
      <c r="L234">
        <v>0.26514500000000002</v>
      </c>
      <c r="M234">
        <v>0.59808600000000001</v>
      </c>
      <c r="N234">
        <v>0.48505799999999999</v>
      </c>
      <c r="O234">
        <v>0.49512800000000001</v>
      </c>
      <c r="Q234">
        <v>0.63378000000000001</v>
      </c>
      <c r="R234">
        <v>0.56170299999999995</v>
      </c>
      <c r="V234">
        <v>0.69637899999999997</v>
      </c>
      <c r="W234">
        <v>0.516648</v>
      </c>
      <c r="X234">
        <v>0.50327</v>
      </c>
      <c r="Y234">
        <v>0.57166099999999997</v>
      </c>
      <c r="Z234">
        <v>0.64706200000000003</v>
      </c>
      <c r="AA234">
        <v>0.74285500000000004</v>
      </c>
      <c r="AB234">
        <v>0.69048299999999996</v>
      </c>
      <c r="AF234">
        <f>'User Add-In Location'!E235</f>
        <v>0</v>
      </c>
      <c r="AI234">
        <v>0.68112799999999996</v>
      </c>
      <c r="AJ234">
        <v>0.63132299999999997</v>
      </c>
      <c r="AL234">
        <v>0.61170500000000005</v>
      </c>
      <c r="AM234">
        <v>0.491616</v>
      </c>
      <c r="AO234">
        <v>0.61670400000000003</v>
      </c>
      <c r="AQ234">
        <v>0.46554600000000002</v>
      </c>
      <c r="AR234">
        <v>0.61957600000000002</v>
      </c>
      <c r="AS234">
        <v>0.39646700000000001</v>
      </c>
      <c r="AT234">
        <v>0.36455799999999999</v>
      </c>
      <c r="AW234">
        <v>0.59637200000000001</v>
      </c>
      <c r="AX234" s="176">
        <v>0.83870100000000003</v>
      </c>
      <c r="BA234">
        <v>0.56127199999999999</v>
      </c>
      <c r="BB234">
        <v>0.57400499999999999</v>
      </c>
      <c r="BD234">
        <v>0.63803200000000004</v>
      </c>
      <c r="BF234">
        <v>0.61583200000000005</v>
      </c>
      <c r="BG234">
        <v>0.49228100000000002</v>
      </c>
      <c r="BH234">
        <v>0.612954</v>
      </c>
      <c r="BI234">
        <v>0.67801599999999995</v>
      </c>
      <c r="BJ234">
        <v>0.61229800000000001</v>
      </c>
      <c r="BK234">
        <v>0.53505999999999998</v>
      </c>
      <c r="BL234">
        <v>0.60833999999999999</v>
      </c>
      <c r="BM234">
        <v>0.617614</v>
      </c>
    </row>
    <row r="235" spans="2:65" x14ac:dyDescent="0.25">
      <c r="B235">
        <v>221</v>
      </c>
      <c r="C235" t="s">
        <v>417</v>
      </c>
      <c r="D235">
        <v>0.55160600000000004</v>
      </c>
      <c r="E235">
        <v>0.41500399999999998</v>
      </c>
      <c r="H235">
        <v>0.54954899999999995</v>
      </c>
      <c r="J235">
        <v>0.52152200000000004</v>
      </c>
      <c r="K235">
        <v>0.40608100000000003</v>
      </c>
      <c r="L235">
        <v>0.27605499999999999</v>
      </c>
      <c r="M235">
        <v>0.49961299999999997</v>
      </c>
      <c r="N235">
        <v>0.43382599999999999</v>
      </c>
      <c r="O235">
        <v>0.412692</v>
      </c>
      <c r="Q235">
        <v>0.57742199999999999</v>
      </c>
      <c r="R235">
        <v>0.58839600000000003</v>
      </c>
      <c r="V235">
        <v>0.60341199999999995</v>
      </c>
      <c r="W235">
        <v>0.46378200000000003</v>
      </c>
      <c r="X235">
        <v>0.46700599999999998</v>
      </c>
      <c r="Y235">
        <v>0.458702</v>
      </c>
      <c r="Z235">
        <v>0.50825399999999998</v>
      </c>
      <c r="AA235">
        <v>0.61473999999999995</v>
      </c>
      <c r="AB235">
        <v>0.60576600000000003</v>
      </c>
      <c r="AF235">
        <f>'User Add-In Location'!E236</f>
        <v>0</v>
      </c>
      <c r="AI235">
        <v>0.50966699999999998</v>
      </c>
      <c r="AJ235">
        <v>0.48572100000000001</v>
      </c>
      <c r="AL235">
        <v>0.497471</v>
      </c>
      <c r="AM235">
        <v>0.52451999999999999</v>
      </c>
      <c r="AO235">
        <v>0.50132299999999996</v>
      </c>
      <c r="AQ235">
        <v>0.47395199999999998</v>
      </c>
      <c r="AR235">
        <v>0.59628400000000004</v>
      </c>
      <c r="AS235">
        <v>0.31862099999999999</v>
      </c>
      <c r="AT235">
        <v>0.37588700000000003</v>
      </c>
      <c r="AW235">
        <v>0.67095000000000005</v>
      </c>
      <c r="AX235" s="176">
        <v>0.98141100000000003</v>
      </c>
      <c r="BA235">
        <v>0.507745</v>
      </c>
      <c r="BB235">
        <v>0.49052800000000002</v>
      </c>
      <c r="BD235">
        <v>0.54833900000000002</v>
      </c>
      <c r="BF235">
        <v>0.67563799999999996</v>
      </c>
      <c r="BG235">
        <v>0.54534700000000003</v>
      </c>
      <c r="BH235">
        <v>0.55467999999999995</v>
      </c>
      <c r="BI235">
        <v>0.60083200000000003</v>
      </c>
      <c r="BJ235">
        <v>0.497</v>
      </c>
      <c r="BK235">
        <v>0.55912499999999998</v>
      </c>
      <c r="BL235">
        <v>0.49539499999999997</v>
      </c>
      <c r="BM235">
        <v>0.50548700000000002</v>
      </c>
    </row>
    <row r="236" spans="2:65" x14ac:dyDescent="0.25">
      <c r="B236">
        <v>222</v>
      </c>
      <c r="C236" t="s">
        <v>418</v>
      </c>
      <c r="D236">
        <v>0.486261</v>
      </c>
      <c r="E236">
        <v>0.34321800000000002</v>
      </c>
      <c r="H236">
        <v>0.37430200000000002</v>
      </c>
      <c r="J236">
        <v>0.36868899999999999</v>
      </c>
      <c r="K236">
        <v>0.395924</v>
      </c>
      <c r="L236">
        <v>0.26665899999999998</v>
      </c>
      <c r="M236">
        <v>0.44465100000000002</v>
      </c>
      <c r="N236">
        <v>0.403694</v>
      </c>
      <c r="O236">
        <v>0.35059899999999999</v>
      </c>
      <c r="Q236">
        <v>0.42145300000000002</v>
      </c>
      <c r="R236">
        <v>0.441942</v>
      </c>
      <c r="V236">
        <v>0.43613499999999999</v>
      </c>
      <c r="W236">
        <v>0.40342299999999998</v>
      </c>
      <c r="X236">
        <v>0.40582299999999999</v>
      </c>
      <c r="Y236">
        <v>0.40162999999999999</v>
      </c>
      <c r="Z236">
        <v>0.428481</v>
      </c>
      <c r="AA236">
        <v>0.46020499999999998</v>
      </c>
      <c r="AB236">
        <v>0.41177200000000003</v>
      </c>
      <c r="AF236">
        <f>'User Add-In Location'!E237</f>
        <v>0</v>
      </c>
      <c r="AI236">
        <v>0.38130199999999997</v>
      </c>
      <c r="AJ236">
        <v>0.39746599999999999</v>
      </c>
      <c r="AL236">
        <v>0.36255799999999999</v>
      </c>
      <c r="AM236">
        <v>0.40848099999999998</v>
      </c>
      <c r="AO236">
        <v>0.42725000000000002</v>
      </c>
      <c r="AQ236">
        <v>0.46323300000000001</v>
      </c>
      <c r="AR236">
        <v>0.45477099999999998</v>
      </c>
      <c r="AS236">
        <v>0.30750499999999997</v>
      </c>
      <c r="AT236">
        <v>0.33587899999999998</v>
      </c>
      <c r="AW236">
        <v>0.47108299999999997</v>
      </c>
      <c r="AX236" s="176">
        <v>0.62814000000000003</v>
      </c>
      <c r="BA236">
        <v>0.40550999999999998</v>
      </c>
      <c r="BB236">
        <v>0.266899</v>
      </c>
      <c r="BD236">
        <v>0.45792100000000002</v>
      </c>
      <c r="BF236">
        <v>0.482711</v>
      </c>
      <c r="BG236">
        <v>0.37061699999999997</v>
      </c>
      <c r="BH236">
        <v>0.42949500000000002</v>
      </c>
      <c r="BI236">
        <v>0.45157000000000003</v>
      </c>
      <c r="BJ236">
        <v>0.39105400000000001</v>
      </c>
      <c r="BK236">
        <v>0.44597700000000001</v>
      </c>
      <c r="BL236">
        <v>0.417717</v>
      </c>
      <c r="BM236">
        <v>0.38184899999999999</v>
      </c>
    </row>
    <row r="237" spans="2:65" x14ac:dyDescent="0.25">
      <c r="B237">
        <v>223</v>
      </c>
      <c r="C237" t="s">
        <v>596</v>
      </c>
      <c r="D237">
        <v>0.32128800000000002</v>
      </c>
      <c r="E237">
        <v>0.41352800000000001</v>
      </c>
      <c r="H237">
        <v>0.48275899999999999</v>
      </c>
      <c r="J237">
        <v>0.42158899999999999</v>
      </c>
      <c r="K237">
        <v>0.49957600000000002</v>
      </c>
      <c r="L237">
        <v>0.42494700000000002</v>
      </c>
      <c r="M237">
        <v>0.45651900000000001</v>
      </c>
      <c r="N237">
        <v>0.45211400000000002</v>
      </c>
      <c r="O237">
        <v>0.289379</v>
      </c>
      <c r="Q237">
        <v>0.54175300000000004</v>
      </c>
      <c r="R237">
        <v>0.52506399999999998</v>
      </c>
      <c r="V237">
        <v>0.61653400000000003</v>
      </c>
      <c r="W237">
        <v>0.44035800000000003</v>
      </c>
      <c r="X237">
        <v>0.45769199999999999</v>
      </c>
      <c r="Y237">
        <v>0.45070700000000002</v>
      </c>
      <c r="Z237">
        <v>0.45671</v>
      </c>
      <c r="AA237">
        <v>0.56028199999999995</v>
      </c>
      <c r="AB237">
        <v>0.58542099999999997</v>
      </c>
      <c r="AF237">
        <f>'User Add-In Location'!E238</f>
        <v>0</v>
      </c>
      <c r="AI237">
        <v>0.41619299999999998</v>
      </c>
      <c r="AJ237">
        <v>0.43587100000000001</v>
      </c>
      <c r="AL237">
        <v>0.38489800000000002</v>
      </c>
      <c r="AM237">
        <v>0.52008399999999999</v>
      </c>
      <c r="AO237">
        <v>0.48494100000000001</v>
      </c>
      <c r="AQ237">
        <v>0.48027199999999998</v>
      </c>
      <c r="AR237">
        <v>0.568496</v>
      </c>
      <c r="AS237">
        <v>0.37426300000000001</v>
      </c>
      <c r="AT237">
        <v>0.42088300000000001</v>
      </c>
      <c r="AW237">
        <v>0.62649500000000002</v>
      </c>
      <c r="AX237" s="176">
        <v>0.75307000000000002</v>
      </c>
      <c r="BA237">
        <v>0.51441199999999998</v>
      </c>
      <c r="BB237">
        <v>0.44020700000000001</v>
      </c>
      <c r="BD237">
        <v>0.47938599999999998</v>
      </c>
      <c r="BF237">
        <v>0.61323899999999998</v>
      </c>
      <c r="BG237">
        <v>0.48540299999999997</v>
      </c>
      <c r="BH237">
        <v>0.50247699999999995</v>
      </c>
      <c r="BI237">
        <v>0.52888900000000005</v>
      </c>
      <c r="BJ237">
        <v>0.42141400000000001</v>
      </c>
      <c r="BK237">
        <v>0.54835599999999995</v>
      </c>
      <c r="BL237">
        <v>0.46487800000000001</v>
      </c>
      <c r="BM237">
        <v>0.42287000000000002</v>
      </c>
    </row>
    <row r="238" spans="2:65" x14ac:dyDescent="0.25">
      <c r="B238">
        <v>224</v>
      </c>
      <c r="C238" t="s">
        <v>597</v>
      </c>
      <c r="D238">
        <v>0.30210100000000001</v>
      </c>
      <c r="E238">
        <v>0.54800099999999996</v>
      </c>
      <c r="H238">
        <v>0.70399999999999996</v>
      </c>
      <c r="J238">
        <v>0.65013600000000005</v>
      </c>
      <c r="K238">
        <v>0.76833499999999999</v>
      </c>
      <c r="L238">
        <v>0.57573399999999997</v>
      </c>
      <c r="M238">
        <v>0.62863800000000003</v>
      </c>
      <c r="N238">
        <v>0.79109700000000005</v>
      </c>
      <c r="O238">
        <v>0.54174</v>
      </c>
      <c r="Q238">
        <v>0.80507700000000004</v>
      </c>
      <c r="R238">
        <v>0.71330000000000005</v>
      </c>
      <c r="V238">
        <v>0.87531800000000004</v>
      </c>
      <c r="W238">
        <v>0.73247899999999999</v>
      </c>
      <c r="X238">
        <v>0.65025900000000003</v>
      </c>
      <c r="Y238">
        <v>0.665466</v>
      </c>
      <c r="Z238">
        <v>0.70784000000000002</v>
      </c>
      <c r="AA238">
        <v>0.47576200000000002</v>
      </c>
      <c r="AB238">
        <v>0.746444</v>
      </c>
      <c r="AF238">
        <f>'User Add-In Location'!E239</f>
        <v>0</v>
      </c>
      <c r="AI238">
        <v>0.35653400000000002</v>
      </c>
      <c r="AJ238">
        <v>0.58578399999999997</v>
      </c>
      <c r="AL238">
        <v>0.61633300000000002</v>
      </c>
      <c r="AM238">
        <v>0.79624099999999998</v>
      </c>
      <c r="AO238">
        <v>0.71168399999999998</v>
      </c>
      <c r="AQ238">
        <v>0.68717899999999998</v>
      </c>
      <c r="AR238">
        <v>0.87465400000000004</v>
      </c>
      <c r="AS238">
        <v>0.59108499999999997</v>
      </c>
      <c r="AT238">
        <v>0.63206600000000002</v>
      </c>
      <c r="AW238">
        <v>0.85269099999999998</v>
      </c>
      <c r="AX238" s="176">
        <v>1.1159060000000001</v>
      </c>
      <c r="BA238">
        <v>0.53627400000000003</v>
      </c>
      <c r="BB238">
        <v>0.66744000000000003</v>
      </c>
      <c r="BD238">
        <v>0.829905</v>
      </c>
      <c r="BF238">
        <v>0.82955599999999996</v>
      </c>
      <c r="BG238">
        <v>0.71438100000000004</v>
      </c>
      <c r="BH238">
        <v>0.71064700000000003</v>
      </c>
      <c r="BI238">
        <v>0.76106499999999999</v>
      </c>
      <c r="BJ238">
        <v>0.63781399999999999</v>
      </c>
      <c r="BK238">
        <v>0.70985900000000002</v>
      </c>
      <c r="BL238">
        <v>0.69258200000000003</v>
      </c>
      <c r="BM238">
        <v>0.66213900000000003</v>
      </c>
    </row>
    <row r="239" spans="2:65" x14ac:dyDescent="0.25">
      <c r="B239">
        <v>225</v>
      </c>
      <c r="C239" t="s">
        <v>598</v>
      </c>
      <c r="D239">
        <v>0.36775200000000002</v>
      </c>
      <c r="E239">
        <v>0.30680400000000002</v>
      </c>
      <c r="H239">
        <v>0.34953200000000001</v>
      </c>
      <c r="J239">
        <v>0.33655299999999999</v>
      </c>
      <c r="K239">
        <v>0.291273</v>
      </c>
      <c r="L239">
        <v>0.28146599999999999</v>
      </c>
      <c r="M239">
        <v>0.43875399999999998</v>
      </c>
      <c r="N239">
        <v>0.38595200000000002</v>
      </c>
      <c r="O239">
        <v>0.29575200000000001</v>
      </c>
      <c r="Q239">
        <v>0.41112900000000002</v>
      </c>
      <c r="R239">
        <v>0.39686300000000002</v>
      </c>
      <c r="V239">
        <v>0.45176500000000003</v>
      </c>
      <c r="W239">
        <v>0.35605999999999999</v>
      </c>
      <c r="X239">
        <v>0.34902499999999997</v>
      </c>
      <c r="Y239">
        <v>0.34868199999999999</v>
      </c>
      <c r="Z239">
        <v>0.395428</v>
      </c>
      <c r="AA239">
        <v>0.42415999999999998</v>
      </c>
      <c r="AB239">
        <v>0.41801500000000003</v>
      </c>
      <c r="AF239">
        <f>'User Add-In Location'!E240</f>
        <v>0</v>
      </c>
      <c r="AI239">
        <v>0.3458</v>
      </c>
      <c r="AJ239">
        <v>0.35979</v>
      </c>
      <c r="AL239">
        <v>0.31906699999999999</v>
      </c>
      <c r="AM239">
        <v>0.37639</v>
      </c>
      <c r="AO239">
        <v>0.39358500000000002</v>
      </c>
      <c r="AQ239">
        <v>0.37361100000000003</v>
      </c>
      <c r="AR239">
        <v>0.38883099999999998</v>
      </c>
      <c r="AS239">
        <v>0.309558</v>
      </c>
      <c r="AT239">
        <v>0.33128000000000002</v>
      </c>
      <c r="AW239">
        <v>0.46725100000000003</v>
      </c>
      <c r="AX239" s="176">
        <v>0.59751900000000002</v>
      </c>
      <c r="BA239">
        <v>0.37532300000000002</v>
      </c>
      <c r="BB239">
        <v>0.30513099999999999</v>
      </c>
      <c r="BD239">
        <v>0.38702199999999998</v>
      </c>
      <c r="BF239">
        <v>0.48281400000000002</v>
      </c>
      <c r="BG239">
        <v>0.35258299999999998</v>
      </c>
      <c r="BH239">
        <v>0.38653999999999999</v>
      </c>
      <c r="BI239">
        <v>0.40230100000000002</v>
      </c>
      <c r="BJ239">
        <v>0.34366400000000003</v>
      </c>
      <c r="BK239">
        <v>0.42237799999999998</v>
      </c>
      <c r="BL239">
        <v>0.36498399999999998</v>
      </c>
      <c r="BM239">
        <v>0.33826899999999999</v>
      </c>
    </row>
    <row r="240" spans="2:65" x14ac:dyDescent="0.25">
      <c r="B240">
        <v>226</v>
      </c>
      <c r="C240" t="s">
        <v>599</v>
      </c>
      <c r="D240">
        <v>0.49765100000000001</v>
      </c>
      <c r="E240">
        <v>0.429641</v>
      </c>
      <c r="H240">
        <v>0.473858</v>
      </c>
      <c r="J240">
        <v>0.51061100000000004</v>
      </c>
      <c r="K240">
        <v>0.433861</v>
      </c>
      <c r="L240">
        <v>0.28704299999999999</v>
      </c>
      <c r="M240">
        <v>0.48909399999999997</v>
      </c>
      <c r="N240">
        <v>0.49189899999999998</v>
      </c>
      <c r="O240">
        <v>0.33337099999999997</v>
      </c>
      <c r="Q240">
        <v>0.52372200000000002</v>
      </c>
      <c r="R240">
        <v>0.50968000000000002</v>
      </c>
      <c r="V240">
        <v>0.63943799999999995</v>
      </c>
      <c r="W240">
        <v>0.53184699999999996</v>
      </c>
      <c r="X240">
        <v>0.46354800000000002</v>
      </c>
      <c r="Y240">
        <v>0.47877500000000001</v>
      </c>
      <c r="Z240">
        <v>0.46161799999999997</v>
      </c>
      <c r="AA240">
        <v>0.58014699999999997</v>
      </c>
      <c r="AB240">
        <v>0.57520700000000002</v>
      </c>
      <c r="AF240">
        <f>'User Add-In Location'!E241</f>
        <v>0</v>
      </c>
      <c r="AI240">
        <v>0.57681700000000002</v>
      </c>
      <c r="AJ240">
        <v>0.47188200000000002</v>
      </c>
      <c r="AL240">
        <v>0.43256499999999998</v>
      </c>
      <c r="AM240">
        <v>0.55491199999999996</v>
      </c>
      <c r="AO240">
        <v>0.459092</v>
      </c>
      <c r="AQ240">
        <v>0.496973</v>
      </c>
      <c r="AR240">
        <v>0.52844400000000002</v>
      </c>
      <c r="AS240">
        <v>0.36361500000000002</v>
      </c>
      <c r="AT240">
        <v>0.39325300000000002</v>
      </c>
      <c r="AW240">
        <v>0.64972799999999997</v>
      </c>
      <c r="AX240" s="176">
        <v>0.84990699999999997</v>
      </c>
      <c r="BA240">
        <v>0.460476</v>
      </c>
      <c r="BB240">
        <v>0.43507499999999999</v>
      </c>
      <c r="BD240">
        <v>0.50142699999999996</v>
      </c>
      <c r="BF240">
        <v>0.64263800000000004</v>
      </c>
      <c r="BG240">
        <v>0.48054400000000003</v>
      </c>
      <c r="BH240">
        <v>0.53787300000000005</v>
      </c>
      <c r="BI240">
        <v>0.53750399999999998</v>
      </c>
      <c r="BJ240">
        <v>0.46507599999999999</v>
      </c>
      <c r="BK240">
        <v>0.55518500000000004</v>
      </c>
      <c r="BL240">
        <v>0.524312</v>
      </c>
      <c r="BM240">
        <v>0.47051700000000002</v>
      </c>
    </row>
    <row r="241" spans="1:65" x14ac:dyDescent="0.25">
      <c r="B241">
        <v>227</v>
      </c>
      <c r="C241" t="s">
        <v>423</v>
      </c>
      <c r="D241">
        <v>0.381577</v>
      </c>
      <c r="E241">
        <v>0.43256899999999998</v>
      </c>
      <c r="H241">
        <v>0.51012400000000002</v>
      </c>
      <c r="J241">
        <v>0.32749400000000001</v>
      </c>
      <c r="K241">
        <v>0.164272</v>
      </c>
      <c r="L241">
        <v>0.32799299999999998</v>
      </c>
      <c r="M241">
        <v>0.688002</v>
      </c>
      <c r="N241">
        <v>0.46565299999999998</v>
      </c>
      <c r="O241">
        <v>0.49256</v>
      </c>
      <c r="Q241">
        <v>0.476462</v>
      </c>
      <c r="R241">
        <v>0.44588499999999998</v>
      </c>
      <c r="V241">
        <v>0.52534700000000001</v>
      </c>
      <c r="W241">
        <v>0.42428500000000002</v>
      </c>
      <c r="X241">
        <v>0.475352</v>
      </c>
      <c r="Y241">
        <v>0.39689799999999997</v>
      </c>
      <c r="Z241">
        <v>0.53066599999999997</v>
      </c>
      <c r="AA241">
        <v>0.52981100000000003</v>
      </c>
      <c r="AB241">
        <v>0.51260099999999997</v>
      </c>
      <c r="AF241">
        <f>'User Add-In Location'!E242</f>
        <v>0</v>
      </c>
      <c r="AI241">
        <v>0.38799</v>
      </c>
      <c r="AJ241">
        <v>0.48716199999999998</v>
      </c>
      <c r="AL241">
        <v>0.246506</v>
      </c>
      <c r="AM241">
        <v>0.36409000000000002</v>
      </c>
      <c r="AO241">
        <v>0.41697899999999999</v>
      </c>
      <c r="AQ241">
        <v>0.54987399999999997</v>
      </c>
      <c r="AR241">
        <v>0.59243199999999996</v>
      </c>
      <c r="AS241">
        <v>0.42333799999999999</v>
      </c>
      <c r="AT241">
        <v>0.46862900000000002</v>
      </c>
      <c r="AW241">
        <v>0.63233300000000003</v>
      </c>
      <c r="AX241" s="176">
        <v>0.79546600000000001</v>
      </c>
      <c r="BA241">
        <v>0.49396099999999998</v>
      </c>
      <c r="BB241">
        <v>0.46001199999999998</v>
      </c>
      <c r="BD241">
        <v>0.50229599999999996</v>
      </c>
      <c r="BF241">
        <v>0.66468099999999997</v>
      </c>
      <c r="BG241">
        <v>0.52095000000000002</v>
      </c>
      <c r="BH241">
        <v>0.38841100000000001</v>
      </c>
      <c r="BI241">
        <v>0.42066700000000001</v>
      </c>
      <c r="BJ241">
        <v>0.311525</v>
      </c>
      <c r="BK241">
        <v>0.51341300000000001</v>
      </c>
      <c r="BL241">
        <v>0.41599700000000001</v>
      </c>
      <c r="BM241">
        <v>0.29328900000000002</v>
      </c>
    </row>
    <row r="242" spans="1:65" x14ac:dyDescent="0.25">
      <c r="B242">
        <v>228</v>
      </c>
      <c r="C242" t="s">
        <v>600</v>
      </c>
      <c r="D242">
        <v>0.49902299999999999</v>
      </c>
      <c r="E242">
        <v>0.335401</v>
      </c>
      <c r="H242">
        <v>0.30393599999999998</v>
      </c>
      <c r="J242">
        <v>0.33333200000000002</v>
      </c>
      <c r="K242">
        <v>0.259907</v>
      </c>
      <c r="L242">
        <v>0.20031199999999999</v>
      </c>
      <c r="M242">
        <v>0.42376000000000003</v>
      </c>
      <c r="N242">
        <v>0.36318800000000001</v>
      </c>
      <c r="O242">
        <v>0.34249499999999999</v>
      </c>
      <c r="Q242">
        <v>0.34262700000000001</v>
      </c>
      <c r="R242">
        <v>0.34706500000000001</v>
      </c>
      <c r="V242">
        <v>0.43143900000000002</v>
      </c>
      <c r="W242">
        <v>0.36654300000000001</v>
      </c>
      <c r="X242">
        <v>0.34128700000000001</v>
      </c>
      <c r="Y242">
        <v>0.30615500000000001</v>
      </c>
      <c r="Z242">
        <v>0.39271499999999998</v>
      </c>
      <c r="AA242">
        <v>0.39442500000000003</v>
      </c>
      <c r="AB242">
        <v>0.42202600000000001</v>
      </c>
      <c r="AF242">
        <f>'User Add-In Location'!E243</f>
        <v>0</v>
      </c>
      <c r="AI242">
        <v>0.32620100000000002</v>
      </c>
      <c r="AJ242">
        <v>0.32822800000000002</v>
      </c>
      <c r="AL242">
        <v>0.27978599999999998</v>
      </c>
      <c r="AM242">
        <v>0.316243</v>
      </c>
      <c r="AO242">
        <v>0.39161000000000001</v>
      </c>
      <c r="AQ242">
        <v>0.38652500000000001</v>
      </c>
      <c r="AR242">
        <v>0.39183099999999998</v>
      </c>
      <c r="AS242">
        <v>0.29316799999999998</v>
      </c>
      <c r="AT242">
        <v>0.31008799999999997</v>
      </c>
      <c r="AW242">
        <v>0.38664599999999999</v>
      </c>
      <c r="AX242" s="176">
        <v>0.52648300000000003</v>
      </c>
      <c r="BA242">
        <v>0.29866500000000001</v>
      </c>
      <c r="BB242">
        <v>0.25162499999999999</v>
      </c>
      <c r="BD242">
        <v>0.3931</v>
      </c>
      <c r="BF242">
        <v>0.42460999999999999</v>
      </c>
      <c r="BG242">
        <v>0.30839</v>
      </c>
      <c r="BH242">
        <v>0.34080199999999999</v>
      </c>
      <c r="BI242">
        <v>0.36720900000000001</v>
      </c>
      <c r="BJ242">
        <v>0.307643</v>
      </c>
      <c r="BK242">
        <v>0.36170000000000002</v>
      </c>
      <c r="BL242">
        <v>0.32484600000000002</v>
      </c>
      <c r="BM242">
        <v>0.29968099999999998</v>
      </c>
    </row>
    <row r="243" spans="1:65" x14ac:dyDescent="0.25">
      <c r="B243">
        <v>229</v>
      </c>
      <c r="C243" t="s">
        <v>601</v>
      </c>
      <c r="D243">
        <v>0.67813599999999996</v>
      </c>
      <c r="E243">
        <v>0.34726499999999999</v>
      </c>
      <c r="H243">
        <v>0.36271999999999999</v>
      </c>
      <c r="J243">
        <v>0.36277399999999999</v>
      </c>
      <c r="K243">
        <v>0.40909600000000002</v>
      </c>
      <c r="L243">
        <v>0.21502199999999999</v>
      </c>
      <c r="M243">
        <v>0.40633999999999998</v>
      </c>
      <c r="N243">
        <v>0.45629700000000001</v>
      </c>
      <c r="O243">
        <v>0.23844699999999999</v>
      </c>
      <c r="Q243">
        <v>0.41059000000000001</v>
      </c>
      <c r="R243">
        <v>0.44237700000000002</v>
      </c>
      <c r="V243">
        <v>0.500305</v>
      </c>
      <c r="W243">
        <v>0.358489</v>
      </c>
      <c r="X243">
        <v>0.36450399999999999</v>
      </c>
      <c r="Y243">
        <v>0.33130100000000001</v>
      </c>
      <c r="Z243">
        <v>0.44146600000000003</v>
      </c>
      <c r="AA243">
        <v>0.49667499999999998</v>
      </c>
      <c r="AB243">
        <v>0.49723200000000001</v>
      </c>
      <c r="AF243">
        <f>'User Add-In Location'!E244</f>
        <v>0</v>
      </c>
      <c r="AI243">
        <v>0.35092600000000002</v>
      </c>
      <c r="AJ243">
        <v>0.394679</v>
      </c>
      <c r="AL243">
        <v>0.282443</v>
      </c>
      <c r="AM243">
        <v>0.43073299999999998</v>
      </c>
      <c r="AO243">
        <v>0.44216800000000001</v>
      </c>
      <c r="AQ243">
        <v>0.41997699999999999</v>
      </c>
      <c r="AR243">
        <v>0.44703900000000002</v>
      </c>
      <c r="AS243">
        <v>0.288798</v>
      </c>
      <c r="AT243">
        <v>0.35524299999999998</v>
      </c>
      <c r="AW243">
        <v>0.53623299999999996</v>
      </c>
      <c r="AX243" s="176">
        <v>0.62993900000000003</v>
      </c>
      <c r="BA243">
        <v>0.43612499999999998</v>
      </c>
      <c r="BB243">
        <v>0.31681100000000001</v>
      </c>
      <c r="BD243">
        <v>0.47063500000000003</v>
      </c>
      <c r="BF243">
        <v>0.52322999999999997</v>
      </c>
      <c r="BG243">
        <v>0.36707600000000001</v>
      </c>
      <c r="BH243">
        <v>0.40331600000000001</v>
      </c>
      <c r="BI243">
        <v>0.42268800000000001</v>
      </c>
      <c r="BJ243">
        <v>0.32875100000000002</v>
      </c>
      <c r="BK243">
        <v>0.486238</v>
      </c>
      <c r="BL243">
        <v>0.35458200000000001</v>
      </c>
      <c r="BM243">
        <v>0.31200299999999997</v>
      </c>
    </row>
    <row r="244" spans="1:65" x14ac:dyDescent="0.25">
      <c r="B244">
        <v>230</v>
      </c>
      <c r="C244" t="s">
        <v>602</v>
      </c>
      <c r="D244">
        <v>0.46203499999999997</v>
      </c>
      <c r="E244">
        <v>1.4781000000000001E-2</v>
      </c>
      <c r="H244">
        <v>7.2790999999999995E-2</v>
      </c>
      <c r="J244">
        <v>8.6712999999999998E-2</v>
      </c>
      <c r="K244">
        <v>1.0607999999999999E-2</v>
      </c>
      <c r="L244">
        <v>5.9959999999999996E-3</v>
      </c>
      <c r="M244">
        <v>6.6439999999999999E-2</v>
      </c>
      <c r="N244">
        <v>2.2380000000000001E-2</v>
      </c>
      <c r="O244">
        <v>3.4171E-2</v>
      </c>
      <c r="Q244">
        <v>2.2304999999999998E-2</v>
      </c>
      <c r="R244">
        <v>4.8578000000000003E-2</v>
      </c>
      <c r="V244">
        <v>8.5315000000000002E-2</v>
      </c>
      <c r="W244">
        <v>6.1679999999999999E-2</v>
      </c>
      <c r="X244">
        <v>1.1991999999999999E-2</v>
      </c>
      <c r="Y244">
        <v>1.3412E-2</v>
      </c>
      <c r="Z244">
        <v>4.8750000000000002E-2</v>
      </c>
      <c r="AA244">
        <v>8.9155999999999999E-2</v>
      </c>
      <c r="AB244">
        <v>5.9400000000000001E-2</v>
      </c>
      <c r="AF244">
        <f>'User Add-In Location'!E245</f>
        <v>0</v>
      </c>
      <c r="AI244">
        <v>3.7907000000000003E-2</v>
      </c>
      <c r="AJ244">
        <v>4.1577999999999997E-2</v>
      </c>
      <c r="AL244">
        <v>4.6814000000000001E-2</v>
      </c>
      <c r="AM244">
        <v>3.0797999999999999E-2</v>
      </c>
      <c r="AO244">
        <v>4.3143000000000001E-2</v>
      </c>
      <c r="AQ244">
        <v>7.8853999999999994E-2</v>
      </c>
      <c r="AR244">
        <v>8.1434999999999994E-2</v>
      </c>
      <c r="AS244">
        <v>1.6164000000000001E-2</v>
      </c>
      <c r="AT244">
        <v>3.7379999999999997E-2</v>
      </c>
      <c r="AW244">
        <v>7.5885999999999995E-2</v>
      </c>
      <c r="AX244" s="176">
        <v>9.5560999999999993E-2</v>
      </c>
      <c r="BA244">
        <v>6.0400000000000002E-2</v>
      </c>
      <c r="BB244">
        <v>8.8567000000000007E-2</v>
      </c>
      <c r="BD244">
        <v>6.6979999999999998E-2</v>
      </c>
      <c r="BF244">
        <v>7.8538999999999998E-2</v>
      </c>
      <c r="BG244">
        <v>7.9089999999999994E-2</v>
      </c>
      <c r="BH244">
        <v>4.3812999999999998E-2</v>
      </c>
      <c r="BI244">
        <v>5.7718999999999999E-2</v>
      </c>
      <c r="BJ244">
        <v>3.8692999999999998E-2</v>
      </c>
      <c r="BK244">
        <v>4.5282999999999997E-2</v>
      </c>
      <c r="BL244">
        <v>2.2827E-2</v>
      </c>
      <c r="BM244">
        <v>4.4871000000000001E-2</v>
      </c>
    </row>
    <row r="245" spans="1:65" x14ac:dyDescent="0.25">
      <c r="B245">
        <v>231</v>
      </c>
    </row>
    <row r="246" spans="1:65" x14ac:dyDescent="0.25">
      <c r="A246" t="s">
        <v>723</v>
      </c>
      <c r="B246">
        <v>232</v>
      </c>
      <c r="D246" s="174" t="s">
        <v>532</v>
      </c>
      <c r="E246" s="174" t="s">
        <v>680</v>
      </c>
      <c r="F246" s="174" t="s">
        <v>681</v>
      </c>
      <c r="G246" s="174" t="s">
        <v>682</v>
      </c>
      <c r="H246" s="174" t="s">
        <v>533</v>
      </c>
      <c r="I246" s="174" t="s">
        <v>683</v>
      </c>
      <c r="J246" s="174" t="s">
        <v>534</v>
      </c>
      <c r="K246" s="174" t="s">
        <v>535</v>
      </c>
      <c r="L246" s="174" t="s">
        <v>684</v>
      </c>
      <c r="M246" s="174" t="s">
        <v>536</v>
      </c>
      <c r="N246" s="174" t="s">
        <v>537</v>
      </c>
      <c r="O246" s="174" t="s">
        <v>538</v>
      </c>
      <c r="P246" s="174" t="s">
        <v>685</v>
      </c>
      <c r="Q246" s="174" t="s">
        <v>539</v>
      </c>
      <c r="R246" s="174" t="s">
        <v>540</v>
      </c>
      <c r="S246" s="174" t="s">
        <v>686</v>
      </c>
      <c r="T246" s="174" t="s">
        <v>687</v>
      </c>
      <c r="U246" s="174" t="s">
        <v>688</v>
      </c>
      <c r="V246" s="174" t="s">
        <v>541</v>
      </c>
      <c r="W246" s="174" t="s">
        <v>542</v>
      </c>
      <c r="X246" s="174" t="s">
        <v>543</v>
      </c>
      <c r="Y246" s="174" t="s">
        <v>544</v>
      </c>
      <c r="Z246" s="174" t="s">
        <v>545</v>
      </c>
      <c r="AA246" s="174" t="s">
        <v>546</v>
      </c>
      <c r="AB246" s="174" t="s">
        <v>549</v>
      </c>
      <c r="AC246" s="174" t="s">
        <v>689</v>
      </c>
      <c r="AD246" s="174" t="s">
        <v>690</v>
      </c>
      <c r="AE246" s="175" t="s">
        <v>691</v>
      </c>
      <c r="AF246" s="175" t="s">
        <v>1064</v>
      </c>
      <c r="AG246" s="174" t="s">
        <v>692</v>
      </c>
      <c r="AH246" s="174" t="s">
        <v>693</v>
      </c>
      <c r="AI246" s="174" t="s">
        <v>550</v>
      </c>
      <c r="AJ246" s="174" t="s">
        <v>551</v>
      </c>
      <c r="AK246" s="174" t="s">
        <v>694</v>
      </c>
      <c r="AL246" s="174" t="s">
        <v>695</v>
      </c>
      <c r="AM246" s="174" t="s">
        <v>553</v>
      </c>
      <c r="AN246" s="174" t="s">
        <v>696</v>
      </c>
      <c r="AO246" s="174" t="s">
        <v>554</v>
      </c>
      <c r="AP246" s="174" t="s">
        <v>697</v>
      </c>
      <c r="AQ246" s="174" t="s">
        <v>555</v>
      </c>
      <c r="AR246" s="174" t="s">
        <v>556</v>
      </c>
      <c r="AS246" s="174" t="s">
        <v>557</v>
      </c>
      <c r="AT246" s="174" t="s">
        <v>558</v>
      </c>
      <c r="AU246" s="174" t="s">
        <v>698</v>
      </c>
      <c r="AV246" s="174" t="s">
        <v>699</v>
      </c>
      <c r="AW246" s="174" t="s">
        <v>559</v>
      </c>
      <c r="AX246" s="174" t="s">
        <v>530</v>
      </c>
      <c r="AY246" s="174" t="s">
        <v>700</v>
      </c>
      <c r="AZ246" s="174" t="s">
        <v>701</v>
      </c>
      <c r="BA246" s="174" t="s">
        <v>560</v>
      </c>
      <c r="BB246" s="174" t="s">
        <v>561</v>
      </c>
      <c r="BC246" s="174" t="s">
        <v>702</v>
      </c>
      <c r="BD246" s="174" t="s">
        <v>562</v>
      </c>
      <c r="BE246" s="174" t="s">
        <v>703</v>
      </c>
      <c r="BF246" t="s">
        <v>704</v>
      </c>
      <c r="BG246" t="s">
        <v>705</v>
      </c>
      <c r="BH246" t="s">
        <v>706</v>
      </c>
      <c r="BI246" t="s">
        <v>707</v>
      </c>
      <c r="BJ246" t="s">
        <v>708</v>
      </c>
      <c r="BK246" t="s">
        <v>709</v>
      </c>
      <c r="BL246" t="s">
        <v>710</v>
      </c>
      <c r="BM246" t="s">
        <v>711</v>
      </c>
    </row>
    <row r="247" spans="1:65" x14ac:dyDescent="0.25">
      <c r="B247">
        <v>233</v>
      </c>
      <c r="C247" t="s">
        <v>400</v>
      </c>
      <c r="D247">
        <v>0.35281099999999999</v>
      </c>
      <c r="E247">
        <v>0.302454</v>
      </c>
      <c r="H247">
        <v>0.45553900000000003</v>
      </c>
      <c r="J247">
        <v>0.40204499999999999</v>
      </c>
      <c r="K247">
        <v>0.47512500000000002</v>
      </c>
      <c r="L247">
        <v>0.35610999999999998</v>
      </c>
      <c r="M247">
        <v>0.44286599999999998</v>
      </c>
      <c r="N247">
        <v>0.389851</v>
      </c>
      <c r="O247">
        <v>0.42283900000000002</v>
      </c>
      <c r="Q247">
        <v>0.42255300000000001</v>
      </c>
      <c r="R247">
        <v>0.38766</v>
      </c>
      <c r="V247">
        <v>0.427147</v>
      </c>
      <c r="W247">
        <v>0.54472900000000002</v>
      </c>
      <c r="X247">
        <v>0.30316900000000002</v>
      </c>
      <c r="Y247">
        <v>0.57003000000000004</v>
      </c>
      <c r="Z247">
        <v>0.319581</v>
      </c>
      <c r="AA247">
        <v>0.40600799999999998</v>
      </c>
      <c r="AB247">
        <v>0.44556600000000002</v>
      </c>
      <c r="AF247">
        <f>'User Add-In Location'!E248</f>
        <v>0</v>
      </c>
      <c r="AI247">
        <v>0.57172599999999996</v>
      </c>
      <c r="AJ247">
        <v>0.45318000000000003</v>
      </c>
      <c r="AL247">
        <v>0.27945300000000001</v>
      </c>
      <c r="AM247">
        <v>0.35970099999999999</v>
      </c>
      <c r="AO247">
        <v>0.33492699999999997</v>
      </c>
      <c r="AQ247">
        <v>0.47469600000000001</v>
      </c>
      <c r="AR247">
        <v>0.43696000000000002</v>
      </c>
      <c r="AS247">
        <v>0.51095699999999999</v>
      </c>
      <c r="AT247">
        <v>0.19645699999999999</v>
      </c>
      <c r="AW247">
        <v>0.35691200000000001</v>
      </c>
      <c r="AX247" s="176">
        <v>0.81681099999999995</v>
      </c>
      <c r="BA247">
        <v>0.27492299999999997</v>
      </c>
      <c r="BB247">
        <v>0.41583999999999999</v>
      </c>
      <c r="BD247">
        <v>0.30239899999999997</v>
      </c>
      <c r="BF247">
        <v>0.47129599999999999</v>
      </c>
      <c r="BG247">
        <v>0.46268900000000002</v>
      </c>
      <c r="BH247">
        <v>0.42607</v>
      </c>
      <c r="BI247">
        <v>0.39002700000000001</v>
      </c>
      <c r="BJ247">
        <v>0.36599599999999999</v>
      </c>
      <c r="BK247">
        <v>0.40963899999999998</v>
      </c>
      <c r="BL247">
        <v>0.59239200000000003</v>
      </c>
      <c r="BM247">
        <v>0.361317</v>
      </c>
    </row>
    <row r="248" spans="1:65" x14ac:dyDescent="0.25">
      <c r="B248">
        <v>234</v>
      </c>
      <c r="C248" t="s">
        <v>583</v>
      </c>
      <c r="D248">
        <v>0.19292599999999999</v>
      </c>
      <c r="E248">
        <v>0.27448600000000001</v>
      </c>
      <c r="H248">
        <v>0.30363400000000001</v>
      </c>
      <c r="J248">
        <v>0.40576400000000001</v>
      </c>
      <c r="K248">
        <v>0.227357</v>
      </c>
      <c r="L248">
        <v>0.25720900000000002</v>
      </c>
      <c r="M248">
        <v>0.311751</v>
      </c>
      <c r="N248">
        <v>0.36146200000000001</v>
      </c>
      <c r="O248">
        <v>0.18881800000000001</v>
      </c>
      <c r="Q248">
        <v>0.43876100000000001</v>
      </c>
      <c r="R248">
        <v>0.30258299999999999</v>
      </c>
      <c r="V248">
        <v>0.446627</v>
      </c>
      <c r="W248">
        <v>0.24723100000000001</v>
      </c>
      <c r="X248">
        <v>0.26479799999999998</v>
      </c>
      <c r="Y248">
        <v>0.39904000000000001</v>
      </c>
      <c r="Z248">
        <v>0.34059800000000001</v>
      </c>
      <c r="AA248">
        <v>0.57514699999999996</v>
      </c>
      <c r="AB248">
        <v>0.30878100000000003</v>
      </c>
      <c r="AF248">
        <f>'User Add-In Location'!E249</f>
        <v>0</v>
      </c>
      <c r="AI248">
        <v>0.40329500000000001</v>
      </c>
      <c r="AJ248">
        <v>0.88762300000000005</v>
      </c>
      <c r="AL248">
        <v>1.300689</v>
      </c>
      <c r="AM248">
        <v>0.21858900000000001</v>
      </c>
      <c r="AO248">
        <v>0.15448700000000001</v>
      </c>
      <c r="AQ248">
        <v>0.28801599999999999</v>
      </c>
      <c r="AR248">
        <v>0.35186899999999999</v>
      </c>
      <c r="AS248">
        <v>0.23017099999999999</v>
      </c>
      <c r="AT248">
        <v>0.153388</v>
      </c>
      <c r="AW248">
        <v>0.51370700000000002</v>
      </c>
      <c r="AX248" s="176">
        <v>0.86368100000000003</v>
      </c>
      <c r="BA248">
        <v>0.368203</v>
      </c>
      <c r="BB248">
        <v>0.18184500000000001</v>
      </c>
      <c r="BD248">
        <v>0.27513700000000002</v>
      </c>
      <c r="BF248">
        <v>0.53624700000000003</v>
      </c>
      <c r="BG248">
        <v>0.30185699999999999</v>
      </c>
      <c r="BH248">
        <v>0.68046700000000004</v>
      </c>
      <c r="BI248">
        <v>0.363651</v>
      </c>
      <c r="BJ248">
        <v>1.0890439999999999</v>
      </c>
      <c r="BK248">
        <v>0.37130800000000003</v>
      </c>
      <c r="BL248">
        <v>0.430145</v>
      </c>
      <c r="BM248">
        <v>1.0460100000000001</v>
      </c>
    </row>
    <row r="249" spans="1:65" x14ac:dyDescent="0.25">
      <c r="B249">
        <v>235</v>
      </c>
      <c r="C249" t="s">
        <v>403</v>
      </c>
      <c r="D249">
        <v>0.21947</v>
      </c>
      <c r="E249">
        <v>0.14673800000000001</v>
      </c>
      <c r="H249">
        <v>0.24086399999999999</v>
      </c>
      <c r="J249">
        <v>0</v>
      </c>
      <c r="K249">
        <v>0</v>
      </c>
      <c r="L249">
        <v>0</v>
      </c>
      <c r="M249">
        <v>0.19195100000000001</v>
      </c>
      <c r="N249">
        <v>0</v>
      </c>
      <c r="O249">
        <v>0</v>
      </c>
      <c r="Q249">
        <v>0.34466799999999997</v>
      </c>
      <c r="R249">
        <v>0.31380999999999998</v>
      </c>
      <c r="V249">
        <v>0.230378</v>
      </c>
      <c r="W249">
        <v>0</v>
      </c>
      <c r="X249">
        <v>0.22750899999999999</v>
      </c>
      <c r="Y249">
        <v>0</v>
      </c>
      <c r="Z249">
        <v>0</v>
      </c>
      <c r="AA249">
        <v>0</v>
      </c>
      <c r="AB249">
        <v>0.21635499999999999</v>
      </c>
      <c r="AF249">
        <f>'User Add-In Location'!E250</f>
        <v>0</v>
      </c>
      <c r="AI249">
        <v>0</v>
      </c>
      <c r="AJ249">
        <v>0</v>
      </c>
      <c r="AL249">
        <v>0</v>
      </c>
      <c r="AM249">
        <v>0</v>
      </c>
      <c r="AO249">
        <v>0.61941299999999999</v>
      </c>
      <c r="AQ249">
        <v>0</v>
      </c>
      <c r="AR249">
        <v>0.30535699999999999</v>
      </c>
      <c r="AS249">
        <v>0</v>
      </c>
      <c r="AT249">
        <v>0</v>
      </c>
      <c r="AW249">
        <v>0.29355300000000001</v>
      </c>
      <c r="AX249" s="176">
        <v>0.623004</v>
      </c>
      <c r="BA249">
        <v>0.24155599999999999</v>
      </c>
      <c r="BB249">
        <v>0.40292600000000001</v>
      </c>
      <c r="BD249">
        <v>0</v>
      </c>
      <c r="BF249">
        <v>0.30313699999999999</v>
      </c>
      <c r="BG249">
        <v>0.45154100000000003</v>
      </c>
      <c r="BH249">
        <v>0.28142800000000001</v>
      </c>
      <c r="BI249">
        <v>0.34403400000000001</v>
      </c>
      <c r="BJ249">
        <v>0.249611</v>
      </c>
      <c r="BK249">
        <v>0.27188299999999999</v>
      </c>
      <c r="BL249">
        <v>0</v>
      </c>
      <c r="BM249">
        <v>0</v>
      </c>
    </row>
    <row r="250" spans="1:65" x14ac:dyDescent="0.25">
      <c r="B250">
        <v>236</v>
      </c>
      <c r="C250" t="s">
        <v>584</v>
      </c>
      <c r="D250">
        <v>0.198682</v>
      </c>
      <c r="E250">
        <v>0.21027899999999999</v>
      </c>
      <c r="H250">
        <v>0.29336800000000002</v>
      </c>
      <c r="J250">
        <v>0.20083000000000001</v>
      </c>
      <c r="K250">
        <v>0.261295</v>
      </c>
      <c r="L250">
        <v>0.236871</v>
      </c>
      <c r="M250">
        <v>0.249218</v>
      </c>
      <c r="N250">
        <v>0.307562</v>
      </c>
      <c r="O250">
        <v>0.22592100000000001</v>
      </c>
      <c r="Q250">
        <v>0.377697</v>
      </c>
      <c r="R250">
        <v>0.31608799999999998</v>
      </c>
      <c r="V250">
        <v>0.38053300000000001</v>
      </c>
      <c r="W250">
        <v>0.26658999999999999</v>
      </c>
      <c r="X250">
        <v>0.23848900000000001</v>
      </c>
      <c r="Y250">
        <v>0.30774499999999999</v>
      </c>
      <c r="Z250">
        <v>0.23995</v>
      </c>
      <c r="AA250">
        <v>0.354489</v>
      </c>
      <c r="AB250">
        <v>0.28225800000000001</v>
      </c>
      <c r="AF250">
        <f>'User Add-In Location'!E251</f>
        <v>0</v>
      </c>
      <c r="AI250">
        <v>0.37966899999999998</v>
      </c>
      <c r="AJ250">
        <v>0.73001400000000005</v>
      </c>
      <c r="AL250">
        <v>0.42123500000000003</v>
      </c>
      <c r="AM250">
        <v>0.29304999999999998</v>
      </c>
      <c r="AO250">
        <v>0.28004400000000002</v>
      </c>
      <c r="AQ250">
        <v>0.33636199999999999</v>
      </c>
      <c r="AR250">
        <v>0.286528</v>
      </c>
      <c r="AS250">
        <v>0.233124</v>
      </c>
      <c r="AT250">
        <v>0.191605</v>
      </c>
      <c r="AW250">
        <v>0.46002199999999999</v>
      </c>
      <c r="AX250" s="176">
        <v>0.750197</v>
      </c>
      <c r="BA250">
        <v>0.25975300000000001</v>
      </c>
      <c r="BB250">
        <v>0.37170500000000001</v>
      </c>
      <c r="BD250">
        <v>0.20596400000000001</v>
      </c>
      <c r="BF250">
        <v>0.46524300000000002</v>
      </c>
      <c r="BG250">
        <v>0.32704100000000003</v>
      </c>
      <c r="BH250">
        <v>0.40585700000000002</v>
      </c>
      <c r="BI250">
        <v>0.33078600000000002</v>
      </c>
      <c r="BJ250">
        <v>0.48936800000000003</v>
      </c>
      <c r="BK250">
        <v>0.33425899999999997</v>
      </c>
      <c r="BL250">
        <v>0.35410799999999998</v>
      </c>
      <c r="BM250">
        <v>0.40127000000000002</v>
      </c>
    </row>
    <row r="251" spans="1:65" x14ac:dyDescent="0.25">
      <c r="B251">
        <v>237</v>
      </c>
      <c r="C251" t="s">
        <v>585</v>
      </c>
      <c r="D251">
        <v>0.27171899999999999</v>
      </c>
      <c r="E251">
        <v>0</v>
      </c>
      <c r="H251">
        <v>0</v>
      </c>
      <c r="J251">
        <v>0</v>
      </c>
      <c r="K251">
        <v>0</v>
      </c>
      <c r="L251">
        <v>0</v>
      </c>
      <c r="M251">
        <v>0.210339</v>
      </c>
      <c r="N251">
        <v>0</v>
      </c>
      <c r="O251">
        <v>0</v>
      </c>
      <c r="Q251">
        <v>0</v>
      </c>
      <c r="R251">
        <v>0</v>
      </c>
      <c r="V251">
        <v>0</v>
      </c>
      <c r="W251">
        <v>0</v>
      </c>
      <c r="X251">
        <v>0</v>
      </c>
      <c r="Y251">
        <v>0</v>
      </c>
      <c r="Z251">
        <v>0</v>
      </c>
      <c r="AA251">
        <v>0.202593</v>
      </c>
      <c r="AB251">
        <v>0</v>
      </c>
      <c r="AF251">
        <f>'User Add-In Location'!E252</f>
        <v>0</v>
      </c>
      <c r="AI251">
        <v>0</v>
      </c>
      <c r="AJ251">
        <v>0.62254399999999999</v>
      </c>
      <c r="AL251">
        <v>0</v>
      </c>
      <c r="AM251">
        <v>0</v>
      </c>
      <c r="AO251">
        <v>0</v>
      </c>
      <c r="AQ251">
        <v>0</v>
      </c>
      <c r="AR251">
        <v>0</v>
      </c>
      <c r="AS251">
        <v>0</v>
      </c>
      <c r="AT251">
        <v>0</v>
      </c>
      <c r="AW251">
        <v>0.32086399999999998</v>
      </c>
      <c r="AX251" s="176">
        <v>0.65740799999999999</v>
      </c>
      <c r="BA251">
        <v>0</v>
      </c>
      <c r="BB251">
        <v>0</v>
      </c>
      <c r="BD251">
        <v>0</v>
      </c>
      <c r="BF251">
        <v>0.31560500000000002</v>
      </c>
      <c r="BG251">
        <v>0</v>
      </c>
      <c r="BH251">
        <v>0.62841400000000003</v>
      </c>
      <c r="BI251">
        <v>0.178426</v>
      </c>
      <c r="BJ251">
        <v>0.56747099999999995</v>
      </c>
      <c r="BK251">
        <v>0</v>
      </c>
      <c r="BL251">
        <v>0</v>
      </c>
      <c r="BM251">
        <v>0</v>
      </c>
    </row>
    <row r="252" spans="1:65" x14ac:dyDescent="0.25">
      <c r="B252">
        <v>238</v>
      </c>
      <c r="C252" t="s">
        <v>586</v>
      </c>
      <c r="D252">
        <v>0.10492700000000001</v>
      </c>
      <c r="E252">
        <v>0.18646399999999999</v>
      </c>
      <c r="H252">
        <v>0.222776</v>
      </c>
      <c r="J252">
        <v>0.16761000000000001</v>
      </c>
      <c r="K252">
        <v>0.166486</v>
      </c>
      <c r="L252">
        <v>6.1631999999999999E-2</v>
      </c>
      <c r="M252">
        <v>0.18457100000000001</v>
      </c>
      <c r="N252">
        <v>0.25400499999999998</v>
      </c>
      <c r="O252">
        <v>0.149113</v>
      </c>
      <c r="Q252">
        <v>0.264403</v>
      </c>
      <c r="R252">
        <v>0.17640800000000001</v>
      </c>
      <c r="V252">
        <v>0.216033</v>
      </c>
      <c r="W252">
        <v>0.13897599999999999</v>
      </c>
      <c r="X252">
        <v>0.234708</v>
      </c>
      <c r="Y252">
        <v>0.216945</v>
      </c>
      <c r="Z252">
        <v>0.239144</v>
      </c>
      <c r="AA252">
        <v>0.275009</v>
      </c>
      <c r="AB252">
        <v>0.183894</v>
      </c>
      <c r="AF252">
        <f>'User Add-In Location'!E253</f>
        <v>0</v>
      </c>
      <c r="AI252">
        <v>0.185196</v>
      </c>
      <c r="AJ252">
        <v>0.22653899999999999</v>
      </c>
      <c r="AL252">
        <v>0.213865</v>
      </c>
      <c r="AM252">
        <v>0.18706</v>
      </c>
      <c r="AO252">
        <v>0.18539800000000001</v>
      </c>
      <c r="AQ252">
        <v>0.20655499999999999</v>
      </c>
      <c r="AR252">
        <v>0.28885100000000002</v>
      </c>
      <c r="AS252">
        <v>8.6736999999999995E-2</v>
      </c>
      <c r="AT252">
        <v>0.140873</v>
      </c>
      <c r="AW252">
        <v>0.28103099999999998</v>
      </c>
      <c r="AX252" s="176">
        <v>0.60607599999999995</v>
      </c>
      <c r="BA252">
        <v>0.20574799999999999</v>
      </c>
      <c r="BB252">
        <v>0.17369299999999999</v>
      </c>
      <c r="BD252">
        <v>0.20786499999999999</v>
      </c>
      <c r="BF252">
        <v>0.28059800000000001</v>
      </c>
      <c r="BG252">
        <v>0.220494</v>
      </c>
      <c r="BH252">
        <v>0.24953500000000001</v>
      </c>
      <c r="BI252">
        <v>0.26297900000000002</v>
      </c>
      <c r="BJ252">
        <v>0.24581</v>
      </c>
      <c r="BK252">
        <v>0.23388400000000001</v>
      </c>
      <c r="BL252">
        <v>0.22942499999999999</v>
      </c>
      <c r="BM252">
        <v>0.21791199999999999</v>
      </c>
    </row>
    <row r="253" spans="1:65" x14ac:dyDescent="0.25">
      <c r="B253">
        <v>239</v>
      </c>
      <c r="C253" t="s">
        <v>587</v>
      </c>
      <c r="D253">
        <v>0.46906999999999999</v>
      </c>
      <c r="E253">
        <v>0.123511</v>
      </c>
      <c r="H253">
        <v>0.130966</v>
      </c>
      <c r="J253">
        <v>8.7805999999999995E-2</v>
      </c>
      <c r="K253">
        <v>0.10520400000000001</v>
      </c>
      <c r="L253">
        <v>4.9349999999999998E-2</v>
      </c>
      <c r="M253">
        <v>0.106903</v>
      </c>
      <c r="N253">
        <v>0.105993</v>
      </c>
      <c r="O253">
        <v>9.1688000000000006E-2</v>
      </c>
      <c r="Q253">
        <v>0.15548100000000001</v>
      </c>
      <c r="R253">
        <v>0.102369</v>
      </c>
      <c r="V253">
        <v>8.8435E-2</v>
      </c>
      <c r="W253">
        <v>9.5342999999999997E-2</v>
      </c>
      <c r="X253">
        <v>0.138576</v>
      </c>
      <c r="Y253">
        <v>0.13941999999999999</v>
      </c>
      <c r="Z253">
        <v>0.139849</v>
      </c>
      <c r="AA253">
        <v>0.15399499999999999</v>
      </c>
      <c r="AB253">
        <v>8.3001000000000005E-2</v>
      </c>
      <c r="AF253">
        <f>'User Add-In Location'!E254</f>
        <v>0</v>
      </c>
      <c r="AI253">
        <v>0.105685</v>
      </c>
      <c r="AJ253">
        <v>0.125832</v>
      </c>
      <c r="AL253">
        <v>0.11243499999999999</v>
      </c>
      <c r="AM253">
        <v>0.103533</v>
      </c>
      <c r="AO253">
        <v>9.1021000000000005E-2</v>
      </c>
      <c r="AQ253">
        <v>0.123408</v>
      </c>
      <c r="AR253">
        <v>0.126524</v>
      </c>
      <c r="AS253">
        <v>6.5139000000000002E-2</v>
      </c>
      <c r="AT253">
        <v>6.2283999999999999E-2</v>
      </c>
      <c r="AW253">
        <v>0.152758</v>
      </c>
      <c r="AX253" s="176">
        <v>0.54164100000000004</v>
      </c>
      <c r="BA253">
        <v>0.108652</v>
      </c>
      <c r="BB253">
        <v>6.5560999999999994E-2</v>
      </c>
      <c r="BD253">
        <v>0.131353</v>
      </c>
      <c r="BF253">
        <v>0.14285999999999999</v>
      </c>
      <c r="BG253">
        <v>0.111166</v>
      </c>
      <c r="BH253">
        <v>0.13175700000000001</v>
      </c>
      <c r="BI253">
        <v>0.138484</v>
      </c>
      <c r="BJ253">
        <v>0.132193</v>
      </c>
      <c r="BK253">
        <v>0.11648</v>
      </c>
      <c r="BL253">
        <v>0.13405700000000001</v>
      </c>
      <c r="BM253">
        <v>0.119154</v>
      </c>
    </row>
    <row r="254" spans="1:65" x14ac:dyDescent="0.25">
      <c r="B254">
        <v>240</v>
      </c>
      <c r="C254" t="s">
        <v>588</v>
      </c>
      <c r="D254">
        <v>0.29357100000000003</v>
      </c>
      <c r="E254">
        <v>5.3934000000000003E-2</v>
      </c>
      <c r="H254">
        <v>0.29170000000000001</v>
      </c>
      <c r="J254">
        <v>0.56581199999999998</v>
      </c>
      <c r="K254">
        <v>0.29006199999999999</v>
      </c>
      <c r="L254">
        <v>8.9913999999999994E-2</v>
      </c>
      <c r="M254">
        <v>0.28920800000000002</v>
      </c>
      <c r="N254">
        <v>0.33412799999999998</v>
      </c>
      <c r="O254">
        <v>0.25057099999999999</v>
      </c>
      <c r="Q254">
        <v>0.35419499999999998</v>
      </c>
      <c r="R254">
        <v>0.31383</v>
      </c>
      <c r="V254">
        <v>0.41673900000000003</v>
      </c>
      <c r="W254">
        <v>0.237924</v>
      </c>
      <c r="X254">
        <v>0.29297200000000001</v>
      </c>
      <c r="Y254">
        <v>0.30893599999999999</v>
      </c>
      <c r="Z254">
        <v>0.36370999999999998</v>
      </c>
      <c r="AA254">
        <v>0.48871999999999999</v>
      </c>
      <c r="AB254">
        <v>0.29209400000000002</v>
      </c>
      <c r="AF254">
        <f>'User Add-In Location'!E255</f>
        <v>0</v>
      </c>
      <c r="AI254">
        <v>0.25864300000000001</v>
      </c>
      <c r="AJ254">
        <v>0.30543100000000001</v>
      </c>
      <c r="AL254">
        <v>0.32692300000000002</v>
      </c>
      <c r="AM254">
        <v>0.24308399999999999</v>
      </c>
      <c r="AO254">
        <v>0.37678600000000001</v>
      </c>
      <c r="AQ254">
        <v>0.30832300000000001</v>
      </c>
      <c r="AR254">
        <v>0.77284799999999998</v>
      </c>
      <c r="AS254">
        <v>0.17067499999999999</v>
      </c>
      <c r="AT254">
        <v>0.190331</v>
      </c>
      <c r="AW254">
        <v>1.097307</v>
      </c>
      <c r="AX254" s="176">
        <v>0.97316499999999995</v>
      </c>
      <c r="BA254">
        <v>0.273947</v>
      </c>
      <c r="BB254">
        <v>0.177539</v>
      </c>
      <c r="BD254">
        <v>0.31734899999999999</v>
      </c>
      <c r="BF254">
        <v>0.96631900000000004</v>
      </c>
      <c r="BG254">
        <v>0.29050500000000001</v>
      </c>
      <c r="BH254">
        <v>0.37999899999999998</v>
      </c>
      <c r="BI254">
        <v>0.53088000000000002</v>
      </c>
      <c r="BJ254">
        <v>0.334227</v>
      </c>
      <c r="BK254">
        <v>0.33044800000000002</v>
      </c>
      <c r="BL254">
        <v>0.33272699999999999</v>
      </c>
      <c r="BM254">
        <v>0.38355499999999998</v>
      </c>
    </row>
    <row r="255" spans="1:65" x14ac:dyDescent="0.25">
      <c r="B255">
        <v>241</v>
      </c>
      <c r="C255" t="s">
        <v>348</v>
      </c>
      <c r="D255">
        <v>0.40904200000000002</v>
      </c>
      <c r="E255">
        <v>0.51704799999999995</v>
      </c>
      <c r="H255">
        <v>0.48303499999999999</v>
      </c>
      <c r="J255">
        <v>0.54714700000000005</v>
      </c>
      <c r="K255">
        <v>0.404252</v>
      </c>
      <c r="L255">
        <v>0.14089299999999999</v>
      </c>
      <c r="M255">
        <v>0.46335900000000002</v>
      </c>
      <c r="N255">
        <v>0.44156600000000001</v>
      </c>
      <c r="O255">
        <v>0.44922699999999999</v>
      </c>
      <c r="Q255">
        <v>0.58364700000000003</v>
      </c>
      <c r="R255">
        <v>0.51132900000000003</v>
      </c>
      <c r="V255">
        <v>0.55802600000000002</v>
      </c>
      <c r="W255">
        <v>0.51029999999999998</v>
      </c>
      <c r="X255">
        <v>0.46794000000000002</v>
      </c>
      <c r="Y255">
        <v>0.550848</v>
      </c>
      <c r="Z255">
        <v>0.50479300000000005</v>
      </c>
      <c r="AA255">
        <v>0.67743699999999996</v>
      </c>
      <c r="AB255">
        <v>0.43431500000000001</v>
      </c>
      <c r="AF255">
        <f>'User Add-In Location'!E256</f>
        <v>0</v>
      </c>
      <c r="AI255">
        <v>0.69865500000000003</v>
      </c>
      <c r="AJ255">
        <v>0.56958799999999998</v>
      </c>
      <c r="AL255">
        <v>0.42614000000000002</v>
      </c>
      <c r="AM255">
        <v>0.44899800000000001</v>
      </c>
      <c r="AO255">
        <v>0.47975000000000001</v>
      </c>
      <c r="AQ255">
        <v>0.54545699999999997</v>
      </c>
      <c r="AR255">
        <v>0.62612400000000001</v>
      </c>
      <c r="AS255">
        <v>0.37208799999999997</v>
      </c>
      <c r="AT255">
        <v>0.31609199999999998</v>
      </c>
      <c r="AW255">
        <v>0.61620600000000003</v>
      </c>
      <c r="AX255" s="176">
        <v>1.0400229999999999</v>
      </c>
      <c r="BA255">
        <v>0.46161099999999999</v>
      </c>
      <c r="BB255">
        <v>0.39665499999999998</v>
      </c>
      <c r="BD255">
        <v>0.552284</v>
      </c>
      <c r="BF255">
        <v>0.62058199999999997</v>
      </c>
      <c r="BG255">
        <v>0.48650900000000002</v>
      </c>
      <c r="BH255">
        <v>0.561975</v>
      </c>
      <c r="BI255">
        <v>0.58828899999999995</v>
      </c>
      <c r="BJ255">
        <v>0.51142600000000005</v>
      </c>
      <c r="BK255">
        <v>0.51525299999999996</v>
      </c>
      <c r="BL255">
        <v>0.615676</v>
      </c>
      <c r="BM255">
        <v>0.49406899999999998</v>
      </c>
    </row>
    <row r="256" spans="1:65" x14ac:dyDescent="0.25">
      <c r="B256">
        <v>242</v>
      </c>
      <c r="C256" t="s">
        <v>589</v>
      </c>
      <c r="D256">
        <v>0.46162700000000001</v>
      </c>
      <c r="E256">
        <v>0.44663799999999998</v>
      </c>
      <c r="H256">
        <v>0.43189</v>
      </c>
      <c r="J256">
        <v>0.56530499999999995</v>
      </c>
      <c r="K256">
        <v>0.35632799999999998</v>
      </c>
      <c r="L256">
        <v>0.12904199999999999</v>
      </c>
      <c r="M256">
        <v>0.40277600000000002</v>
      </c>
      <c r="N256">
        <v>0.39133099999999998</v>
      </c>
      <c r="O256">
        <v>0.40014100000000002</v>
      </c>
      <c r="Q256">
        <v>0.52127000000000001</v>
      </c>
      <c r="R256">
        <v>0.47255200000000003</v>
      </c>
      <c r="V256">
        <v>0.53744499999999995</v>
      </c>
      <c r="W256">
        <v>0.56710799999999995</v>
      </c>
      <c r="X256">
        <v>0.43966300000000003</v>
      </c>
      <c r="Y256">
        <v>0.54896500000000004</v>
      </c>
      <c r="Z256">
        <v>0.44908399999999998</v>
      </c>
      <c r="AA256">
        <v>0.58993899999999999</v>
      </c>
      <c r="AB256">
        <v>0.41286099999999998</v>
      </c>
      <c r="AF256">
        <f>'User Add-In Location'!E257</f>
        <v>0</v>
      </c>
      <c r="AI256">
        <v>0.893988</v>
      </c>
      <c r="AJ256">
        <v>0.53078099999999995</v>
      </c>
      <c r="AL256">
        <v>0.38652999999999998</v>
      </c>
      <c r="AM256">
        <v>0.42951899999999998</v>
      </c>
      <c r="AO256">
        <v>0.46538299999999999</v>
      </c>
      <c r="AQ256">
        <v>0.51178199999999996</v>
      </c>
      <c r="AR256">
        <v>0.54950600000000005</v>
      </c>
      <c r="AS256">
        <v>0.34872700000000001</v>
      </c>
      <c r="AT256">
        <v>0.27495900000000001</v>
      </c>
      <c r="AW256">
        <v>0.56892500000000001</v>
      </c>
      <c r="AX256" s="176">
        <v>0.94535800000000003</v>
      </c>
      <c r="BA256">
        <v>0.41604600000000003</v>
      </c>
      <c r="BB256">
        <v>0.35710700000000001</v>
      </c>
      <c r="BD256">
        <v>0.49132399999999998</v>
      </c>
      <c r="BF256">
        <v>0.56558299999999995</v>
      </c>
      <c r="BG256">
        <v>0.43709199999999998</v>
      </c>
      <c r="BH256">
        <v>0.52080199999999999</v>
      </c>
      <c r="BI256">
        <v>0.52855700000000005</v>
      </c>
      <c r="BJ256">
        <v>0.46867199999999998</v>
      </c>
      <c r="BK256">
        <v>0.46501799999999999</v>
      </c>
      <c r="BL256">
        <v>0.63869100000000001</v>
      </c>
      <c r="BM256">
        <v>0.46496100000000001</v>
      </c>
    </row>
    <row r="257" spans="2:65" x14ac:dyDescent="0.25">
      <c r="B257">
        <v>243</v>
      </c>
      <c r="C257" t="s">
        <v>590</v>
      </c>
      <c r="D257">
        <v>0.32267800000000002</v>
      </c>
      <c r="E257">
        <v>0.48314400000000002</v>
      </c>
      <c r="H257">
        <v>0.43126300000000001</v>
      </c>
      <c r="J257">
        <v>0.52194300000000005</v>
      </c>
      <c r="K257">
        <v>0.34856900000000002</v>
      </c>
      <c r="L257">
        <v>0.125059</v>
      </c>
      <c r="M257">
        <v>0.39478400000000002</v>
      </c>
      <c r="N257">
        <v>0.37865399999999999</v>
      </c>
      <c r="O257">
        <v>0.38991700000000001</v>
      </c>
      <c r="Q257">
        <v>0.51522900000000005</v>
      </c>
      <c r="R257">
        <v>0.45029200000000003</v>
      </c>
      <c r="V257">
        <v>0.50165800000000005</v>
      </c>
      <c r="W257">
        <v>0.48081600000000002</v>
      </c>
      <c r="X257">
        <v>0.416213</v>
      </c>
      <c r="Y257">
        <v>0.50812199999999996</v>
      </c>
      <c r="Z257">
        <v>0.441882</v>
      </c>
      <c r="AA257">
        <v>0.60679799999999995</v>
      </c>
      <c r="AB257">
        <v>0.38533000000000001</v>
      </c>
      <c r="AF257">
        <f>'User Add-In Location'!E258</f>
        <v>0</v>
      </c>
      <c r="AI257">
        <v>0.71197100000000002</v>
      </c>
      <c r="AJ257">
        <v>0.50958700000000001</v>
      </c>
      <c r="AL257">
        <v>0.379853</v>
      </c>
      <c r="AM257">
        <v>0.40094200000000002</v>
      </c>
      <c r="AO257">
        <v>0.43083199999999999</v>
      </c>
      <c r="AQ257">
        <v>0.48646400000000001</v>
      </c>
      <c r="AR257">
        <v>0.55554499999999996</v>
      </c>
      <c r="AS257">
        <v>0.33116000000000001</v>
      </c>
      <c r="AT257">
        <v>0.268733</v>
      </c>
      <c r="AW257">
        <v>0.54942100000000005</v>
      </c>
      <c r="AX257" s="176">
        <v>0.96309400000000001</v>
      </c>
      <c r="BA257">
        <v>0.40648800000000002</v>
      </c>
      <c r="BB257">
        <v>0.35041099999999997</v>
      </c>
      <c r="BD257">
        <v>0.49098900000000001</v>
      </c>
      <c r="BF257">
        <v>0.54718500000000003</v>
      </c>
      <c r="BG257">
        <v>0.43384200000000001</v>
      </c>
      <c r="BH257">
        <v>0.50240899999999999</v>
      </c>
      <c r="BI257">
        <v>0.52193900000000004</v>
      </c>
      <c r="BJ257">
        <v>0.45582400000000001</v>
      </c>
      <c r="BK257">
        <v>0.45069500000000001</v>
      </c>
      <c r="BL257">
        <v>0.57677199999999995</v>
      </c>
      <c r="BM257">
        <v>0.44753900000000002</v>
      </c>
    </row>
    <row r="258" spans="2:65" x14ac:dyDescent="0.25">
      <c r="B258">
        <v>244</v>
      </c>
      <c r="C258" t="s">
        <v>591</v>
      </c>
      <c r="D258">
        <v>0.34911700000000001</v>
      </c>
      <c r="E258">
        <v>0.208007</v>
      </c>
      <c r="H258">
        <v>0.2959</v>
      </c>
      <c r="J258">
        <v>0.34122999999999998</v>
      </c>
      <c r="K258">
        <v>0.215616</v>
      </c>
      <c r="L258">
        <v>6.6652000000000003E-2</v>
      </c>
      <c r="M258">
        <v>0.28901399999999999</v>
      </c>
      <c r="N258">
        <v>0.25401200000000002</v>
      </c>
      <c r="O258">
        <v>0.19184100000000001</v>
      </c>
      <c r="Q258">
        <v>0.34382000000000001</v>
      </c>
      <c r="R258">
        <v>0.26988400000000001</v>
      </c>
      <c r="V258">
        <v>0.24495700000000001</v>
      </c>
      <c r="W258">
        <v>0.274171</v>
      </c>
      <c r="X258">
        <v>0.24546200000000001</v>
      </c>
      <c r="Y258">
        <v>0.300483</v>
      </c>
      <c r="Z258">
        <v>0.28262700000000002</v>
      </c>
      <c r="AA258">
        <v>0.41494599999999998</v>
      </c>
      <c r="AB258">
        <v>0.254139</v>
      </c>
      <c r="AF258">
        <f>'User Add-In Location'!E259</f>
        <v>0</v>
      </c>
      <c r="AI258">
        <v>0.37348199999999998</v>
      </c>
      <c r="AJ258">
        <v>0.34576400000000002</v>
      </c>
      <c r="AL258">
        <v>0.24897900000000001</v>
      </c>
      <c r="AM258">
        <v>0.23148099999999999</v>
      </c>
      <c r="AO258">
        <v>0.26043899999999998</v>
      </c>
      <c r="AQ258">
        <v>0.32292799999999999</v>
      </c>
      <c r="AR258">
        <v>0.39188099999999998</v>
      </c>
      <c r="AS258">
        <v>0.20513999999999999</v>
      </c>
      <c r="AT258">
        <v>0.16883300000000001</v>
      </c>
      <c r="AW258">
        <v>0.34205099999999999</v>
      </c>
      <c r="AX258" s="176">
        <v>0.70534300000000005</v>
      </c>
      <c r="BA258">
        <v>0.24696799999999999</v>
      </c>
      <c r="BB258">
        <v>0.22110099999999999</v>
      </c>
      <c r="BD258">
        <v>0.32073499999999999</v>
      </c>
      <c r="BF258">
        <v>0.36086699999999999</v>
      </c>
      <c r="BG258">
        <v>0.29468800000000001</v>
      </c>
      <c r="BH258">
        <v>0.32682699999999998</v>
      </c>
      <c r="BI258">
        <v>0.34615099999999999</v>
      </c>
      <c r="BJ258">
        <v>0.29999300000000001</v>
      </c>
      <c r="BK258">
        <v>0.291661</v>
      </c>
      <c r="BL258">
        <v>0.341476</v>
      </c>
      <c r="BM258">
        <v>0.29328100000000001</v>
      </c>
    </row>
    <row r="259" spans="2:65" x14ac:dyDescent="0.25">
      <c r="B259">
        <v>245</v>
      </c>
      <c r="C259" t="s">
        <v>592</v>
      </c>
      <c r="D259">
        <v>0.22156400000000001</v>
      </c>
      <c r="E259">
        <v>0.27890999999999999</v>
      </c>
      <c r="H259">
        <v>0.30714999999999998</v>
      </c>
      <c r="J259">
        <v>0.33358100000000002</v>
      </c>
      <c r="K259">
        <v>0.247419</v>
      </c>
      <c r="L259">
        <v>4.9007000000000002E-2</v>
      </c>
      <c r="M259">
        <v>0.25733800000000001</v>
      </c>
      <c r="N259">
        <v>0.24086399999999999</v>
      </c>
      <c r="O259">
        <v>0.23444400000000001</v>
      </c>
      <c r="Q259">
        <v>0.36107099999999998</v>
      </c>
      <c r="R259">
        <v>0.31529000000000001</v>
      </c>
      <c r="V259">
        <v>0.310392</v>
      </c>
      <c r="W259">
        <v>0.26261699999999999</v>
      </c>
      <c r="X259">
        <v>0.23364799999999999</v>
      </c>
      <c r="Y259">
        <v>0.32208399999999998</v>
      </c>
      <c r="Z259">
        <v>0.31459700000000002</v>
      </c>
      <c r="AA259">
        <v>0.36137799999999998</v>
      </c>
      <c r="AB259">
        <v>0.24909600000000001</v>
      </c>
      <c r="AF259">
        <f>'User Add-In Location'!E260</f>
        <v>0</v>
      </c>
      <c r="AI259">
        <v>0.35684199999999999</v>
      </c>
      <c r="AJ259">
        <v>0.35680400000000001</v>
      </c>
      <c r="AL259">
        <v>0.21959600000000001</v>
      </c>
      <c r="AM259">
        <v>0.27238699999999999</v>
      </c>
      <c r="AO259">
        <v>0.29725400000000002</v>
      </c>
      <c r="AQ259">
        <v>0.307838</v>
      </c>
      <c r="AR259">
        <v>0.40546100000000002</v>
      </c>
      <c r="AS259">
        <v>0.20070399999999999</v>
      </c>
      <c r="AT259">
        <v>0.18374299999999999</v>
      </c>
      <c r="AW259">
        <v>0.37549399999999999</v>
      </c>
      <c r="AX259" s="176">
        <v>0.723665</v>
      </c>
      <c r="BA259">
        <v>0.25706899999999999</v>
      </c>
      <c r="BB259">
        <v>0.26081399999999999</v>
      </c>
      <c r="BD259">
        <v>0.31278800000000001</v>
      </c>
      <c r="BF259">
        <v>0.38014199999999998</v>
      </c>
      <c r="BG259">
        <v>0.310504</v>
      </c>
      <c r="BH259">
        <v>0.33593200000000001</v>
      </c>
      <c r="BI259">
        <v>0.36407400000000001</v>
      </c>
      <c r="BJ259">
        <v>0.27957700000000002</v>
      </c>
      <c r="BK259">
        <v>0.31600099999999998</v>
      </c>
      <c r="BL259">
        <v>0.35414800000000002</v>
      </c>
      <c r="BM259">
        <v>0.27768799999999999</v>
      </c>
    </row>
    <row r="260" spans="2:65" x14ac:dyDescent="0.25">
      <c r="B260">
        <v>246</v>
      </c>
      <c r="C260" t="s">
        <v>593</v>
      </c>
      <c r="D260">
        <v>0.19323399999999999</v>
      </c>
      <c r="E260">
        <v>0.201491</v>
      </c>
      <c r="H260">
        <v>0.295348</v>
      </c>
      <c r="J260">
        <v>0.32439800000000002</v>
      </c>
      <c r="K260">
        <v>0.26815</v>
      </c>
      <c r="L260">
        <v>6.8708000000000005E-2</v>
      </c>
      <c r="M260">
        <v>0.28748600000000002</v>
      </c>
      <c r="N260">
        <v>0.26207999999999998</v>
      </c>
      <c r="O260">
        <v>0.27347199999999999</v>
      </c>
      <c r="Q260">
        <v>0.36589700000000003</v>
      </c>
      <c r="R260">
        <v>0.29326099999999999</v>
      </c>
      <c r="V260">
        <v>0.30332700000000001</v>
      </c>
      <c r="W260">
        <v>0.25561099999999998</v>
      </c>
      <c r="X260">
        <v>0.25723400000000002</v>
      </c>
      <c r="Y260">
        <v>0.32243899999999998</v>
      </c>
      <c r="Z260">
        <v>0.329154</v>
      </c>
      <c r="AA260">
        <v>0.36446499999999998</v>
      </c>
      <c r="AB260">
        <v>0.24968299999999999</v>
      </c>
      <c r="AF260">
        <f>'User Add-In Location'!E261</f>
        <v>0</v>
      </c>
      <c r="AI260">
        <v>0.33237899999999998</v>
      </c>
      <c r="AJ260">
        <v>0.351576</v>
      </c>
      <c r="AL260">
        <v>0.21237300000000001</v>
      </c>
      <c r="AM260">
        <v>0.27468100000000001</v>
      </c>
      <c r="AO260">
        <v>0.29129100000000002</v>
      </c>
      <c r="AQ260">
        <v>0.297207</v>
      </c>
      <c r="AR260">
        <v>0.35688799999999998</v>
      </c>
      <c r="AS260">
        <v>0.215144</v>
      </c>
      <c r="AT260">
        <v>0.18537899999999999</v>
      </c>
      <c r="AW260">
        <v>0.37474200000000002</v>
      </c>
      <c r="AX260" s="176">
        <v>0.795817</v>
      </c>
      <c r="BA260">
        <v>0.27996399999999999</v>
      </c>
      <c r="BB260">
        <v>0.237926</v>
      </c>
      <c r="BD260">
        <v>0.27476600000000001</v>
      </c>
      <c r="BF260">
        <v>0.37951299999999999</v>
      </c>
      <c r="BG260">
        <v>0.29519000000000001</v>
      </c>
      <c r="BH260">
        <v>0.32679999999999998</v>
      </c>
      <c r="BI260">
        <v>0.33983799999999997</v>
      </c>
      <c r="BJ260">
        <v>0.28306399999999998</v>
      </c>
      <c r="BK260">
        <v>0.31268699999999999</v>
      </c>
      <c r="BL260">
        <v>0.34072999999999998</v>
      </c>
      <c r="BM260">
        <v>0.26378400000000002</v>
      </c>
    </row>
    <row r="261" spans="2:65" x14ac:dyDescent="0.25">
      <c r="B261">
        <v>247</v>
      </c>
      <c r="C261" t="s">
        <v>594</v>
      </c>
      <c r="D261">
        <v>0.223776</v>
      </c>
      <c r="E261">
        <v>0.311251</v>
      </c>
      <c r="H261">
        <v>0.36225499999999999</v>
      </c>
      <c r="J261">
        <v>0.347055</v>
      </c>
      <c r="K261">
        <v>0.254575</v>
      </c>
      <c r="L261">
        <v>5.8731999999999999E-2</v>
      </c>
      <c r="M261">
        <v>0.32155099999999998</v>
      </c>
      <c r="N261">
        <v>0.28350199999999998</v>
      </c>
      <c r="O261">
        <v>0.29282000000000002</v>
      </c>
      <c r="Q261">
        <v>0.39288299999999998</v>
      </c>
      <c r="R261">
        <v>0.27680900000000003</v>
      </c>
      <c r="V261">
        <v>0.373664</v>
      </c>
      <c r="W261">
        <v>0.34570499999999998</v>
      </c>
      <c r="X261">
        <v>0.33058399999999999</v>
      </c>
      <c r="Y261">
        <v>0.34872500000000001</v>
      </c>
      <c r="Z261">
        <v>0.35004999999999997</v>
      </c>
      <c r="AA261">
        <v>0.50248000000000004</v>
      </c>
      <c r="AB261">
        <v>0.253218</v>
      </c>
      <c r="AF261">
        <f>'User Add-In Location'!E262</f>
        <v>0</v>
      </c>
      <c r="AI261">
        <v>0.37358200000000003</v>
      </c>
      <c r="AJ261">
        <v>0.39626299999999998</v>
      </c>
      <c r="AL261">
        <v>0.28555700000000001</v>
      </c>
      <c r="AM261">
        <v>0.27884599999999998</v>
      </c>
      <c r="AO261">
        <v>0.28445300000000001</v>
      </c>
      <c r="AQ261">
        <v>0.35484199999999999</v>
      </c>
      <c r="AR261">
        <v>0.397366</v>
      </c>
      <c r="AS261">
        <v>0.207372</v>
      </c>
      <c r="AT261">
        <v>0.19554299999999999</v>
      </c>
      <c r="AW261">
        <v>0.404777</v>
      </c>
      <c r="AX261" s="176">
        <v>0.85769700000000004</v>
      </c>
      <c r="BA261">
        <v>0.31817299999999998</v>
      </c>
      <c r="BB261">
        <v>0.28696500000000003</v>
      </c>
      <c r="BD261">
        <v>0.41812300000000002</v>
      </c>
      <c r="BF261">
        <v>0.40697</v>
      </c>
      <c r="BG261">
        <v>0.35906300000000002</v>
      </c>
      <c r="BH261">
        <v>0.37248599999999998</v>
      </c>
      <c r="BI261">
        <v>0.37598100000000001</v>
      </c>
      <c r="BJ261">
        <v>0.350549</v>
      </c>
      <c r="BK261">
        <v>0.33451900000000001</v>
      </c>
      <c r="BL261">
        <v>0.384853</v>
      </c>
      <c r="BM261">
        <v>0.32668000000000003</v>
      </c>
    </row>
    <row r="262" spans="2:65" x14ac:dyDescent="0.25">
      <c r="B262">
        <v>248</v>
      </c>
      <c r="C262" t="s">
        <v>415</v>
      </c>
      <c r="D262">
        <v>0.20465</v>
      </c>
      <c r="E262">
        <v>0.23316799999999999</v>
      </c>
      <c r="H262">
        <v>0.33529900000000001</v>
      </c>
      <c r="J262">
        <v>0.34701300000000002</v>
      </c>
      <c r="K262">
        <v>0.25250499999999998</v>
      </c>
      <c r="L262">
        <v>0</v>
      </c>
      <c r="M262">
        <v>0.27460899999999999</v>
      </c>
      <c r="N262">
        <v>0.22845199999999999</v>
      </c>
      <c r="O262">
        <v>0</v>
      </c>
      <c r="Q262">
        <v>0.37168899999999999</v>
      </c>
      <c r="R262">
        <v>0.27965200000000001</v>
      </c>
      <c r="V262">
        <v>0.26512000000000002</v>
      </c>
      <c r="W262">
        <v>0.286831</v>
      </c>
      <c r="X262">
        <v>0.21179999999999999</v>
      </c>
      <c r="Y262">
        <v>0.33859600000000001</v>
      </c>
      <c r="Z262">
        <v>0.27731600000000001</v>
      </c>
      <c r="AA262">
        <v>0.390766</v>
      </c>
      <c r="AB262">
        <v>0.21843699999999999</v>
      </c>
      <c r="AF262">
        <f>'User Add-In Location'!E263</f>
        <v>0</v>
      </c>
      <c r="AI262">
        <v>0.364645</v>
      </c>
      <c r="AJ262">
        <v>0.405582</v>
      </c>
      <c r="AL262">
        <v>0.262459</v>
      </c>
      <c r="AM262">
        <v>0.246337</v>
      </c>
      <c r="AO262">
        <v>0.28206799999999999</v>
      </c>
      <c r="AQ262">
        <v>0.29470600000000002</v>
      </c>
      <c r="AR262">
        <v>0.40201700000000001</v>
      </c>
      <c r="AS262">
        <v>0.27182800000000001</v>
      </c>
      <c r="AT262">
        <v>0.202489</v>
      </c>
      <c r="AW262">
        <v>0.34971000000000002</v>
      </c>
      <c r="AX262" s="176">
        <v>0.70722600000000002</v>
      </c>
      <c r="BA262">
        <v>0.27385799999999999</v>
      </c>
      <c r="BB262">
        <v>0.25769199999999998</v>
      </c>
      <c r="BD262">
        <v>0.29410199999999997</v>
      </c>
      <c r="BF262">
        <v>0.353968</v>
      </c>
      <c r="BG262">
        <v>0.33283000000000001</v>
      </c>
      <c r="BH262">
        <v>0.34003</v>
      </c>
      <c r="BI262">
        <v>0.34708600000000001</v>
      </c>
      <c r="BJ262">
        <v>0.299369</v>
      </c>
      <c r="BK262">
        <v>0.31670700000000002</v>
      </c>
      <c r="BL262">
        <v>0.36424600000000001</v>
      </c>
      <c r="BM262">
        <v>0.30825999999999998</v>
      </c>
    </row>
    <row r="263" spans="2:65" x14ac:dyDescent="0.25">
      <c r="B263">
        <v>249</v>
      </c>
      <c r="C263" t="s">
        <v>595</v>
      </c>
      <c r="D263">
        <v>0.27620800000000001</v>
      </c>
      <c r="E263">
        <v>0.331488</v>
      </c>
      <c r="H263">
        <v>0.40013799999999999</v>
      </c>
      <c r="J263">
        <v>0.30862499999999998</v>
      </c>
      <c r="K263">
        <v>0.32892900000000003</v>
      </c>
      <c r="L263">
        <v>7.9658000000000007E-2</v>
      </c>
      <c r="M263">
        <v>0.38927600000000001</v>
      </c>
      <c r="N263">
        <v>0.33017800000000003</v>
      </c>
      <c r="O263">
        <v>0.179397</v>
      </c>
      <c r="Q263">
        <v>0.38361200000000001</v>
      </c>
      <c r="R263">
        <v>0.30539500000000003</v>
      </c>
      <c r="V263">
        <v>0.34541300000000003</v>
      </c>
      <c r="W263">
        <v>0.27903899999999998</v>
      </c>
      <c r="X263">
        <v>0.31229499999999999</v>
      </c>
      <c r="Y263">
        <v>0.358873</v>
      </c>
      <c r="Z263">
        <v>0.37677100000000002</v>
      </c>
      <c r="AA263">
        <v>0.48207299999999997</v>
      </c>
      <c r="AB263">
        <v>0.26625100000000002</v>
      </c>
      <c r="AF263">
        <f>'User Add-In Location'!E264</f>
        <v>0</v>
      </c>
      <c r="AI263">
        <v>0.41138999999999998</v>
      </c>
      <c r="AJ263">
        <v>0.37539400000000001</v>
      </c>
      <c r="AL263">
        <v>0.30470000000000003</v>
      </c>
      <c r="AM263">
        <v>0.27164700000000003</v>
      </c>
      <c r="AO263">
        <v>0.32603799999999999</v>
      </c>
      <c r="AQ263">
        <v>0.342802</v>
      </c>
      <c r="AR263">
        <v>0.42724499999999999</v>
      </c>
      <c r="AS263">
        <v>0.26569700000000002</v>
      </c>
      <c r="AT263">
        <v>0.20186499999999999</v>
      </c>
      <c r="AW263">
        <v>0.413495</v>
      </c>
      <c r="AX263" s="176">
        <v>0.79874900000000004</v>
      </c>
      <c r="BA263">
        <v>0.33615499999999998</v>
      </c>
      <c r="BB263">
        <v>0.24310300000000001</v>
      </c>
      <c r="BD263">
        <v>0.34178199999999997</v>
      </c>
      <c r="BF263">
        <v>0.44594</v>
      </c>
      <c r="BG263">
        <v>0.37054700000000002</v>
      </c>
      <c r="BH263">
        <v>0.38945400000000002</v>
      </c>
      <c r="BI263">
        <v>0.41156500000000001</v>
      </c>
      <c r="BJ263">
        <v>0.36262699999999998</v>
      </c>
      <c r="BK263">
        <v>0.34525699999999998</v>
      </c>
      <c r="BL263">
        <v>0.39699299999999998</v>
      </c>
      <c r="BM263">
        <v>0.34224399999999999</v>
      </c>
    </row>
    <row r="264" spans="2:65" x14ac:dyDescent="0.25">
      <c r="B264">
        <v>250</v>
      </c>
      <c r="C264" t="s">
        <v>417</v>
      </c>
      <c r="D264">
        <v>0.21163799999999999</v>
      </c>
      <c r="E264">
        <v>0.44325199999999998</v>
      </c>
      <c r="H264">
        <v>0.38278200000000001</v>
      </c>
      <c r="J264">
        <v>0.368174</v>
      </c>
      <c r="K264">
        <v>0.340808</v>
      </c>
      <c r="L264">
        <v>0.176479</v>
      </c>
      <c r="M264">
        <v>0.34864000000000001</v>
      </c>
      <c r="N264">
        <v>0.31699699999999997</v>
      </c>
      <c r="O264">
        <v>0.276671</v>
      </c>
      <c r="Q264">
        <v>0.42818499999999998</v>
      </c>
      <c r="R264">
        <v>0.33155699999999999</v>
      </c>
      <c r="V264">
        <v>0.35045199999999999</v>
      </c>
      <c r="W264">
        <v>0.31329699999999999</v>
      </c>
      <c r="X264">
        <v>0.31114999999999998</v>
      </c>
      <c r="Y264">
        <v>0.37566500000000003</v>
      </c>
      <c r="Z264">
        <v>0.37628600000000001</v>
      </c>
      <c r="AA264">
        <v>0.43224600000000002</v>
      </c>
      <c r="AB264">
        <v>0.280889</v>
      </c>
      <c r="AF264">
        <f>'User Add-In Location'!E265</f>
        <v>0</v>
      </c>
      <c r="AI264">
        <v>0.440195</v>
      </c>
      <c r="AJ264">
        <v>0.42397200000000002</v>
      </c>
      <c r="AL264">
        <v>0.31108200000000003</v>
      </c>
      <c r="AM264">
        <v>0.27677499999999999</v>
      </c>
      <c r="AO264">
        <v>0.30571100000000001</v>
      </c>
      <c r="AQ264">
        <v>0.36185400000000001</v>
      </c>
      <c r="AR264">
        <v>0.447685</v>
      </c>
      <c r="AS264">
        <v>0.26383299999999998</v>
      </c>
      <c r="AT264">
        <v>0.19539799999999999</v>
      </c>
      <c r="AW264">
        <v>0.43919200000000003</v>
      </c>
      <c r="AX264" s="176">
        <v>0.82423299999999999</v>
      </c>
      <c r="BA264">
        <v>0.30357099999999998</v>
      </c>
      <c r="BB264">
        <v>0.29445700000000002</v>
      </c>
      <c r="BD264">
        <v>0.35846600000000001</v>
      </c>
      <c r="BF264">
        <v>0.44648900000000002</v>
      </c>
      <c r="BG264">
        <v>0.37971300000000002</v>
      </c>
      <c r="BH264">
        <v>0.39513999999999999</v>
      </c>
      <c r="BI264">
        <v>0.411242</v>
      </c>
      <c r="BJ264">
        <v>0.37998100000000001</v>
      </c>
      <c r="BK264">
        <v>0.34442499999999998</v>
      </c>
      <c r="BL264">
        <v>0.421263</v>
      </c>
      <c r="BM264">
        <v>0.35577900000000001</v>
      </c>
    </row>
    <row r="265" spans="2:65" x14ac:dyDescent="0.25">
      <c r="B265">
        <v>251</v>
      </c>
      <c r="C265" t="s">
        <v>418</v>
      </c>
      <c r="D265">
        <v>0.39819900000000003</v>
      </c>
      <c r="E265">
        <v>0.36754199999999998</v>
      </c>
      <c r="H265">
        <v>0.37842300000000001</v>
      </c>
      <c r="J265">
        <v>0.407057</v>
      </c>
      <c r="K265">
        <v>0.36197800000000002</v>
      </c>
      <c r="L265">
        <v>0.139547</v>
      </c>
      <c r="M265">
        <v>0.43025000000000002</v>
      </c>
      <c r="N265">
        <v>0.38313399999999997</v>
      </c>
      <c r="O265">
        <v>0.35909200000000002</v>
      </c>
      <c r="Q265">
        <v>0.47235100000000002</v>
      </c>
      <c r="R265">
        <v>0.42243799999999998</v>
      </c>
      <c r="V265">
        <v>0.42362699999999998</v>
      </c>
      <c r="W265">
        <v>0.38851400000000003</v>
      </c>
      <c r="X265">
        <v>0.39056800000000003</v>
      </c>
      <c r="Y265">
        <v>0.43965300000000002</v>
      </c>
      <c r="Z265">
        <v>0.44120999999999999</v>
      </c>
      <c r="AA265">
        <v>0.53549100000000005</v>
      </c>
      <c r="AB265">
        <v>0.35094700000000001</v>
      </c>
      <c r="AF265">
        <f>'User Add-In Location'!E266</f>
        <v>0</v>
      </c>
      <c r="AI265">
        <v>0.512235</v>
      </c>
      <c r="AJ265">
        <v>0.45547199999999999</v>
      </c>
      <c r="AL265">
        <v>0.35621399999999998</v>
      </c>
      <c r="AM265">
        <v>0.366346</v>
      </c>
      <c r="AO265">
        <v>0.396953</v>
      </c>
      <c r="AQ265">
        <v>0.47319099999999997</v>
      </c>
      <c r="AR265">
        <v>0.52584799999999998</v>
      </c>
      <c r="AS265">
        <v>0.318471</v>
      </c>
      <c r="AT265">
        <v>0.27678000000000003</v>
      </c>
      <c r="AW265">
        <v>0.48214600000000002</v>
      </c>
      <c r="AX265" s="176">
        <v>0.85479400000000005</v>
      </c>
      <c r="BA265">
        <v>0.39812199999999998</v>
      </c>
      <c r="BB265">
        <v>0.31342599999999998</v>
      </c>
      <c r="BD265">
        <v>0.45252799999999999</v>
      </c>
      <c r="BF265">
        <v>0.51037699999999997</v>
      </c>
      <c r="BG265">
        <v>0.38585999999999998</v>
      </c>
      <c r="BH265">
        <v>0.46853299999999998</v>
      </c>
      <c r="BI265">
        <v>0.48801600000000001</v>
      </c>
      <c r="BJ265">
        <v>0.42693700000000001</v>
      </c>
      <c r="BK265">
        <v>0.439355</v>
      </c>
      <c r="BL265">
        <v>0.486211</v>
      </c>
      <c r="BM265">
        <v>0.401424</v>
      </c>
    </row>
    <row r="266" spans="2:65" x14ac:dyDescent="0.25">
      <c r="B266">
        <v>252</v>
      </c>
      <c r="C266" t="s">
        <v>596</v>
      </c>
      <c r="D266">
        <v>0.358655</v>
      </c>
      <c r="E266">
        <v>0.389793</v>
      </c>
      <c r="H266">
        <v>0.49218200000000001</v>
      </c>
      <c r="J266">
        <v>0.53702700000000003</v>
      </c>
      <c r="K266">
        <v>0.41690899999999997</v>
      </c>
      <c r="L266">
        <v>0.26521800000000001</v>
      </c>
      <c r="M266">
        <v>0.44809100000000002</v>
      </c>
      <c r="N266">
        <v>0.39712999999999998</v>
      </c>
      <c r="O266">
        <v>0.31177199999999999</v>
      </c>
      <c r="Q266">
        <v>0.55918699999999999</v>
      </c>
      <c r="R266">
        <v>0.49385400000000002</v>
      </c>
      <c r="V266">
        <v>0.54490799999999995</v>
      </c>
      <c r="W266">
        <v>0.46969699999999998</v>
      </c>
      <c r="X266">
        <v>0.48089599999999999</v>
      </c>
      <c r="Y266">
        <v>0.48932300000000001</v>
      </c>
      <c r="Z266">
        <v>0.482323</v>
      </c>
      <c r="AA266">
        <v>0.60885</v>
      </c>
      <c r="AB266">
        <v>0.41456900000000002</v>
      </c>
      <c r="AF266">
        <f>'User Add-In Location'!E267</f>
        <v>0</v>
      </c>
      <c r="AI266">
        <v>0.54159400000000002</v>
      </c>
      <c r="AJ266">
        <v>0.54912099999999997</v>
      </c>
      <c r="AL266">
        <v>0.46413599999999999</v>
      </c>
      <c r="AM266">
        <v>0.41082999999999997</v>
      </c>
      <c r="AO266">
        <v>0.50522299999999998</v>
      </c>
      <c r="AQ266">
        <v>0.50675800000000004</v>
      </c>
      <c r="AR266">
        <v>0.64895000000000003</v>
      </c>
      <c r="AS266">
        <v>0.37465999999999999</v>
      </c>
      <c r="AT266">
        <v>0.33499699999999999</v>
      </c>
      <c r="AW266">
        <v>0.55940199999999995</v>
      </c>
      <c r="AX266" s="176">
        <v>0.99665199999999998</v>
      </c>
      <c r="BA266">
        <v>0.50627699999999998</v>
      </c>
      <c r="BB266">
        <v>0.39765299999999998</v>
      </c>
      <c r="BD266">
        <v>0.53418299999999996</v>
      </c>
      <c r="BF266">
        <v>0.58062100000000005</v>
      </c>
      <c r="BG266">
        <v>0.491927</v>
      </c>
      <c r="BH266">
        <v>0.55429700000000004</v>
      </c>
      <c r="BI266">
        <v>0.58851100000000001</v>
      </c>
      <c r="BJ266">
        <v>0.53304099999999999</v>
      </c>
      <c r="BK266">
        <v>0.49821100000000001</v>
      </c>
      <c r="BL266">
        <v>0.53917700000000002</v>
      </c>
      <c r="BM266">
        <v>0.50545099999999998</v>
      </c>
    </row>
    <row r="267" spans="2:65" x14ac:dyDescent="0.25">
      <c r="B267">
        <v>253</v>
      </c>
      <c r="C267" t="s">
        <v>597</v>
      </c>
      <c r="D267">
        <v>0.38254300000000002</v>
      </c>
      <c r="E267">
        <v>0.31521399999999999</v>
      </c>
      <c r="H267">
        <v>0.34178999999999998</v>
      </c>
      <c r="J267">
        <v>0.38885599999999998</v>
      </c>
      <c r="K267">
        <v>0.211119</v>
      </c>
      <c r="L267">
        <v>9.3722E-2</v>
      </c>
      <c r="M267">
        <v>0.34566400000000003</v>
      </c>
      <c r="N267">
        <v>0.30371700000000001</v>
      </c>
      <c r="O267">
        <v>0.28502300000000003</v>
      </c>
      <c r="Q267">
        <v>0.43530000000000002</v>
      </c>
      <c r="R267">
        <v>0.38133699999999998</v>
      </c>
      <c r="V267">
        <v>0.39960000000000001</v>
      </c>
      <c r="W267">
        <v>0.29598999999999998</v>
      </c>
      <c r="X267">
        <v>0.31947300000000001</v>
      </c>
      <c r="Y267">
        <v>0.35966700000000001</v>
      </c>
      <c r="Z267">
        <v>0.34902899999999998</v>
      </c>
      <c r="AA267">
        <v>0.87690999999999997</v>
      </c>
      <c r="AB267">
        <v>0.33876499999999998</v>
      </c>
      <c r="AF267">
        <f>'User Add-In Location'!E268</f>
        <v>0</v>
      </c>
      <c r="AI267">
        <v>0.17913699999999999</v>
      </c>
      <c r="AJ267">
        <v>0.49813800000000003</v>
      </c>
      <c r="AL267">
        <v>0.29953400000000002</v>
      </c>
      <c r="AM267">
        <v>0.25824200000000003</v>
      </c>
      <c r="AO267">
        <v>0.33743000000000001</v>
      </c>
      <c r="AQ267">
        <v>0.38466099999999998</v>
      </c>
      <c r="AR267">
        <v>0.46127299999999999</v>
      </c>
      <c r="AS267">
        <v>0.24503900000000001</v>
      </c>
      <c r="AT267">
        <v>0.22493299999999999</v>
      </c>
      <c r="AW267">
        <v>0.43823099999999998</v>
      </c>
      <c r="AX267" s="176">
        <v>0.852545</v>
      </c>
      <c r="BA267">
        <v>0.32878499999999999</v>
      </c>
      <c r="BB267">
        <v>0.26958300000000002</v>
      </c>
      <c r="BD267">
        <v>0.37079099999999998</v>
      </c>
      <c r="BF267">
        <v>0.45260099999999998</v>
      </c>
      <c r="BG267">
        <v>0.34540100000000001</v>
      </c>
      <c r="BH267">
        <v>0.41600700000000002</v>
      </c>
      <c r="BI267">
        <v>0.45930900000000002</v>
      </c>
      <c r="BJ267">
        <v>0.38394099999999998</v>
      </c>
      <c r="BK267">
        <v>0.36354399999999998</v>
      </c>
      <c r="BL267">
        <v>0.38326500000000002</v>
      </c>
      <c r="BM267">
        <v>0.348777</v>
      </c>
    </row>
    <row r="268" spans="2:65" x14ac:dyDescent="0.25">
      <c r="B268">
        <v>254</v>
      </c>
      <c r="C268" t="s">
        <v>598</v>
      </c>
      <c r="D268">
        <v>0.36775200000000002</v>
      </c>
      <c r="E268">
        <v>0.35739500000000002</v>
      </c>
      <c r="H268">
        <v>0.36399799999999999</v>
      </c>
      <c r="J268">
        <v>0.36324299999999998</v>
      </c>
      <c r="K268">
        <v>0.301367</v>
      </c>
      <c r="L268">
        <v>0.134687</v>
      </c>
      <c r="M268">
        <v>0.40741300000000003</v>
      </c>
      <c r="N268">
        <v>0.37416100000000002</v>
      </c>
      <c r="O268">
        <v>0.32688</v>
      </c>
      <c r="Q268">
        <v>0.47122799999999998</v>
      </c>
      <c r="R268">
        <v>0.43895400000000001</v>
      </c>
      <c r="V268">
        <v>0.43025400000000003</v>
      </c>
      <c r="W268">
        <v>0.39190799999999998</v>
      </c>
      <c r="X268">
        <v>0.37227100000000002</v>
      </c>
      <c r="Y268">
        <v>0.40521400000000002</v>
      </c>
      <c r="Z268">
        <v>0.43465500000000001</v>
      </c>
      <c r="AA268">
        <v>0.547176</v>
      </c>
      <c r="AB268">
        <v>0.34568399999999999</v>
      </c>
      <c r="AF268">
        <f>'User Add-In Location'!E269</f>
        <v>0</v>
      </c>
      <c r="AI268">
        <v>0.43787300000000001</v>
      </c>
      <c r="AJ268">
        <v>0.439361</v>
      </c>
      <c r="AL268">
        <v>0.33817000000000003</v>
      </c>
      <c r="AM268">
        <v>0.34974899999999998</v>
      </c>
      <c r="AO268">
        <v>0.40818399999999999</v>
      </c>
      <c r="AQ268">
        <v>0.42024899999999998</v>
      </c>
      <c r="AR268">
        <v>0.53710800000000003</v>
      </c>
      <c r="AS268">
        <v>0.29938199999999998</v>
      </c>
      <c r="AT268">
        <v>0.265571</v>
      </c>
      <c r="AW268">
        <v>0.48243000000000003</v>
      </c>
      <c r="AX268" s="176">
        <v>0.83182999999999996</v>
      </c>
      <c r="BA268">
        <v>0.36898300000000001</v>
      </c>
      <c r="BB268">
        <v>0.28886699999999998</v>
      </c>
      <c r="BD268">
        <v>0.44097900000000001</v>
      </c>
      <c r="BF268">
        <v>0.49976500000000001</v>
      </c>
      <c r="BG268">
        <v>0.36638599999999999</v>
      </c>
      <c r="BH268">
        <v>0.44269599999999998</v>
      </c>
      <c r="BI268">
        <v>0.483657</v>
      </c>
      <c r="BJ268">
        <v>0.40551300000000001</v>
      </c>
      <c r="BK268">
        <v>0.419545</v>
      </c>
      <c r="BL268">
        <v>0.447743</v>
      </c>
      <c r="BM268">
        <v>0.37561899999999998</v>
      </c>
    </row>
    <row r="269" spans="2:65" x14ac:dyDescent="0.25">
      <c r="B269">
        <v>255</v>
      </c>
      <c r="C269" t="s">
        <v>599</v>
      </c>
      <c r="D269">
        <v>0.26947700000000002</v>
      </c>
      <c r="E269">
        <v>0.39825199999999999</v>
      </c>
      <c r="H269">
        <v>0.436054</v>
      </c>
      <c r="J269">
        <v>0.492701</v>
      </c>
      <c r="K269">
        <v>0.37352299999999999</v>
      </c>
      <c r="L269">
        <v>0.112015</v>
      </c>
      <c r="M269">
        <v>0.41538700000000001</v>
      </c>
      <c r="N269">
        <v>0.414657</v>
      </c>
      <c r="O269">
        <v>0.36277900000000002</v>
      </c>
      <c r="Q269">
        <v>0.54436899999999999</v>
      </c>
      <c r="R269">
        <v>0.49304500000000001</v>
      </c>
      <c r="V269">
        <v>0.47405599999999998</v>
      </c>
      <c r="W269">
        <v>0.46198</v>
      </c>
      <c r="X269">
        <v>0.41007500000000002</v>
      </c>
      <c r="Y269">
        <v>0.48514200000000002</v>
      </c>
      <c r="Z269">
        <v>0.46435999999999999</v>
      </c>
      <c r="AA269">
        <v>0.59426299999999999</v>
      </c>
      <c r="AB269">
        <v>0.40593899999999999</v>
      </c>
      <c r="AF269">
        <f>'User Add-In Location'!E270</f>
        <v>0</v>
      </c>
      <c r="AI269">
        <v>0.49865300000000001</v>
      </c>
      <c r="AJ269">
        <v>0.52312599999999998</v>
      </c>
      <c r="AL269">
        <v>0.35049799999999998</v>
      </c>
      <c r="AM269">
        <v>0.40006199999999997</v>
      </c>
      <c r="AO269">
        <v>0.453509</v>
      </c>
      <c r="AQ269">
        <v>0.482742</v>
      </c>
      <c r="AR269">
        <v>0.59924999999999995</v>
      </c>
      <c r="AS269">
        <v>0.309448</v>
      </c>
      <c r="AT269">
        <v>0.29763000000000001</v>
      </c>
      <c r="AW269">
        <v>0.53533799999999998</v>
      </c>
      <c r="AX269" s="176">
        <v>0.96548599999999996</v>
      </c>
      <c r="BA269">
        <v>0.42622500000000002</v>
      </c>
      <c r="BB269">
        <v>0.33783000000000002</v>
      </c>
      <c r="BD269">
        <v>0.498087</v>
      </c>
      <c r="BF269">
        <v>0.54725000000000001</v>
      </c>
      <c r="BG269">
        <v>0.43640400000000001</v>
      </c>
      <c r="BH269">
        <v>0.50292899999999996</v>
      </c>
      <c r="BI269">
        <v>0.53994399999999998</v>
      </c>
      <c r="BJ269">
        <v>0.44949800000000001</v>
      </c>
      <c r="BK269">
        <v>0.47554400000000002</v>
      </c>
      <c r="BL269">
        <v>0.53147200000000006</v>
      </c>
      <c r="BM269">
        <v>0.42162899999999998</v>
      </c>
    </row>
    <row r="270" spans="2:65" x14ac:dyDescent="0.25">
      <c r="B270">
        <v>256</v>
      </c>
      <c r="C270" t="s">
        <v>423</v>
      </c>
      <c r="D270">
        <v>0.33501900000000001</v>
      </c>
      <c r="E270">
        <v>0.28818500000000002</v>
      </c>
      <c r="H270">
        <v>0.41759800000000002</v>
      </c>
      <c r="J270">
        <v>0.42710900000000002</v>
      </c>
      <c r="K270">
        <v>0.18421899999999999</v>
      </c>
      <c r="L270">
        <v>0.14449300000000001</v>
      </c>
      <c r="M270">
        <v>0.45013700000000001</v>
      </c>
      <c r="N270">
        <v>0.31770399999999999</v>
      </c>
      <c r="O270">
        <v>0.29772700000000002</v>
      </c>
      <c r="Q270">
        <v>0.43475799999999998</v>
      </c>
      <c r="R270">
        <v>0.32195400000000002</v>
      </c>
      <c r="V270">
        <v>0.34519499999999997</v>
      </c>
      <c r="W270">
        <v>0.35663499999999998</v>
      </c>
      <c r="X270">
        <v>0.37997799999999998</v>
      </c>
      <c r="Y270">
        <v>0.445245</v>
      </c>
      <c r="Z270">
        <v>0.39581699999999997</v>
      </c>
      <c r="AA270">
        <v>0.51847299999999996</v>
      </c>
      <c r="AB270">
        <v>0.27516400000000002</v>
      </c>
      <c r="AF270">
        <f>'User Add-In Location'!E271</f>
        <v>0</v>
      </c>
      <c r="AI270">
        <v>0.39400099999999999</v>
      </c>
      <c r="AJ270">
        <v>0.51287300000000002</v>
      </c>
      <c r="AL270">
        <v>0.322571</v>
      </c>
      <c r="AM270">
        <v>0.300319</v>
      </c>
      <c r="AO270">
        <v>0.28563100000000002</v>
      </c>
      <c r="AQ270">
        <v>0.38656800000000002</v>
      </c>
      <c r="AR270">
        <v>0.48164800000000002</v>
      </c>
      <c r="AS270">
        <v>0.27787499999999998</v>
      </c>
      <c r="AT270">
        <v>0.27779599999999999</v>
      </c>
      <c r="AW270">
        <v>0.49607099999999998</v>
      </c>
      <c r="AX270" s="176">
        <v>0.87003399999999997</v>
      </c>
      <c r="BA270">
        <v>0.39404899999999998</v>
      </c>
      <c r="BB270">
        <v>0.28605999999999998</v>
      </c>
      <c r="BD270">
        <v>0.36884899999999998</v>
      </c>
      <c r="BF270">
        <v>0.51613100000000001</v>
      </c>
      <c r="BG270">
        <v>0.40967100000000001</v>
      </c>
      <c r="BH270">
        <v>0.441415</v>
      </c>
      <c r="BI270">
        <v>0.43409399999999998</v>
      </c>
      <c r="BJ270">
        <v>0.397617</v>
      </c>
      <c r="BK270">
        <v>0.39622400000000002</v>
      </c>
      <c r="BL270">
        <v>0.478574</v>
      </c>
      <c r="BM270">
        <v>0.37532399999999999</v>
      </c>
    </row>
    <row r="271" spans="2:65" x14ac:dyDescent="0.25">
      <c r="B271">
        <v>257</v>
      </c>
      <c r="C271" t="s">
        <v>600</v>
      </c>
      <c r="D271">
        <v>0.36570599999999998</v>
      </c>
      <c r="E271">
        <v>0.50358000000000003</v>
      </c>
      <c r="H271">
        <v>0.54522199999999998</v>
      </c>
      <c r="J271">
        <v>0.54835900000000004</v>
      </c>
      <c r="K271">
        <v>0.460895</v>
      </c>
      <c r="L271">
        <v>0.22367999999999999</v>
      </c>
      <c r="M271">
        <v>0.59412299999999996</v>
      </c>
      <c r="N271">
        <v>0.54191599999999995</v>
      </c>
      <c r="O271">
        <v>0.49237599999999998</v>
      </c>
      <c r="Q271">
        <v>0.67623999999999995</v>
      </c>
      <c r="R271">
        <v>0.50763599999999998</v>
      </c>
      <c r="V271">
        <v>0.605491</v>
      </c>
      <c r="W271">
        <v>0.52381500000000003</v>
      </c>
      <c r="X271">
        <v>0.54767699999999997</v>
      </c>
      <c r="Y271">
        <v>0.57512099999999999</v>
      </c>
      <c r="Z271">
        <v>0.61147099999999999</v>
      </c>
      <c r="AA271">
        <v>0.72345899999999996</v>
      </c>
      <c r="AB271">
        <v>0.48125800000000002</v>
      </c>
      <c r="AF271">
        <f>'User Add-In Location'!E272</f>
        <v>0</v>
      </c>
      <c r="AI271">
        <v>0.61236100000000004</v>
      </c>
      <c r="AJ271">
        <v>0.62305200000000005</v>
      </c>
      <c r="AL271">
        <v>0.48898399999999997</v>
      </c>
      <c r="AM271">
        <v>0.46416600000000002</v>
      </c>
      <c r="AO271">
        <v>0.54853700000000005</v>
      </c>
      <c r="AQ271">
        <v>0.55421399999999998</v>
      </c>
      <c r="AR271">
        <v>0.70502200000000004</v>
      </c>
      <c r="AS271">
        <v>0.41928399999999999</v>
      </c>
      <c r="AT271">
        <v>0.392517</v>
      </c>
      <c r="AW271">
        <v>0.67749199999999998</v>
      </c>
      <c r="AX271" s="176">
        <v>1.1310519999999999</v>
      </c>
      <c r="BA271">
        <v>0.60075999999999996</v>
      </c>
      <c r="BB271">
        <v>0.39952700000000002</v>
      </c>
      <c r="BD271">
        <v>0.58381300000000003</v>
      </c>
      <c r="BF271">
        <v>0.71014600000000005</v>
      </c>
      <c r="BG271">
        <v>0.53897499999999998</v>
      </c>
      <c r="BH271">
        <v>0.63735299999999995</v>
      </c>
      <c r="BI271">
        <v>0.66188999999999998</v>
      </c>
      <c r="BJ271">
        <v>0.58126100000000003</v>
      </c>
      <c r="BK271">
        <v>0.61570000000000003</v>
      </c>
      <c r="BL271">
        <v>0.63282899999999997</v>
      </c>
      <c r="BM271">
        <v>0.541717</v>
      </c>
    </row>
    <row r="272" spans="2:65" x14ac:dyDescent="0.25">
      <c r="B272">
        <v>258</v>
      </c>
      <c r="C272" t="s">
        <v>601</v>
      </c>
      <c r="D272">
        <v>0.26663399999999998</v>
      </c>
      <c r="E272">
        <v>0.40395599999999998</v>
      </c>
      <c r="H272">
        <v>0.44714199999999998</v>
      </c>
      <c r="J272">
        <v>0.44218400000000002</v>
      </c>
      <c r="K272">
        <v>0.367863</v>
      </c>
      <c r="L272">
        <v>0.13009699999999999</v>
      </c>
      <c r="M272">
        <v>0.45590799999999998</v>
      </c>
      <c r="N272">
        <v>0.405283</v>
      </c>
      <c r="O272">
        <v>0.36106700000000003</v>
      </c>
      <c r="Q272">
        <v>0.52774600000000005</v>
      </c>
      <c r="R272">
        <v>0.41564499999999999</v>
      </c>
      <c r="V272">
        <v>0.45577099999999998</v>
      </c>
      <c r="W272">
        <v>0.41320200000000001</v>
      </c>
      <c r="X272">
        <v>0.419547</v>
      </c>
      <c r="Y272">
        <v>0.46481</v>
      </c>
      <c r="Z272">
        <v>0.45859</v>
      </c>
      <c r="AA272">
        <v>0.57506100000000004</v>
      </c>
      <c r="AB272">
        <v>0.36041899999999999</v>
      </c>
      <c r="AF272">
        <f>'User Add-In Location'!E273</f>
        <v>0</v>
      </c>
      <c r="AI272">
        <v>0.48175200000000001</v>
      </c>
      <c r="AJ272">
        <v>0.51661800000000002</v>
      </c>
      <c r="AL272">
        <v>0.37591400000000003</v>
      </c>
      <c r="AM272">
        <v>0.40428900000000001</v>
      </c>
      <c r="AO272">
        <v>0.43777500000000003</v>
      </c>
      <c r="AQ272">
        <v>0.48825800000000003</v>
      </c>
      <c r="AR272">
        <v>0.56686700000000001</v>
      </c>
      <c r="AS272">
        <v>0.32402199999999998</v>
      </c>
      <c r="AT272">
        <v>0.28622900000000001</v>
      </c>
      <c r="AW272">
        <v>0.54603299999999999</v>
      </c>
      <c r="AX272" s="176">
        <v>0.91607099999999997</v>
      </c>
      <c r="BA272">
        <v>0.42529400000000001</v>
      </c>
      <c r="BB272">
        <v>0.32211800000000002</v>
      </c>
      <c r="BD272">
        <v>0.47551700000000002</v>
      </c>
      <c r="BF272">
        <v>0.55804299999999996</v>
      </c>
      <c r="BG272">
        <v>0.442602</v>
      </c>
      <c r="BH272">
        <v>0.49933699999999998</v>
      </c>
      <c r="BI272">
        <v>0.52049299999999998</v>
      </c>
      <c r="BJ272">
        <v>0.45697399999999999</v>
      </c>
      <c r="BK272">
        <v>0.46954299999999999</v>
      </c>
      <c r="BL272">
        <v>0.50476900000000002</v>
      </c>
      <c r="BM272">
        <v>0.42357800000000001</v>
      </c>
    </row>
    <row r="273" spans="1:65" x14ac:dyDescent="0.25">
      <c r="B273">
        <v>259</v>
      </c>
      <c r="C273" t="s">
        <v>602</v>
      </c>
      <c r="D273">
        <v>0.22453000000000001</v>
      </c>
      <c r="E273">
        <v>0.64742</v>
      </c>
      <c r="H273">
        <v>0.62968999999999997</v>
      </c>
      <c r="J273">
        <v>0.504521</v>
      </c>
      <c r="K273">
        <v>0.54955200000000004</v>
      </c>
      <c r="L273">
        <v>0.170071</v>
      </c>
      <c r="M273">
        <v>0.69134399999999996</v>
      </c>
      <c r="N273">
        <v>0.66859100000000005</v>
      </c>
      <c r="O273">
        <v>0.60983200000000004</v>
      </c>
      <c r="Q273">
        <v>0.82613400000000003</v>
      </c>
      <c r="R273">
        <v>0.64693000000000001</v>
      </c>
      <c r="V273">
        <v>0.76246100000000006</v>
      </c>
      <c r="W273">
        <v>0.70501199999999997</v>
      </c>
      <c r="X273">
        <v>0.50687599999999999</v>
      </c>
      <c r="Y273">
        <v>0.48102</v>
      </c>
      <c r="Z273">
        <v>0.72324200000000005</v>
      </c>
      <c r="AA273">
        <v>0.82125800000000004</v>
      </c>
      <c r="AB273">
        <v>0.66516399999999998</v>
      </c>
      <c r="AF273">
        <f>'User Add-In Location'!E274</f>
        <v>0</v>
      </c>
      <c r="AI273">
        <v>0.56065900000000002</v>
      </c>
      <c r="AJ273">
        <v>0.73651699999999998</v>
      </c>
      <c r="AL273">
        <v>0.56349400000000005</v>
      </c>
      <c r="AM273">
        <v>0.59866200000000003</v>
      </c>
      <c r="AO273">
        <v>0.64557900000000001</v>
      </c>
      <c r="AQ273">
        <v>0.69238900000000003</v>
      </c>
      <c r="AR273">
        <v>0.77167300000000005</v>
      </c>
      <c r="AS273">
        <v>0.46117900000000001</v>
      </c>
      <c r="AT273">
        <v>0.50393200000000005</v>
      </c>
      <c r="AW273">
        <v>0.76646999999999998</v>
      </c>
      <c r="AX273" s="176">
        <v>1.190062</v>
      </c>
      <c r="BA273">
        <v>0.64063099999999995</v>
      </c>
      <c r="BB273">
        <v>0.504579</v>
      </c>
      <c r="BD273">
        <v>0.75774600000000003</v>
      </c>
      <c r="BF273">
        <v>0.80182600000000004</v>
      </c>
      <c r="BG273">
        <v>0.62926499999999996</v>
      </c>
      <c r="BH273">
        <v>0.68968300000000005</v>
      </c>
      <c r="BI273">
        <v>0.76663899999999996</v>
      </c>
      <c r="BJ273">
        <v>0.64280300000000001</v>
      </c>
      <c r="BK273">
        <v>0.71220499999999998</v>
      </c>
      <c r="BL273">
        <v>0.55681599999999998</v>
      </c>
      <c r="BM273">
        <v>0.56630499999999995</v>
      </c>
    </row>
    <row r="274" spans="1:65" x14ac:dyDescent="0.25">
      <c r="B274">
        <v>260</v>
      </c>
    </row>
    <row r="275" spans="1:65" x14ac:dyDescent="0.25">
      <c r="B275">
        <v>261</v>
      </c>
      <c r="D275" s="174" t="s">
        <v>532</v>
      </c>
      <c r="E275" s="174" t="s">
        <v>680</v>
      </c>
      <c r="F275" s="174" t="s">
        <v>681</v>
      </c>
      <c r="G275" s="174" t="s">
        <v>682</v>
      </c>
      <c r="H275" s="174" t="s">
        <v>533</v>
      </c>
      <c r="I275" s="174" t="s">
        <v>683</v>
      </c>
      <c r="J275" s="174" t="s">
        <v>534</v>
      </c>
      <c r="K275" s="174" t="s">
        <v>535</v>
      </c>
      <c r="L275" s="174" t="s">
        <v>684</v>
      </c>
      <c r="M275" s="174" t="s">
        <v>536</v>
      </c>
      <c r="N275" s="174" t="s">
        <v>537</v>
      </c>
      <c r="O275" s="174" t="s">
        <v>538</v>
      </c>
      <c r="P275" s="174" t="s">
        <v>685</v>
      </c>
      <c r="Q275" s="174" t="s">
        <v>539</v>
      </c>
      <c r="R275" s="174" t="s">
        <v>540</v>
      </c>
      <c r="S275" s="174" t="s">
        <v>686</v>
      </c>
      <c r="T275" s="174" t="s">
        <v>687</v>
      </c>
      <c r="U275" s="174" t="s">
        <v>688</v>
      </c>
      <c r="V275" s="174" t="s">
        <v>541</v>
      </c>
      <c r="W275" s="174" t="s">
        <v>542</v>
      </c>
      <c r="X275" s="174" t="s">
        <v>543</v>
      </c>
      <c r="Y275" s="174" t="s">
        <v>544</v>
      </c>
      <c r="Z275" s="174" t="s">
        <v>545</v>
      </c>
      <c r="AA275" s="174" t="s">
        <v>546</v>
      </c>
      <c r="AB275" s="174" t="s">
        <v>549</v>
      </c>
      <c r="AC275" s="174" t="s">
        <v>689</v>
      </c>
      <c r="AD275" s="174" t="s">
        <v>690</v>
      </c>
      <c r="AE275" s="175" t="s">
        <v>691</v>
      </c>
      <c r="AF275" s="175" t="s">
        <v>1064</v>
      </c>
      <c r="AG275" s="174" t="s">
        <v>692</v>
      </c>
      <c r="AH275" s="174" t="s">
        <v>693</v>
      </c>
      <c r="AI275" s="174" t="s">
        <v>550</v>
      </c>
      <c r="AJ275" s="174" t="s">
        <v>551</v>
      </c>
      <c r="AK275" s="174" t="s">
        <v>694</v>
      </c>
      <c r="AL275" s="174" t="s">
        <v>695</v>
      </c>
      <c r="AM275" s="174" t="s">
        <v>553</v>
      </c>
      <c r="AN275" s="174" t="s">
        <v>696</v>
      </c>
      <c r="AO275" s="174" t="s">
        <v>554</v>
      </c>
      <c r="AP275" s="174" t="s">
        <v>697</v>
      </c>
      <c r="AQ275" s="174" t="s">
        <v>555</v>
      </c>
      <c r="AR275" s="174" t="s">
        <v>556</v>
      </c>
      <c r="AS275" s="174" t="s">
        <v>557</v>
      </c>
      <c r="AT275" s="174" t="s">
        <v>558</v>
      </c>
      <c r="AU275" s="174" t="s">
        <v>698</v>
      </c>
      <c r="AV275" s="174" t="s">
        <v>699</v>
      </c>
      <c r="AW275" s="174" t="s">
        <v>559</v>
      </c>
      <c r="AX275" s="174" t="s">
        <v>530</v>
      </c>
      <c r="AY275" s="174" t="s">
        <v>700</v>
      </c>
      <c r="AZ275" s="174" t="s">
        <v>701</v>
      </c>
      <c r="BA275" s="174" t="s">
        <v>560</v>
      </c>
      <c r="BB275" s="174" t="s">
        <v>561</v>
      </c>
      <c r="BC275" s="174" t="s">
        <v>702</v>
      </c>
      <c r="BD275" s="174" t="s">
        <v>562</v>
      </c>
      <c r="BE275" s="174" t="s">
        <v>703</v>
      </c>
      <c r="BF275" t="s">
        <v>704</v>
      </c>
      <c r="BG275" t="s">
        <v>705</v>
      </c>
      <c r="BH275" t="s">
        <v>706</v>
      </c>
      <c r="BI275" t="s">
        <v>707</v>
      </c>
      <c r="BJ275" t="s">
        <v>708</v>
      </c>
      <c r="BK275" t="s">
        <v>709</v>
      </c>
      <c r="BL275" t="s">
        <v>710</v>
      </c>
      <c r="BM275" t="s">
        <v>711</v>
      </c>
    </row>
    <row r="276" spans="1:65" x14ac:dyDescent="0.25">
      <c r="A276" t="s">
        <v>724</v>
      </c>
      <c r="B276">
        <v>262</v>
      </c>
      <c r="C276" t="s">
        <v>400</v>
      </c>
      <c r="D276">
        <v>0.30517300000000003</v>
      </c>
      <c r="E276">
        <v>0.45533099999999999</v>
      </c>
      <c r="H276">
        <v>0.62749999999999995</v>
      </c>
      <c r="J276">
        <v>0.61386799999999997</v>
      </c>
      <c r="K276">
        <v>0.33634399999999998</v>
      </c>
      <c r="L276">
        <v>0.74041400000000002</v>
      </c>
      <c r="M276">
        <v>0.584152</v>
      </c>
      <c r="N276">
        <v>0.33966200000000002</v>
      </c>
      <c r="O276">
        <v>0.51763700000000001</v>
      </c>
      <c r="Q276">
        <v>0.333258</v>
      </c>
      <c r="R276">
        <v>0.33007900000000001</v>
      </c>
      <c r="V276">
        <v>0.40466999999999997</v>
      </c>
      <c r="W276">
        <v>0.64338099999999998</v>
      </c>
      <c r="X276">
        <v>0.39823799999999998</v>
      </c>
      <c r="Y276">
        <v>0.77205900000000005</v>
      </c>
      <c r="Z276">
        <v>0.39189200000000002</v>
      </c>
      <c r="AA276">
        <v>0.311975</v>
      </c>
      <c r="AB276">
        <v>0.35754000000000002</v>
      </c>
      <c r="AF276">
        <f>'User Add-In Location'!E277</f>
        <v>0</v>
      </c>
      <c r="AI276">
        <v>0.55937899999999996</v>
      </c>
      <c r="AJ276">
        <v>0.63190500000000005</v>
      </c>
      <c r="AL276">
        <v>0.50281500000000001</v>
      </c>
      <c r="AM276">
        <v>0.32152599999999998</v>
      </c>
      <c r="AO276">
        <v>0.36743500000000001</v>
      </c>
      <c r="AQ276">
        <v>0.583924</v>
      </c>
      <c r="AR276">
        <v>0.425709</v>
      </c>
      <c r="AS276">
        <v>0.77642999999999995</v>
      </c>
      <c r="AT276">
        <v>0.32927600000000001</v>
      </c>
      <c r="AW276">
        <v>0.38572400000000001</v>
      </c>
      <c r="AX276" s="176">
        <v>0.417597</v>
      </c>
      <c r="BA276">
        <v>0.430423</v>
      </c>
      <c r="BB276">
        <v>0.63680400000000004</v>
      </c>
      <c r="BD276">
        <v>0.386604</v>
      </c>
      <c r="BF276">
        <v>0.41719200000000001</v>
      </c>
      <c r="BG276">
        <v>0.62503900000000001</v>
      </c>
      <c r="BH276">
        <v>0.40755200000000003</v>
      </c>
      <c r="BI276">
        <v>0.36544100000000002</v>
      </c>
      <c r="BJ276">
        <v>0.47889700000000002</v>
      </c>
      <c r="BK276">
        <v>0.34323599999999999</v>
      </c>
      <c r="BL276">
        <v>0.68641099999999999</v>
      </c>
      <c r="BM276">
        <v>0.56109399999999998</v>
      </c>
    </row>
    <row r="277" spans="1:65" x14ac:dyDescent="0.25">
      <c r="B277">
        <v>263</v>
      </c>
      <c r="C277" t="s">
        <v>583</v>
      </c>
      <c r="D277">
        <v>0.65268700000000002</v>
      </c>
      <c r="E277">
        <v>0.71912299999999996</v>
      </c>
      <c r="H277">
        <v>0.41974</v>
      </c>
      <c r="J277">
        <v>0.270065</v>
      </c>
      <c r="K277">
        <v>8.4182999999999994E-2</v>
      </c>
      <c r="L277">
        <v>0.36224299999999998</v>
      </c>
      <c r="M277">
        <v>1.9442999999999998E-2</v>
      </c>
      <c r="N277">
        <v>0.20117599999999999</v>
      </c>
      <c r="O277">
        <v>1.2411999999999999E-2</v>
      </c>
      <c r="Q277">
        <v>5.8887000000000002E-2</v>
      </c>
      <c r="R277">
        <v>4.0939999999999997E-2</v>
      </c>
      <c r="V277">
        <v>0.44685599999999998</v>
      </c>
      <c r="W277">
        <v>5.5476999999999999E-2</v>
      </c>
      <c r="X277">
        <v>1.6081000000000002E-2</v>
      </c>
      <c r="Y277">
        <v>2.4220999999999999E-2</v>
      </c>
      <c r="Z277">
        <v>7.6430999999999999E-2</v>
      </c>
      <c r="AA277">
        <v>3.1940999999999997E-2</v>
      </c>
      <c r="AB277">
        <v>0.17571000000000001</v>
      </c>
      <c r="AF277">
        <f>'User Add-In Location'!E278</f>
        <v>0</v>
      </c>
      <c r="AI277">
        <v>0.207208</v>
      </c>
      <c r="AJ277">
        <v>9.8122000000000001E-2</v>
      </c>
      <c r="AL277">
        <v>4.7003000000000003E-2</v>
      </c>
      <c r="AM277">
        <v>3.4769000000000001E-2</v>
      </c>
      <c r="AO277">
        <v>0.61735899999999999</v>
      </c>
      <c r="AQ277">
        <v>2.2284000000000002E-2</v>
      </c>
      <c r="AR277">
        <v>0.63051000000000001</v>
      </c>
      <c r="AS277">
        <v>0.15046200000000001</v>
      </c>
      <c r="AT277">
        <v>2.6095E-2</v>
      </c>
      <c r="AW277">
        <v>0.56390600000000002</v>
      </c>
      <c r="AX277" s="176">
        <v>0.48393700000000001</v>
      </c>
      <c r="BA277">
        <v>7.6052999999999996E-2</v>
      </c>
      <c r="BB277">
        <v>1.4485E-2</v>
      </c>
      <c r="BD277">
        <v>1.9314999999999999E-2</v>
      </c>
      <c r="BF277">
        <v>0.53851000000000004</v>
      </c>
      <c r="BG277">
        <v>0.384878</v>
      </c>
      <c r="BH277">
        <v>8.4806000000000006E-2</v>
      </c>
      <c r="BI277">
        <v>0.47686099999999998</v>
      </c>
      <c r="BJ277">
        <v>5.1295E-2</v>
      </c>
      <c r="BK277">
        <v>8.9180999999999996E-2</v>
      </c>
      <c r="BL277">
        <v>6.7975999999999995E-2</v>
      </c>
      <c r="BM277">
        <v>8.4389000000000006E-2</v>
      </c>
    </row>
    <row r="278" spans="1:65" x14ac:dyDescent="0.25">
      <c r="B278">
        <v>264</v>
      </c>
      <c r="C278" t="s">
        <v>403</v>
      </c>
      <c r="D278">
        <v>0.344976</v>
      </c>
      <c r="E278">
        <v>0.622359</v>
      </c>
      <c r="H278">
        <v>0.48264200000000002</v>
      </c>
      <c r="J278">
        <v>0</v>
      </c>
      <c r="K278">
        <v>0</v>
      </c>
      <c r="L278">
        <v>0</v>
      </c>
      <c r="M278">
        <v>0.38342799999999999</v>
      </c>
      <c r="N278">
        <v>0</v>
      </c>
      <c r="O278">
        <v>0</v>
      </c>
      <c r="Q278">
        <v>0.55547100000000005</v>
      </c>
      <c r="R278">
        <v>0.54064299999999998</v>
      </c>
      <c r="V278">
        <v>0.52512099999999995</v>
      </c>
      <c r="W278">
        <v>0</v>
      </c>
      <c r="X278">
        <v>0.54561800000000005</v>
      </c>
      <c r="Y278">
        <v>0</v>
      </c>
      <c r="Z278">
        <v>0</v>
      </c>
      <c r="AA278">
        <v>0</v>
      </c>
      <c r="AB278">
        <v>0.43230400000000002</v>
      </c>
      <c r="AF278">
        <f>'User Add-In Location'!E279</f>
        <v>0</v>
      </c>
      <c r="AI278">
        <v>0</v>
      </c>
      <c r="AJ278">
        <v>0</v>
      </c>
      <c r="AL278">
        <v>0</v>
      </c>
      <c r="AM278">
        <v>0</v>
      </c>
      <c r="AO278">
        <v>0.61729400000000001</v>
      </c>
      <c r="AQ278">
        <v>0</v>
      </c>
      <c r="AR278">
        <v>0.51870099999999997</v>
      </c>
      <c r="AS278">
        <v>0</v>
      </c>
      <c r="AT278">
        <v>0</v>
      </c>
      <c r="AW278">
        <v>0.51571400000000001</v>
      </c>
      <c r="AX278" s="176">
        <v>0.58600300000000005</v>
      </c>
      <c r="BA278">
        <v>0.55531600000000003</v>
      </c>
      <c r="BB278">
        <v>0.41446</v>
      </c>
      <c r="BD278">
        <v>0</v>
      </c>
      <c r="BF278">
        <v>0.578241</v>
      </c>
      <c r="BG278">
        <v>0.42557699999999998</v>
      </c>
      <c r="BH278">
        <v>0.55416299999999996</v>
      </c>
      <c r="BI278">
        <v>0.53808199999999995</v>
      </c>
      <c r="BJ278">
        <v>0.54561800000000005</v>
      </c>
      <c r="BK278">
        <v>0.55531600000000003</v>
      </c>
      <c r="BL278">
        <v>0</v>
      </c>
      <c r="BM278">
        <v>0</v>
      </c>
    </row>
    <row r="279" spans="1:65" x14ac:dyDescent="0.25">
      <c r="B279">
        <v>265</v>
      </c>
      <c r="C279" t="s">
        <v>584</v>
      </c>
      <c r="D279">
        <v>0.373392</v>
      </c>
      <c r="E279">
        <v>0.55903000000000003</v>
      </c>
      <c r="H279">
        <v>0.460204</v>
      </c>
      <c r="J279">
        <v>0.48208099999999998</v>
      </c>
      <c r="K279">
        <v>0.25621899999999997</v>
      </c>
      <c r="L279">
        <v>0.34820299999999998</v>
      </c>
      <c r="M279">
        <v>0.44795299999999999</v>
      </c>
      <c r="N279">
        <v>0.54499600000000004</v>
      </c>
      <c r="O279">
        <v>0.52410400000000001</v>
      </c>
      <c r="Q279">
        <v>0.39490500000000001</v>
      </c>
      <c r="R279">
        <v>0.41088200000000002</v>
      </c>
      <c r="V279">
        <v>0.432612</v>
      </c>
      <c r="W279">
        <v>0.168271</v>
      </c>
      <c r="X279">
        <v>0.46207500000000001</v>
      </c>
      <c r="Y279">
        <v>0.440355</v>
      </c>
      <c r="Z279">
        <v>0.53677399999999997</v>
      </c>
      <c r="AA279">
        <v>0.57722099999999998</v>
      </c>
      <c r="AB279">
        <v>0.22403300000000001</v>
      </c>
      <c r="AF279">
        <f>'User Add-In Location'!E280</f>
        <v>0</v>
      </c>
      <c r="AI279">
        <v>0.29484199999999999</v>
      </c>
      <c r="AJ279">
        <v>0.45459899999999998</v>
      </c>
      <c r="AL279">
        <v>0.38147199999999998</v>
      </c>
      <c r="AM279">
        <v>0.40644799999999998</v>
      </c>
      <c r="AO279">
        <v>0.56436699999999995</v>
      </c>
      <c r="AQ279">
        <v>0.32494699999999999</v>
      </c>
      <c r="AR279">
        <v>0.59691000000000005</v>
      </c>
      <c r="AS279">
        <v>0.49191400000000002</v>
      </c>
      <c r="AT279">
        <v>0.49482700000000002</v>
      </c>
      <c r="AW279">
        <v>0.56835000000000002</v>
      </c>
      <c r="AX279" s="176">
        <v>0.50118300000000005</v>
      </c>
      <c r="BA279">
        <v>0.47395100000000001</v>
      </c>
      <c r="BB279">
        <v>0.32588200000000001</v>
      </c>
      <c r="BD279">
        <v>0.67786500000000005</v>
      </c>
      <c r="BF279">
        <v>0.54461800000000005</v>
      </c>
      <c r="BG279">
        <v>0.42267399999999999</v>
      </c>
      <c r="BH279">
        <v>0.45399299999999998</v>
      </c>
      <c r="BI279">
        <v>0.54072799999999999</v>
      </c>
      <c r="BJ279">
        <v>0.40821800000000003</v>
      </c>
      <c r="BK279">
        <v>0.48995699999999998</v>
      </c>
      <c r="BL279">
        <v>0.355962</v>
      </c>
      <c r="BM279">
        <v>0.40641300000000002</v>
      </c>
    </row>
    <row r="280" spans="1:65" x14ac:dyDescent="0.25">
      <c r="B280">
        <v>266</v>
      </c>
      <c r="C280" t="s">
        <v>585</v>
      </c>
      <c r="D280">
        <v>0.31501800000000002</v>
      </c>
      <c r="E280">
        <v>0</v>
      </c>
      <c r="H280">
        <v>0</v>
      </c>
      <c r="J280">
        <v>0</v>
      </c>
      <c r="K280">
        <v>0</v>
      </c>
      <c r="L280">
        <v>0</v>
      </c>
      <c r="M280">
        <v>0.46926899999999999</v>
      </c>
      <c r="N280">
        <v>0</v>
      </c>
      <c r="O280">
        <v>0</v>
      </c>
      <c r="Q280">
        <v>0</v>
      </c>
      <c r="R280">
        <v>0</v>
      </c>
      <c r="V280">
        <v>0</v>
      </c>
      <c r="W280">
        <v>0</v>
      </c>
      <c r="X280">
        <v>0</v>
      </c>
      <c r="Y280">
        <v>0</v>
      </c>
      <c r="Z280">
        <v>0</v>
      </c>
      <c r="AA280">
        <v>0.77285700000000002</v>
      </c>
      <c r="AB280">
        <v>0</v>
      </c>
      <c r="AF280">
        <f>'User Add-In Location'!E281</f>
        <v>0</v>
      </c>
      <c r="AI280">
        <v>0</v>
      </c>
      <c r="AJ280">
        <v>0.490699</v>
      </c>
      <c r="AL280">
        <v>0</v>
      </c>
      <c r="AM280">
        <v>0</v>
      </c>
      <c r="AO280">
        <v>0</v>
      </c>
      <c r="AQ280">
        <v>0</v>
      </c>
      <c r="AR280">
        <v>0</v>
      </c>
      <c r="AS280">
        <v>0</v>
      </c>
      <c r="AT280">
        <v>0</v>
      </c>
      <c r="AW280">
        <v>0.40682000000000001</v>
      </c>
      <c r="AX280" s="176">
        <v>0.49533100000000002</v>
      </c>
      <c r="BA280">
        <v>0</v>
      </c>
      <c r="BB280">
        <v>0</v>
      </c>
      <c r="BD280">
        <v>0</v>
      </c>
      <c r="BF280">
        <v>0.44662299999999999</v>
      </c>
      <c r="BG280">
        <v>0</v>
      </c>
      <c r="BH280">
        <v>0.490699</v>
      </c>
      <c r="BI280">
        <v>0.77285700000000002</v>
      </c>
      <c r="BJ280">
        <v>0.490699</v>
      </c>
      <c r="BK280">
        <v>0</v>
      </c>
      <c r="BL280">
        <v>0</v>
      </c>
      <c r="BM280">
        <v>0</v>
      </c>
    </row>
    <row r="281" spans="1:65" x14ac:dyDescent="0.25">
      <c r="B281">
        <v>267</v>
      </c>
      <c r="C281" t="s">
        <v>586</v>
      </c>
      <c r="D281">
        <v>0.39838200000000001</v>
      </c>
      <c r="E281">
        <v>0.36227599999999999</v>
      </c>
      <c r="H281">
        <v>0.55993700000000002</v>
      </c>
      <c r="J281">
        <v>0.56601500000000005</v>
      </c>
      <c r="K281">
        <v>0.427421</v>
      </c>
      <c r="L281">
        <v>0.51439500000000005</v>
      </c>
      <c r="M281">
        <v>0.55165600000000004</v>
      </c>
      <c r="N281">
        <v>0.51702000000000004</v>
      </c>
      <c r="O281">
        <v>0.40588400000000002</v>
      </c>
      <c r="Q281">
        <v>0.50182599999999999</v>
      </c>
      <c r="R281">
        <v>0.40953899999999999</v>
      </c>
      <c r="V281">
        <v>0.49914799999999998</v>
      </c>
      <c r="W281">
        <v>0.497334</v>
      </c>
      <c r="X281">
        <v>0.54492499999999999</v>
      </c>
      <c r="Y281">
        <v>0.46976099999999998</v>
      </c>
      <c r="Z281">
        <v>0.40995100000000001</v>
      </c>
      <c r="AA281">
        <v>0.398808</v>
      </c>
      <c r="AB281">
        <v>0.39496399999999998</v>
      </c>
      <c r="AF281">
        <f>'User Add-In Location'!E282</f>
        <v>0</v>
      </c>
      <c r="AI281">
        <v>0.49798500000000001</v>
      </c>
      <c r="AJ281">
        <v>0.53899699999999995</v>
      </c>
      <c r="AL281">
        <v>0.49249900000000002</v>
      </c>
      <c r="AM281">
        <v>0.49190800000000001</v>
      </c>
      <c r="AO281">
        <v>0.47949000000000003</v>
      </c>
      <c r="AQ281">
        <v>0.41036299999999998</v>
      </c>
      <c r="AR281">
        <v>0.47406700000000002</v>
      </c>
      <c r="AS281">
        <v>0.55877699999999997</v>
      </c>
      <c r="AT281">
        <v>0.43662600000000001</v>
      </c>
      <c r="AW281">
        <v>0.48897000000000002</v>
      </c>
      <c r="AX281" s="176">
        <v>0.47551300000000002</v>
      </c>
      <c r="BA281">
        <v>0.52160499999999999</v>
      </c>
      <c r="BB281">
        <v>0.50047600000000003</v>
      </c>
      <c r="BD281">
        <v>0.44122499999999998</v>
      </c>
      <c r="BF281">
        <v>0.48662899999999998</v>
      </c>
      <c r="BG281">
        <v>0.53851099999999996</v>
      </c>
      <c r="BH281">
        <v>0.49615799999999999</v>
      </c>
      <c r="BI281">
        <v>0.45355099999999998</v>
      </c>
      <c r="BJ281">
        <v>0.51904099999999997</v>
      </c>
      <c r="BK281">
        <v>0.47734599999999999</v>
      </c>
      <c r="BL281">
        <v>0.47446300000000002</v>
      </c>
      <c r="BM281">
        <v>0.49379499999999998</v>
      </c>
    </row>
    <row r="282" spans="1:65" x14ac:dyDescent="0.25">
      <c r="B282">
        <v>268</v>
      </c>
      <c r="C282" t="s">
        <v>587</v>
      </c>
      <c r="D282">
        <v>0.60607999999999995</v>
      </c>
      <c r="E282">
        <v>0.35833900000000002</v>
      </c>
      <c r="H282">
        <v>0.48860500000000001</v>
      </c>
      <c r="J282">
        <v>0.57419100000000001</v>
      </c>
      <c r="K282">
        <v>0.43107499999999999</v>
      </c>
      <c r="L282">
        <v>0.50519800000000004</v>
      </c>
      <c r="M282">
        <v>0.51359500000000002</v>
      </c>
      <c r="N282">
        <v>0.43740699999999999</v>
      </c>
      <c r="O282">
        <v>0.35396899999999998</v>
      </c>
      <c r="Q282">
        <v>0.46160200000000001</v>
      </c>
      <c r="R282">
        <v>0.40493400000000002</v>
      </c>
      <c r="V282">
        <v>0.46616000000000002</v>
      </c>
      <c r="W282">
        <v>0.46468799999999999</v>
      </c>
      <c r="X282">
        <v>0.47889199999999998</v>
      </c>
      <c r="Y282">
        <v>0.46934100000000001</v>
      </c>
      <c r="Z282">
        <v>0.40203</v>
      </c>
      <c r="AA282">
        <v>0.38452900000000001</v>
      </c>
      <c r="AB282">
        <v>0.37026500000000001</v>
      </c>
      <c r="AF282">
        <f>'User Add-In Location'!E283</f>
        <v>0</v>
      </c>
      <c r="AI282">
        <v>0.473217</v>
      </c>
      <c r="AJ282">
        <v>0.50981600000000005</v>
      </c>
      <c r="AL282">
        <v>0.45357700000000001</v>
      </c>
      <c r="AM282">
        <v>0.45188499999999998</v>
      </c>
      <c r="AO282">
        <v>0.44112400000000002</v>
      </c>
      <c r="AQ282">
        <v>0.44937899999999997</v>
      </c>
      <c r="AR282">
        <v>0.42904300000000001</v>
      </c>
      <c r="AS282">
        <v>0.46579399999999999</v>
      </c>
      <c r="AT282">
        <v>0.38563500000000001</v>
      </c>
      <c r="AW282">
        <v>0.42859700000000001</v>
      </c>
      <c r="AX282" s="176">
        <v>0.441498</v>
      </c>
      <c r="BA282">
        <v>0.51946300000000001</v>
      </c>
      <c r="BB282">
        <v>0.55199399999999998</v>
      </c>
      <c r="BD282">
        <v>0.45456400000000002</v>
      </c>
      <c r="BF282">
        <v>0.44396000000000002</v>
      </c>
      <c r="BG282">
        <v>0.50173800000000002</v>
      </c>
      <c r="BH282">
        <v>0.46454400000000001</v>
      </c>
      <c r="BI282">
        <v>0.43702999999999997</v>
      </c>
      <c r="BJ282">
        <v>0.46414299999999997</v>
      </c>
      <c r="BK282">
        <v>0.45322099999999998</v>
      </c>
      <c r="BL282">
        <v>0.469113</v>
      </c>
      <c r="BM282">
        <v>0.466196</v>
      </c>
    </row>
    <row r="283" spans="1:65" x14ac:dyDescent="0.25">
      <c r="B283">
        <v>269</v>
      </c>
      <c r="C283" t="s">
        <v>588</v>
      </c>
      <c r="D283">
        <v>0.43060599999999999</v>
      </c>
      <c r="E283">
        <v>0.95096700000000001</v>
      </c>
      <c r="H283">
        <v>0.59056500000000001</v>
      </c>
      <c r="J283">
        <v>0.792597</v>
      </c>
      <c r="K283">
        <v>0.56010099999999996</v>
      </c>
      <c r="L283">
        <v>0.52727000000000002</v>
      </c>
      <c r="M283">
        <v>0.57247999999999999</v>
      </c>
      <c r="N283">
        <v>0.60843899999999995</v>
      </c>
      <c r="O283">
        <v>0.46941699999999997</v>
      </c>
      <c r="Q283">
        <v>0.52880199999999999</v>
      </c>
      <c r="R283">
        <v>0.514544</v>
      </c>
      <c r="V283">
        <v>0.63251400000000002</v>
      </c>
      <c r="W283">
        <v>0.56218599999999996</v>
      </c>
      <c r="X283">
        <v>0.536103</v>
      </c>
      <c r="Y283">
        <v>0.53653799999999996</v>
      </c>
      <c r="Z283">
        <v>0.54302799999999996</v>
      </c>
      <c r="AA283">
        <v>0.54248200000000002</v>
      </c>
      <c r="AB283">
        <v>0.50289300000000003</v>
      </c>
      <c r="AF283">
        <f>'User Add-In Location'!E284</f>
        <v>0</v>
      </c>
      <c r="AI283">
        <v>0.53942699999999999</v>
      </c>
      <c r="AJ283">
        <v>0.57345100000000004</v>
      </c>
      <c r="AL283">
        <v>0.57811100000000004</v>
      </c>
      <c r="AM283">
        <v>0.49274200000000001</v>
      </c>
      <c r="AO283">
        <v>0.59868900000000003</v>
      </c>
      <c r="AQ283">
        <v>0.502498</v>
      </c>
      <c r="AR283">
        <v>0.79349999999999998</v>
      </c>
      <c r="AS283">
        <v>0.521845</v>
      </c>
      <c r="AT283">
        <v>0.50576900000000002</v>
      </c>
      <c r="AW283">
        <v>0.68945699999999999</v>
      </c>
      <c r="AX283" s="176">
        <v>0.65050399999999997</v>
      </c>
      <c r="BA283">
        <v>0.59025899999999998</v>
      </c>
      <c r="BB283">
        <v>0.62444699999999997</v>
      </c>
      <c r="BD283">
        <v>0.56221500000000002</v>
      </c>
      <c r="BF283">
        <v>0.65997799999999995</v>
      </c>
      <c r="BG283">
        <v>0.58882100000000004</v>
      </c>
      <c r="BH283">
        <v>0.58230199999999999</v>
      </c>
      <c r="BI283">
        <v>0.64224999999999999</v>
      </c>
      <c r="BJ283">
        <v>0.57268699999999995</v>
      </c>
      <c r="BK283">
        <v>0.563384</v>
      </c>
      <c r="BL283">
        <v>0.53807300000000002</v>
      </c>
      <c r="BM283">
        <v>0.60624500000000003</v>
      </c>
    </row>
    <row r="284" spans="1:65" x14ac:dyDescent="0.25">
      <c r="B284">
        <v>270</v>
      </c>
      <c r="C284" t="s">
        <v>348</v>
      </c>
      <c r="D284">
        <v>0.48815599999999998</v>
      </c>
      <c r="E284">
        <v>0.58704000000000001</v>
      </c>
      <c r="H284">
        <v>0.61102800000000002</v>
      </c>
      <c r="J284">
        <v>0.56447499999999995</v>
      </c>
      <c r="K284">
        <v>0.58917900000000001</v>
      </c>
      <c r="L284">
        <v>0.608931</v>
      </c>
      <c r="M284">
        <v>0.54744499999999996</v>
      </c>
      <c r="N284">
        <v>0.55117000000000005</v>
      </c>
      <c r="O284">
        <v>0.63609899999999997</v>
      </c>
      <c r="Q284">
        <v>0.586175</v>
      </c>
      <c r="R284">
        <v>0.53636300000000003</v>
      </c>
      <c r="V284">
        <v>0.51940299999999995</v>
      </c>
      <c r="W284">
        <v>0.44367800000000002</v>
      </c>
      <c r="X284">
        <v>0.56590300000000004</v>
      </c>
      <c r="Y284">
        <v>0.58940899999999996</v>
      </c>
      <c r="Z284">
        <v>0.56211999999999995</v>
      </c>
      <c r="AA284">
        <v>0.57608000000000004</v>
      </c>
      <c r="AB284">
        <v>0.46157300000000001</v>
      </c>
      <c r="AF284">
        <f>'User Add-In Location'!E285</f>
        <v>0</v>
      </c>
      <c r="AI284">
        <v>0.48824400000000001</v>
      </c>
      <c r="AJ284">
        <v>0.60903099999999999</v>
      </c>
      <c r="AL284">
        <v>0.607074</v>
      </c>
      <c r="AM284">
        <v>0.51219999999999999</v>
      </c>
      <c r="AO284">
        <v>0.54961499999999996</v>
      </c>
      <c r="AQ284">
        <v>0.57392900000000002</v>
      </c>
      <c r="AR284">
        <v>0.58104800000000001</v>
      </c>
      <c r="AS284">
        <v>0.56508199999999997</v>
      </c>
      <c r="AT284">
        <v>0.55239000000000005</v>
      </c>
      <c r="AW284">
        <v>0.56094200000000005</v>
      </c>
      <c r="AX284" s="176">
        <v>0.56457100000000005</v>
      </c>
      <c r="BA284">
        <v>0.55106299999999997</v>
      </c>
      <c r="BB284">
        <v>0.61792999999999998</v>
      </c>
      <c r="BD284">
        <v>0.56072200000000005</v>
      </c>
      <c r="BF284">
        <v>0.546296</v>
      </c>
      <c r="BG284">
        <v>0.60912999999999995</v>
      </c>
      <c r="BH284">
        <v>0.56858699999999995</v>
      </c>
      <c r="BI284">
        <v>0.576627</v>
      </c>
      <c r="BJ284">
        <v>0.59880800000000001</v>
      </c>
      <c r="BK284">
        <v>0.53983099999999995</v>
      </c>
      <c r="BL284">
        <v>0.55879900000000005</v>
      </c>
      <c r="BM284">
        <v>0.59648000000000001</v>
      </c>
    </row>
    <row r="285" spans="1:65" x14ac:dyDescent="0.25">
      <c r="B285">
        <v>271</v>
      </c>
      <c r="C285" t="s">
        <v>589</v>
      </c>
      <c r="D285">
        <v>0.92941700000000005</v>
      </c>
      <c r="E285">
        <v>0.69007200000000002</v>
      </c>
      <c r="H285">
        <v>0.68261899999999998</v>
      </c>
      <c r="J285">
        <v>0.58657400000000004</v>
      </c>
      <c r="K285">
        <v>0.67199399999999998</v>
      </c>
      <c r="L285">
        <v>0.68487100000000001</v>
      </c>
      <c r="M285">
        <v>0.64377899999999999</v>
      </c>
      <c r="N285">
        <v>0.64837100000000003</v>
      </c>
      <c r="O285">
        <v>0.71130400000000005</v>
      </c>
      <c r="Q285">
        <v>0.66574100000000003</v>
      </c>
      <c r="R285">
        <v>0.61367899999999997</v>
      </c>
      <c r="V285">
        <v>0.59224200000000005</v>
      </c>
      <c r="W285">
        <v>0.43271100000000001</v>
      </c>
      <c r="X285">
        <v>0.63173599999999996</v>
      </c>
      <c r="Y285">
        <v>0.62748999999999999</v>
      </c>
      <c r="Z285">
        <v>0.65043700000000004</v>
      </c>
      <c r="AA285">
        <v>0.66568099999999997</v>
      </c>
      <c r="AB285">
        <v>0.53163899999999997</v>
      </c>
      <c r="AF285">
        <f>'User Add-In Location'!E286</f>
        <v>0</v>
      </c>
      <c r="AI285">
        <v>0.40215099999999998</v>
      </c>
      <c r="AJ285">
        <v>0.67415999999999998</v>
      </c>
      <c r="AL285">
        <v>0.67684299999999997</v>
      </c>
      <c r="AM285">
        <v>0.57303400000000004</v>
      </c>
      <c r="AO285">
        <v>0.62263800000000002</v>
      </c>
      <c r="AQ285">
        <v>0.63295599999999996</v>
      </c>
      <c r="AR285">
        <v>0.66518900000000003</v>
      </c>
      <c r="AS285">
        <v>0.63205900000000004</v>
      </c>
      <c r="AT285">
        <v>0.64984500000000001</v>
      </c>
      <c r="AW285">
        <v>0.64503699999999997</v>
      </c>
      <c r="AX285" s="176">
        <v>0.64380899999999996</v>
      </c>
      <c r="BA285">
        <v>0.63315299999999997</v>
      </c>
      <c r="BB285">
        <v>0.68644099999999997</v>
      </c>
      <c r="BD285">
        <v>0.64637999999999995</v>
      </c>
      <c r="BF285">
        <v>0.63422900000000004</v>
      </c>
      <c r="BG285">
        <v>0.67935100000000004</v>
      </c>
      <c r="BH285">
        <v>0.63630600000000004</v>
      </c>
      <c r="BI285">
        <v>0.65579100000000001</v>
      </c>
      <c r="BJ285">
        <v>0.667161</v>
      </c>
      <c r="BK285">
        <v>0.62400199999999995</v>
      </c>
      <c r="BL285">
        <v>0.58211100000000005</v>
      </c>
      <c r="BM285">
        <v>0.65429099999999996</v>
      </c>
    </row>
    <row r="286" spans="1:65" x14ac:dyDescent="0.25">
      <c r="B286">
        <v>272</v>
      </c>
      <c r="C286" t="s">
        <v>590</v>
      </c>
      <c r="D286">
        <v>0.57875799999999999</v>
      </c>
      <c r="E286">
        <v>0.55696699999999999</v>
      </c>
      <c r="H286">
        <v>0.59665500000000005</v>
      </c>
      <c r="J286">
        <v>0.50868199999999997</v>
      </c>
      <c r="K286">
        <v>0.57961600000000002</v>
      </c>
      <c r="L286">
        <v>0.58187</v>
      </c>
      <c r="M286">
        <v>0.54387799999999997</v>
      </c>
      <c r="N286">
        <v>0.54180399999999995</v>
      </c>
      <c r="O286">
        <v>0.62347200000000003</v>
      </c>
      <c r="Q286">
        <v>0.57050900000000004</v>
      </c>
      <c r="R286">
        <v>0.51372499999999999</v>
      </c>
      <c r="V286">
        <v>0.49010100000000001</v>
      </c>
      <c r="W286">
        <v>0.37851099999999999</v>
      </c>
      <c r="X286">
        <v>0.54165300000000005</v>
      </c>
      <c r="Y286">
        <v>0.55042599999999997</v>
      </c>
      <c r="Z286">
        <v>0.54706900000000003</v>
      </c>
      <c r="AA286">
        <v>0.55368399999999995</v>
      </c>
      <c r="AB286">
        <v>0.435027</v>
      </c>
      <c r="AF286">
        <f>'User Add-In Location'!E287</f>
        <v>0</v>
      </c>
      <c r="AI286">
        <v>0.37999500000000003</v>
      </c>
      <c r="AJ286">
        <v>0.58603499999999997</v>
      </c>
      <c r="AL286">
        <v>0.58939699999999995</v>
      </c>
      <c r="AM286">
        <v>0.483769</v>
      </c>
      <c r="AO286">
        <v>0.52685000000000004</v>
      </c>
      <c r="AQ286">
        <v>0.55082600000000004</v>
      </c>
      <c r="AR286">
        <v>0.56098499999999996</v>
      </c>
      <c r="AS286">
        <v>0.54311100000000001</v>
      </c>
      <c r="AT286">
        <v>0.54722199999999999</v>
      </c>
      <c r="AW286">
        <v>0.53683700000000001</v>
      </c>
      <c r="AX286" s="176">
        <v>0.54489100000000001</v>
      </c>
      <c r="BA286">
        <v>0.53325100000000003</v>
      </c>
      <c r="BB286">
        <v>0.60250199999999998</v>
      </c>
      <c r="BD286">
        <v>0.53838900000000001</v>
      </c>
      <c r="BF286">
        <v>0.52800599999999998</v>
      </c>
      <c r="BG286">
        <v>0.593912</v>
      </c>
      <c r="BH286">
        <v>0.54518900000000003</v>
      </c>
      <c r="BI286">
        <v>0.55753399999999997</v>
      </c>
      <c r="BJ286">
        <v>0.57889299999999999</v>
      </c>
      <c r="BK286">
        <v>0.52362799999999998</v>
      </c>
      <c r="BL286">
        <v>0.51008399999999998</v>
      </c>
      <c r="BM286">
        <v>0.56977299999999997</v>
      </c>
    </row>
    <row r="287" spans="1:65" x14ac:dyDescent="0.25">
      <c r="B287">
        <v>273</v>
      </c>
      <c r="C287" t="s">
        <v>591</v>
      </c>
      <c r="D287">
        <v>0.48121900000000001</v>
      </c>
      <c r="E287">
        <v>0.25149300000000002</v>
      </c>
      <c r="H287">
        <v>0.37195699999999998</v>
      </c>
      <c r="J287">
        <v>0.37969900000000001</v>
      </c>
      <c r="K287">
        <v>0.27475300000000002</v>
      </c>
      <c r="L287">
        <v>0.30528</v>
      </c>
      <c r="M287">
        <v>0.31710700000000003</v>
      </c>
      <c r="N287">
        <v>0.30575400000000003</v>
      </c>
      <c r="O287">
        <v>0.228268</v>
      </c>
      <c r="Q287">
        <v>0.31260599999999999</v>
      </c>
      <c r="R287">
        <v>0.31126700000000002</v>
      </c>
      <c r="V287">
        <v>0.27514100000000002</v>
      </c>
      <c r="W287">
        <v>0.27463799999999999</v>
      </c>
      <c r="X287">
        <v>0.401779</v>
      </c>
      <c r="Y287">
        <v>0.41889500000000002</v>
      </c>
      <c r="Z287">
        <v>0.28883300000000001</v>
      </c>
      <c r="AA287">
        <v>0.32580500000000001</v>
      </c>
      <c r="AB287">
        <v>0.22454199999999999</v>
      </c>
      <c r="AF287">
        <f>'User Add-In Location'!E288</f>
        <v>0</v>
      </c>
      <c r="AI287">
        <v>0.343806</v>
      </c>
      <c r="AJ287">
        <v>0.36183100000000001</v>
      </c>
      <c r="AL287">
        <v>0.33471899999999999</v>
      </c>
      <c r="AM287">
        <v>0.37296600000000002</v>
      </c>
      <c r="AO287">
        <v>0.29385600000000001</v>
      </c>
      <c r="AQ287">
        <v>0.28805399999999998</v>
      </c>
      <c r="AR287">
        <v>0.31592300000000001</v>
      </c>
      <c r="AS287">
        <v>0.318795</v>
      </c>
      <c r="AT287">
        <v>0.26502300000000001</v>
      </c>
      <c r="AW287">
        <v>0.28997899999999999</v>
      </c>
      <c r="AX287" s="176">
        <v>0.30828699999999998</v>
      </c>
      <c r="BA287">
        <v>0.36582500000000001</v>
      </c>
      <c r="BB287">
        <v>0.33290599999999998</v>
      </c>
      <c r="BD287">
        <v>0.28951300000000002</v>
      </c>
      <c r="BF287">
        <v>0.28403099999999998</v>
      </c>
      <c r="BG287">
        <v>0.35873300000000002</v>
      </c>
      <c r="BH287">
        <v>0.34675800000000001</v>
      </c>
      <c r="BI287">
        <v>0.30656299999999997</v>
      </c>
      <c r="BJ287">
        <v>0.35101300000000002</v>
      </c>
      <c r="BK287">
        <v>0.33177499999999999</v>
      </c>
      <c r="BL287">
        <v>0.38823600000000003</v>
      </c>
      <c r="BM287">
        <v>0.366531</v>
      </c>
    </row>
    <row r="288" spans="1:65" x14ac:dyDescent="0.25">
      <c r="B288">
        <v>274</v>
      </c>
      <c r="C288" t="s">
        <v>592</v>
      </c>
      <c r="D288">
        <v>0.27872000000000002</v>
      </c>
      <c r="E288">
        <v>0.21623999999999999</v>
      </c>
      <c r="H288">
        <v>0.30431900000000001</v>
      </c>
      <c r="J288">
        <v>0.24956200000000001</v>
      </c>
      <c r="K288">
        <v>0.353912</v>
      </c>
      <c r="L288">
        <v>0.715534</v>
      </c>
      <c r="M288">
        <v>0.33505499999999999</v>
      </c>
      <c r="N288">
        <v>0.36160199999999998</v>
      </c>
      <c r="O288">
        <v>0.46859699999999999</v>
      </c>
      <c r="Q288">
        <v>0.32223800000000002</v>
      </c>
      <c r="R288">
        <v>0.26455499999999998</v>
      </c>
      <c r="V288">
        <v>0.29574899999999998</v>
      </c>
      <c r="W288">
        <v>0.26236399999999999</v>
      </c>
      <c r="X288">
        <v>0.37005100000000002</v>
      </c>
      <c r="Y288">
        <v>0.31634499999999999</v>
      </c>
      <c r="Z288">
        <v>0.28426600000000002</v>
      </c>
      <c r="AA288">
        <v>0.39033600000000002</v>
      </c>
      <c r="AB288">
        <v>0.23695099999999999</v>
      </c>
      <c r="AF288">
        <f>'User Add-In Location'!E289</f>
        <v>0</v>
      </c>
      <c r="AI288">
        <v>0.277111</v>
      </c>
      <c r="AJ288">
        <v>0.34607900000000003</v>
      </c>
      <c r="AL288">
        <v>0.37446299999999999</v>
      </c>
      <c r="AM288">
        <v>0.26403100000000002</v>
      </c>
      <c r="AO288">
        <v>0.30887199999999998</v>
      </c>
      <c r="AQ288">
        <v>0.27183800000000002</v>
      </c>
      <c r="AR288">
        <v>0.29372300000000001</v>
      </c>
      <c r="AS288">
        <v>0.258938</v>
      </c>
      <c r="AT288">
        <v>0.29710900000000001</v>
      </c>
      <c r="AW288">
        <v>0.31648599999999999</v>
      </c>
      <c r="AX288" s="176">
        <v>0.30129</v>
      </c>
      <c r="BA288">
        <v>0.36203000000000002</v>
      </c>
      <c r="BB288">
        <v>0.26864700000000002</v>
      </c>
      <c r="BD288">
        <v>0.300871</v>
      </c>
      <c r="BF288">
        <v>0.30466199999999999</v>
      </c>
      <c r="BG288">
        <v>0.29817500000000002</v>
      </c>
      <c r="BH288">
        <v>0.311641</v>
      </c>
      <c r="BI288">
        <v>0.30889499999999998</v>
      </c>
      <c r="BJ288">
        <v>0.36801699999999998</v>
      </c>
      <c r="BK288">
        <v>0.29644500000000001</v>
      </c>
      <c r="BL288">
        <v>0.29932999999999998</v>
      </c>
      <c r="BM288">
        <v>0.330899</v>
      </c>
    </row>
    <row r="289" spans="1:65" x14ac:dyDescent="0.25">
      <c r="B289">
        <v>275</v>
      </c>
      <c r="C289" t="s">
        <v>593</v>
      </c>
      <c r="D289">
        <v>0.17815500000000001</v>
      </c>
      <c r="E289">
        <v>0.32950800000000002</v>
      </c>
      <c r="H289">
        <v>0.36056100000000002</v>
      </c>
      <c r="J289">
        <v>0.37770399999999998</v>
      </c>
      <c r="K289">
        <v>0.318467</v>
      </c>
      <c r="L289">
        <v>0.39902799999999999</v>
      </c>
      <c r="M289">
        <v>0.39543800000000001</v>
      </c>
      <c r="N289">
        <v>0.37172899999999998</v>
      </c>
      <c r="O289">
        <v>0.36795299999999997</v>
      </c>
      <c r="Q289">
        <v>0.43660500000000002</v>
      </c>
      <c r="R289">
        <v>0.35160599999999997</v>
      </c>
      <c r="V289">
        <v>0.34138499999999999</v>
      </c>
      <c r="W289">
        <v>0.294431</v>
      </c>
      <c r="X289">
        <v>0.3634</v>
      </c>
      <c r="Y289">
        <v>0.35037800000000002</v>
      </c>
      <c r="Z289">
        <v>0.38307099999999999</v>
      </c>
      <c r="AA289">
        <v>0.35001199999999999</v>
      </c>
      <c r="AB289">
        <v>0.345244</v>
      </c>
      <c r="AF289">
        <f>'User Add-In Location'!E290</f>
        <v>0</v>
      </c>
      <c r="AI289">
        <v>0.36083999999999999</v>
      </c>
      <c r="AJ289">
        <v>0.38950000000000001</v>
      </c>
      <c r="AL289">
        <v>0.45370899999999997</v>
      </c>
      <c r="AM289">
        <v>0.34855199999999997</v>
      </c>
      <c r="AO289">
        <v>0.33771099999999998</v>
      </c>
      <c r="AQ289">
        <v>0.33362399999999998</v>
      </c>
      <c r="AR289">
        <v>0.391843</v>
      </c>
      <c r="AS289">
        <v>0.27693899999999999</v>
      </c>
      <c r="AT289">
        <v>0.39790500000000001</v>
      </c>
      <c r="AW289">
        <v>0.39771600000000001</v>
      </c>
      <c r="AX289" s="176">
        <v>0.375913</v>
      </c>
      <c r="BA289">
        <v>0.40248400000000001</v>
      </c>
      <c r="BB289">
        <v>0.375025</v>
      </c>
      <c r="BD289">
        <v>0.43339100000000003</v>
      </c>
      <c r="BF289">
        <v>0.387515</v>
      </c>
      <c r="BG289">
        <v>0.361429</v>
      </c>
      <c r="BH289">
        <v>0.38571</v>
      </c>
      <c r="BI289">
        <v>0.39809800000000001</v>
      </c>
      <c r="BJ289">
        <v>0.41326000000000002</v>
      </c>
      <c r="BK289">
        <v>0.37735299999999999</v>
      </c>
      <c r="BL289">
        <v>0.33990300000000001</v>
      </c>
      <c r="BM289">
        <v>0.42226599999999997</v>
      </c>
    </row>
    <row r="290" spans="1:65" x14ac:dyDescent="0.25">
      <c r="B290">
        <v>276</v>
      </c>
      <c r="C290" t="s">
        <v>594</v>
      </c>
      <c r="D290">
        <v>0.53595999999999999</v>
      </c>
      <c r="E290">
        <v>0.261571</v>
      </c>
      <c r="H290">
        <v>0.35707100000000003</v>
      </c>
      <c r="J290">
        <v>0.34316799999999997</v>
      </c>
      <c r="K290">
        <v>0.18027399999999999</v>
      </c>
      <c r="L290">
        <v>0.11453199999999999</v>
      </c>
      <c r="M290">
        <v>0.358541</v>
      </c>
      <c r="N290">
        <v>0.25004999999999999</v>
      </c>
      <c r="O290">
        <v>0.237342</v>
      </c>
      <c r="Q290">
        <v>0.287798</v>
      </c>
      <c r="R290">
        <v>0.25967200000000001</v>
      </c>
      <c r="V290">
        <v>0.28358899999999998</v>
      </c>
      <c r="W290">
        <v>0.40969299999999997</v>
      </c>
      <c r="X290">
        <v>0.35697899999999999</v>
      </c>
      <c r="Y290">
        <v>0.417435</v>
      </c>
      <c r="Z290">
        <v>0.29564600000000002</v>
      </c>
      <c r="AA290">
        <v>0.37668699999999999</v>
      </c>
      <c r="AB290">
        <v>0.21029100000000001</v>
      </c>
      <c r="AF290">
        <f>'User Add-In Location'!E291</f>
        <v>0</v>
      </c>
      <c r="AI290">
        <v>0.333117</v>
      </c>
      <c r="AJ290">
        <v>0.30661899999999997</v>
      </c>
      <c r="AL290">
        <v>0.29227199999999998</v>
      </c>
      <c r="AM290">
        <v>0.27032899999999999</v>
      </c>
      <c r="AO290">
        <v>0.26850000000000002</v>
      </c>
      <c r="AQ290">
        <v>0.282364</v>
      </c>
      <c r="AR290">
        <v>0.237762</v>
      </c>
      <c r="AS290">
        <v>0.17214599999999999</v>
      </c>
      <c r="AT290">
        <v>0.257604</v>
      </c>
      <c r="AW290">
        <v>0.29014200000000001</v>
      </c>
      <c r="AX290" s="176">
        <v>0.28903299999999998</v>
      </c>
      <c r="BA290">
        <v>0.33889900000000001</v>
      </c>
      <c r="BB290">
        <v>0.38018999999999997</v>
      </c>
      <c r="BD290">
        <v>0.35214000000000001</v>
      </c>
      <c r="BF290">
        <v>0.28608499999999998</v>
      </c>
      <c r="BG290">
        <v>0.35109800000000002</v>
      </c>
      <c r="BH290">
        <v>0.30122399999999999</v>
      </c>
      <c r="BI290">
        <v>0.27725699999999998</v>
      </c>
      <c r="BJ290">
        <v>0.29735099999999998</v>
      </c>
      <c r="BK290">
        <v>0.27267999999999998</v>
      </c>
      <c r="BL290">
        <v>0.39739799999999997</v>
      </c>
      <c r="BM290">
        <v>0.32768700000000001</v>
      </c>
    </row>
    <row r="291" spans="1:65" x14ac:dyDescent="0.25">
      <c r="B291">
        <v>277</v>
      </c>
      <c r="C291" t="s">
        <v>415</v>
      </c>
      <c r="D291">
        <v>0.522756</v>
      </c>
      <c r="E291">
        <v>0.32999899999999999</v>
      </c>
      <c r="H291">
        <v>0.37732199999999999</v>
      </c>
      <c r="J291">
        <v>0.36370000000000002</v>
      </c>
      <c r="K291">
        <v>0.42062500000000003</v>
      </c>
      <c r="L291">
        <v>0</v>
      </c>
      <c r="M291">
        <v>0.19697700000000001</v>
      </c>
      <c r="N291">
        <v>0.28706399999999999</v>
      </c>
      <c r="O291">
        <v>0</v>
      </c>
      <c r="Q291">
        <v>0.37137799999999999</v>
      </c>
      <c r="R291">
        <v>0.25422299999999998</v>
      </c>
      <c r="V291">
        <v>0.16208700000000001</v>
      </c>
      <c r="W291">
        <v>0.24927299999999999</v>
      </c>
      <c r="X291">
        <v>0.23039200000000001</v>
      </c>
      <c r="Y291">
        <v>0.36973699999999998</v>
      </c>
      <c r="Z291">
        <v>0.245697</v>
      </c>
      <c r="AA291">
        <v>0.28791099999999997</v>
      </c>
      <c r="AB291">
        <v>0.165436</v>
      </c>
      <c r="AF291">
        <f>'User Add-In Location'!E292</f>
        <v>0</v>
      </c>
      <c r="AI291">
        <v>0.39784599999999998</v>
      </c>
      <c r="AJ291">
        <v>0.35218300000000002</v>
      </c>
      <c r="AL291">
        <v>0.34460800000000003</v>
      </c>
      <c r="AM291">
        <v>0.27271699999999999</v>
      </c>
      <c r="AO291">
        <v>0.32980700000000002</v>
      </c>
      <c r="AQ291">
        <v>0.36022999999999999</v>
      </c>
      <c r="AR291">
        <v>0.29807899999999998</v>
      </c>
      <c r="AS291">
        <v>0.24015300000000001</v>
      </c>
      <c r="AT291">
        <v>0.34295199999999998</v>
      </c>
      <c r="AW291">
        <v>0.235707</v>
      </c>
      <c r="AX291" s="176">
        <v>0.27478799999999998</v>
      </c>
      <c r="BA291">
        <v>0.36548599999999998</v>
      </c>
      <c r="BB291">
        <v>0.27667900000000001</v>
      </c>
      <c r="BD291">
        <v>0.22591900000000001</v>
      </c>
      <c r="BF291">
        <v>0.20247599999999999</v>
      </c>
      <c r="BG291">
        <v>0.37413000000000002</v>
      </c>
      <c r="BH291">
        <v>0.31614199999999998</v>
      </c>
      <c r="BI291">
        <v>0.27945599999999998</v>
      </c>
      <c r="BJ291">
        <v>0.30663600000000002</v>
      </c>
      <c r="BK291">
        <v>0.309726</v>
      </c>
      <c r="BL291">
        <v>0.36636999999999997</v>
      </c>
      <c r="BM291">
        <v>0.35206700000000002</v>
      </c>
    </row>
    <row r="292" spans="1:65" x14ac:dyDescent="0.25">
      <c r="B292">
        <v>278</v>
      </c>
      <c r="C292" t="s">
        <v>595</v>
      </c>
      <c r="D292">
        <v>0.22969999999999999</v>
      </c>
      <c r="E292">
        <v>0.40165800000000002</v>
      </c>
      <c r="H292">
        <v>0.52484600000000003</v>
      </c>
      <c r="J292">
        <v>0.32969500000000002</v>
      </c>
      <c r="K292">
        <v>0.371423</v>
      </c>
      <c r="L292">
        <v>0.475495</v>
      </c>
      <c r="M292">
        <v>0.388019</v>
      </c>
      <c r="N292">
        <v>0.39402700000000002</v>
      </c>
      <c r="O292">
        <v>0.13447600000000001</v>
      </c>
      <c r="Q292">
        <v>0.34268700000000002</v>
      </c>
      <c r="R292">
        <v>0.335646</v>
      </c>
      <c r="V292">
        <v>0.24268799999999999</v>
      </c>
      <c r="W292">
        <v>0.41558299999999998</v>
      </c>
      <c r="X292">
        <v>0.344115</v>
      </c>
      <c r="Y292">
        <v>0.42481200000000002</v>
      </c>
      <c r="Z292">
        <v>0.26570500000000002</v>
      </c>
      <c r="AA292">
        <v>0.334343</v>
      </c>
      <c r="AB292">
        <v>0.15795000000000001</v>
      </c>
      <c r="AF292">
        <f>'User Add-In Location'!E293</f>
        <v>0</v>
      </c>
      <c r="AI292">
        <v>0.304892</v>
      </c>
      <c r="AJ292">
        <v>0.325903</v>
      </c>
      <c r="AL292">
        <v>0.31464399999999998</v>
      </c>
      <c r="AM292">
        <v>0.47493099999999999</v>
      </c>
      <c r="AO292">
        <v>0.27099899999999999</v>
      </c>
      <c r="AQ292">
        <v>0.53379399999999999</v>
      </c>
      <c r="AR292">
        <v>0.37851000000000001</v>
      </c>
      <c r="AS292">
        <v>0.37667099999999998</v>
      </c>
      <c r="AT292">
        <v>0.44621</v>
      </c>
      <c r="AW292">
        <v>0.50171900000000003</v>
      </c>
      <c r="AX292" s="176">
        <v>0.44548599999999999</v>
      </c>
      <c r="BA292">
        <v>0.35706700000000002</v>
      </c>
      <c r="BB292">
        <v>0.313388</v>
      </c>
      <c r="BD292">
        <v>0.279748</v>
      </c>
      <c r="BF292">
        <v>0.47277400000000003</v>
      </c>
      <c r="BG292">
        <v>0.52074100000000001</v>
      </c>
      <c r="BH292">
        <v>0.384544</v>
      </c>
      <c r="BI292">
        <v>0.31177500000000002</v>
      </c>
      <c r="BJ292">
        <v>0.32056899999999999</v>
      </c>
      <c r="BK292">
        <v>0.43660500000000002</v>
      </c>
      <c r="BL292">
        <v>0.40529300000000001</v>
      </c>
      <c r="BM292">
        <v>0.36913800000000002</v>
      </c>
    </row>
    <row r="293" spans="1:65" x14ac:dyDescent="0.25">
      <c r="B293">
        <v>279</v>
      </c>
      <c r="C293" t="s">
        <v>417</v>
      </c>
      <c r="D293">
        <v>0.25864799999999999</v>
      </c>
      <c r="E293">
        <v>0.18602199999999999</v>
      </c>
      <c r="H293">
        <v>0.39841399999999999</v>
      </c>
      <c r="J293">
        <v>0.36921199999999998</v>
      </c>
      <c r="K293">
        <v>0.43866100000000002</v>
      </c>
      <c r="L293">
        <v>0.195461</v>
      </c>
      <c r="M293">
        <v>0.324986</v>
      </c>
      <c r="N293">
        <v>0.42274899999999999</v>
      </c>
      <c r="O293">
        <v>0.101521</v>
      </c>
      <c r="Q293">
        <v>0.38848100000000002</v>
      </c>
      <c r="R293">
        <v>0.32473099999999999</v>
      </c>
      <c r="V293">
        <v>0.31419900000000001</v>
      </c>
      <c r="W293">
        <v>0.32363500000000001</v>
      </c>
      <c r="X293">
        <v>0.295929</v>
      </c>
      <c r="Y293">
        <v>0.44436799999999999</v>
      </c>
      <c r="Z293">
        <v>0.33169500000000002</v>
      </c>
      <c r="AA293">
        <v>0.38272299999999998</v>
      </c>
      <c r="AB293">
        <v>0.30460199999999998</v>
      </c>
      <c r="AF293">
        <f>'User Add-In Location'!E294</f>
        <v>0</v>
      </c>
      <c r="AI293">
        <v>0.40608699999999998</v>
      </c>
      <c r="AJ293">
        <v>0.41035300000000002</v>
      </c>
      <c r="AL293">
        <v>0.33142700000000003</v>
      </c>
      <c r="AM293">
        <v>0.40054600000000001</v>
      </c>
      <c r="AO293">
        <v>0.34863100000000002</v>
      </c>
      <c r="AQ293">
        <v>0.408219</v>
      </c>
      <c r="AR293">
        <v>0.36092800000000003</v>
      </c>
      <c r="AS293">
        <v>0.410862</v>
      </c>
      <c r="AT293">
        <v>0.436525</v>
      </c>
      <c r="AW293">
        <v>0.36293599999999998</v>
      </c>
      <c r="AX293" s="176">
        <v>0.37291600000000003</v>
      </c>
      <c r="BA293">
        <v>0.31268499999999999</v>
      </c>
      <c r="BB293">
        <v>0.36904900000000002</v>
      </c>
      <c r="BD293">
        <v>0.36053400000000002</v>
      </c>
      <c r="BF293">
        <v>0.33813399999999999</v>
      </c>
      <c r="BG293">
        <v>0.39621899999999999</v>
      </c>
      <c r="BH293">
        <v>0.38806499999999999</v>
      </c>
      <c r="BI293">
        <v>0.35916599999999999</v>
      </c>
      <c r="BJ293">
        <v>0.35778300000000002</v>
      </c>
      <c r="BK293">
        <v>0.39257500000000001</v>
      </c>
      <c r="BL293">
        <v>0.42900899999999997</v>
      </c>
      <c r="BM293">
        <v>0.38159300000000002</v>
      </c>
    </row>
    <row r="294" spans="1:65" x14ac:dyDescent="0.25">
      <c r="B294">
        <v>280</v>
      </c>
      <c r="C294" t="s">
        <v>418</v>
      </c>
      <c r="D294">
        <v>0.46120699999999998</v>
      </c>
      <c r="E294">
        <v>0.58929900000000002</v>
      </c>
      <c r="H294">
        <v>0.63146100000000005</v>
      </c>
      <c r="J294">
        <v>0.63264200000000004</v>
      </c>
      <c r="K294">
        <v>0.548211</v>
      </c>
      <c r="L294">
        <v>0.67349300000000001</v>
      </c>
      <c r="M294">
        <v>0.59308099999999997</v>
      </c>
      <c r="N294">
        <v>0.60644799999999999</v>
      </c>
      <c r="O294">
        <v>0.58497600000000005</v>
      </c>
      <c r="Q294">
        <v>0.62102900000000005</v>
      </c>
      <c r="R294">
        <v>0.55599399999999999</v>
      </c>
      <c r="V294">
        <v>0.59772099999999995</v>
      </c>
      <c r="W294">
        <v>0.56192699999999995</v>
      </c>
      <c r="X294">
        <v>0.60694199999999998</v>
      </c>
      <c r="Y294">
        <v>0.60171300000000005</v>
      </c>
      <c r="Z294">
        <v>0.58100200000000002</v>
      </c>
      <c r="AA294">
        <v>0.58781300000000003</v>
      </c>
      <c r="AB294">
        <v>0.55974100000000004</v>
      </c>
      <c r="AF294">
        <f>'User Add-In Location'!E295</f>
        <v>0</v>
      </c>
      <c r="AI294">
        <v>0.59935000000000005</v>
      </c>
      <c r="AJ294">
        <v>0.62455300000000002</v>
      </c>
      <c r="AL294">
        <v>0.62255300000000002</v>
      </c>
      <c r="AM294">
        <v>0.56279599999999996</v>
      </c>
      <c r="AO294">
        <v>0.57325000000000004</v>
      </c>
      <c r="AQ294">
        <v>0.55608100000000005</v>
      </c>
      <c r="AR294">
        <v>0.59436199999999995</v>
      </c>
      <c r="AS294">
        <v>0.60929999999999995</v>
      </c>
      <c r="AT294">
        <v>0.590472</v>
      </c>
      <c r="AW294">
        <v>0.59889099999999995</v>
      </c>
      <c r="AX294" s="176">
        <v>0.59880999999999995</v>
      </c>
      <c r="BA294">
        <v>0.59931000000000001</v>
      </c>
      <c r="BB294">
        <v>0.69028800000000001</v>
      </c>
      <c r="BD294">
        <v>0.54762299999999997</v>
      </c>
      <c r="BF294">
        <v>0.59450899999999995</v>
      </c>
      <c r="BG294">
        <v>0.63683500000000004</v>
      </c>
      <c r="BH294">
        <v>0.60612999999999995</v>
      </c>
      <c r="BI294">
        <v>0.59475900000000004</v>
      </c>
      <c r="BJ294">
        <v>0.61965300000000001</v>
      </c>
      <c r="BK294">
        <v>0.58950400000000003</v>
      </c>
      <c r="BL294">
        <v>0.59637700000000005</v>
      </c>
      <c r="BM294">
        <v>0.61856599999999995</v>
      </c>
    </row>
    <row r="295" spans="1:65" x14ac:dyDescent="0.25">
      <c r="B295">
        <v>281</v>
      </c>
      <c r="C295" t="s">
        <v>596</v>
      </c>
      <c r="D295">
        <v>0.581596</v>
      </c>
      <c r="E295">
        <v>0.48155900000000001</v>
      </c>
      <c r="H295">
        <v>0.54059400000000002</v>
      </c>
      <c r="J295">
        <v>0.53993800000000003</v>
      </c>
      <c r="K295">
        <v>0.46792</v>
      </c>
      <c r="L295">
        <v>0.26153999999999999</v>
      </c>
      <c r="M295">
        <v>0.49970100000000001</v>
      </c>
      <c r="N295">
        <v>0.52729199999999998</v>
      </c>
      <c r="O295">
        <v>0.59728999999999999</v>
      </c>
      <c r="Q295">
        <v>0.51719199999999999</v>
      </c>
      <c r="R295">
        <v>0.50630399999999998</v>
      </c>
      <c r="V295">
        <v>0.49346800000000002</v>
      </c>
      <c r="W295">
        <v>0.47307700000000003</v>
      </c>
      <c r="X295">
        <v>0.48372700000000002</v>
      </c>
      <c r="Y295">
        <v>0.52735600000000005</v>
      </c>
      <c r="Z295">
        <v>0.49854199999999999</v>
      </c>
      <c r="AA295">
        <v>0.52639000000000002</v>
      </c>
      <c r="AB295">
        <v>0.46762300000000001</v>
      </c>
      <c r="AF295">
        <f>'User Add-In Location'!E296</f>
        <v>0</v>
      </c>
      <c r="AI295">
        <v>0.53869500000000003</v>
      </c>
      <c r="AJ295">
        <v>0.56551099999999999</v>
      </c>
      <c r="AL295">
        <v>0.55608400000000002</v>
      </c>
      <c r="AM295">
        <v>0.49442599999999998</v>
      </c>
      <c r="AO295">
        <v>0.50879099999999999</v>
      </c>
      <c r="AQ295">
        <v>0.51601799999999998</v>
      </c>
      <c r="AR295">
        <v>0.49915599999999999</v>
      </c>
      <c r="AS295">
        <v>0.49106899999999998</v>
      </c>
      <c r="AT295">
        <v>0.46953400000000001</v>
      </c>
      <c r="AW295">
        <v>0.50134999999999996</v>
      </c>
      <c r="AX295" s="176">
        <v>0.51987499999999998</v>
      </c>
      <c r="BA295">
        <v>0.467252</v>
      </c>
      <c r="BB295">
        <v>0.54853499999999999</v>
      </c>
      <c r="BD295">
        <v>0.54192700000000005</v>
      </c>
      <c r="BF295">
        <v>0.49690899999999999</v>
      </c>
      <c r="BG295">
        <v>0.54013999999999995</v>
      </c>
      <c r="BH295">
        <v>0.52366299999999999</v>
      </c>
      <c r="BI295">
        <v>0.52143499999999998</v>
      </c>
      <c r="BJ295">
        <v>0.54794100000000001</v>
      </c>
      <c r="BK295">
        <v>0.498614</v>
      </c>
      <c r="BL295">
        <v>0.52243399999999995</v>
      </c>
      <c r="BM295">
        <v>0.54735900000000004</v>
      </c>
    </row>
    <row r="296" spans="1:65" x14ac:dyDescent="0.25">
      <c r="B296">
        <v>282</v>
      </c>
      <c r="C296" t="s">
        <v>597</v>
      </c>
      <c r="D296">
        <v>0.58228400000000002</v>
      </c>
      <c r="E296">
        <v>0.29175699999999999</v>
      </c>
      <c r="H296">
        <v>0.298987</v>
      </c>
      <c r="J296">
        <v>0.25160900000000003</v>
      </c>
      <c r="K296">
        <v>7.8612000000000001E-2</v>
      </c>
      <c r="L296">
        <v>8.7582999999999994E-2</v>
      </c>
      <c r="M296">
        <v>0.307091</v>
      </c>
      <c r="N296">
        <v>0.134129</v>
      </c>
      <c r="O296">
        <v>0.24801200000000001</v>
      </c>
      <c r="Q296">
        <v>0.22965099999999999</v>
      </c>
      <c r="R296">
        <v>0.27121800000000001</v>
      </c>
      <c r="V296">
        <v>0.20661199999999999</v>
      </c>
      <c r="W296">
        <v>8.5382E-2</v>
      </c>
      <c r="X296">
        <v>0.243145</v>
      </c>
      <c r="Y296">
        <v>0.260716</v>
      </c>
      <c r="Z296">
        <v>0.18829299999999999</v>
      </c>
      <c r="AA296">
        <v>0.56739300000000004</v>
      </c>
      <c r="AB296">
        <v>0.26128099999999999</v>
      </c>
      <c r="AF296">
        <f>'User Add-In Location'!E297</f>
        <v>0</v>
      </c>
      <c r="AI296">
        <v>0.57638500000000004</v>
      </c>
      <c r="AJ296">
        <v>0.37208200000000002</v>
      </c>
      <c r="AL296">
        <v>0.26760899999999999</v>
      </c>
      <c r="AM296">
        <v>0.15093400000000001</v>
      </c>
      <c r="AO296">
        <v>0.23775299999999999</v>
      </c>
      <c r="AQ296">
        <v>0.277339</v>
      </c>
      <c r="AR296">
        <v>0.178843</v>
      </c>
      <c r="AS296">
        <v>0.20480699999999999</v>
      </c>
      <c r="AT296">
        <v>0.173764</v>
      </c>
      <c r="AW296">
        <v>0.26663100000000001</v>
      </c>
      <c r="AX296" s="176">
        <v>0.27315299999999998</v>
      </c>
      <c r="BA296">
        <v>0.41719200000000001</v>
      </c>
      <c r="BB296">
        <v>0.28248200000000001</v>
      </c>
      <c r="BD296">
        <v>0.160443</v>
      </c>
      <c r="BF296">
        <v>0.27076099999999997</v>
      </c>
      <c r="BG296">
        <v>0.29271599999999998</v>
      </c>
      <c r="BH296">
        <v>0.28336099999999997</v>
      </c>
      <c r="BI296">
        <v>0.264685</v>
      </c>
      <c r="BJ296">
        <v>0.285995</v>
      </c>
      <c r="BK296">
        <v>0.30962800000000001</v>
      </c>
      <c r="BL296">
        <v>0.24352599999999999</v>
      </c>
      <c r="BM296">
        <v>0.26120700000000002</v>
      </c>
    </row>
    <row r="297" spans="1:65" x14ac:dyDescent="0.25">
      <c r="B297">
        <v>283</v>
      </c>
      <c r="C297" t="s">
        <v>598</v>
      </c>
      <c r="D297">
        <v>0.45439400000000002</v>
      </c>
      <c r="E297">
        <v>0.62869200000000003</v>
      </c>
      <c r="H297">
        <v>0.65407999999999999</v>
      </c>
      <c r="J297">
        <v>0.65256099999999995</v>
      </c>
      <c r="K297">
        <v>0.65499300000000005</v>
      </c>
      <c r="L297">
        <v>0.64912700000000001</v>
      </c>
      <c r="M297">
        <v>0.58585500000000001</v>
      </c>
      <c r="N297">
        <v>0.61265400000000003</v>
      </c>
      <c r="O297">
        <v>0.64142999999999994</v>
      </c>
      <c r="Q297">
        <v>0.62292899999999995</v>
      </c>
      <c r="R297">
        <v>0.59501199999999999</v>
      </c>
      <c r="V297">
        <v>0.582009</v>
      </c>
      <c r="W297">
        <v>0.59639799999999998</v>
      </c>
      <c r="X297">
        <v>0.64419300000000002</v>
      </c>
      <c r="Y297">
        <v>0.64338399999999996</v>
      </c>
      <c r="Z297">
        <v>0.59957000000000005</v>
      </c>
      <c r="AA297">
        <v>0.62119100000000005</v>
      </c>
      <c r="AB297">
        <v>0.558056</v>
      </c>
      <c r="AF297">
        <f>'User Add-In Location'!E298</f>
        <v>0</v>
      </c>
      <c r="AI297">
        <v>0.63342500000000002</v>
      </c>
      <c r="AJ297">
        <v>0.64559299999999997</v>
      </c>
      <c r="AL297">
        <v>0.65728299999999995</v>
      </c>
      <c r="AM297">
        <v>0.59059399999999995</v>
      </c>
      <c r="AO297">
        <v>0.59901099999999996</v>
      </c>
      <c r="AQ297">
        <v>0.63098399999999999</v>
      </c>
      <c r="AR297">
        <v>0.64582799999999996</v>
      </c>
      <c r="AS297">
        <v>0.61221400000000004</v>
      </c>
      <c r="AT297">
        <v>0.583569</v>
      </c>
      <c r="AW297">
        <v>0.59968999999999995</v>
      </c>
      <c r="AX297" s="176">
        <v>0.62060199999999999</v>
      </c>
      <c r="BA297">
        <v>0.61928799999999995</v>
      </c>
      <c r="BB297">
        <v>0.649725</v>
      </c>
      <c r="BD297">
        <v>0.61374499999999999</v>
      </c>
      <c r="BF297">
        <v>0.59066700000000005</v>
      </c>
      <c r="BG297">
        <v>0.65192300000000003</v>
      </c>
      <c r="BH297">
        <v>0.63424000000000003</v>
      </c>
      <c r="BI297">
        <v>0.62931700000000002</v>
      </c>
      <c r="BJ297">
        <v>0.65251199999999998</v>
      </c>
      <c r="BK297">
        <v>0.604939</v>
      </c>
      <c r="BL297">
        <v>0.63757799999999998</v>
      </c>
      <c r="BM297">
        <v>0.652451</v>
      </c>
    </row>
    <row r="298" spans="1:65" x14ac:dyDescent="0.25">
      <c r="B298">
        <v>284</v>
      </c>
      <c r="C298" t="s">
        <v>599</v>
      </c>
      <c r="D298">
        <v>0.30733899999999997</v>
      </c>
      <c r="E298">
        <v>0.45596599999999998</v>
      </c>
      <c r="H298">
        <v>0.51710800000000001</v>
      </c>
      <c r="J298">
        <v>0.45427299999999998</v>
      </c>
      <c r="K298">
        <v>0.51319300000000001</v>
      </c>
      <c r="L298">
        <v>0.48772799999999999</v>
      </c>
      <c r="M298">
        <v>0.46117000000000002</v>
      </c>
      <c r="N298">
        <v>0.47417300000000001</v>
      </c>
      <c r="O298">
        <v>0.52226099999999998</v>
      </c>
      <c r="Q298">
        <v>0.51211499999999999</v>
      </c>
      <c r="R298">
        <v>0.48618</v>
      </c>
      <c r="V298">
        <v>0.437083</v>
      </c>
      <c r="W298">
        <v>0.35784300000000002</v>
      </c>
      <c r="X298">
        <v>0.46625899999999998</v>
      </c>
      <c r="Y298">
        <v>0.482603</v>
      </c>
      <c r="Z298">
        <v>0.48461599999999999</v>
      </c>
      <c r="AA298">
        <v>0.47631499999999999</v>
      </c>
      <c r="AB298">
        <v>0.41513800000000001</v>
      </c>
      <c r="AF298">
        <f>'User Add-In Location'!E299</f>
        <v>0</v>
      </c>
      <c r="AI298">
        <v>0.37057499999999999</v>
      </c>
      <c r="AJ298">
        <v>0.52443600000000001</v>
      </c>
      <c r="AL298">
        <v>0.49103400000000003</v>
      </c>
      <c r="AM298">
        <v>0.434284</v>
      </c>
      <c r="AO298">
        <v>0.48753299999999999</v>
      </c>
      <c r="AQ298">
        <v>0.477885</v>
      </c>
      <c r="AR298">
        <v>0.51047399999999998</v>
      </c>
      <c r="AS298">
        <v>0.460204</v>
      </c>
      <c r="AT298">
        <v>0.48545899999999997</v>
      </c>
      <c r="AW298">
        <v>0.46353899999999998</v>
      </c>
      <c r="AX298" s="176">
        <v>0.47934100000000002</v>
      </c>
      <c r="BA298">
        <v>0.50034800000000001</v>
      </c>
      <c r="BB298">
        <v>0.52487399999999995</v>
      </c>
      <c r="BD298">
        <v>0.47891899999999998</v>
      </c>
      <c r="BF298">
        <v>0.45528099999999999</v>
      </c>
      <c r="BG298">
        <v>0.51534800000000003</v>
      </c>
      <c r="BH298">
        <v>0.48002099999999998</v>
      </c>
      <c r="BI298">
        <v>0.494948</v>
      </c>
      <c r="BJ298">
        <v>0.49802000000000002</v>
      </c>
      <c r="BK298">
        <v>0.47242000000000001</v>
      </c>
      <c r="BL298">
        <v>0.45180999999999999</v>
      </c>
      <c r="BM298">
        <v>0.483211</v>
      </c>
    </row>
    <row r="299" spans="1:65" x14ac:dyDescent="0.25">
      <c r="B299">
        <v>285</v>
      </c>
      <c r="C299" t="s">
        <v>423</v>
      </c>
      <c r="D299">
        <v>0.58266499999999999</v>
      </c>
      <c r="E299">
        <v>0.45314599999999999</v>
      </c>
      <c r="H299">
        <v>0.49883899999999998</v>
      </c>
      <c r="J299">
        <v>0.61797000000000002</v>
      </c>
      <c r="K299">
        <v>0.73538300000000001</v>
      </c>
      <c r="L299">
        <v>0.63612800000000003</v>
      </c>
      <c r="M299">
        <v>0.38463599999999998</v>
      </c>
      <c r="N299">
        <v>0.53412499999999996</v>
      </c>
      <c r="O299">
        <v>0.40031600000000001</v>
      </c>
      <c r="Q299">
        <v>0.54324399999999995</v>
      </c>
      <c r="R299">
        <v>0.48683199999999999</v>
      </c>
      <c r="V299">
        <v>0.429116</v>
      </c>
      <c r="W299">
        <v>0.46316600000000002</v>
      </c>
      <c r="X299">
        <v>0.49112299999999998</v>
      </c>
      <c r="Y299">
        <v>0.56683099999999997</v>
      </c>
      <c r="Z299">
        <v>0.42160999999999998</v>
      </c>
      <c r="AA299">
        <v>0.49529400000000001</v>
      </c>
      <c r="AB299">
        <v>0.39331700000000003</v>
      </c>
      <c r="AF299">
        <f>'User Add-In Location'!E300</f>
        <v>0</v>
      </c>
      <c r="AI299">
        <v>0.53483899999999995</v>
      </c>
      <c r="AJ299">
        <v>0.46726600000000001</v>
      </c>
      <c r="AL299">
        <v>0.72878900000000002</v>
      </c>
      <c r="AM299">
        <v>0.54407300000000003</v>
      </c>
      <c r="AO299">
        <v>0.53581199999999995</v>
      </c>
      <c r="AQ299">
        <v>0.42879</v>
      </c>
      <c r="AR299">
        <v>0.432168</v>
      </c>
      <c r="AS299">
        <v>0.50889399999999996</v>
      </c>
      <c r="AT299">
        <v>0.38257600000000003</v>
      </c>
      <c r="AW299">
        <v>0.429726</v>
      </c>
      <c r="AX299" s="176">
        <v>0.51374900000000001</v>
      </c>
      <c r="BA299">
        <v>0.46271000000000001</v>
      </c>
      <c r="BB299">
        <v>0.46948699999999999</v>
      </c>
      <c r="BD299">
        <v>0.47906100000000001</v>
      </c>
      <c r="BF299">
        <v>0.41325899999999999</v>
      </c>
      <c r="BG299">
        <v>0.49027999999999999</v>
      </c>
      <c r="BH299">
        <v>0.61233400000000004</v>
      </c>
      <c r="BI299">
        <v>0.59052300000000002</v>
      </c>
      <c r="BJ299">
        <v>0.67349400000000004</v>
      </c>
      <c r="BK299">
        <v>0.50529199999999996</v>
      </c>
      <c r="BL299">
        <v>0.55558399999999997</v>
      </c>
      <c r="BM299">
        <v>0.68745800000000001</v>
      </c>
    </row>
    <row r="300" spans="1:65" x14ac:dyDescent="0.25">
      <c r="B300">
        <v>286</v>
      </c>
      <c r="C300" t="s">
        <v>600</v>
      </c>
      <c r="D300">
        <v>0.410688</v>
      </c>
      <c r="E300">
        <v>0.56764999999999999</v>
      </c>
      <c r="H300">
        <v>0.69561600000000001</v>
      </c>
      <c r="J300">
        <v>0.66310899999999995</v>
      </c>
      <c r="K300">
        <v>0.67809299999999995</v>
      </c>
      <c r="L300">
        <v>0.76734999999999998</v>
      </c>
      <c r="M300">
        <v>0.610676</v>
      </c>
      <c r="N300">
        <v>0.633938</v>
      </c>
      <c r="O300">
        <v>0.57230000000000003</v>
      </c>
      <c r="Q300">
        <v>0.683369</v>
      </c>
      <c r="R300">
        <v>0.62820799999999999</v>
      </c>
      <c r="V300">
        <v>0.58315099999999997</v>
      </c>
      <c r="W300">
        <v>0.57339499999999999</v>
      </c>
      <c r="X300">
        <v>0.664134</v>
      </c>
      <c r="Y300">
        <v>0.691832</v>
      </c>
      <c r="Z300">
        <v>0.61277700000000002</v>
      </c>
      <c r="AA300">
        <v>0.64301299999999995</v>
      </c>
      <c r="AB300">
        <v>0.51929199999999998</v>
      </c>
      <c r="AF300">
        <f>'User Add-In Location'!E301</f>
        <v>0</v>
      </c>
      <c r="AI300">
        <v>0.64598199999999995</v>
      </c>
      <c r="AJ300">
        <v>0.68123100000000003</v>
      </c>
      <c r="AL300">
        <v>0.70725499999999997</v>
      </c>
      <c r="AM300">
        <v>0.63102000000000003</v>
      </c>
      <c r="AO300">
        <v>0.60568900000000003</v>
      </c>
      <c r="AQ300">
        <v>0.62074399999999996</v>
      </c>
      <c r="AR300">
        <v>0.640876</v>
      </c>
      <c r="AS300">
        <v>0.61004199999999997</v>
      </c>
      <c r="AT300">
        <v>0.59269300000000003</v>
      </c>
      <c r="AW300">
        <v>0.65826899999999999</v>
      </c>
      <c r="AX300" s="176">
        <v>0.65698800000000002</v>
      </c>
      <c r="BA300">
        <v>0.69771399999999995</v>
      </c>
      <c r="BB300">
        <v>0.69174599999999997</v>
      </c>
      <c r="BD300">
        <v>0.59922799999999998</v>
      </c>
      <c r="BF300">
        <v>0.63237100000000002</v>
      </c>
      <c r="BG300">
        <v>0.69121299999999997</v>
      </c>
      <c r="BH300">
        <v>0.67664299999999999</v>
      </c>
      <c r="BI300">
        <v>0.66103500000000004</v>
      </c>
      <c r="BJ300">
        <v>0.69303700000000001</v>
      </c>
      <c r="BK300">
        <v>0.65358400000000005</v>
      </c>
      <c r="BL300">
        <v>0.681585</v>
      </c>
      <c r="BM300">
        <v>0.69698000000000004</v>
      </c>
    </row>
    <row r="301" spans="1:65" x14ac:dyDescent="0.25">
      <c r="B301">
        <v>287</v>
      </c>
      <c r="C301" t="s">
        <v>601</v>
      </c>
      <c r="D301">
        <v>0.225214</v>
      </c>
      <c r="E301">
        <v>0.574743</v>
      </c>
      <c r="H301">
        <v>0.63614400000000004</v>
      </c>
      <c r="J301">
        <v>0.62873800000000002</v>
      </c>
      <c r="K301">
        <v>0.54713299999999998</v>
      </c>
      <c r="L301">
        <v>0.70228500000000005</v>
      </c>
      <c r="M301">
        <v>0.59172100000000005</v>
      </c>
      <c r="N301">
        <v>0.53398100000000004</v>
      </c>
      <c r="O301">
        <v>0.69122099999999997</v>
      </c>
      <c r="Q301">
        <v>0.62141400000000002</v>
      </c>
      <c r="R301">
        <v>0.559832</v>
      </c>
      <c r="V301">
        <v>0.559249</v>
      </c>
      <c r="W301">
        <v>0.58984800000000004</v>
      </c>
      <c r="X301">
        <v>0.615618</v>
      </c>
      <c r="Y301">
        <v>0.65503599999999995</v>
      </c>
      <c r="Z301">
        <v>0.54791900000000004</v>
      </c>
      <c r="AA301">
        <v>0.56592500000000001</v>
      </c>
      <c r="AB301">
        <v>0.50134800000000002</v>
      </c>
      <c r="AF301">
        <f>'User Add-In Location'!E302</f>
        <v>0</v>
      </c>
      <c r="AI301">
        <v>0.63362300000000005</v>
      </c>
      <c r="AJ301">
        <v>0.60938400000000004</v>
      </c>
      <c r="AL301">
        <v>0.68859499999999996</v>
      </c>
      <c r="AM301">
        <v>0.55275799999999997</v>
      </c>
      <c r="AO301">
        <v>0.55154999999999998</v>
      </c>
      <c r="AQ301">
        <v>0.58022099999999999</v>
      </c>
      <c r="AR301">
        <v>0.59561699999999995</v>
      </c>
      <c r="AS301">
        <v>0.61346100000000003</v>
      </c>
      <c r="AT301">
        <v>0.54947800000000002</v>
      </c>
      <c r="AW301">
        <v>0.55276599999999998</v>
      </c>
      <c r="AX301" s="176">
        <v>0.59722200000000003</v>
      </c>
      <c r="BA301">
        <v>0.55645999999999995</v>
      </c>
      <c r="BB301">
        <v>0.64521899999999999</v>
      </c>
      <c r="BD301">
        <v>0.53265399999999996</v>
      </c>
      <c r="BF301">
        <v>0.56230199999999997</v>
      </c>
      <c r="BG301">
        <v>0.63341599999999998</v>
      </c>
      <c r="BH301">
        <v>0.617977</v>
      </c>
      <c r="BI301">
        <v>0.61176299999999995</v>
      </c>
      <c r="BJ301">
        <v>0.66004399999999996</v>
      </c>
      <c r="BK301">
        <v>0.54758799999999996</v>
      </c>
      <c r="BL301">
        <v>0.64450600000000002</v>
      </c>
      <c r="BM301">
        <v>0.67343699999999995</v>
      </c>
    </row>
    <row r="302" spans="1:65" x14ac:dyDescent="0.25">
      <c r="B302">
        <v>288</v>
      </c>
      <c r="C302" t="s">
        <v>602</v>
      </c>
      <c r="D302">
        <v>0.263706</v>
      </c>
      <c r="E302">
        <v>0.98269200000000001</v>
      </c>
      <c r="H302">
        <v>0.93106900000000004</v>
      </c>
      <c r="J302">
        <v>0.90654599999999996</v>
      </c>
      <c r="K302">
        <v>0.98813600000000001</v>
      </c>
      <c r="L302">
        <v>0.99149200000000004</v>
      </c>
      <c r="M302">
        <v>0.93588199999999999</v>
      </c>
      <c r="N302">
        <v>0.97828000000000004</v>
      </c>
      <c r="O302">
        <v>0.95682800000000001</v>
      </c>
      <c r="Q302">
        <v>0.98022399999999998</v>
      </c>
      <c r="R302">
        <v>0.95243100000000003</v>
      </c>
      <c r="V302">
        <v>0.92612099999999997</v>
      </c>
      <c r="W302">
        <v>0.93066899999999997</v>
      </c>
      <c r="X302">
        <v>0.98789199999999999</v>
      </c>
      <c r="Y302">
        <v>0.98608899999999999</v>
      </c>
      <c r="Z302">
        <v>0.94947499999999996</v>
      </c>
      <c r="AA302">
        <v>0.91668300000000003</v>
      </c>
      <c r="AB302">
        <v>0.94049799999999995</v>
      </c>
      <c r="AF302">
        <f>'User Add-In Location'!E303</f>
        <v>0</v>
      </c>
      <c r="AI302">
        <v>0.958395</v>
      </c>
      <c r="AJ302">
        <v>0.96016299999999999</v>
      </c>
      <c r="AL302">
        <v>0.94698300000000002</v>
      </c>
      <c r="AM302">
        <v>0.96900600000000003</v>
      </c>
      <c r="AO302">
        <v>0.95785900000000002</v>
      </c>
      <c r="AQ302">
        <v>0.92170200000000002</v>
      </c>
      <c r="AR302">
        <v>0.92935599999999996</v>
      </c>
      <c r="AS302">
        <v>0.97951999999999995</v>
      </c>
      <c r="AT302">
        <v>0.95582900000000004</v>
      </c>
      <c r="AW302">
        <v>0.938805</v>
      </c>
      <c r="AX302" s="176">
        <v>0.94171899999999997</v>
      </c>
      <c r="BA302">
        <v>0.93980799999999998</v>
      </c>
      <c r="BB302">
        <v>0.90341899999999997</v>
      </c>
      <c r="BD302">
        <v>0.93373300000000004</v>
      </c>
      <c r="BF302">
        <v>0.93608000000000002</v>
      </c>
      <c r="BG302">
        <v>0.92593899999999996</v>
      </c>
      <c r="BH302">
        <v>0.95996999999999999</v>
      </c>
      <c r="BI302">
        <v>0.94828699999999999</v>
      </c>
      <c r="BJ302">
        <v>0.96131800000000001</v>
      </c>
      <c r="BK302">
        <v>0.95918899999999996</v>
      </c>
      <c r="BL302">
        <v>0.97692299999999999</v>
      </c>
      <c r="BM302">
        <v>0.95205899999999999</v>
      </c>
    </row>
    <row r="303" spans="1:65" x14ac:dyDescent="0.25">
      <c r="B303">
        <v>289</v>
      </c>
    </row>
    <row r="304" spans="1:65" x14ac:dyDescent="0.25">
      <c r="A304" t="s">
        <v>725</v>
      </c>
      <c r="B304">
        <v>290</v>
      </c>
      <c r="D304" s="174" t="s">
        <v>532</v>
      </c>
      <c r="E304" s="174" t="s">
        <v>680</v>
      </c>
      <c r="F304" s="174" t="s">
        <v>681</v>
      </c>
      <c r="G304" s="174" t="s">
        <v>682</v>
      </c>
      <c r="H304" s="174" t="s">
        <v>533</v>
      </c>
      <c r="I304" s="174" t="s">
        <v>683</v>
      </c>
      <c r="J304" s="174" t="s">
        <v>534</v>
      </c>
      <c r="K304" s="174" t="s">
        <v>535</v>
      </c>
      <c r="L304" s="174" t="s">
        <v>684</v>
      </c>
      <c r="M304" s="174" t="s">
        <v>536</v>
      </c>
      <c r="N304" s="174" t="s">
        <v>537</v>
      </c>
      <c r="O304" s="174" t="s">
        <v>538</v>
      </c>
      <c r="P304" s="174" t="s">
        <v>685</v>
      </c>
      <c r="Q304" s="174" t="s">
        <v>539</v>
      </c>
      <c r="R304" s="174" t="s">
        <v>540</v>
      </c>
      <c r="S304" s="174" t="s">
        <v>686</v>
      </c>
      <c r="T304" s="174" t="s">
        <v>687</v>
      </c>
      <c r="U304" s="174" t="s">
        <v>688</v>
      </c>
      <c r="V304" s="174" t="s">
        <v>541</v>
      </c>
      <c r="W304" s="174" t="s">
        <v>542</v>
      </c>
      <c r="X304" s="174" t="s">
        <v>543</v>
      </c>
      <c r="Y304" s="174" t="s">
        <v>544</v>
      </c>
      <c r="Z304" s="174" t="s">
        <v>545</v>
      </c>
      <c r="AA304" s="174" t="s">
        <v>546</v>
      </c>
      <c r="AB304" s="174" t="s">
        <v>549</v>
      </c>
      <c r="AC304" s="174" t="s">
        <v>689</v>
      </c>
      <c r="AD304" s="174" t="s">
        <v>690</v>
      </c>
      <c r="AE304" s="175" t="s">
        <v>691</v>
      </c>
      <c r="AF304" s="175" t="s">
        <v>1064</v>
      </c>
      <c r="AG304" s="174" t="s">
        <v>692</v>
      </c>
      <c r="AH304" s="174" t="s">
        <v>693</v>
      </c>
      <c r="AI304" s="174" t="s">
        <v>550</v>
      </c>
      <c r="AJ304" s="174" t="s">
        <v>551</v>
      </c>
      <c r="AK304" s="174" t="s">
        <v>694</v>
      </c>
      <c r="AL304" s="174" t="s">
        <v>695</v>
      </c>
      <c r="AM304" s="174" t="s">
        <v>553</v>
      </c>
      <c r="AN304" s="174" t="s">
        <v>696</v>
      </c>
      <c r="AO304" s="174" t="s">
        <v>554</v>
      </c>
      <c r="AP304" s="174" t="s">
        <v>697</v>
      </c>
      <c r="AQ304" s="174" t="s">
        <v>555</v>
      </c>
      <c r="AR304" s="174" t="s">
        <v>556</v>
      </c>
      <c r="AS304" s="174" t="s">
        <v>557</v>
      </c>
      <c r="AT304" s="174" t="s">
        <v>558</v>
      </c>
      <c r="AU304" s="174" t="s">
        <v>698</v>
      </c>
      <c r="AV304" s="174" t="s">
        <v>699</v>
      </c>
      <c r="AW304" s="174" t="s">
        <v>559</v>
      </c>
      <c r="AX304" s="174" t="s">
        <v>530</v>
      </c>
      <c r="AY304" s="174" t="s">
        <v>700</v>
      </c>
      <c r="AZ304" s="174" t="s">
        <v>701</v>
      </c>
      <c r="BA304" s="174" t="s">
        <v>560</v>
      </c>
      <c r="BB304" s="174" t="s">
        <v>561</v>
      </c>
      <c r="BC304" s="174" t="s">
        <v>702</v>
      </c>
      <c r="BD304" s="174" t="s">
        <v>562</v>
      </c>
      <c r="BE304" s="174" t="s">
        <v>703</v>
      </c>
      <c r="BF304" t="s">
        <v>704</v>
      </c>
      <c r="BG304" t="s">
        <v>705</v>
      </c>
      <c r="BH304" t="s">
        <v>706</v>
      </c>
      <c r="BI304" t="s">
        <v>707</v>
      </c>
      <c r="BJ304" t="s">
        <v>708</v>
      </c>
      <c r="BK304" t="s">
        <v>709</v>
      </c>
      <c r="BL304" t="s">
        <v>710</v>
      </c>
      <c r="BM304" t="s">
        <v>711</v>
      </c>
    </row>
    <row r="305" spans="2:65" x14ac:dyDescent="0.25">
      <c r="B305">
        <v>291</v>
      </c>
      <c r="C305" t="s">
        <v>400</v>
      </c>
      <c r="D305">
        <v>0.27150200000000002</v>
      </c>
      <c r="E305">
        <v>0.160139</v>
      </c>
      <c r="H305">
        <v>0.19245100000000001</v>
      </c>
      <c r="J305">
        <v>0.15768499999999999</v>
      </c>
      <c r="K305">
        <v>0.26225100000000001</v>
      </c>
      <c r="L305">
        <v>5.3488000000000001E-2</v>
      </c>
      <c r="M305">
        <v>0.156389</v>
      </c>
      <c r="N305">
        <v>0.29589799999999999</v>
      </c>
      <c r="O305">
        <v>0.14366999999999999</v>
      </c>
      <c r="Q305">
        <v>0.29214099999999998</v>
      </c>
      <c r="R305">
        <v>0.27953499999999998</v>
      </c>
      <c r="V305">
        <v>0.28052700000000003</v>
      </c>
      <c r="W305">
        <v>0.12626499999999999</v>
      </c>
      <c r="X305">
        <v>0.22462299999999999</v>
      </c>
      <c r="Y305">
        <v>8.8029999999999997E-2</v>
      </c>
      <c r="Z305">
        <v>0.22380700000000001</v>
      </c>
      <c r="AA305">
        <v>0.372724</v>
      </c>
      <c r="AB305">
        <v>0.29450700000000002</v>
      </c>
      <c r="AF305">
        <f>'User Add-In Location'!E306</f>
        <v>0</v>
      </c>
      <c r="AI305">
        <v>0.17316699999999999</v>
      </c>
      <c r="AJ305">
        <v>0.15110299999999999</v>
      </c>
      <c r="AL305">
        <v>0.201124</v>
      </c>
      <c r="AM305">
        <v>0.33028099999999999</v>
      </c>
      <c r="AO305">
        <v>0.23047899999999999</v>
      </c>
      <c r="AQ305">
        <v>0.210816</v>
      </c>
      <c r="AR305">
        <v>0.29190899999999997</v>
      </c>
      <c r="AS305">
        <v>5.4668000000000001E-2</v>
      </c>
      <c r="AT305">
        <v>0.20271600000000001</v>
      </c>
      <c r="AW305">
        <v>0.340393</v>
      </c>
      <c r="AX305" s="176">
        <v>0.44150099999999998</v>
      </c>
      <c r="BA305">
        <v>0.25040200000000001</v>
      </c>
      <c r="BB305">
        <v>0.18357799999999999</v>
      </c>
      <c r="BD305">
        <v>0.30524899999999999</v>
      </c>
      <c r="BF305">
        <v>0.31919700000000001</v>
      </c>
      <c r="BG305">
        <v>0.19620599999999999</v>
      </c>
      <c r="BH305">
        <v>0.27665400000000001</v>
      </c>
      <c r="BI305">
        <v>0.302153</v>
      </c>
      <c r="BJ305">
        <v>0.21307699999999999</v>
      </c>
      <c r="BK305">
        <v>0.32462200000000002</v>
      </c>
      <c r="BL305">
        <v>0.12889100000000001</v>
      </c>
      <c r="BM305">
        <v>0.180114</v>
      </c>
    </row>
    <row r="306" spans="2:65" x14ac:dyDescent="0.25">
      <c r="B306">
        <v>292</v>
      </c>
      <c r="C306" t="s">
        <v>583</v>
      </c>
      <c r="D306">
        <v>0.13533400000000001</v>
      </c>
      <c r="E306">
        <v>0.11991400000000001</v>
      </c>
      <c r="H306">
        <v>0.325849</v>
      </c>
      <c r="J306">
        <v>0.37034600000000001</v>
      </c>
      <c r="K306">
        <v>0.36283100000000001</v>
      </c>
      <c r="L306">
        <v>0.28464699999999998</v>
      </c>
      <c r="M306">
        <v>0.47762100000000002</v>
      </c>
      <c r="N306">
        <v>0.39138499999999998</v>
      </c>
      <c r="O306">
        <v>0.35122199999999998</v>
      </c>
      <c r="Q306">
        <v>0.52725999999999995</v>
      </c>
      <c r="R306">
        <v>0.40886400000000001</v>
      </c>
      <c r="V306">
        <v>0.288053</v>
      </c>
      <c r="W306">
        <v>0.34547499999999998</v>
      </c>
      <c r="X306">
        <v>0.49732599999999999</v>
      </c>
      <c r="Y306">
        <v>0.51621099999999998</v>
      </c>
      <c r="Z306">
        <v>0.41686499999999999</v>
      </c>
      <c r="AA306">
        <v>0.52336000000000005</v>
      </c>
      <c r="AB306">
        <v>0.32081199999999999</v>
      </c>
      <c r="AF306">
        <f>'User Add-In Location'!E307</f>
        <v>0</v>
      </c>
      <c r="AI306">
        <v>0.35313800000000001</v>
      </c>
      <c r="AJ306">
        <v>0.47681200000000001</v>
      </c>
      <c r="AL306">
        <v>0.49823600000000001</v>
      </c>
      <c r="AM306">
        <v>0.41125299999999998</v>
      </c>
      <c r="AO306">
        <v>0.18241199999999999</v>
      </c>
      <c r="AQ306">
        <v>0.470692</v>
      </c>
      <c r="AR306">
        <v>0.225077</v>
      </c>
      <c r="AS306">
        <v>0.29335</v>
      </c>
      <c r="AT306">
        <v>0.32091799999999998</v>
      </c>
      <c r="AW306">
        <v>0.27210400000000001</v>
      </c>
      <c r="AX306" s="176">
        <v>0.43587700000000001</v>
      </c>
      <c r="BA306">
        <v>0.45979999999999999</v>
      </c>
      <c r="BB306">
        <v>0.44108799999999998</v>
      </c>
      <c r="BD306">
        <v>0.43665399999999999</v>
      </c>
      <c r="BF306">
        <v>0.27967599999999998</v>
      </c>
      <c r="BG306">
        <v>0.34240300000000001</v>
      </c>
      <c r="BH306">
        <v>0.50743000000000005</v>
      </c>
      <c r="BI306">
        <v>0.297815</v>
      </c>
      <c r="BJ306">
        <v>0.51363400000000003</v>
      </c>
      <c r="BK306">
        <v>0.47277200000000003</v>
      </c>
      <c r="BL306">
        <v>0.494589</v>
      </c>
      <c r="BM306">
        <v>0.49363299999999999</v>
      </c>
    </row>
    <row r="307" spans="2:65" x14ac:dyDescent="0.25">
      <c r="B307">
        <v>293</v>
      </c>
      <c r="C307" t="s">
        <v>403</v>
      </c>
      <c r="D307">
        <v>0.183619</v>
      </c>
      <c r="E307">
        <v>0.144898</v>
      </c>
      <c r="H307">
        <v>0.24734200000000001</v>
      </c>
      <c r="J307">
        <v>0</v>
      </c>
      <c r="K307">
        <v>0</v>
      </c>
      <c r="L307">
        <v>0</v>
      </c>
      <c r="M307">
        <v>0.241949</v>
      </c>
      <c r="N307">
        <v>0</v>
      </c>
      <c r="O307">
        <v>0</v>
      </c>
      <c r="Q307">
        <v>0.22903200000000001</v>
      </c>
      <c r="R307">
        <v>0.20693500000000001</v>
      </c>
      <c r="V307">
        <v>0.23044700000000001</v>
      </c>
      <c r="W307">
        <v>0</v>
      </c>
      <c r="X307">
        <v>0.187558</v>
      </c>
      <c r="Y307">
        <v>0</v>
      </c>
      <c r="Z307">
        <v>0</v>
      </c>
      <c r="AA307">
        <v>0</v>
      </c>
      <c r="AB307">
        <v>0.22684000000000001</v>
      </c>
      <c r="AF307">
        <f>'User Add-In Location'!E308</f>
        <v>0</v>
      </c>
      <c r="AI307">
        <v>0</v>
      </c>
      <c r="AJ307">
        <v>0</v>
      </c>
      <c r="AL307">
        <v>0</v>
      </c>
      <c r="AM307">
        <v>0</v>
      </c>
      <c r="AO307">
        <v>0.15001400000000001</v>
      </c>
      <c r="AQ307">
        <v>0</v>
      </c>
      <c r="AR307">
        <v>0.25482300000000002</v>
      </c>
      <c r="AS307">
        <v>0</v>
      </c>
      <c r="AT307">
        <v>0</v>
      </c>
      <c r="AW307">
        <v>0.26769300000000001</v>
      </c>
      <c r="AX307" s="176">
        <v>0.34265699999999999</v>
      </c>
      <c r="BA307">
        <v>0.19922999999999999</v>
      </c>
      <c r="BB307">
        <v>0.26193100000000002</v>
      </c>
      <c r="BD307">
        <v>0</v>
      </c>
      <c r="BF307">
        <v>0.224136</v>
      </c>
      <c r="BG307">
        <v>0.27599699999999999</v>
      </c>
      <c r="BH307">
        <v>0.217284</v>
      </c>
      <c r="BI307">
        <v>0.23416600000000001</v>
      </c>
      <c r="BJ307">
        <v>0.202982</v>
      </c>
      <c r="BK307">
        <v>0.21369199999999999</v>
      </c>
      <c r="BL307">
        <v>0</v>
      </c>
      <c r="BM307">
        <v>0</v>
      </c>
    </row>
    <row r="308" spans="2:65" x14ac:dyDescent="0.25">
      <c r="B308">
        <v>294</v>
      </c>
      <c r="C308" t="s">
        <v>584</v>
      </c>
      <c r="D308">
        <v>0.207565</v>
      </c>
      <c r="E308">
        <v>0.17430699999999999</v>
      </c>
      <c r="H308">
        <v>0.29363</v>
      </c>
      <c r="J308">
        <v>0.24709800000000001</v>
      </c>
      <c r="K308">
        <v>0.310307</v>
      </c>
      <c r="L308">
        <v>0.22086</v>
      </c>
      <c r="M308">
        <v>0.24946699999999999</v>
      </c>
      <c r="N308">
        <v>0.20883299999999999</v>
      </c>
      <c r="O308">
        <v>0.15914600000000001</v>
      </c>
      <c r="Q308">
        <v>0.32197599999999998</v>
      </c>
      <c r="R308">
        <v>0.26477099999999998</v>
      </c>
      <c r="V308">
        <v>0.28011399999999997</v>
      </c>
      <c r="W308">
        <v>0.31937900000000002</v>
      </c>
      <c r="X308">
        <v>0.24512800000000001</v>
      </c>
      <c r="Y308">
        <v>0.284387</v>
      </c>
      <c r="Z308">
        <v>0.198436</v>
      </c>
      <c r="AA308">
        <v>0.22923099999999999</v>
      </c>
      <c r="AB308">
        <v>0.31201000000000001</v>
      </c>
      <c r="AF308">
        <f>'User Add-In Location'!E309</f>
        <v>0</v>
      </c>
      <c r="AI308">
        <v>0.31022</v>
      </c>
      <c r="AJ308">
        <v>0.27542299999999997</v>
      </c>
      <c r="AL308">
        <v>0.29508299999999998</v>
      </c>
      <c r="AM308">
        <v>0.28159699999999999</v>
      </c>
      <c r="AO308">
        <v>0.19201799999999999</v>
      </c>
      <c r="AQ308">
        <v>0.32262999999999997</v>
      </c>
      <c r="AR308">
        <v>0.21604799999999999</v>
      </c>
      <c r="AS308">
        <v>0.171158</v>
      </c>
      <c r="AT308">
        <v>0.173176</v>
      </c>
      <c r="AW308">
        <v>0.25459700000000002</v>
      </c>
      <c r="AX308" s="176">
        <v>0.40901700000000002</v>
      </c>
      <c r="BA308">
        <v>0.248167</v>
      </c>
      <c r="BB308">
        <v>0.32311699999999999</v>
      </c>
      <c r="BD308">
        <v>0.147979</v>
      </c>
      <c r="BF308">
        <v>0.25695600000000002</v>
      </c>
      <c r="BG308">
        <v>0.31506400000000001</v>
      </c>
      <c r="BH308">
        <v>0.29267199999999999</v>
      </c>
      <c r="BI308">
        <v>0.24484800000000001</v>
      </c>
      <c r="BJ308">
        <v>0.296456</v>
      </c>
      <c r="BK308">
        <v>0.261633</v>
      </c>
      <c r="BL308">
        <v>0.327121</v>
      </c>
      <c r="BM308">
        <v>0.30199599999999999</v>
      </c>
    </row>
    <row r="309" spans="2:65" x14ac:dyDescent="0.25">
      <c r="B309">
        <v>295</v>
      </c>
      <c r="C309" t="s">
        <v>585</v>
      </c>
      <c r="D309">
        <v>0.21707199999999999</v>
      </c>
      <c r="E309">
        <v>0</v>
      </c>
      <c r="H309">
        <v>0</v>
      </c>
      <c r="J309">
        <v>0</v>
      </c>
      <c r="K309">
        <v>0</v>
      </c>
      <c r="L309">
        <v>0</v>
      </c>
      <c r="M309">
        <v>0.15870799999999999</v>
      </c>
      <c r="N309">
        <v>0</v>
      </c>
      <c r="O309">
        <v>0</v>
      </c>
      <c r="Q309">
        <v>0</v>
      </c>
      <c r="R309">
        <v>0</v>
      </c>
      <c r="V309">
        <v>0</v>
      </c>
      <c r="W309">
        <v>0</v>
      </c>
      <c r="X309">
        <v>0</v>
      </c>
      <c r="Y309">
        <v>0</v>
      </c>
      <c r="Z309">
        <v>0</v>
      </c>
      <c r="AA309">
        <v>0.10159899999999999</v>
      </c>
      <c r="AB309">
        <v>0</v>
      </c>
      <c r="AF309">
        <f>'User Add-In Location'!E310</f>
        <v>0</v>
      </c>
      <c r="AI309">
        <v>0</v>
      </c>
      <c r="AJ309">
        <v>0.200101</v>
      </c>
      <c r="AL309">
        <v>0</v>
      </c>
      <c r="AM309">
        <v>0</v>
      </c>
      <c r="AO309">
        <v>0</v>
      </c>
      <c r="AQ309">
        <v>0</v>
      </c>
      <c r="AR309">
        <v>0</v>
      </c>
      <c r="AS309">
        <v>0</v>
      </c>
      <c r="AT309">
        <v>0</v>
      </c>
      <c r="AW309">
        <v>0.30908400000000003</v>
      </c>
      <c r="AX309" s="176">
        <v>0.38866600000000001</v>
      </c>
      <c r="BA309">
        <v>0</v>
      </c>
      <c r="BB309">
        <v>0</v>
      </c>
      <c r="BD309">
        <v>0</v>
      </c>
      <c r="BF309">
        <v>0.26463300000000001</v>
      </c>
      <c r="BG309">
        <v>0</v>
      </c>
      <c r="BH309">
        <v>0.21120900000000001</v>
      </c>
      <c r="BI309">
        <v>9.3139E-2</v>
      </c>
      <c r="BJ309">
        <v>0.18237400000000001</v>
      </c>
      <c r="BK309">
        <v>0</v>
      </c>
      <c r="BL309">
        <v>0</v>
      </c>
      <c r="BM309">
        <v>0</v>
      </c>
    </row>
    <row r="310" spans="2:65" x14ac:dyDescent="0.25">
      <c r="B310">
        <v>296</v>
      </c>
      <c r="C310" t="s">
        <v>586</v>
      </c>
      <c r="D310">
        <v>7.6049999999999998E-3</v>
      </c>
      <c r="E310">
        <v>0.26799699999999999</v>
      </c>
      <c r="H310">
        <v>0.12548599999999999</v>
      </c>
      <c r="J310">
        <v>0.14760599999999999</v>
      </c>
      <c r="K310">
        <v>0.17156299999999999</v>
      </c>
      <c r="L310">
        <v>0.12361800000000001</v>
      </c>
      <c r="M310">
        <v>0.145126</v>
      </c>
      <c r="N310">
        <v>0.15592400000000001</v>
      </c>
      <c r="O310">
        <v>0.12992799999999999</v>
      </c>
      <c r="Q310">
        <v>0.172069</v>
      </c>
      <c r="R310">
        <v>0.18144199999999999</v>
      </c>
      <c r="V310">
        <v>0.19095999999999999</v>
      </c>
      <c r="W310">
        <v>0.17262</v>
      </c>
      <c r="X310">
        <v>0.15756500000000001</v>
      </c>
      <c r="Y310">
        <v>0.16542699999999999</v>
      </c>
      <c r="Z310">
        <v>0.176484</v>
      </c>
      <c r="AA310">
        <v>0.17995900000000001</v>
      </c>
      <c r="AB310">
        <v>0.18457999999999999</v>
      </c>
      <c r="AF310">
        <f>'User Add-In Location'!E311</f>
        <v>0</v>
      </c>
      <c r="AI310">
        <v>0.15049000000000001</v>
      </c>
      <c r="AJ310">
        <v>0.14600099999999999</v>
      </c>
      <c r="AL310">
        <v>0.16739100000000001</v>
      </c>
      <c r="AM310">
        <v>0.158133</v>
      </c>
      <c r="AO310">
        <v>0.16548499999999999</v>
      </c>
      <c r="AQ310">
        <v>0.177005</v>
      </c>
      <c r="AR310">
        <v>0.22537599999999999</v>
      </c>
      <c r="AS310">
        <v>9.7587999999999994E-2</v>
      </c>
      <c r="AT310">
        <v>0.14513499999999999</v>
      </c>
      <c r="AW310">
        <v>0.22240599999999999</v>
      </c>
      <c r="AX310" s="176">
        <v>0.46947100000000003</v>
      </c>
      <c r="BA310">
        <v>0.16544500000000001</v>
      </c>
      <c r="BB310">
        <v>0.15102099999999999</v>
      </c>
      <c r="BD310">
        <v>0.15399299999999999</v>
      </c>
      <c r="BF310">
        <v>0.218168</v>
      </c>
      <c r="BG310">
        <v>0.13714999999999999</v>
      </c>
      <c r="BH310">
        <v>0.18477399999999999</v>
      </c>
      <c r="BI310">
        <v>0.208782</v>
      </c>
      <c r="BJ310">
        <v>0.17106399999999999</v>
      </c>
      <c r="BK310">
        <v>0.18257200000000001</v>
      </c>
      <c r="BL310">
        <v>0.16963900000000001</v>
      </c>
      <c r="BM310">
        <v>0.180505</v>
      </c>
    </row>
    <row r="311" spans="2:65" x14ac:dyDescent="0.25">
      <c r="B311">
        <v>297</v>
      </c>
      <c r="C311" t="s">
        <v>587</v>
      </c>
      <c r="D311">
        <v>0.18729899999999999</v>
      </c>
      <c r="E311">
        <v>8.1668000000000004E-2</v>
      </c>
      <c r="H311">
        <v>1.4614E-2</v>
      </c>
      <c r="J311">
        <v>6.986E-3</v>
      </c>
      <c r="K311">
        <v>4.5000000000000003E-5</v>
      </c>
      <c r="L311">
        <v>4.6961999999999997E-2</v>
      </c>
      <c r="M311">
        <v>1.2160000000000001E-3</v>
      </c>
      <c r="N311">
        <v>4.5500000000000002E-3</v>
      </c>
      <c r="O311">
        <v>4.1999999999999998E-5</v>
      </c>
      <c r="Q311">
        <v>5.9509999999999997E-3</v>
      </c>
      <c r="R311">
        <v>7.9299999999999998E-4</v>
      </c>
      <c r="V311">
        <v>2.8249999999999998E-3</v>
      </c>
      <c r="W311">
        <v>8.5971000000000006E-2</v>
      </c>
      <c r="X311">
        <v>2.2339999999999999E-3</v>
      </c>
      <c r="Y311">
        <v>5.836E-3</v>
      </c>
      <c r="Z311">
        <v>8.3689999999999997E-3</v>
      </c>
      <c r="AA311">
        <v>1.7894E-2</v>
      </c>
      <c r="AB311">
        <v>4.6999999999999997E-5</v>
      </c>
      <c r="AF311">
        <f>'User Add-In Location'!E312</f>
        <v>0</v>
      </c>
      <c r="AI311">
        <v>2.2703000000000001E-2</v>
      </c>
      <c r="AJ311">
        <v>2.9299999999999999E-3</v>
      </c>
      <c r="AL311">
        <v>1.3506000000000001E-2</v>
      </c>
      <c r="AM311">
        <v>4.3359999999999996E-3</v>
      </c>
      <c r="AO311">
        <v>9.2699999999999998E-4</v>
      </c>
      <c r="AQ311">
        <v>1.3353E-2</v>
      </c>
      <c r="AR311">
        <v>4.7540000000000004E-3</v>
      </c>
      <c r="AS311">
        <v>8.6990000000000001E-3</v>
      </c>
      <c r="AT311">
        <v>6.679E-3</v>
      </c>
      <c r="AW311">
        <v>1.8218000000000002E-2</v>
      </c>
      <c r="AX311" s="176">
        <v>0.52776800000000001</v>
      </c>
      <c r="BA311">
        <v>6.7359999999999998E-3</v>
      </c>
      <c r="BB311">
        <v>1.0998000000000001E-2</v>
      </c>
      <c r="BD311">
        <v>3.4859999999999999E-3</v>
      </c>
      <c r="BF311">
        <v>9.3830000000000007E-3</v>
      </c>
      <c r="BG311">
        <v>1.4229E-2</v>
      </c>
      <c r="BH311">
        <v>8.8590000000000006E-3</v>
      </c>
      <c r="BI311">
        <v>8.3070000000000001E-3</v>
      </c>
      <c r="BJ311">
        <v>8.4119999999999993E-3</v>
      </c>
      <c r="BK311">
        <v>6.4009999999999996E-3</v>
      </c>
      <c r="BL311">
        <v>1.2869E-2</v>
      </c>
      <c r="BM311">
        <v>1.0442E-2</v>
      </c>
    </row>
    <row r="312" spans="2:65" x14ac:dyDescent="0.25">
      <c r="B312">
        <v>298</v>
      </c>
      <c r="C312" t="s">
        <v>588</v>
      </c>
      <c r="D312">
        <v>0.25325399999999998</v>
      </c>
      <c r="E312">
        <v>2.7295E-2</v>
      </c>
      <c r="H312">
        <v>0.22095300000000001</v>
      </c>
      <c r="J312">
        <v>9.2435000000000003E-2</v>
      </c>
      <c r="K312">
        <v>0.17530599999999999</v>
      </c>
      <c r="L312">
        <v>0.20061499999999999</v>
      </c>
      <c r="M312">
        <v>0.19872400000000001</v>
      </c>
      <c r="N312">
        <v>0.19007299999999999</v>
      </c>
      <c r="O312">
        <v>0.20450099999999999</v>
      </c>
      <c r="Q312">
        <v>0.24709600000000001</v>
      </c>
      <c r="R312">
        <v>0.196739</v>
      </c>
      <c r="V312">
        <v>0.20041400000000001</v>
      </c>
      <c r="W312">
        <v>0.161324</v>
      </c>
      <c r="X312">
        <v>0.230022</v>
      </c>
      <c r="Y312">
        <v>0.231352</v>
      </c>
      <c r="Z312">
        <v>0.19636300000000001</v>
      </c>
      <c r="AA312">
        <v>0.217444</v>
      </c>
      <c r="AB312">
        <v>0.20669699999999999</v>
      </c>
      <c r="AF312">
        <f>'User Add-In Location'!E313</f>
        <v>0</v>
      </c>
      <c r="AI312">
        <v>0.184835</v>
      </c>
      <c r="AJ312">
        <v>0.20769899999999999</v>
      </c>
      <c r="AL312">
        <v>0.21373500000000001</v>
      </c>
      <c r="AM312">
        <v>0.20693800000000001</v>
      </c>
      <c r="AO312">
        <v>0.19856399999999999</v>
      </c>
      <c r="AQ312">
        <v>0.22839000000000001</v>
      </c>
      <c r="AR312">
        <v>0.136825</v>
      </c>
      <c r="AS312">
        <v>0.17436099999999999</v>
      </c>
      <c r="AT312">
        <v>0.16602700000000001</v>
      </c>
      <c r="AW312">
        <v>0.20175000000000001</v>
      </c>
      <c r="AX312" s="176">
        <v>0.30033900000000002</v>
      </c>
      <c r="BA312">
        <v>0.19753699999999999</v>
      </c>
      <c r="BB312">
        <v>0.15412600000000001</v>
      </c>
      <c r="BD312">
        <v>0.18091699999999999</v>
      </c>
      <c r="BF312">
        <v>0.216033</v>
      </c>
      <c r="BG312">
        <v>0.21929100000000001</v>
      </c>
      <c r="BH312">
        <v>0.22092999999999999</v>
      </c>
      <c r="BI312">
        <v>0.20128199999999999</v>
      </c>
      <c r="BJ312">
        <v>0.22703100000000001</v>
      </c>
      <c r="BK312">
        <v>0.21435199999999999</v>
      </c>
      <c r="BL312">
        <v>0.229771</v>
      </c>
      <c r="BM312">
        <v>0.20557</v>
      </c>
    </row>
    <row r="313" spans="2:65" x14ac:dyDescent="0.25">
      <c r="B313">
        <v>299</v>
      </c>
      <c r="C313" t="s">
        <v>348</v>
      </c>
      <c r="D313">
        <v>0.18363499999999999</v>
      </c>
      <c r="E313">
        <v>0.13848299999999999</v>
      </c>
      <c r="H313">
        <v>0.209366</v>
      </c>
      <c r="J313">
        <v>0.213895</v>
      </c>
      <c r="K313">
        <v>0.156199</v>
      </c>
      <c r="L313">
        <v>0.111128</v>
      </c>
      <c r="M313">
        <v>0.18989600000000001</v>
      </c>
      <c r="N313">
        <v>0.20285300000000001</v>
      </c>
      <c r="O313">
        <v>0.11691500000000001</v>
      </c>
      <c r="Q313">
        <v>0.220724</v>
      </c>
      <c r="R313">
        <v>0.20216100000000001</v>
      </c>
      <c r="V313">
        <v>0.235065</v>
      </c>
      <c r="W313">
        <v>0.19215099999999999</v>
      </c>
      <c r="X313">
        <v>0.18276800000000001</v>
      </c>
      <c r="Y313">
        <v>0.20389399999999999</v>
      </c>
      <c r="Z313">
        <v>0.17266100000000001</v>
      </c>
      <c r="AA313">
        <v>0.23505300000000001</v>
      </c>
      <c r="AB313">
        <v>0.21201300000000001</v>
      </c>
      <c r="AF313">
        <f>'User Add-In Location'!E314</f>
        <v>0</v>
      </c>
      <c r="AI313">
        <v>0.22436800000000001</v>
      </c>
      <c r="AJ313">
        <v>0.19928000000000001</v>
      </c>
      <c r="AL313">
        <v>0.17976800000000001</v>
      </c>
      <c r="AM313">
        <v>0.22593299999999999</v>
      </c>
      <c r="AO313">
        <v>0.163331</v>
      </c>
      <c r="AQ313">
        <v>0.19167999999999999</v>
      </c>
      <c r="AR313">
        <v>0.21873999999999999</v>
      </c>
      <c r="AS313">
        <v>0.127862</v>
      </c>
      <c r="AT313">
        <v>0.14516000000000001</v>
      </c>
      <c r="AW313">
        <v>0.25417000000000001</v>
      </c>
      <c r="AX313" s="176">
        <v>0.35075600000000001</v>
      </c>
      <c r="BA313">
        <v>0.19852400000000001</v>
      </c>
      <c r="BB313">
        <v>0.18845100000000001</v>
      </c>
      <c r="BD313">
        <v>0.192027</v>
      </c>
      <c r="BF313">
        <v>0.249803</v>
      </c>
      <c r="BG313">
        <v>0.20949999999999999</v>
      </c>
      <c r="BH313">
        <v>0.22361900000000001</v>
      </c>
      <c r="BI313">
        <v>0.220273</v>
      </c>
      <c r="BJ313">
        <v>0.19194600000000001</v>
      </c>
      <c r="BK313">
        <v>0.23205000000000001</v>
      </c>
      <c r="BL313">
        <v>0.219864</v>
      </c>
      <c r="BM313">
        <v>0.19589699999999999</v>
      </c>
    </row>
    <row r="314" spans="2:65" x14ac:dyDescent="0.25">
      <c r="B314">
        <v>300</v>
      </c>
      <c r="C314" t="s">
        <v>589</v>
      </c>
      <c r="D314">
        <v>3.2052999999999998E-2</v>
      </c>
      <c r="E314">
        <v>0.103826</v>
      </c>
      <c r="H314">
        <v>0.16431699999999999</v>
      </c>
      <c r="J314">
        <v>0.20106499999999999</v>
      </c>
      <c r="K314">
        <v>0.122782</v>
      </c>
      <c r="L314">
        <v>0.102005</v>
      </c>
      <c r="M314">
        <v>0.151506</v>
      </c>
      <c r="N314">
        <v>0.155363</v>
      </c>
      <c r="O314">
        <v>9.4150999999999999E-2</v>
      </c>
      <c r="Q314">
        <v>0.173372</v>
      </c>
      <c r="R314">
        <v>0.163767</v>
      </c>
      <c r="V314">
        <v>0.19008900000000001</v>
      </c>
      <c r="W314">
        <v>0.197826</v>
      </c>
      <c r="X314">
        <v>0.15903200000000001</v>
      </c>
      <c r="Y314">
        <v>0.181866</v>
      </c>
      <c r="Z314">
        <v>0.14216000000000001</v>
      </c>
      <c r="AA314">
        <v>0.178675</v>
      </c>
      <c r="AB314">
        <v>0.17541699999999999</v>
      </c>
      <c r="AF314">
        <f>'User Add-In Location'!E315</f>
        <v>0</v>
      </c>
      <c r="AI314">
        <v>0.25885799999999998</v>
      </c>
      <c r="AJ314">
        <v>0.16227800000000001</v>
      </c>
      <c r="AL314">
        <v>0.147229</v>
      </c>
      <c r="AM314">
        <v>0.18515100000000001</v>
      </c>
      <c r="AO314">
        <v>0.143701</v>
      </c>
      <c r="AQ314">
        <v>0.163802</v>
      </c>
      <c r="AR314">
        <v>0.171322</v>
      </c>
      <c r="AS314">
        <v>0.11124199999999999</v>
      </c>
      <c r="AT314">
        <v>0.112925</v>
      </c>
      <c r="AW314">
        <v>0.195301</v>
      </c>
      <c r="AX314" s="176">
        <v>0.28977599999999998</v>
      </c>
      <c r="BA314">
        <v>0.16208800000000001</v>
      </c>
      <c r="BB314">
        <v>0.144007</v>
      </c>
      <c r="BD314">
        <v>0.152312</v>
      </c>
      <c r="BF314">
        <v>0.19346099999999999</v>
      </c>
      <c r="BG314">
        <v>0.16511700000000001</v>
      </c>
      <c r="BH314">
        <v>0.18381</v>
      </c>
      <c r="BI314">
        <v>0.17508899999999999</v>
      </c>
      <c r="BJ314">
        <v>0.15765599999999999</v>
      </c>
      <c r="BK314">
        <v>0.18312700000000001</v>
      </c>
      <c r="BL314">
        <v>0.20513300000000001</v>
      </c>
      <c r="BM314">
        <v>0.16578999999999999</v>
      </c>
    </row>
    <row r="315" spans="2:65" x14ac:dyDescent="0.25">
      <c r="B315">
        <v>301</v>
      </c>
      <c r="C315" t="s">
        <v>590</v>
      </c>
      <c r="D315">
        <v>0.19792199999999999</v>
      </c>
      <c r="E315">
        <v>0.14058899999999999</v>
      </c>
      <c r="H315">
        <v>0.18993099999999999</v>
      </c>
      <c r="J315">
        <v>0.20969499999999999</v>
      </c>
      <c r="K315">
        <v>0.14146500000000001</v>
      </c>
      <c r="L315">
        <v>0.100512</v>
      </c>
      <c r="M315">
        <v>0.16194600000000001</v>
      </c>
      <c r="N315">
        <v>0.17599300000000001</v>
      </c>
      <c r="O315">
        <v>9.9557000000000007E-2</v>
      </c>
      <c r="Q315">
        <v>0.199604</v>
      </c>
      <c r="R315">
        <v>0.18759799999999999</v>
      </c>
      <c r="V315">
        <v>0.22361600000000001</v>
      </c>
      <c r="W315">
        <v>0.18407999999999999</v>
      </c>
      <c r="X315">
        <v>0.16620799999999999</v>
      </c>
      <c r="Y315">
        <v>0.19347600000000001</v>
      </c>
      <c r="Z315">
        <v>0.157914</v>
      </c>
      <c r="AA315">
        <v>0.21749099999999999</v>
      </c>
      <c r="AB315">
        <v>0.19616900000000001</v>
      </c>
      <c r="AF315">
        <f>'User Add-In Location'!E316</f>
        <v>0</v>
      </c>
      <c r="AI315">
        <v>0.23863999999999999</v>
      </c>
      <c r="AJ315">
        <v>0.18212500000000001</v>
      </c>
      <c r="AL315">
        <v>0.16019</v>
      </c>
      <c r="AM315">
        <v>0.21177799999999999</v>
      </c>
      <c r="AO315">
        <v>0.15933900000000001</v>
      </c>
      <c r="AQ315">
        <v>0.17288600000000001</v>
      </c>
      <c r="AR315">
        <v>0.20225199999999999</v>
      </c>
      <c r="AS315">
        <v>0.117642</v>
      </c>
      <c r="AT315">
        <v>0.12595700000000001</v>
      </c>
      <c r="AW315">
        <v>0.239782</v>
      </c>
      <c r="AX315" s="176">
        <v>0.36158000000000001</v>
      </c>
      <c r="BA315">
        <v>0.18147199999999999</v>
      </c>
      <c r="BB315">
        <v>0.17261899999999999</v>
      </c>
      <c r="BD315">
        <v>0.17674500000000001</v>
      </c>
      <c r="BF315">
        <v>0.23030300000000001</v>
      </c>
      <c r="BG315">
        <v>0.19079299999999999</v>
      </c>
      <c r="BH315">
        <v>0.20521600000000001</v>
      </c>
      <c r="BI315">
        <v>0.200435</v>
      </c>
      <c r="BJ315">
        <v>0.17253499999999999</v>
      </c>
      <c r="BK315">
        <v>0.209924</v>
      </c>
      <c r="BL315">
        <v>0.211863</v>
      </c>
      <c r="BM315">
        <v>0.179867</v>
      </c>
    </row>
    <row r="316" spans="2:65" x14ac:dyDescent="0.25">
      <c r="B316">
        <v>302</v>
      </c>
      <c r="C316" t="s">
        <v>591</v>
      </c>
      <c r="D316">
        <v>0.23868900000000001</v>
      </c>
      <c r="E316">
        <v>0.23235</v>
      </c>
      <c r="H316">
        <v>0.30896099999999999</v>
      </c>
      <c r="J316">
        <v>0.25202000000000002</v>
      </c>
      <c r="K316">
        <v>0.25633800000000001</v>
      </c>
      <c r="L316">
        <v>0.122365</v>
      </c>
      <c r="M316">
        <v>0.22623499999999999</v>
      </c>
      <c r="N316">
        <v>0.25676900000000002</v>
      </c>
      <c r="O316">
        <v>0.17696899999999999</v>
      </c>
      <c r="Q316">
        <v>0.30789899999999998</v>
      </c>
      <c r="R316">
        <v>0.26870300000000003</v>
      </c>
      <c r="V316">
        <v>0.359211</v>
      </c>
      <c r="W316">
        <v>0.21429599999999999</v>
      </c>
      <c r="X316">
        <v>0.20028599999999999</v>
      </c>
      <c r="Y316">
        <v>0.23709</v>
      </c>
      <c r="Z316">
        <v>0.23255500000000001</v>
      </c>
      <c r="AA316">
        <v>0.33573199999999997</v>
      </c>
      <c r="AB316">
        <v>0.303087</v>
      </c>
      <c r="AF316">
        <f>'User Add-In Location'!E317</f>
        <v>0</v>
      </c>
      <c r="AI316">
        <v>0.25475799999999998</v>
      </c>
      <c r="AJ316">
        <v>0.265735</v>
      </c>
      <c r="AL316">
        <v>0.24060999999999999</v>
      </c>
      <c r="AM316">
        <v>0.27936699999999998</v>
      </c>
      <c r="AO316">
        <v>0.25962200000000002</v>
      </c>
      <c r="AQ316">
        <v>0.285578</v>
      </c>
      <c r="AR316">
        <v>0.34769699999999998</v>
      </c>
      <c r="AS316">
        <v>0.16059599999999999</v>
      </c>
      <c r="AT316">
        <v>0.195461</v>
      </c>
      <c r="AW316">
        <v>0.40781800000000001</v>
      </c>
      <c r="AX316" s="176">
        <v>0.50112400000000001</v>
      </c>
      <c r="BA316">
        <v>0.248137</v>
      </c>
      <c r="BB316">
        <v>0.29787400000000003</v>
      </c>
      <c r="BD316">
        <v>0.28267799999999998</v>
      </c>
      <c r="BF316">
        <v>0.38658999999999999</v>
      </c>
      <c r="BG316">
        <v>0.31334299999999998</v>
      </c>
      <c r="BH316">
        <v>0.28839199999999998</v>
      </c>
      <c r="BI316">
        <v>0.31381100000000001</v>
      </c>
      <c r="BJ316">
        <v>0.24767</v>
      </c>
      <c r="BK316">
        <v>0.29754700000000001</v>
      </c>
      <c r="BL316">
        <v>0.25462299999999999</v>
      </c>
      <c r="BM316">
        <v>0.25041200000000002</v>
      </c>
    </row>
    <row r="317" spans="2:65" x14ac:dyDescent="0.25">
      <c r="B317">
        <v>303</v>
      </c>
      <c r="C317" t="s">
        <v>592</v>
      </c>
      <c r="D317">
        <v>0.229294</v>
      </c>
      <c r="E317">
        <v>0.23483699999999999</v>
      </c>
      <c r="H317">
        <v>0.35400199999999998</v>
      </c>
      <c r="J317">
        <v>0.33062900000000001</v>
      </c>
      <c r="K317">
        <v>0.247415</v>
      </c>
      <c r="L317">
        <v>4.9824E-2</v>
      </c>
      <c r="M317">
        <v>0.219724</v>
      </c>
      <c r="N317">
        <v>0.24359600000000001</v>
      </c>
      <c r="O317">
        <v>0.11902</v>
      </c>
      <c r="Q317">
        <v>0.32954899999999998</v>
      </c>
      <c r="R317">
        <v>0.31520100000000001</v>
      </c>
      <c r="V317">
        <v>0.35100300000000001</v>
      </c>
      <c r="W317">
        <v>0.22434399999999999</v>
      </c>
      <c r="X317">
        <v>0.219226</v>
      </c>
      <c r="Y317">
        <v>0.30782599999999999</v>
      </c>
      <c r="Z317">
        <v>0.24620900000000001</v>
      </c>
      <c r="AA317">
        <v>0.32578299999999999</v>
      </c>
      <c r="AB317">
        <v>0.302477</v>
      </c>
      <c r="AF317">
        <f>'User Add-In Location'!E318</f>
        <v>0</v>
      </c>
      <c r="AI317">
        <v>0.30686400000000003</v>
      </c>
      <c r="AJ317">
        <v>0.29675200000000002</v>
      </c>
      <c r="AL317">
        <v>0.23597399999999999</v>
      </c>
      <c r="AM317">
        <v>0.35402099999999997</v>
      </c>
      <c r="AO317">
        <v>0.26349499999999998</v>
      </c>
      <c r="AQ317">
        <v>0.28277600000000003</v>
      </c>
      <c r="AR317">
        <v>0.35263699999999998</v>
      </c>
      <c r="AS317">
        <v>0.196911</v>
      </c>
      <c r="AT317">
        <v>0.19680600000000001</v>
      </c>
      <c r="AW317">
        <v>0.39818399999999998</v>
      </c>
      <c r="AX317" s="176">
        <v>0.50922000000000001</v>
      </c>
      <c r="BA317">
        <v>0.26051200000000002</v>
      </c>
      <c r="BB317">
        <v>0.34505999999999998</v>
      </c>
      <c r="BD317">
        <v>0.28368199999999999</v>
      </c>
      <c r="BF317">
        <v>0.37067</v>
      </c>
      <c r="BG317">
        <v>0.35435</v>
      </c>
      <c r="BH317">
        <v>0.32659899999999997</v>
      </c>
      <c r="BI317">
        <v>0.32742199999999999</v>
      </c>
      <c r="BJ317">
        <v>0.255388</v>
      </c>
      <c r="BK317">
        <v>0.33307700000000001</v>
      </c>
      <c r="BL317">
        <v>0.318467</v>
      </c>
      <c r="BM317">
        <v>0.28302100000000002</v>
      </c>
    </row>
    <row r="318" spans="2:65" x14ac:dyDescent="0.25">
      <c r="B318">
        <v>304</v>
      </c>
      <c r="C318" t="s">
        <v>593</v>
      </c>
      <c r="D318">
        <v>0.253662</v>
      </c>
      <c r="E318">
        <v>0.25426900000000002</v>
      </c>
      <c r="H318">
        <v>0.24021999999999999</v>
      </c>
      <c r="J318">
        <v>0.20693</v>
      </c>
      <c r="K318">
        <v>0.20056099999999999</v>
      </c>
      <c r="L318">
        <v>0.12975400000000001</v>
      </c>
      <c r="M318">
        <v>0.188055</v>
      </c>
      <c r="N318">
        <v>0.20452200000000001</v>
      </c>
      <c r="O318">
        <v>0.15532799999999999</v>
      </c>
      <c r="Q318">
        <v>0.21232400000000001</v>
      </c>
      <c r="R318">
        <v>0.21207500000000001</v>
      </c>
      <c r="V318">
        <v>0.23488400000000001</v>
      </c>
      <c r="W318">
        <v>0.19211400000000001</v>
      </c>
      <c r="X318">
        <v>0.20325499999999999</v>
      </c>
      <c r="Y318">
        <v>0.229131</v>
      </c>
      <c r="Z318">
        <v>0.194241</v>
      </c>
      <c r="AA318">
        <v>0.246253</v>
      </c>
      <c r="AB318">
        <v>0.19389700000000001</v>
      </c>
      <c r="AF318">
        <f>'User Add-In Location'!E319</f>
        <v>0</v>
      </c>
      <c r="AI318">
        <v>0.19439699999999999</v>
      </c>
      <c r="AJ318">
        <v>0.21634600000000001</v>
      </c>
      <c r="AL318">
        <v>0.18180099999999999</v>
      </c>
      <c r="AM318">
        <v>0.22373699999999999</v>
      </c>
      <c r="AO318">
        <v>0.20133200000000001</v>
      </c>
      <c r="AQ318">
        <v>0.220335</v>
      </c>
      <c r="AR318">
        <v>0.23394200000000001</v>
      </c>
      <c r="AS318">
        <v>0.16947999999999999</v>
      </c>
      <c r="AT318">
        <v>0.152699</v>
      </c>
      <c r="AW318">
        <v>0.25988499999999998</v>
      </c>
      <c r="AX318" s="176">
        <v>0.5262</v>
      </c>
      <c r="BA318">
        <v>0.19789799999999999</v>
      </c>
      <c r="BB318">
        <v>0.22620599999999999</v>
      </c>
      <c r="BD318">
        <v>0.185669</v>
      </c>
      <c r="BF318">
        <v>0.25168600000000002</v>
      </c>
      <c r="BG318">
        <v>0.24357699999999999</v>
      </c>
      <c r="BH318">
        <v>0.23259199999999999</v>
      </c>
      <c r="BI318">
        <v>0.22803100000000001</v>
      </c>
      <c r="BJ318">
        <v>0.205121</v>
      </c>
      <c r="BK318">
        <v>0.22892699999999999</v>
      </c>
      <c r="BL318">
        <v>0.232741</v>
      </c>
      <c r="BM318">
        <v>0.20549200000000001</v>
      </c>
    </row>
    <row r="319" spans="2:65" x14ac:dyDescent="0.25">
      <c r="B319">
        <v>305</v>
      </c>
      <c r="C319" t="s">
        <v>594</v>
      </c>
      <c r="D319">
        <v>0.177922</v>
      </c>
      <c r="E319">
        <v>0.22977400000000001</v>
      </c>
      <c r="H319">
        <v>0.27595399999999998</v>
      </c>
      <c r="J319">
        <v>0.26228699999999999</v>
      </c>
      <c r="K319">
        <v>0.2641</v>
      </c>
      <c r="L319">
        <v>0.23497399999999999</v>
      </c>
      <c r="M319">
        <v>0.223215</v>
      </c>
      <c r="N319">
        <v>0.26877099999999998</v>
      </c>
      <c r="O319">
        <v>0.21615000000000001</v>
      </c>
      <c r="Q319">
        <v>0.29947000000000001</v>
      </c>
      <c r="R319">
        <v>0.27330399999999999</v>
      </c>
      <c r="V319">
        <v>0.28294799999999998</v>
      </c>
      <c r="W319">
        <v>0.18652199999999999</v>
      </c>
      <c r="X319">
        <v>0.22862499999999999</v>
      </c>
      <c r="Y319">
        <v>0.23223199999999999</v>
      </c>
      <c r="Z319">
        <v>0.24382100000000001</v>
      </c>
      <c r="AA319">
        <v>0.27382200000000001</v>
      </c>
      <c r="AB319">
        <v>0.26487100000000002</v>
      </c>
      <c r="AF319">
        <f>'User Add-In Location'!E320</f>
        <v>0</v>
      </c>
      <c r="AI319">
        <v>0.240677</v>
      </c>
      <c r="AJ319">
        <v>0.27325300000000002</v>
      </c>
      <c r="AL319">
        <v>0.262824</v>
      </c>
      <c r="AM319">
        <v>0.274841</v>
      </c>
      <c r="AO319">
        <v>0.24440400000000001</v>
      </c>
      <c r="AQ319">
        <v>0.27150999999999997</v>
      </c>
      <c r="AR319">
        <v>0.321876</v>
      </c>
      <c r="AS319">
        <v>0.22403699999999999</v>
      </c>
      <c r="AT319">
        <v>0.21606400000000001</v>
      </c>
      <c r="AW319">
        <v>0.32343100000000002</v>
      </c>
      <c r="AX319" s="176">
        <v>0.56303499999999995</v>
      </c>
      <c r="BA319">
        <v>0.24485000000000001</v>
      </c>
      <c r="BB319">
        <v>0.244726</v>
      </c>
      <c r="BD319">
        <v>0.241428</v>
      </c>
      <c r="BF319">
        <v>0.312693</v>
      </c>
      <c r="BG319">
        <v>0.27863500000000002</v>
      </c>
      <c r="BH319">
        <v>0.28883999999999999</v>
      </c>
      <c r="BI319">
        <v>0.30252000000000001</v>
      </c>
      <c r="BJ319">
        <v>0.271453</v>
      </c>
      <c r="BK319">
        <v>0.29278900000000002</v>
      </c>
      <c r="BL319">
        <v>0.24135899999999999</v>
      </c>
      <c r="BM319">
        <v>0.26527099999999998</v>
      </c>
    </row>
    <row r="320" spans="2:65" x14ac:dyDescent="0.25">
      <c r="B320">
        <v>306</v>
      </c>
      <c r="C320" t="s">
        <v>415</v>
      </c>
      <c r="D320">
        <v>0.13222800000000001</v>
      </c>
      <c r="E320">
        <v>0.165377</v>
      </c>
      <c r="H320">
        <v>0.29328199999999999</v>
      </c>
      <c r="J320">
        <v>0.28836800000000001</v>
      </c>
      <c r="K320">
        <v>0.191387</v>
      </c>
      <c r="L320">
        <v>0</v>
      </c>
      <c r="M320">
        <v>0.26345000000000002</v>
      </c>
      <c r="N320">
        <v>0.27460899999999999</v>
      </c>
      <c r="O320">
        <v>0</v>
      </c>
      <c r="Q320">
        <v>0.31084899999999999</v>
      </c>
      <c r="R320">
        <v>0.31608199999999997</v>
      </c>
      <c r="V320">
        <v>0.34737299999999999</v>
      </c>
      <c r="W320">
        <v>0.22620999999999999</v>
      </c>
      <c r="X320">
        <v>0.28365600000000002</v>
      </c>
      <c r="Y320">
        <v>0.26192399999999999</v>
      </c>
      <c r="Z320">
        <v>0.26802999999999999</v>
      </c>
      <c r="AA320">
        <v>0.33061800000000002</v>
      </c>
      <c r="AB320">
        <v>0.31878299999999998</v>
      </c>
      <c r="AF320">
        <f>'User Add-In Location'!E321</f>
        <v>0</v>
      </c>
      <c r="AI320">
        <v>0.25994600000000001</v>
      </c>
      <c r="AJ320">
        <v>0.26657199999999998</v>
      </c>
      <c r="AL320">
        <v>0.25645000000000001</v>
      </c>
      <c r="AM320">
        <v>0.33863100000000002</v>
      </c>
      <c r="AO320">
        <v>0.24918100000000001</v>
      </c>
      <c r="AQ320">
        <v>0.23080100000000001</v>
      </c>
      <c r="AR320">
        <v>0.31878600000000001</v>
      </c>
      <c r="AS320">
        <v>0.17430999999999999</v>
      </c>
      <c r="AT320">
        <v>0.214812</v>
      </c>
      <c r="AW320">
        <v>0.38594299999999998</v>
      </c>
      <c r="AX320" s="176">
        <v>0.51461299999999999</v>
      </c>
      <c r="BA320">
        <v>0.22881000000000001</v>
      </c>
      <c r="BB320">
        <v>0.29108200000000001</v>
      </c>
      <c r="BD320">
        <v>0.317776</v>
      </c>
      <c r="BF320">
        <v>0.38144499999999998</v>
      </c>
      <c r="BG320">
        <v>0.28844599999999998</v>
      </c>
      <c r="BH320">
        <v>0.32713300000000001</v>
      </c>
      <c r="BI320">
        <v>0.34370899999999999</v>
      </c>
      <c r="BJ320">
        <v>0.283632</v>
      </c>
      <c r="BK320">
        <v>0.33816299999999999</v>
      </c>
      <c r="BL320">
        <v>0.27905999999999997</v>
      </c>
      <c r="BM320">
        <v>0.27274999999999999</v>
      </c>
    </row>
    <row r="321" spans="1:65" x14ac:dyDescent="0.25">
      <c r="B321">
        <v>307</v>
      </c>
      <c r="C321" t="s">
        <v>595</v>
      </c>
      <c r="D321">
        <v>0.30601400000000001</v>
      </c>
      <c r="E321">
        <v>0.19630600000000001</v>
      </c>
      <c r="H321">
        <v>0.27453300000000003</v>
      </c>
      <c r="J321">
        <v>0.33619500000000002</v>
      </c>
      <c r="K321">
        <v>0.26703199999999999</v>
      </c>
      <c r="L321">
        <v>0.17416699999999999</v>
      </c>
      <c r="M321">
        <v>0.30976799999999999</v>
      </c>
      <c r="N321">
        <v>0.26208199999999998</v>
      </c>
      <c r="O321">
        <v>0.28730800000000001</v>
      </c>
      <c r="Q321">
        <v>0.33671600000000002</v>
      </c>
      <c r="R321">
        <v>0.27934900000000001</v>
      </c>
      <c r="V321">
        <v>0.33238499999999999</v>
      </c>
      <c r="W321">
        <v>0.25930999999999998</v>
      </c>
      <c r="X321">
        <v>0.29094599999999998</v>
      </c>
      <c r="Y321">
        <v>0.31993899999999997</v>
      </c>
      <c r="Z321">
        <v>0.32301600000000003</v>
      </c>
      <c r="AA321">
        <v>0.37407099999999999</v>
      </c>
      <c r="AB321">
        <v>0.30224200000000001</v>
      </c>
      <c r="AF321">
        <f>'User Add-In Location'!E322</f>
        <v>0</v>
      </c>
      <c r="AI321">
        <v>0.34658299999999997</v>
      </c>
      <c r="AJ321">
        <v>0.34772399999999998</v>
      </c>
      <c r="AL321">
        <v>0.339111</v>
      </c>
      <c r="AM321">
        <v>0.25125700000000001</v>
      </c>
      <c r="AO321">
        <v>0.30424099999999998</v>
      </c>
      <c r="AQ321">
        <v>0.25102000000000002</v>
      </c>
      <c r="AR321">
        <v>0.32704100000000003</v>
      </c>
      <c r="AS321">
        <v>0.212392</v>
      </c>
      <c r="AT321">
        <v>0.18579100000000001</v>
      </c>
      <c r="AW321">
        <v>0.30241400000000002</v>
      </c>
      <c r="AX321" s="176">
        <v>0.43654399999999999</v>
      </c>
      <c r="BA321">
        <v>0.30296000000000001</v>
      </c>
      <c r="BB321">
        <v>0.30604500000000001</v>
      </c>
      <c r="BD321">
        <v>0.31748199999999999</v>
      </c>
      <c r="BF321">
        <v>0.30905199999999999</v>
      </c>
      <c r="BG321">
        <v>0.27560800000000002</v>
      </c>
      <c r="BH321">
        <v>0.33140199999999997</v>
      </c>
      <c r="BI321">
        <v>0.355568</v>
      </c>
      <c r="BJ321">
        <v>0.34181899999999998</v>
      </c>
      <c r="BK321">
        <v>0.280113</v>
      </c>
      <c r="BL321">
        <v>0.33225100000000002</v>
      </c>
      <c r="BM321">
        <v>0.34156999999999998</v>
      </c>
    </row>
    <row r="322" spans="1:65" x14ac:dyDescent="0.25">
      <c r="B322">
        <v>308</v>
      </c>
      <c r="C322" t="s">
        <v>417</v>
      </c>
      <c r="D322">
        <v>0.23227100000000001</v>
      </c>
      <c r="E322">
        <v>0.21055099999999999</v>
      </c>
      <c r="H322">
        <v>0.29198499999999999</v>
      </c>
      <c r="J322">
        <v>0.27585700000000002</v>
      </c>
      <c r="K322">
        <v>0.19125600000000001</v>
      </c>
      <c r="L322">
        <v>0.179592</v>
      </c>
      <c r="M322">
        <v>0.25072499999999998</v>
      </c>
      <c r="N322">
        <v>0.221221</v>
      </c>
      <c r="O322">
        <v>0.225963</v>
      </c>
      <c r="Q322">
        <v>0.28733700000000001</v>
      </c>
      <c r="R322">
        <v>0.26528499999999999</v>
      </c>
      <c r="V322">
        <v>0.267289</v>
      </c>
      <c r="W322">
        <v>0.22032199999999999</v>
      </c>
      <c r="X322">
        <v>0.25076100000000001</v>
      </c>
      <c r="Y322">
        <v>0.24952099999999999</v>
      </c>
      <c r="Z322">
        <v>0.23725299999999999</v>
      </c>
      <c r="AA322">
        <v>0.297153</v>
      </c>
      <c r="AB322">
        <v>0.23955799999999999</v>
      </c>
      <c r="AF322">
        <f>'User Add-In Location'!E323</f>
        <v>0</v>
      </c>
      <c r="AI322">
        <v>0.249949</v>
      </c>
      <c r="AJ322">
        <v>0.25606000000000001</v>
      </c>
      <c r="AL322">
        <v>0.26862200000000003</v>
      </c>
      <c r="AM322">
        <v>0.25187199999999998</v>
      </c>
      <c r="AO322">
        <v>0.225272</v>
      </c>
      <c r="AQ322">
        <v>0.23805299999999999</v>
      </c>
      <c r="AR322">
        <v>0.29142699999999999</v>
      </c>
      <c r="AS322">
        <v>0.16069</v>
      </c>
      <c r="AT322">
        <v>0.17731</v>
      </c>
      <c r="AW322">
        <v>0.31827800000000001</v>
      </c>
      <c r="AX322" s="176">
        <v>0.46627099999999999</v>
      </c>
      <c r="BA322">
        <v>0.25961000000000001</v>
      </c>
      <c r="BB322">
        <v>0.25375599999999998</v>
      </c>
      <c r="BD322">
        <v>0.25127899999999997</v>
      </c>
      <c r="BF322">
        <v>0.31747500000000001</v>
      </c>
      <c r="BG322">
        <v>0.28825800000000001</v>
      </c>
      <c r="BH322">
        <v>0.28434399999999999</v>
      </c>
      <c r="BI322">
        <v>0.29469600000000001</v>
      </c>
      <c r="BJ322">
        <v>0.26712399999999997</v>
      </c>
      <c r="BK322">
        <v>0.273034</v>
      </c>
      <c r="BL322">
        <v>0.26119500000000001</v>
      </c>
      <c r="BM322">
        <v>0.27173000000000003</v>
      </c>
    </row>
    <row r="323" spans="1:65" x14ac:dyDescent="0.25">
      <c r="B323">
        <v>309</v>
      </c>
      <c r="C323" t="s">
        <v>418</v>
      </c>
      <c r="D323">
        <v>0.240231</v>
      </c>
      <c r="E323">
        <v>0.196211</v>
      </c>
      <c r="H323">
        <v>0.23011000000000001</v>
      </c>
      <c r="J323">
        <v>0.227933</v>
      </c>
      <c r="K323">
        <v>0.23496900000000001</v>
      </c>
      <c r="L323">
        <v>0.17937700000000001</v>
      </c>
      <c r="M323">
        <v>0.24880099999999999</v>
      </c>
      <c r="N323">
        <v>0.233711</v>
      </c>
      <c r="O323">
        <v>0.21073600000000001</v>
      </c>
      <c r="Q323">
        <v>0.24925900000000001</v>
      </c>
      <c r="R323">
        <v>0.24301700000000001</v>
      </c>
      <c r="V323">
        <v>0.22966800000000001</v>
      </c>
      <c r="W323">
        <v>0.22057399999999999</v>
      </c>
      <c r="X323">
        <v>0.24815499999999999</v>
      </c>
      <c r="Y323">
        <v>0.248138</v>
      </c>
      <c r="Z323">
        <v>0.23982899999999999</v>
      </c>
      <c r="AA323">
        <v>0.26280300000000001</v>
      </c>
      <c r="AB323">
        <v>0.203157</v>
      </c>
      <c r="AF323">
        <f>'User Add-In Location'!E324</f>
        <v>0</v>
      </c>
      <c r="AI323">
        <v>0.22267899999999999</v>
      </c>
      <c r="AJ323">
        <v>0.24213100000000001</v>
      </c>
      <c r="AL323">
        <v>0.23202500000000001</v>
      </c>
      <c r="AM323">
        <v>0.22609699999999999</v>
      </c>
      <c r="AO323">
        <v>0.23861599999999999</v>
      </c>
      <c r="AQ323">
        <v>0.26691799999999999</v>
      </c>
      <c r="AR323">
        <v>0.26534099999999999</v>
      </c>
      <c r="AS323">
        <v>0.178449</v>
      </c>
      <c r="AT323">
        <v>0.18301700000000001</v>
      </c>
      <c r="AW323">
        <v>0.260743</v>
      </c>
      <c r="AX323" s="176">
        <v>0.36021799999999998</v>
      </c>
      <c r="BA323">
        <v>0.241062</v>
      </c>
      <c r="BB323">
        <v>0.161662</v>
      </c>
      <c r="BD323">
        <v>0.25564900000000002</v>
      </c>
      <c r="BF323">
        <v>0.263963</v>
      </c>
      <c r="BG323">
        <v>0.22636100000000001</v>
      </c>
      <c r="BH323">
        <v>0.258496</v>
      </c>
      <c r="BI323">
        <v>0.26643699999999998</v>
      </c>
      <c r="BJ323">
        <v>0.24554400000000001</v>
      </c>
      <c r="BK323">
        <v>0.25414900000000001</v>
      </c>
      <c r="BL323">
        <v>0.25341900000000001</v>
      </c>
      <c r="BM323">
        <v>0.24057100000000001</v>
      </c>
    </row>
    <row r="324" spans="1:65" x14ac:dyDescent="0.25">
      <c r="B324">
        <v>310</v>
      </c>
      <c r="C324" t="s">
        <v>596</v>
      </c>
      <c r="D324">
        <v>0.17608499999999999</v>
      </c>
      <c r="E324">
        <v>0.22078999999999999</v>
      </c>
      <c r="H324">
        <v>0.26951199999999997</v>
      </c>
      <c r="J324">
        <v>0.24265400000000001</v>
      </c>
      <c r="K324">
        <v>0.25680199999999997</v>
      </c>
      <c r="L324">
        <v>0.27131499999999997</v>
      </c>
      <c r="M324">
        <v>0.24219599999999999</v>
      </c>
      <c r="N324">
        <v>0.24499599999999999</v>
      </c>
      <c r="O324">
        <v>0.16786000000000001</v>
      </c>
      <c r="Q324">
        <v>0.288244</v>
      </c>
      <c r="R324">
        <v>0.26300200000000001</v>
      </c>
      <c r="V324">
        <v>0.28915600000000002</v>
      </c>
      <c r="W324">
        <v>0.22769400000000001</v>
      </c>
      <c r="X324">
        <v>0.26443800000000001</v>
      </c>
      <c r="Y324">
        <v>0.26055200000000001</v>
      </c>
      <c r="Z324">
        <v>0.236675</v>
      </c>
      <c r="AA324">
        <v>0.288775</v>
      </c>
      <c r="AB324">
        <v>0.258525</v>
      </c>
      <c r="AF324">
        <f>'User Add-In Location'!E325</f>
        <v>0</v>
      </c>
      <c r="AI324">
        <v>0.224883</v>
      </c>
      <c r="AJ324">
        <v>0.24391599999999999</v>
      </c>
      <c r="AL324">
        <v>0.230963</v>
      </c>
      <c r="AM324">
        <v>0.26801399999999997</v>
      </c>
      <c r="AO324">
        <v>0.24618300000000001</v>
      </c>
      <c r="AQ324">
        <v>0.25286199999999998</v>
      </c>
      <c r="AR324">
        <v>0.29790699999999998</v>
      </c>
      <c r="AS324">
        <v>0.204571</v>
      </c>
      <c r="AT324">
        <v>0.212981</v>
      </c>
      <c r="AW324">
        <v>0.30966199999999999</v>
      </c>
      <c r="AX324" s="176">
        <v>0.39577299999999999</v>
      </c>
      <c r="BA324">
        <v>0.27772200000000002</v>
      </c>
      <c r="BB324">
        <v>0.23875299999999999</v>
      </c>
      <c r="BD324">
        <v>0.245062</v>
      </c>
      <c r="BF324">
        <v>0.30301099999999997</v>
      </c>
      <c r="BG324">
        <v>0.26871200000000001</v>
      </c>
      <c r="BH324">
        <v>0.27911200000000003</v>
      </c>
      <c r="BI324">
        <v>0.284248</v>
      </c>
      <c r="BJ324">
        <v>0.24807499999999999</v>
      </c>
      <c r="BK324">
        <v>0.28620699999999999</v>
      </c>
      <c r="BL324">
        <v>0.26273000000000002</v>
      </c>
      <c r="BM324">
        <v>0.24942900000000001</v>
      </c>
    </row>
    <row r="325" spans="1:65" x14ac:dyDescent="0.25">
      <c r="B325">
        <v>311</v>
      </c>
      <c r="C325" t="s">
        <v>597</v>
      </c>
      <c r="D325">
        <v>0.15021100000000001</v>
      </c>
      <c r="E325">
        <v>0.31275999999999998</v>
      </c>
      <c r="H325">
        <v>0.410719</v>
      </c>
      <c r="J325">
        <v>0.39605299999999999</v>
      </c>
      <c r="K325">
        <v>0.43574800000000002</v>
      </c>
      <c r="L325">
        <v>0.39141199999999998</v>
      </c>
      <c r="M325">
        <v>0.34326800000000002</v>
      </c>
      <c r="N325">
        <v>0.45500499999999999</v>
      </c>
      <c r="O325">
        <v>0.32545000000000002</v>
      </c>
      <c r="Q325">
        <v>0.45242300000000002</v>
      </c>
      <c r="R325">
        <v>0.37919599999999998</v>
      </c>
      <c r="V325">
        <v>0.43640299999999999</v>
      </c>
      <c r="W325">
        <v>0.40340300000000001</v>
      </c>
      <c r="X325">
        <v>0.39455200000000001</v>
      </c>
      <c r="Y325">
        <v>0.40474900000000003</v>
      </c>
      <c r="Z325">
        <v>0.38575799999999999</v>
      </c>
      <c r="AA325">
        <v>0.25811400000000001</v>
      </c>
      <c r="AB325">
        <v>0.356296</v>
      </c>
      <c r="AF325">
        <f>'User Add-In Location'!E326</f>
        <v>0</v>
      </c>
      <c r="AI325">
        <v>0.205148</v>
      </c>
      <c r="AJ325">
        <v>0.34171400000000002</v>
      </c>
      <c r="AL325">
        <v>0.39711400000000002</v>
      </c>
      <c r="AM325">
        <v>0.44064999999999999</v>
      </c>
      <c r="AO325">
        <v>0.38825599999999999</v>
      </c>
      <c r="AQ325">
        <v>0.38038899999999998</v>
      </c>
      <c r="AR325">
        <v>0.47690100000000002</v>
      </c>
      <c r="AS325">
        <v>0.34363199999999999</v>
      </c>
      <c r="AT325">
        <v>0.33982400000000001</v>
      </c>
      <c r="AW325">
        <v>0.44364300000000001</v>
      </c>
      <c r="AX325" s="176">
        <v>0.60737600000000003</v>
      </c>
      <c r="BA325">
        <v>0.30568699999999999</v>
      </c>
      <c r="BB325">
        <v>0.37992199999999998</v>
      </c>
      <c r="BD325">
        <v>0.44967200000000002</v>
      </c>
      <c r="BF325">
        <v>0.42991800000000002</v>
      </c>
      <c r="BG325">
        <v>0.41339300000000001</v>
      </c>
      <c r="BH325">
        <v>0.42082399999999998</v>
      </c>
      <c r="BI325">
        <v>0.435197</v>
      </c>
      <c r="BJ325">
        <v>0.400843</v>
      </c>
      <c r="BK325">
        <v>0.39334200000000002</v>
      </c>
      <c r="BL325">
        <v>0.41282400000000002</v>
      </c>
      <c r="BM325">
        <v>0.416769</v>
      </c>
    </row>
    <row r="326" spans="1:65" x14ac:dyDescent="0.25">
      <c r="B326">
        <v>312</v>
      </c>
      <c r="C326" t="s">
        <v>598</v>
      </c>
      <c r="D326">
        <v>0.16969999999999999</v>
      </c>
      <c r="E326">
        <v>0.17342299999999999</v>
      </c>
      <c r="H326">
        <v>0.20974999999999999</v>
      </c>
      <c r="J326">
        <v>0.20686599999999999</v>
      </c>
      <c r="K326">
        <v>0.17174300000000001</v>
      </c>
      <c r="L326">
        <v>0.18917999999999999</v>
      </c>
      <c r="M326">
        <v>0.23957999999999999</v>
      </c>
      <c r="N326">
        <v>0.22040899999999999</v>
      </c>
      <c r="O326">
        <v>0.17446500000000001</v>
      </c>
      <c r="Q326">
        <v>0.238703</v>
      </c>
      <c r="R326">
        <v>0.21385799999999999</v>
      </c>
      <c r="V326">
        <v>0.23138800000000001</v>
      </c>
      <c r="W326">
        <v>0.193523</v>
      </c>
      <c r="X326">
        <v>0.21147099999999999</v>
      </c>
      <c r="Y326">
        <v>0.213893</v>
      </c>
      <c r="Z326">
        <v>0.216368</v>
      </c>
      <c r="AA326">
        <v>0.236732</v>
      </c>
      <c r="AB326">
        <v>0.199105</v>
      </c>
      <c r="AF326">
        <f>'User Add-In Location'!E327</f>
        <v>0</v>
      </c>
      <c r="AI326">
        <v>0.19999</v>
      </c>
      <c r="AJ326">
        <v>0.21423200000000001</v>
      </c>
      <c r="AL326">
        <v>0.20563100000000001</v>
      </c>
      <c r="AM326">
        <v>0.206482</v>
      </c>
      <c r="AO326">
        <v>0.21648400000000001</v>
      </c>
      <c r="AQ326">
        <v>0.21040400000000001</v>
      </c>
      <c r="AR326">
        <v>0.22125600000000001</v>
      </c>
      <c r="AS326">
        <v>0.1774</v>
      </c>
      <c r="AT326">
        <v>0.175401</v>
      </c>
      <c r="AW326">
        <v>0.25106699999999998</v>
      </c>
      <c r="AX326" s="176">
        <v>0.33711000000000002</v>
      </c>
      <c r="BA326">
        <v>0.21792900000000001</v>
      </c>
      <c r="BB326">
        <v>0.17859900000000001</v>
      </c>
      <c r="BD326">
        <v>0.21127699999999999</v>
      </c>
      <c r="BF326">
        <v>0.256664</v>
      </c>
      <c r="BG326">
        <v>0.209979</v>
      </c>
      <c r="BH326">
        <v>0.23150799999999999</v>
      </c>
      <c r="BI326">
        <v>0.23522100000000001</v>
      </c>
      <c r="BJ326">
        <v>0.21638299999999999</v>
      </c>
      <c r="BK326">
        <v>0.236202</v>
      </c>
      <c r="BL326">
        <v>0.21970300000000001</v>
      </c>
      <c r="BM326">
        <v>0.213837</v>
      </c>
    </row>
    <row r="327" spans="1:65" x14ac:dyDescent="0.25">
      <c r="B327">
        <v>313</v>
      </c>
      <c r="C327" t="s">
        <v>599</v>
      </c>
      <c r="D327">
        <v>0.24580099999999999</v>
      </c>
      <c r="E327">
        <v>0.222464</v>
      </c>
      <c r="H327">
        <v>0.26506800000000003</v>
      </c>
      <c r="J327">
        <v>0.29009000000000001</v>
      </c>
      <c r="K327">
        <v>0.21981800000000001</v>
      </c>
      <c r="L327">
        <v>0.18392</v>
      </c>
      <c r="M327">
        <v>0.26028499999999999</v>
      </c>
      <c r="N327">
        <v>0.26205200000000001</v>
      </c>
      <c r="O327">
        <v>0.18776899999999999</v>
      </c>
      <c r="Q327">
        <v>0.27848600000000001</v>
      </c>
      <c r="R327">
        <v>0.25034800000000001</v>
      </c>
      <c r="V327">
        <v>0.29846400000000001</v>
      </c>
      <c r="W327">
        <v>0.26678200000000002</v>
      </c>
      <c r="X327">
        <v>0.26494499999999999</v>
      </c>
      <c r="Y327">
        <v>0.27273399999999998</v>
      </c>
      <c r="Z327">
        <v>0.236042</v>
      </c>
      <c r="AA327">
        <v>0.296456</v>
      </c>
      <c r="AB327">
        <v>0.247923</v>
      </c>
      <c r="AF327">
        <f>'User Add-In Location'!E328</f>
        <v>0</v>
      </c>
      <c r="AI327">
        <v>0.30288100000000001</v>
      </c>
      <c r="AJ327">
        <v>0.26370100000000002</v>
      </c>
      <c r="AL327">
        <v>0.25122100000000003</v>
      </c>
      <c r="AM327">
        <v>0.278727</v>
      </c>
      <c r="AO327">
        <v>0.22772200000000001</v>
      </c>
      <c r="AQ327">
        <v>0.259073</v>
      </c>
      <c r="AR327">
        <v>0.27792800000000001</v>
      </c>
      <c r="AS327">
        <v>0.19419900000000001</v>
      </c>
      <c r="AT327">
        <v>0.19639200000000001</v>
      </c>
      <c r="AW327">
        <v>0.32162800000000002</v>
      </c>
      <c r="AX327" s="176">
        <v>0.43700299999999997</v>
      </c>
      <c r="BA327">
        <v>0.25062099999999998</v>
      </c>
      <c r="BB327">
        <v>0.237232</v>
      </c>
      <c r="BD327">
        <v>0.25105899999999998</v>
      </c>
      <c r="BF327">
        <v>0.31783800000000001</v>
      </c>
      <c r="BG327">
        <v>0.26662000000000002</v>
      </c>
      <c r="BH327">
        <v>0.29335699999999998</v>
      </c>
      <c r="BI327">
        <v>0.28455900000000001</v>
      </c>
      <c r="BJ327">
        <v>0.26654099999999997</v>
      </c>
      <c r="BK327">
        <v>0.28721400000000002</v>
      </c>
      <c r="BL327">
        <v>0.291325</v>
      </c>
      <c r="BM327">
        <v>0.26992500000000003</v>
      </c>
    </row>
    <row r="328" spans="1:65" x14ac:dyDescent="0.25">
      <c r="B328">
        <v>314</v>
      </c>
      <c r="C328" t="s">
        <v>423</v>
      </c>
      <c r="D328">
        <v>0.204487</v>
      </c>
      <c r="E328">
        <v>0.23372899999999999</v>
      </c>
      <c r="H328">
        <v>0.29681299999999999</v>
      </c>
      <c r="J328">
        <v>0.208537</v>
      </c>
      <c r="K328">
        <v>0.111024</v>
      </c>
      <c r="L328">
        <v>0.22149099999999999</v>
      </c>
      <c r="M328">
        <v>0.34408699999999998</v>
      </c>
      <c r="N328">
        <v>0.26807399999999998</v>
      </c>
      <c r="O328">
        <v>0.26069500000000001</v>
      </c>
      <c r="Q328">
        <v>0.28122000000000003</v>
      </c>
      <c r="R328">
        <v>0.24249699999999999</v>
      </c>
      <c r="V328">
        <v>0.26749499999999998</v>
      </c>
      <c r="W328">
        <v>0.22725799999999999</v>
      </c>
      <c r="X328">
        <v>0.27775899999999998</v>
      </c>
      <c r="Y328">
        <v>0.24517800000000001</v>
      </c>
      <c r="Z328">
        <v>0.27813900000000003</v>
      </c>
      <c r="AA328">
        <v>0.29550300000000002</v>
      </c>
      <c r="AB328">
        <v>0.242035</v>
      </c>
      <c r="AF328">
        <f>'User Add-In Location'!E329</f>
        <v>0</v>
      </c>
      <c r="AI328">
        <v>0.22815099999999999</v>
      </c>
      <c r="AJ328">
        <v>0.27916999999999997</v>
      </c>
      <c r="AL328">
        <v>0.17299100000000001</v>
      </c>
      <c r="AM328">
        <v>0.20873</v>
      </c>
      <c r="AO328">
        <v>0.236961</v>
      </c>
      <c r="AQ328">
        <v>0.29466999999999999</v>
      </c>
      <c r="AR328">
        <v>0.320218</v>
      </c>
      <c r="AS328">
        <v>0.23760899999999999</v>
      </c>
      <c r="AT328">
        <v>0.23139899999999999</v>
      </c>
      <c r="AW328">
        <v>0.33078299999999999</v>
      </c>
      <c r="AX328" s="176">
        <v>0.44919900000000001</v>
      </c>
      <c r="BA328">
        <v>0.27784799999999998</v>
      </c>
      <c r="BB328">
        <v>0.25813199999999997</v>
      </c>
      <c r="BD328">
        <v>0.27189200000000002</v>
      </c>
      <c r="BF328">
        <v>0.339702</v>
      </c>
      <c r="BG328">
        <v>0.30003400000000002</v>
      </c>
      <c r="BH328">
        <v>0.24383299999999999</v>
      </c>
      <c r="BI328">
        <v>0.25680700000000001</v>
      </c>
      <c r="BJ328">
        <v>0.20843700000000001</v>
      </c>
      <c r="BK328">
        <v>0.28826099999999999</v>
      </c>
      <c r="BL328">
        <v>0.25276999999999999</v>
      </c>
      <c r="BM328">
        <v>0.19849800000000001</v>
      </c>
    </row>
    <row r="329" spans="1:65" x14ac:dyDescent="0.25">
      <c r="B329">
        <v>315</v>
      </c>
      <c r="C329" t="s">
        <v>600</v>
      </c>
      <c r="D329">
        <v>0.24145900000000001</v>
      </c>
      <c r="E329">
        <v>0.19551399999999999</v>
      </c>
      <c r="H329">
        <v>0.19098399999999999</v>
      </c>
      <c r="J329">
        <v>0.21018100000000001</v>
      </c>
      <c r="K329">
        <v>0.158998</v>
      </c>
      <c r="L329">
        <v>0.13834399999999999</v>
      </c>
      <c r="M329">
        <v>0.24029900000000001</v>
      </c>
      <c r="N329">
        <v>0.21405199999999999</v>
      </c>
      <c r="O329">
        <v>0.208009</v>
      </c>
      <c r="Q329">
        <v>0.20749100000000001</v>
      </c>
      <c r="R329">
        <v>0.19483400000000001</v>
      </c>
      <c r="V329">
        <v>0.23092299999999999</v>
      </c>
      <c r="W329">
        <v>0.20604900000000001</v>
      </c>
      <c r="X329">
        <v>0.21368699999999999</v>
      </c>
      <c r="Y329">
        <v>0.19434899999999999</v>
      </c>
      <c r="Z329">
        <v>0.223444</v>
      </c>
      <c r="AA329">
        <v>0.22995399999999999</v>
      </c>
      <c r="AB329">
        <v>0.21037400000000001</v>
      </c>
      <c r="AF329">
        <f>'User Add-In Location'!E330</f>
        <v>0</v>
      </c>
      <c r="AI329">
        <v>0.196599</v>
      </c>
      <c r="AJ329">
        <v>0.20408000000000001</v>
      </c>
      <c r="AL329">
        <v>0.184117</v>
      </c>
      <c r="AM329">
        <v>0.179618</v>
      </c>
      <c r="AO329">
        <v>0.22223100000000001</v>
      </c>
      <c r="AQ329">
        <v>0.22731799999999999</v>
      </c>
      <c r="AR329">
        <v>0.23355200000000001</v>
      </c>
      <c r="AS329">
        <v>0.17255599999999999</v>
      </c>
      <c r="AT329">
        <v>0.170935</v>
      </c>
      <c r="AW329">
        <v>0.219613</v>
      </c>
      <c r="AX329" s="176">
        <v>0.30849900000000002</v>
      </c>
      <c r="BA329">
        <v>0.18162800000000001</v>
      </c>
      <c r="BB329">
        <v>0.15496099999999999</v>
      </c>
      <c r="BD329">
        <v>0.222779</v>
      </c>
      <c r="BF329">
        <v>0.23716999999999999</v>
      </c>
      <c r="BG329">
        <v>0.192499</v>
      </c>
      <c r="BH329">
        <v>0.210868</v>
      </c>
      <c r="BI329">
        <v>0.22218399999999999</v>
      </c>
      <c r="BJ329">
        <v>0.19858500000000001</v>
      </c>
      <c r="BK329">
        <v>0.21079500000000001</v>
      </c>
      <c r="BL329">
        <v>0.20286399999999999</v>
      </c>
      <c r="BM329">
        <v>0.19403300000000001</v>
      </c>
    </row>
    <row r="330" spans="1:65" x14ac:dyDescent="0.25">
      <c r="B330">
        <v>316</v>
      </c>
      <c r="C330" t="s">
        <v>601</v>
      </c>
      <c r="D330">
        <v>0.35921399999999998</v>
      </c>
      <c r="E330">
        <v>0.19300500000000001</v>
      </c>
      <c r="H330">
        <v>0.21512800000000001</v>
      </c>
      <c r="J330">
        <v>0.21812599999999999</v>
      </c>
      <c r="K330">
        <v>0.22598599999999999</v>
      </c>
      <c r="L330">
        <v>0.14527599999999999</v>
      </c>
      <c r="M330">
        <v>0.22548899999999999</v>
      </c>
      <c r="N330">
        <v>0.25432100000000002</v>
      </c>
      <c r="O330">
        <v>0.142903</v>
      </c>
      <c r="Q330">
        <v>0.23197799999999999</v>
      </c>
      <c r="R330">
        <v>0.23155600000000001</v>
      </c>
      <c r="V330">
        <v>0.24959100000000001</v>
      </c>
      <c r="W330">
        <v>0.194131</v>
      </c>
      <c r="X330">
        <v>0.22095600000000001</v>
      </c>
      <c r="Y330">
        <v>0.20056499999999999</v>
      </c>
      <c r="Z330">
        <v>0.238541</v>
      </c>
      <c r="AA330">
        <v>0.26914500000000002</v>
      </c>
      <c r="AB330">
        <v>0.229045</v>
      </c>
      <c r="AF330">
        <f>'User Add-In Location'!E331</f>
        <v>0</v>
      </c>
      <c r="AI330">
        <v>0.199291</v>
      </c>
      <c r="AJ330">
        <v>0.23257</v>
      </c>
      <c r="AL330">
        <v>0.17566399999999999</v>
      </c>
      <c r="AM330">
        <v>0.229189</v>
      </c>
      <c r="AO330">
        <v>0.235404</v>
      </c>
      <c r="AQ330">
        <v>0.23431099999999999</v>
      </c>
      <c r="AR330">
        <v>0.25012299999999998</v>
      </c>
      <c r="AS330">
        <v>0.16417599999999999</v>
      </c>
      <c r="AT330">
        <v>0.186561</v>
      </c>
      <c r="AW330">
        <v>0.28111900000000001</v>
      </c>
      <c r="AX330" s="176">
        <v>0.34740799999999999</v>
      </c>
      <c r="BA330">
        <v>0.250828</v>
      </c>
      <c r="BB330">
        <v>0.18246200000000001</v>
      </c>
      <c r="BD330">
        <v>0.25042399999999998</v>
      </c>
      <c r="BF330">
        <v>0.27356000000000003</v>
      </c>
      <c r="BG330">
        <v>0.21596499999999999</v>
      </c>
      <c r="BH330">
        <v>0.23433100000000001</v>
      </c>
      <c r="BI330">
        <v>0.23874200000000001</v>
      </c>
      <c r="BJ330">
        <v>0.20110900000000001</v>
      </c>
      <c r="BK330">
        <v>0.26535799999999998</v>
      </c>
      <c r="BL330">
        <v>0.21034800000000001</v>
      </c>
      <c r="BM330">
        <v>0.19116</v>
      </c>
    </row>
    <row r="331" spans="1:65" x14ac:dyDescent="0.25">
      <c r="B331">
        <v>317</v>
      </c>
      <c r="C331" t="s">
        <v>602</v>
      </c>
      <c r="D331">
        <v>0.24104700000000001</v>
      </c>
      <c r="E331">
        <v>7.8930000000000007E-3</v>
      </c>
      <c r="H331">
        <v>4.1266999999999998E-2</v>
      </c>
      <c r="J331">
        <v>4.9848999999999997E-2</v>
      </c>
      <c r="K331">
        <v>5.8640000000000003E-3</v>
      </c>
      <c r="L331">
        <v>3.836E-3</v>
      </c>
      <c r="M331">
        <v>3.4286999999999998E-2</v>
      </c>
      <c r="N331">
        <v>1.2145E-2</v>
      </c>
      <c r="O331">
        <v>1.9023999999999999E-2</v>
      </c>
      <c r="Q331">
        <v>1.2278000000000001E-2</v>
      </c>
      <c r="R331">
        <v>2.4812000000000001E-2</v>
      </c>
      <c r="V331">
        <v>4.0839E-2</v>
      </c>
      <c r="W331">
        <v>3.0245999999999999E-2</v>
      </c>
      <c r="X331">
        <v>6.7860000000000004E-3</v>
      </c>
      <c r="Y331">
        <v>7.77E-3</v>
      </c>
      <c r="Z331">
        <v>2.5312999999999999E-2</v>
      </c>
      <c r="AA331">
        <v>4.7176999999999997E-2</v>
      </c>
      <c r="AB331">
        <v>2.6352E-2</v>
      </c>
      <c r="AF331">
        <f>'User Add-In Location'!E332</f>
        <v>0</v>
      </c>
      <c r="AI331">
        <v>1.9958E-2</v>
      </c>
      <c r="AJ331">
        <v>2.3480999999999998E-2</v>
      </c>
      <c r="AL331">
        <v>2.8721E-2</v>
      </c>
      <c r="AM331">
        <v>1.5834000000000001E-2</v>
      </c>
      <c r="AO331">
        <v>2.2571999999999998E-2</v>
      </c>
      <c r="AQ331">
        <v>4.1671E-2</v>
      </c>
      <c r="AR331">
        <v>4.4007999999999999E-2</v>
      </c>
      <c r="AS331">
        <v>8.6759999999999997E-3</v>
      </c>
      <c r="AT331">
        <v>1.881E-2</v>
      </c>
      <c r="AW331">
        <v>3.8633000000000001E-2</v>
      </c>
      <c r="AX331" s="176">
        <v>5.0931999999999998E-2</v>
      </c>
      <c r="BA331">
        <v>3.3272000000000003E-2</v>
      </c>
      <c r="BB331">
        <v>4.8987000000000003E-2</v>
      </c>
      <c r="BD331">
        <v>3.4637000000000001E-2</v>
      </c>
      <c r="BF331">
        <v>3.9503999999999997E-2</v>
      </c>
      <c r="BG331">
        <v>4.4476000000000002E-2</v>
      </c>
      <c r="BH331">
        <v>2.4749E-2</v>
      </c>
      <c r="BI331">
        <v>3.2011999999999999E-2</v>
      </c>
      <c r="BJ331">
        <v>2.3050000000000001E-2</v>
      </c>
      <c r="BK331">
        <v>2.401E-2</v>
      </c>
      <c r="BL331">
        <v>1.2874E-2</v>
      </c>
      <c r="BM331">
        <v>2.6938E-2</v>
      </c>
    </row>
    <row r="332" spans="1:65" x14ac:dyDescent="0.25">
      <c r="B332">
        <v>318</v>
      </c>
    </row>
    <row r="333" spans="1:65" x14ac:dyDescent="0.25">
      <c r="A333" t="s">
        <v>726</v>
      </c>
      <c r="B333">
        <v>319</v>
      </c>
      <c r="D333" s="174" t="s">
        <v>532</v>
      </c>
      <c r="E333" s="174" t="s">
        <v>680</v>
      </c>
      <c r="F333" s="174" t="s">
        <v>681</v>
      </c>
      <c r="G333" s="174" t="s">
        <v>682</v>
      </c>
      <c r="H333" s="174" t="s">
        <v>533</v>
      </c>
      <c r="I333" s="174" t="s">
        <v>683</v>
      </c>
      <c r="J333" s="174" t="s">
        <v>534</v>
      </c>
      <c r="K333" s="174" t="s">
        <v>535</v>
      </c>
      <c r="L333" s="174" t="s">
        <v>684</v>
      </c>
      <c r="M333" s="174" t="s">
        <v>536</v>
      </c>
      <c r="N333" s="174" t="s">
        <v>537</v>
      </c>
      <c r="O333" s="174" t="s">
        <v>538</v>
      </c>
      <c r="P333" s="174" t="s">
        <v>685</v>
      </c>
      <c r="Q333" s="174" t="s">
        <v>539</v>
      </c>
      <c r="R333" s="174" t="s">
        <v>540</v>
      </c>
      <c r="S333" s="174" t="s">
        <v>686</v>
      </c>
      <c r="T333" s="174" t="s">
        <v>687</v>
      </c>
      <c r="U333" s="174" t="s">
        <v>688</v>
      </c>
      <c r="V333" s="174" t="s">
        <v>541</v>
      </c>
      <c r="W333" s="174" t="s">
        <v>542</v>
      </c>
      <c r="X333" s="174" t="s">
        <v>543</v>
      </c>
      <c r="Y333" s="174" t="s">
        <v>544</v>
      </c>
      <c r="Z333" s="174" t="s">
        <v>545</v>
      </c>
      <c r="AA333" s="174" t="s">
        <v>546</v>
      </c>
      <c r="AB333" s="174" t="s">
        <v>549</v>
      </c>
      <c r="AC333" s="174" t="s">
        <v>689</v>
      </c>
      <c r="AD333" s="174" t="s">
        <v>690</v>
      </c>
      <c r="AE333" s="175" t="s">
        <v>691</v>
      </c>
      <c r="AF333" s="175" t="s">
        <v>1064</v>
      </c>
      <c r="AG333" s="174" t="s">
        <v>692</v>
      </c>
      <c r="AH333" s="174" t="s">
        <v>693</v>
      </c>
      <c r="AI333" s="174" t="s">
        <v>550</v>
      </c>
      <c r="AJ333" s="174" t="s">
        <v>551</v>
      </c>
      <c r="AK333" s="174" t="s">
        <v>694</v>
      </c>
      <c r="AL333" s="174" t="s">
        <v>695</v>
      </c>
      <c r="AM333" s="174" t="s">
        <v>553</v>
      </c>
      <c r="AN333" s="174" t="s">
        <v>696</v>
      </c>
      <c r="AO333" s="174" t="s">
        <v>554</v>
      </c>
      <c r="AP333" s="174" t="s">
        <v>697</v>
      </c>
      <c r="AQ333" s="174" t="s">
        <v>555</v>
      </c>
      <c r="AR333" s="174" t="s">
        <v>556</v>
      </c>
      <c r="AS333" s="174" t="s">
        <v>557</v>
      </c>
      <c r="AT333" s="174" t="s">
        <v>558</v>
      </c>
      <c r="AU333" s="174" t="s">
        <v>698</v>
      </c>
      <c r="AV333" s="174" t="s">
        <v>699</v>
      </c>
      <c r="AW333" s="174" t="s">
        <v>559</v>
      </c>
      <c r="AX333" s="174" t="s">
        <v>530</v>
      </c>
      <c r="AY333" s="174" t="s">
        <v>700</v>
      </c>
      <c r="AZ333" s="174" t="s">
        <v>701</v>
      </c>
      <c r="BA333" s="174" t="s">
        <v>560</v>
      </c>
      <c r="BB333" s="174" t="s">
        <v>561</v>
      </c>
      <c r="BC333" s="174" t="s">
        <v>702</v>
      </c>
      <c r="BD333" s="174" t="s">
        <v>562</v>
      </c>
      <c r="BE333" s="174" t="s">
        <v>703</v>
      </c>
      <c r="BF333" t="s">
        <v>704</v>
      </c>
      <c r="BG333" t="s">
        <v>705</v>
      </c>
      <c r="BH333" t="s">
        <v>706</v>
      </c>
      <c r="BI333" t="s">
        <v>707</v>
      </c>
      <c r="BJ333" t="s">
        <v>708</v>
      </c>
      <c r="BK333" t="s">
        <v>709</v>
      </c>
      <c r="BL333" t="s">
        <v>710</v>
      </c>
      <c r="BM333" t="s">
        <v>711</v>
      </c>
    </row>
    <row r="334" spans="1:65" x14ac:dyDescent="0.25">
      <c r="B334">
        <v>320</v>
      </c>
      <c r="C334" t="s">
        <v>400</v>
      </c>
      <c r="D334">
        <v>0.18495200000000001</v>
      </c>
      <c r="E334">
        <v>0.176562</v>
      </c>
      <c r="H334">
        <v>0.27516299999999999</v>
      </c>
      <c r="J334">
        <v>0.24857099999999999</v>
      </c>
      <c r="K334">
        <v>0.27694800000000003</v>
      </c>
      <c r="L334">
        <v>0.23913999999999999</v>
      </c>
      <c r="M334">
        <v>0.24472099999999999</v>
      </c>
      <c r="N334">
        <v>0.222551</v>
      </c>
      <c r="O334">
        <v>0.255081</v>
      </c>
      <c r="Q334">
        <v>0.24590899999999999</v>
      </c>
      <c r="R334">
        <v>0.209538</v>
      </c>
      <c r="V334">
        <v>0.21942700000000001</v>
      </c>
      <c r="W334">
        <v>0.30190899999999998</v>
      </c>
      <c r="X334">
        <v>0.186363</v>
      </c>
      <c r="Y334">
        <v>0.35038200000000003</v>
      </c>
      <c r="Z334">
        <v>0.1767</v>
      </c>
      <c r="AA334">
        <v>0.227438</v>
      </c>
      <c r="AB334">
        <v>0.213947</v>
      </c>
      <c r="AF334">
        <f>'User Add-In Location'!E335</f>
        <v>0</v>
      </c>
      <c r="AI334">
        <v>0.33577000000000001</v>
      </c>
      <c r="AJ334">
        <v>0.27244400000000002</v>
      </c>
      <c r="AL334">
        <v>0.17929899999999999</v>
      </c>
      <c r="AM334">
        <v>0.19577</v>
      </c>
      <c r="AO334">
        <v>0.18449299999999999</v>
      </c>
      <c r="AQ334">
        <v>0.26916400000000001</v>
      </c>
      <c r="AR334">
        <v>0.25130799999999998</v>
      </c>
      <c r="AS334">
        <v>0.29877900000000002</v>
      </c>
      <c r="AT334">
        <v>0.105825</v>
      </c>
      <c r="AW334">
        <v>0.190165</v>
      </c>
      <c r="AX334" s="176">
        <v>0.46216499999999999</v>
      </c>
      <c r="BA334">
        <v>0.15874199999999999</v>
      </c>
      <c r="BB334">
        <v>0.24804499999999999</v>
      </c>
      <c r="BD334">
        <v>0.16519400000000001</v>
      </c>
      <c r="BF334">
        <v>0.25026199999999998</v>
      </c>
      <c r="BG334">
        <v>0.277671</v>
      </c>
      <c r="BH334">
        <v>0.25469999999999998</v>
      </c>
      <c r="BI334">
        <v>0.22795499999999999</v>
      </c>
      <c r="BJ334">
        <v>0.23025999999999999</v>
      </c>
      <c r="BK334">
        <v>0.227969</v>
      </c>
      <c r="BL334">
        <v>0.35785400000000001</v>
      </c>
      <c r="BM334">
        <v>0.22802600000000001</v>
      </c>
    </row>
    <row r="335" spans="1:65" x14ac:dyDescent="0.25">
      <c r="B335">
        <v>321</v>
      </c>
      <c r="C335" t="s">
        <v>583</v>
      </c>
      <c r="D335">
        <v>0.10109899999999999</v>
      </c>
      <c r="E335">
        <v>0.16014999999999999</v>
      </c>
      <c r="H335">
        <v>0.18337600000000001</v>
      </c>
      <c r="J335">
        <v>0.25100800000000001</v>
      </c>
      <c r="K335">
        <v>0.13236300000000001</v>
      </c>
      <c r="L335">
        <v>0.17271700000000001</v>
      </c>
      <c r="M335">
        <v>0.17227300000000001</v>
      </c>
      <c r="N335">
        <v>0.206348</v>
      </c>
      <c r="O335">
        <v>0.113909</v>
      </c>
      <c r="Q335">
        <v>0.25523099999999999</v>
      </c>
      <c r="R335">
        <v>0.16350300000000001</v>
      </c>
      <c r="V335">
        <v>0.22939599999999999</v>
      </c>
      <c r="W335">
        <v>0.136988</v>
      </c>
      <c r="X335">
        <v>0.16275600000000001</v>
      </c>
      <c r="Y335">
        <v>0.24526999999999999</v>
      </c>
      <c r="Z335">
        <v>0.188329</v>
      </c>
      <c r="AA335">
        <v>0.32221899999999998</v>
      </c>
      <c r="AB335">
        <v>0.148198</v>
      </c>
      <c r="AF335">
        <f>'User Add-In Location'!E336</f>
        <v>0</v>
      </c>
      <c r="AI335">
        <v>0.23686399999999999</v>
      </c>
      <c r="AJ335">
        <v>0.53395099999999995</v>
      </c>
      <c r="AL335">
        <v>0.83562499999999995</v>
      </c>
      <c r="AM335">
        <v>0.118913</v>
      </c>
      <c r="AO335">
        <v>8.5070999999999994E-2</v>
      </c>
      <c r="AQ335">
        <v>0.16331799999999999</v>
      </c>
      <c r="AR335">
        <v>0.20236699999999999</v>
      </c>
      <c r="AS335">
        <v>0.13459199999999999</v>
      </c>
      <c r="AT335">
        <v>8.2631999999999997E-2</v>
      </c>
      <c r="AW335">
        <v>0.27381800000000001</v>
      </c>
      <c r="AX335" s="176">
        <v>0.48869699999999999</v>
      </c>
      <c r="BA335">
        <v>0.21263899999999999</v>
      </c>
      <c r="BB335">
        <v>0.108443</v>
      </c>
      <c r="BD335">
        <v>0.15030199999999999</v>
      </c>
      <c r="BF335">
        <v>0.28478799999999999</v>
      </c>
      <c r="BG335">
        <v>0.18112200000000001</v>
      </c>
      <c r="BH335">
        <v>0.40697699999999998</v>
      </c>
      <c r="BI335">
        <v>0.21254600000000001</v>
      </c>
      <c r="BJ335">
        <v>0.68571700000000002</v>
      </c>
      <c r="BK335">
        <v>0.206618</v>
      </c>
      <c r="BL335">
        <v>0.25981100000000001</v>
      </c>
      <c r="BM335">
        <v>0.66078099999999995</v>
      </c>
    </row>
    <row r="336" spans="1:65" x14ac:dyDescent="0.25">
      <c r="B336">
        <v>322</v>
      </c>
      <c r="C336" t="s">
        <v>403</v>
      </c>
      <c r="D336">
        <v>0.11500199999999999</v>
      </c>
      <c r="E336">
        <v>8.5607000000000003E-2</v>
      </c>
      <c r="H336">
        <v>0.145458</v>
      </c>
      <c r="J336">
        <v>0</v>
      </c>
      <c r="K336">
        <v>0</v>
      </c>
      <c r="L336">
        <v>0</v>
      </c>
      <c r="M336">
        <v>0.106075</v>
      </c>
      <c r="N336">
        <v>0</v>
      </c>
      <c r="O336">
        <v>0</v>
      </c>
      <c r="Q336">
        <v>0.20044899999999999</v>
      </c>
      <c r="R336">
        <v>0.16950599999999999</v>
      </c>
      <c r="V336">
        <v>0.118256</v>
      </c>
      <c r="W336">
        <v>0</v>
      </c>
      <c r="X336">
        <v>0.139849</v>
      </c>
      <c r="Y336">
        <v>0</v>
      </c>
      <c r="Z336">
        <v>0</v>
      </c>
      <c r="AA336">
        <v>0</v>
      </c>
      <c r="AB336">
        <v>0.103798</v>
      </c>
      <c r="AF336">
        <f>'User Add-In Location'!E337</f>
        <v>0</v>
      </c>
      <c r="AI336">
        <v>0</v>
      </c>
      <c r="AJ336">
        <v>0</v>
      </c>
      <c r="AL336">
        <v>0</v>
      </c>
      <c r="AM336">
        <v>0</v>
      </c>
      <c r="AO336">
        <v>0.34137699999999999</v>
      </c>
      <c r="AQ336">
        <v>0</v>
      </c>
      <c r="AR336">
        <v>0.175564</v>
      </c>
      <c r="AS336">
        <v>0</v>
      </c>
      <c r="AT336">
        <v>0</v>
      </c>
      <c r="AW336">
        <v>0.15639600000000001</v>
      </c>
      <c r="AX336" s="176">
        <v>0.35242499999999999</v>
      </c>
      <c r="BA336">
        <v>0.13946800000000001</v>
      </c>
      <c r="BB336">
        <v>0.24038899999999999</v>
      </c>
      <c r="BD336">
        <v>0</v>
      </c>
      <c r="BF336">
        <v>0.160938</v>
      </c>
      <c r="BG336">
        <v>0.27103699999999997</v>
      </c>
      <c r="BH336">
        <v>0.168133</v>
      </c>
      <c r="BI336">
        <v>0.20099800000000001</v>
      </c>
      <c r="BJ336">
        <v>0.157027</v>
      </c>
      <c r="BK336">
        <v>0.15123400000000001</v>
      </c>
      <c r="BL336">
        <v>0</v>
      </c>
      <c r="BM336">
        <v>0</v>
      </c>
    </row>
    <row r="337" spans="2:65" x14ac:dyDescent="0.25">
      <c r="B337">
        <v>323</v>
      </c>
      <c r="C337" t="s">
        <v>584</v>
      </c>
      <c r="D337">
        <v>0.10410999999999999</v>
      </c>
      <c r="E337">
        <v>0.122681</v>
      </c>
      <c r="H337">
        <v>0.177175</v>
      </c>
      <c r="J337">
        <v>0.124114</v>
      </c>
      <c r="K337">
        <v>0.15204200000000001</v>
      </c>
      <c r="L337">
        <v>0.15906000000000001</v>
      </c>
      <c r="M337">
        <v>0.13772100000000001</v>
      </c>
      <c r="N337">
        <v>0.17552799999999999</v>
      </c>
      <c r="O337">
        <v>0.13628199999999999</v>
      </c>
      <c r="Q337">
        <v>0.219667</v>
      </c>
      <c r="R337">
        <v>0.17075199999999999</v>
      </c>
      <c r="V337">
        <v>0.19548199999999999</v>
      </c>
      <c r="W337">
        <v>0.147679</v>
      </c>
      <c r="X337">
        <v>0.14658599999999999</v>
      </c>
      <c r="Y337">
        <v>0.18910099999999999</v>
      </c>
      <c r="Z337">
        <v>0.132664</v>
      </c>
      <c r="AA337">
        <v>0.198494</v>
      </c>
      <c r="AB337">
        <v>0.135461</v>
      </c>
      <c r="AF337">
        <f>'User Add-In Location'!E338</f>
        <v>0</v>
      </c>
      <c r="AI337">
        <v>0.22284300000000001</v>
      </c>
      <c r="AJ337">
        <v>0.43909900000000002</v>
      </c>
      <c r="AL337">
        <v>0.27039099999999999</v>
      </c>
      <c r="AM337">
        <v>0.159417</v>
      </c>
      <c r="AO337">
        <v>0.154249</v>
      </c>
      <c r="AQ337">
        <v>0.19071199999999999</v>
      </c>
      <c r="AR337">
        <v>0.164767</v>
      </c>
      <c r="AS337">
        <v>0.136264</v>
      </c>
      <c r="AT337">
        <v>0.103215</v>
      </c>
      <c r="AW337">
        <v>0.24521899999999999</v>
      </c>
      <c r="AX337" s="176">
        <v>0.42444799999999999</v>
      </c>
      <c r="BA337">
        <v>0.149977</v>
      </c>
      <c r="BB337">
        <v>0.22173200000000001</v>
      </c>
      <c r="BD337">
        <v>0.112501</v>
      </c>
      <c r="BF337">
        <v>0.247089</v>
      </c>
      <c r="BG337">
        <v>0.196243</v>
      </c>
      <c r="BH337">
        <v>0.24257300000000001</v>
      </c>
      <c r="BI337">
        <v>0.193274</v>
      </c>
      <c r="BJ337">
        <v>0.307952</v>
      </c>
      <c r="BK337">
        <v>0.18596399999999999</v>
      </c>
      <c r="BL337">
        <v>0.213809</v>
      </c>
      <c r="BM337">
        <v>0.25328000000000001</v>
      </c>
    </row>
    <row r="338" spans="2:65" x14ac:dyDescent="0.25">
      <c r="B338">
        <v>324</v>
      </c>
      <c r="C338" t="s">
        <v>585</v>
      </c>
      <c r="D338">
        <v>0.14238200000000001</v>
      </c>
      <c r="E338">
        <v>0</v>
      </c>
      <c r="H338">
        <v>0</v>
      </c>
      <c r="J338">
        <v>0</v>
      </c>
      <c r="K338">
        <v>0</v>
      </c>
      <c r="L338">
        <v>0</v>
      </c>
      <c r="M338">
        <v>0.116239</v>
      </c>
      <c r="N338">
        <v>0</v>
      </c>
      <c r="O338">
        <v>0</v>
      </c>
      <c r="Q338">
        <v>0</v>
      </c>
      <c r="R338">
        <v>0</v>
      </c>
      <c r="V338">
        <v>0</v>
      </c>
      <c r="W338">
        <v>0</v>
      </c>
      <c r="X338">
        <v>0</v>
      </c>
      <c r="Y338">
        <v>0</v>
      </c>
      <c r="Z338">
        <v>0</v>
      </c>
      <c r="AA338">
        <v>0.113436</v>
      </c>
      <c r="AB338">
        <v>0</v>
      </c>
      <c r="AF338">
        <f>'User Add-In Location'!E339</f>
        <v>0</v>
      </c>
      <c r="AI338">
        <v>0</v>
      </c>
      <c r="AJ338">
        <v>0.37448100000000001</v>
      </c>
      <c r="AL338">
        <v>0</v>
      </c>
      <c r="AM338">
        <v>0</v>
      </c>
      <c r="AO338">
        <v>0</v>
      </c>
      <c r="AQ338">
        <v>0</v>
      </c>
      <c r="AR338">
        <v>0</v>
      </c>
      <c r="AS338">
        <v>0</v>
      </c>
      <c r="AT338">
        <v>0</v>
      </c>
      <c r="AW338">
        <v>0.17094500000000001</v>
      </c>
      <c r="AX338" s="176">
        <v>0.37189100000000003</v>
      </c>
      <c r="BA338">
        <v>0</v>
      </c>
      <c r="BB338">
        <v>0</v>
      </c>
      <c r="BD338">
        <v>0</v>
      </c>
      <c r="BF338">
        <v>0.16755700000000001</v>
      </c>
      <c r="BG338">
        <v>0</v>
      </c>
      <c r="BH338">
        <v>0.37588199999999999</v>
      </c>
      <c r="BI338">
        <v>0.104215</v>
      </c>
      <c r="BJ338">
        <v>0.35723500000000002</v>
      </c>
      <c r="BK338">
        <v>0</v>
      </c>
      <c r="BL338">
        <v>0</v>
      </c>
      <c r="BM338">
        <v>0</v>
      </c>
    </row>
    <row r="339" spans="2:65" x14ac:dyDescent="0.25">
      <c r="B339">
        <v>325</v>
      </c>
      <c r="C339" t="s">
        <v>586</v>
      </c>
      <c r="D339">
        <v>5.4980000000000001E-2</v>
      </c>
      <c r="E339">
        <v>0.108783</v>
      </c>
      <c r="H339">
        <v>0.134543</v>
      </c>
      <c r="J339">
        <v>0.10359599999999999</v>
      </c>
      <c r="K339">
        <v>9.6842999999999999E-2</v>
      </c>
      <c r="L339">
        <v>4.1375000000000002E-2</v>
      </c>
      <c r="M339">
        <v>0.101994</v>
      </c>
      <c r="N339">
        <v>0.144954</v>
      </c>
      <c r="O339">
        <v>8.9949000000000001E-2</v>
      </c>
      <c r="Q339">
        <v>0.153781</v>
      </c>
      <c r="R339">
        <v>9.5285999999999996E-2</v>
      </c>
      <c r="V339">
        <v>0.11090800000000001</v>
      </c>
      <c r="W339">
        <v>7.6981999999999995E-2</v>
      </c>
      <c r="X339">
        <v>0.14427999999999999</v>
      </c>
      <c r="Y339">
        <v>0.13331999999999999</v>
      </c>
      <c r="Z339">
        <v>0.13222100000000001</v>
      </c>
      <c r="AA339">
        <v>0.15398600000000001</v>
      </c>
      <c r="AB339">
        <v>8.8220000000000007E-2</v>
      </c>
      <c r="AF339">
        <f>'User Add-In Location'!E340</f>
        <v>0</v>
      </c>
      <c r="AI339">
        <v>0.108694</v>
      </c>
      <c r="AJ339">
        <v>0.13619000000000001</v>
      </c>
      <c r="AL339">
        <v>0.13720399999999999</v>
      </c>
      <c r="AM339">
        <v>0.101773</v>
      </c>
      <c r="AO339">
        <v>0.102067</v>
      </c>
      <c r="AQ339">
        <v>0.11711299999999999</v>
      </c>
      <c r="AR339">
        <v>0.16608500000000001</v>
      </c>
      <c r="AS339">
        <v>5.0695999999999998E-2</v>
      </c>
      <c r="AT339">
        <v>7.5881000000000004E-2</v>
      </c>
      <c r="AW339">
        <v>0.149757</v>
      </c>
      <c r="AX339" s="176">
        <v>0.34285500000000002</v>
      </c>
      <c r="BA339">
        <v>0.118808</v>
      </c>
      <c r="BB339">
        <v>0.103572</v>
      </c>
      <c r="BD339">
        <v>0.113556</v>
      </c>
      <c r="BF339">
        <v>0.14898700000000001</v>
      </c>
      <c r="BG339">
        <v>0.1323</v>
      </c>
      <c r="BH339">
        <v>0.149116</v>
      </c>
      <c r="BI339">
        <v>0.15362999999999999</v>
      </c>
      <c r="BJ339">
        <v>0.15462300000000001</v>
      </c>
      <c r="BK339">
        <v>0.13011700000000001</v>
      </c>
      <c r="BL339">
        <v>0.138541</v>
      </c>
      <c r="BM339">
        <v>0.13749800000000001</v>
      </c>
    </row>
    <row r="340" spans="2:65" x14ac:dyDescent="0.25">
      <c r="B340">
        <v>326</v>
      </c>
      <c r="C340" t="s">
        <v>587</v>
      </c>
      <c r="D340">
        <v>0.24582000000000001</v>
      </c>
      <c r="E340">
        <v>7.2054000000000007E-2</v>
      </c>
      <c r="H340">
        <v>7.9104999999999995E-2</v>
      </c>
      <c r="J340">
        <v>5.4266000000000002E-2</v>
      </c>
      <c r="K340">
        <v>6.1196E-2</v>
      </c>
      <c r="L340">
        <v>3.3132000000000002E-2</v>
      </c>
      <c r="M340">
        <v>5.9072E-2</v>
      </c>
      <c r="N340">
        <v>6.0486999999999999E-2</v>
      </c>
      <c r="O340">
        <v>5.5308999999999997E-2</v>
      </c>
      <c r="Q340">
        <v>9.0431999999999998E-2</v>
      </c>
      <c r="R340">
        <v>5.5291E-2</v>
      </c>
      <c r="V340">
        <v>4.5397E-2</v>
      </c>
      <c r="W340">
        <v>5.2811999999999998E-2</v>
      </c>
      <c r="X340">
        <v>8.5188E-2</v>
      </c>
      <c r="Y340">
        <v>8.5688E-2</v>
      </c>
      <c r="Z340">
        <v>7.7321000000000001E-2</v>
      </c>
      <c r="AA340">
        <v>8.6221999999999993E-2</v>
      </c>
      <c r="AB340">
        <v>3.9815000000000003E-2</v>
      </c>
      <c r="AF340">
        <f>'User Add-In Location'!E341</f>
        <v>0</v>
      </c>
      <c r="AI340">
        <v>6.2025999999999998E-2</v>
      </c>
      <c r="AJ340">
        <v>7.5647000000000006E-2</v>
      </c>
      <c r="AL340">
        <v>7.2134000000000004E-2</v>
      </c>
      <c r="AM340">
        <v>5.6334000000000002E-2</v>
      </c>
      <c r="AO340">
        <v>5.0104999999999997E-2</v>
      </c>
      <c r="AQ340">
        <v>6.9974999999999996E-2</v>
      </c>
      <c r="AR340">
        <v>7.2739999999999999E-2</v>
      </c>
      <c r="AS340">
        <v>3.8073000000000003E-2</v>
      </c>
      <c r="AT340">
        <v>3.3549000000000002E-2</v>
      </c>
      <c r="AW340">
        <v>8.1403000000000003E-2</v>
      </c>
      <c r="AX340" s="176">
        <v>0.30640499999999998</v>
      </c>
      <c r="BA340">
        <v>6.2742000000000006E-2</v>
      </c>
      <c r="BB340">
        <v>3.9093000000000003E-2</v>
      </c>
      <c r="BD340">
        <v>7.1762000000000006E-2</v>
      </c>
      <c r="BF340">
        <v>7.5854000000000005E-2</v>
      </c>
      <c r="BG340">
        <v>6.6706000000000001E-2</v>
      </c>
      <c r="BH340">
        <v>7.8740000000000004E-2</v>
      </c>
      <c r="BI340">
        <v>8.0901000000000001E-2</v>
      </c>
      <c r="BJ340">
        <v>8.3153000000000005E-2</v>
      </c>
      <c r="BK340">
        <v>6.4808000000000004E-2</v>
      </c>
      <c r="BL340">
        <v>8.0956E-2</v>
      </c>
      <c r="BM340">
        <v>7.5185000000000002E-2</v>
      </c>
    </row>
    <row r="341" spans="2:65" x14ac:dyDescent="0.25">
      <c r="B341">
        <v>327</v>
      </c>
      <c r="C341" t="s">
        <v>588</v>
      </c>
      <c r="D341">
        <v>0.153834</v>
      </c>
      <c r="E341">
        <v>3.1468999999999997E-2</v>
      </c>
      <c r="H341">
        <v>0.176175</v>
      </c>
      <c r="J341">
        <v>0.35011199999999998</v>
      </c>
      <c r="K341">
        <v>0.16873199999999999</v>
      </c>
      <c r="L341">
        <v>6.0360999999999998E-2</v>
      </c>
      <c r="M341">
        <v>0.15981600000000001</v>
      </c>
      <c r="N341">
        <v>0.190721</v>
      </c>
      <c r="O341">
        <v>0.15115200000000001</v>
      </c>
      <c r="Q341">
        <v>0.20600499999999999</v>
      </c>
      <c r="R341">
        <v>0.169539</v>
      </c>
      <c r="V341">
        <v>0.21401899999999999</v>
      </c>
      <c r="W341">
        <v>0.13179299999999999</v>
      </c>
      <c r="X341">
        <v>0.18008299999999999</v>
      </c>
      <c r="Y341">
        <v>0.18984300000000001</v>
      </c>
      <c r="Z341">
        <v>0.20110800000000001</v>
      </c>
      <c r="AA341">
        <v>0.27375300000000002</v>
      </c>
      <c r="AB341">
        <v>0.14013</v>
      </c>
      <c r="AF341">
        <f>'User Add-In Location'!E342</f>
        <v>0</v>
      </c>
      <c r="AI341">
        <v>0.151812</v>
      </c>
      <c r="AJ341">
        <v>0.18360599999999999</v>
      </c>
      <c r="AL341">
        <v>0.20982400000000001</v>
      </c>
      <c r="AM341">
        <v>0.132239</v>
      </c>
      <c r="AO341">
        <v>0.20755299999999999</v>
      </c>
      <c r="AQ341">
        <v>0.17482500000000001</v>
      </c>
      <c r="AR341">
        <v>0.444712</v>
      </c>
      <c r="AS341">
        <v>9.9755999999999997E-2</v>
      </c>
      <c r="AT341">
        <v>0.102523</v>
      </c>
      <c r="AW341">
        <v>0.58508899999999997</v>
      </c>
      <c r="AX341" s="176">
        <v>0.550759</v>
      </c>
      <c r="BA341">
        <v>0.15818599999999999</v>
      </c>
      <c r="BB341">
        <v>0.105868</v>
      </c>
      <c r="BD341">
        <v>0.17336099999999999</v>
      </c>
      <c r="BF341">
        <v>0.51329999999999998</v>
      </c>
      <c r="BG341">
        <v>0.174316</v>
      </c>
      <c r="BH341">
        <v>0.22714100000000001</v>
      </c>
      <c r="BI341">
        <v>0.31039</v>
      </c>
      <c r="BJ341">
        <v>0.21024999999999999</v>
      </c>
      <c r="BK341">
        <v>0.183866</v>
      </c>
      <c r="BL341">
        <v>0.20091200000000001</v>
      </c>
      <c r="BM341">
        <v>0.242142</v>
      </c>
    </row>
    <row r="342" spans="2:65" x14ac:dyDescent="0.25">
      <c r="B342">
        <v>328</v>
      </c>
      <c r="C342" t="s">
        <v>348</v>
      </c>
      <c r="D342">
        <v>0.21438399999999999</v>
      </c>
      <c r="E342">
        <v>0.30172300000000002</v>
      </c>
      <c r="H342">
        <v>0.29175200000000001</v>
      </c>
      <c r="J342">
        <v>0.33835999999999999</v>
      </c>
      <c r="K342">
        <v>0.235323</v>
      </c>
      <c r="L342">
        <v>9.4580999999999998E-2</v>
      </c>
      <c r="M342">
        <v>0.256048</v>
      </c>
      <c r="N342">
        <v>0.25201299999999999</v>
      </c>
      <c r="O342">
        <v>0.27101199999999998</v>
      </c>
      <c r="Q342">
        <v>0.33949699999999999</v>
      </c>
      <c r="R342">
        <v>0.27627699999999999</v>
      </c>
      <c r="V342">
        <v>0.28653600000000001</v>
      </c>
      <c r="W342">
        <v>0.28277400000000003</v>
      </c>
      <c r="X342">
        <v>0.287632</v>
      </c>
      <c r="Y342">
        <v>0.338557</v>
      </c>
      <c r="Z342">
        <v>0.27914499999999998</v>
      </c>
      <c r="AA342">
        <v>0.37944299999999997</v>
      </c>
      <c r="AB342">
        <v>0.208454</v>
      </c>
      <c r="AF342">
        <f>'User Add-In Location'!E343</f>
        <v>0</v>
      </c>
      <c r="AI342">
        <v>0.41031600000000001</v>
      </c>
      <c r="AJ342">
        <v>0.34248499999999998</v>
      </c>
      <c r="AL342">
        <v>0.27340399999999998</v>
      </c>
      <c r="AM342">
        <v>0.244308</v>
      </c>
      <c r="AO342">
        <v>0.26421299999999998</v>
      </c>
      <c r="AQ342">
        <v>0.30932599999999999</v>
      </c>
      <c r="AR342">
        <v>0.36008000000000001</v>
      </c>
      <c r="AS342">
        <v>0.217532</v>
      </c>
      <c r="AT342">
        <v>0.170297</v>
      </c>
      <c r="AW342">
        <v>0.32839299999999999</v>
      </c>
      <c r="AX342" s="176">
        <v>0.58840899999999996</v>
      </c>
      <c r="BA342">
        <v>0.26656800000000003</v>
      </c>
      <c r="BB342">
        <v>0.23657700000000001</v>
      </c>
      <c r="BD342">
        <v>0.301759</v>
      </c>
      <c r="BF342">
        <v>0.32952900000000002</v>
      </c>
      <c r="BG342">
        <v>0.29194799999999999</v>
      </c>
      <c r="BH342">
        <v>0.33588400000000002</v>
      </c>
      <c r="BI342">
        <v>0.34375800000000001</v>
      </c>
      <c r="BJ342">
        <v>0.32171499999999997</v>
      </c>
      <c r="BK342">
        <v>0.28670200000000001</v>
      </c>
      <c r="BL342">
        <v>0.37185600000000002</v>
      </c>
      <c r="BM342">
        <v>0.31179699999999999</v>
      </c>
    </row>
    <row r="343" spans="2:65" x14ac:dyDescent="0.25">
      <c r="B343">
        <v>329</v>
      </c>
      <c r="C343" t="s">
        <v>589</v>
      </c>
      <c r="D343">
        <v>0.24188499999999999</v>
      </c>
      <c r="E343">
        <v>0.26061800000000002</v>
      </c>
      <c r="H343">
        <v>0.26086199999999998</v>
      </c>
      <c r="J343">
        <v>0.34959899999999999</v>
      </c>
      <c r="K343">
        <v>0.20743400000000001</v>
      </c>
      <c r="L343">
        <v>8.6625999999999995E-2</v>
      </c>
      <c r="M343">
        <v>0.22256899999999999</v>
      </c>
      <c r="N343">
        <v>0.22334899999999999</v>
      </c>
      <c r="O343">
        <v>0.241399</v>
      </c>
      <c r="Q343">
        <v>0.30321799999999999</v>
      </c>
      <c r="R343">
        <v>0.25532500000000002</v>
      </c>
      <c r="V343">
        <v>0.27595999999999998</v>
      </c>
      <c r="W343">
        <v>0.31425999999999998</v>
      </c>
      <c r="X343">
        <v>0.27025300000000002</v>
      </c>
      <c r="Y343">
        <v>0.33740599999999998</v>
      </c>
      <c r="Z343">
        <v>0.24834000000000001</v>
      </c>
      <c r="AA343">
        <v>0.33043499999999998</v>
      </c>
      <c r="AB343">
        <v>0.198159</v>
      </c>
      <c r="AF343">
        <f>'User Add-In Location'!E344</f>
        <v>0</v>
      </c>
      <c r="AI343">
        <v>0.52504899999999999</v>
      </c>
      <c r="AJ343">
        <v>0.31916</v>
      </c>
      <c r="AL343">
        <v>0.247999</v>
      </c>
      <c r="AM343">
        <v>0.23371500000000001</v>
      </c>
      <c r="AO343">
        <v>0.25631100000000001</v>
      </c>
      <c r="AQ343">
        <v>0.29023199999999999</v>
      </c>
      <c r="AR343">
        <v>0.31601499999999999</v>
      </c>
      <c r="AS343">
        <v>0.203877</v>
      </c>
      <c r="AT343">
        <v>0.14813699999999999</v>
      </c>
      <c r="AW343">
        <v>0.30318899999999999</v>
      </c>
      <c r="AX343" s="176">
        <v>0.53485199999999999</v>
      </c>
      <c r="BA343">
        <v>0.240255</v>
      </c>
      <c r="BB343">
        <v>0.21299299999999999</v>
      </c>
      <c r="BD343">
        <v>0.268455</v>
      </c>
      <c r="BF343">
        <v>0.30032300000000001</v>
      </c>
      <c r="BG343">
        <v>0.26229599999999997</v>
      </c>
      <c r="BH343">
        <v>0.31128400000000001</v>
      </c>
      <c r="BI343">
        <v>0.30886000000000002</v>
      </c>
      <c r="BJ343">
        <v>0.29482799999999998</v>
      </c>
      <c r="BK343">
        <v>0.25875399999999998</v>
      </c>
      <c r="BL343">
        <v>0.38576500000000002</v>
      </c>
      <c r="BM343">
        <v>0.29343599999999997</v>
      </c>
    </row>
    <row r="344" spans="2:65" x14ac:dyDescent="0.25">
      <c r="B344">
        <v>330</v>
      </c>
      <c r="C344" t="s">
        <v>590</v>
      </c>
      <c r="D344">
        <v>0.169101</v>
      </c>
      <c r="E344">
        <v>0.28193000000000001</v>
      </c>
      <c r="H344">
        <v>0.26047799999999999</v>
      </c>
      <c r="J344">
        <v>0.322768</v>
      </c>
      <c r="K344">
        <v>0.202901</v>
      </c>
      <c r="L344">
        <v>8.3950999999999998E-2</v>
      </c>
      <c r="M344">
        <v>0.21815399999999999</v>
      </c>
      <c r="N344">
        <v>0.21610599999999999</v>
      </c>
      <c r="O344">
        <v>0.23522999999999999</v>
      </c>
      <c r="Q344">
        <v>0.29969499999999999</v>
      </c>
      <c r="R344">
        <v>0.24329600000000001</v>
      </c>
      <c r="V344">
        <v>0.25758999999999999</v>
      </c>
      <c r="W344">
        <v>0.266434</v>
      </c>
      <c r="X344">
        <v>0.25583600000000001</v>
      </c>
      <c r="Y344">
        <v>0.31229400000000002</v>
      </c>
      <c r="Z344">
        <v>0.24435399999999999</v>
      </c>
      <c r="AA344">
        <v>0.33987099999999998</v>
      </c>
      <c r="AB344">
        <v>0.18493999999999999</v>
      </c>
      <c r="AF344">
        <f>'User Add-In Location'!E345</f>
        <v>0</v>
      </c>
      <c r="AI344">
        <v>0.418128</v>
      </c>
      <c r="AJ344">
        <v>0.30640299999999998</v>
      </c>
      <c r="AL344">
        <v>0.2437</v>
      </c>
      <c r="AM344">
        <v>0.21815699999999999</v>
      </c>
      <c r="AO344">
        <v>0.237266</v>
      </c>
      <c r="AQ344">
        <v>0.275868</v>
      </c>
      <c r="AR344">
        <v>0.31948700000000002</v>
      </c>
      <c r="AS344">
        <v>0.193601</v>
      </c>
      <c r="AT344">
        <v>0.14478099999999999</v>
      </c>
      <c r="AW344">
        <v>0.2928</v>
      </c>
      <c r="AX344" s="176">
        <v>0.54487699999999994</v>
      </c>
      <c r="BA344">
        <v>0.234734</v>
      </c>
      <c r="BB344">
        <v>0.20899400000000001</v>
      </c>
      <c r="BD344">
        <v>0.268264</v>
      </c>
      <c r="BF344">
        <v>0.29055399999999998</v>
      </c>
      <c r="BG344">
        <v>0.26034000000000002</v>
      </c>
      <c r="BH344">
        <v>0.30027599999999999</v>
      </c>
      <c r="BI344">
        <v>0.304981</v>
      </c>
      <c r="BJ344">
        <v>0.28673199999999999</v>
      </c>
      <c r="BK344">
        <v>0.25077700000000003</v>
      </c>
      <c r="BL344">
        <v>0.34835300000000002</v>
      </c>
      <c r="BM344">
        <v>0.28242499999999998</v>
      </c>
    </row>
    <row r="345" spans="2:65" x14ac:dyDescent="0.25">
      <c r="B345">
        <v>331</v>
      </c>
      <c r="C345" t="s">
        <v>591</v>
      </c>
      <c r="D345">
        <v>0.182945</v>
      </c>
      <c r="E345">
        <v>0.12135899999999999</v>
      </c>
      <c r="H345">
        <v>0.17869299999999999</v>
      </c>
      <c r="J345">
        <v>0.21093100000000001</v>
      </c>
      <c r="K345">
        <v>0.12543499999999999</v>
      </c>
      <c r="L345">
        <v>4.4741000000000003E-2</v>
      </c>
      <c r="M345">
        <v>0.159716</v>
      </c>
      <c r="N345">
        <v>0.14493800000000001</v>
      </c>
      <c r="O345">
        <v>0.115726</v>
      </c>
      <c r="Q345">
        <v>0.19994600000000001</v>
      </c>
      <c r="R345">
        <v>0.145785</v>
      </c>
      <c r="V345">
        <v>0.12576699999999999</v>
      </c>
      <c r="W345">
        <v>0.15187500000000001</v>
      </c>
      <c r="X345">
        <v>0.150863</v>
      </c>
      <c r="Y345">
        <v>0.18462100000000001</v>
      </c>
      <c r="Z345">
        <v>0.15625900000000001</v>
      </c>
      <c r="AA345">
        <v>0.232354</v>
      </c>
      <c r="AB345">
        <v>0.121935</v>
      </c>
      <c r="AF345">
        <f>'User Add-In Location'!E346</f>
        <v>0</v>
      </c>
      <c r="AI345">
        <v>0.219196</v>
      </c>
      <c r="AJ345">
        <v>0.20786199999999999</v>
      </c>
      <c r="AL345">
        <v>0.15969800000000001</v>
      </c>
      <c r="AM345">
        <v>0.12590699999999999</v>
      </c>
      <c r="AO345">
        <v>0.143377</v>
      </c>
      <c r="AQ345">
        <v>0.18309300000000001</v>
      </c>
      <c r="AR345">
        <v>0.225326</v>
      </c>
      <c r="AS345">
        <v>0.119892</v>
      </c>
      <c r="AT345">
        <v>9.0944999999999998E-2</v>
      </c>
      <c r="AW345">
        <v>0.182253</v>
      </c>
      <c r="AX345" s="176">
        <v>0.39899200000000001</v>
      </c>
      <c r="BA345">
        <v>0.142596</v>
      </c>
      <c r="BB345">
        <v>0.13184799999999999</v>
      </c>
      <c r="BD345">
        <v>0.17519100000000001</v>
      </c>
      <c r="BF345">
        <v>0.19159699999999999</v>
      </c>
      <c r="BG345">
        <v>0.17680899999999999</v>
      </c>
      <c r="BH345">
        <v>0.195268</v>
      </c>
      <c r="BI345">
        <v>0.20220199999999999</v>
      </c>
      <c r="BJ345">
        <v>0.188668</v>
      </c>
      <c r="BK345">
        <v>0.162246</v>
      </c>
      <c r="BL345">
        <v>0.20616499999999999</v>
      </c>
      <c r="BM345">
        <v>0.18501999999999999</v>
      </c>
    </row>
    <row r="346" spans="2:65" x14ac:dyDescent="0.25">
      <c r="B346">
        <v>332</v>
      </c>
      <c r="C346" t="s">
        <v>592</v>
      </c>
      <c r="D346">
        <v>0.116101</v>
      </c>
      <c r="E346">
        <v>0.162718</v>
      </c>
      <c r="H346">
        <v>0.18548600000000001</v>
      </c>
      <c r="J346">
        <v>0.20618</v>
      </c>
      <c r="K346">
        <v>0.14391399999999999</v>
      </c>
      <c r="L346">
        <v>3.2898999999999998E-2</v>
      </c>
      <c r="M346">
        <v>0.14221200000000001</v>
      </c>
      <c r="N346">
        <v>0.137429</v>
      </c>
      <c r="O346">
        <v>0.141429</v>
      </c>
      <c r="Q346">
        <v>0.20997299999999999</v>
      </c>
      <c r="R346">
        <v>0.17030699999999999</v>
      </c>
      <c r="V346">
        <v>0.15934400000000001</v>
      </c>
      <c r="W346">
        <v>0.14546799999999999</v>
      </c>
      <c r="X346">
        <v>0.14360200000000001</v>
      </c>
      <c r="Y346">
        <v>0.19789000000000001</v>
      </c>
      <c r="Z346">
        <v>0.17393500000000001</v>
      </c>
      <c r="AA346">
        <v>0.20233000000000001</v>
      </c>
      <c r="AB346">
        <v>0.11949700000000001</v>
      </c>
      <c r="AF346">
        <f>'User Add-In Location'!E347</f>
        <v>0</v>
      </c>
      <c r="AI346">
        <v>0.20943000000000001</v>
      </c>
      <c r="AJ346">
        <v>0.214477</v>
      </c>
      <c r="AL346">
        <v>0.14083599999999999</v>
      </c>
      <c r="AM346">
        <v>0.14815300000000001</v>
      </c>
      <c r="AO346">
        <v>0.163636</v>
      </c>
      <c r="AQ346">
        <v>0.174536</v>
      </c>
      <c r="AR346">
        <v>0.233123</v>
      </c>
      <c r="AS346">
        <v>0.1173</v>
      </c>
      <c r="AT346">
        <v>9.8974000000000006E-2</v>
      </c>
      <c r="AW346">
        <v>0.20006299999999999</v>
      </c>
      <c r="AX346" s="176">
        <v>0.40933999999999998</v>
      </c>
      <c r="BA346">
        <v>0.14842900000000001</v>
      </c>
      <c r="BB346">
        <v>0.155525</v>
      </c>
      <c r="BD346">
        <v>0.170848</v>
      </c>
      <c r="BF346">
        <v>0.201823</v>
      </c>
      <c r="BG346">
        <v>0.18629699999999999</v>
      </c>
      <c r="BH346">
        <v>0.20069500000000001</v>
      </c>
      <c r="BI346">
        <v>0.21265999999999999</v>
      </c>
      <c r="BJ346">
        <v>0.17580999999999999</v>
      </c>
      <c r="BK346">
        <v>0.17578099999999999</v>
      </c>
      <c r="BL346">
        <v>0.213812</v>
      </c>
      <c r="BM346">
        <v>0.17516799999999999</v>
      </c>
    </row>
    <row r="347" spans="2:65" x14ac:dyDescent="0.25">
      <c r="B347">
        <v>333</v>
      </c>
      <c r="C347" t="s">
        <v>593</v>
      </c>
      <c r="D347">
        <v>0.101256</v>
      </c>
      <c r="E347">
        <v>0.11755599999999999</v>
      </c>
      <c r="H347">
        <v>0.17836099999999999</v>
      </c>
      <c r="J347">
        <v>0.20050399999999999</v>
      </c>
      <c r="K347">
        <v>0.15600700000000001</v>
      </c>
      <c r="L347">
        <v>4.6123999999999998E-2</v>
      </c>
      <c r="M347">
        <v>0.15887299999999999</v>
      </c>
      <c r="N347">
        <v>0.149537</v>
      </c>
      <c r="O347">
        <v>0.16497300000000001</v>
      </c>
      <c r="Q347">
        <v>0.21279000000000001</v>
      </c>
      <c r="R347">
        <v>0.15840499999999999</v>
      </c>
      <c r="V347">
        <v>0.15570999999999999</v>
      </c>
      <c r="W347">
        <v>0.14158799999999999</v>
      </c>
      <c r="X347">
        <v>0.15810199999999999</v>
      </c>
      <c r="Y347">
        <v>0.19810900000000001</v>
      </c>
      <c r="Z347">
        <v>0.18199399999999999</v>
      </c>
      <c r="AA347">
        <v>0.20402799999999999</v>
      </c>
      <c r="AB347">
        <v>0.119797</v>
      </c>
      <c r="AF347">
        <f>'User Add-In Location'!E348</f>
        <v>0</v>
      </c>
      <c r="AI347">
        <v>0.19509299999999999</v>
      </c>
      <c r="AJ347">
        <v>0.21132899999999999</v>
      </c>
      <c r="AL347">
        <v>0.13620699999999999</v>
      </c>
      <c r="AM347">
        <v>0.14940999999999999</v>
      </c>
      <c r="AO347">
        <v>0.160358</v>
      </c>
      <c r="AQ347">
        <v>0.168512</v>
      </c>
      <c r="AR347">
        <v>0.20518800000000001</v>
      </c>
      <c r="AS347">
        <v>0.12574399999999999</v>
      </c>
      <c r="AT347">
        <v>9.9856E-2</v>
      </c>
      <c r="AW347">
        <v>0.19967699999999999</v>
      </c>
      <c r="AX347" s="176">
        <v>0.45016600000000001</v>
      </c>
      <c r="BA347">
        <v>0.16165399999999999</v>
      </c>
      <c r="BB347">
        <v>0.14188200000000001</v>
      </c>
      <c r="BD347">
        <v>0.15007899999999999</v>
      </c>
      <c r="BF347">
        <v>0.20149500000000001</v>
      </c>
      <c r="BG347">
        <v>0.17711099999999999</v>
      </c>
      <c r="BH347">
        <v>0.195246</v>
      </c>
      <c r="BI347">
        <v>0.19850200000000001</v>
      </c>
      <c r="BJ347">
        <v>0.178006</v>
      </c>
      <c r="BK347">
        <v>0.17394299999999999</v>
      </c>
      <c r="BL347">
        <v>0.20571600000000001</v>
      </c>
      <c r="BM347">
        <v>0.16639999999999999</v>
      </c>
    </row>
    <row r="348" spans="2:65" x14ac:dyDescent="0.25">
      <c r="B348">
        <v>334</v>
      </c>
      <c r="C348" t="s">
        <v>594</v>
      </c>
      <c r="D348">
        <v>0.11727700000000001</v>
      </c>
      <c r="E348">
        <v>0.181592</v>
      </c>
      <c r="H348">
        <v>0.21876100000000001</v>
      </c>
      <c r="J348">
        <v>0.214507</v>
      </c>
      <c r="K348">
        <v>0.14807000000000001</v>
      </c>
      <c r="L348">
        <v>3.9425000000000002E-2</v>
      </c>
      <c r="M348">
        <v>0.177699</v>
      </c>
      <c r="N348">
        <v>0.16176099999999999</v>
      </c>
      <c r="O348">
        <v>0.17663799999999999</v>
      </c>
      <c r="Q348">
        <v>0.228467</v>
      </c>
      <c r="R348">
        <v>0.14952299999999999</v>
      </c>
      <c r="V348">
        <v>0.19181400000000001</v>
      </c>
      <c r="W348">
        <v>0.19148799999999999</v>
      </c>
      <c r="X348">
        <v>0.203178</v>
      </c>
      <c r="Y348">
        <v>0.214253</v>
      </c>
      <c r="Z348">
        <v>0.19353200000000001</v>
      </c>
      <c r="AA348">
        <v>0.28135399999999999</v>
      </c>
      <c r="AB348">
        <v>0.121474</v>
      </c>
      <c r="AF348">
        <f>'User Add-In Location'!E349</f>
        <v>0</v>
      </c>
      <c r="AI348">
        <v>0.219249</v>
      </c>
      <c r="AJ348">
        <v>0.23819000000000001</v>
      </c>
      <c r="AL348">
        <v>0.183139</v>
      </c>
      <c r="AM348">
        <v>0.15166099999999999</v>
      </c>
      <c r="AO348">
        <v>0.15659000000000001</v>
      </c>
      <c r="AQ348">
        <v>0.201186</v>
      </c>
      <c r="AR348">
        <v>0.228464</v>
      </c>
      <c r="AS348">
        <v>0.121196</v>
      </c>
      <c r="AT348">
        <v>0.10532999999999999</v>
      </c>
      <c r="AW348">
        <v>0.21564900000000001</v>
      </c>
      <c r="AX348" s="176">
        <v>0.48514800000000002</v>
      </c>
      <c r="BA348">
        <v>0.18370700000000001</v>
      </c>
      <c r="BB348">
        <v>0.17111999999999999</v>
      </c>
      <c r="BD348">
        <v>0.228384</v>
      </c>
      <c r="BF348">
        <v>0.216057</v>
      </c>
      <c r="BG348">
        <v>0.21543000000000001</v>
      </c>
      <c r="BH348">
        <v>0.22253000000000001</v>
      </c>
      <c r="BI348">
        <v>0.219613</v>
      </c>
      <c r="BJ348">
        <v>0.220438</v>
      </c>
      <c r="BK348">
        <v>0.186081</v>
      </c>
      <c r="BL348">
        <v>0.23234399999999999</v>
      </c>
      <c r="BM348">
        <v>0.20607</v>
      </c>
    </row>
    <row r="349" spans="2:65" x14ac:dyDescent="0.25">
      <c r="B349">
        <v>335</v>
      </c>
      <c r="C349" t="s">
        <v>415</v>
      </c>
      <c r="D349">
        <v>0.107239</v>
      </c>
      <c r="E349">
        <v>0.13603299999999999</v>
      </c>
      <c r="H349">
        <v>0.202483</v>
      </c>
      <c r="J349">
        <v>0.21448600000000001</v>
      </c>
      <c r="K349">
        <v>0.14686199999999999</v>
      </c>
      <c r="L349">
        <v>0</v>
      </c>
      <c r="M349">
        <v>0.151757</v>
      </c>
      <c r="N349">
        <v>0.13034999999999999</v>
      </c>
      <c r="O349">
        <v>0</v>
      </c>
      <c r="Q349">
        <v>0.216144</v>
      </c>
      <c r="R349">
        <v>0.151057</v>
      </c>
      <c r="V349">
        <v>0.13612299999999999</v>
      </c>
      <c r="W349">
        <v>0.15887899999999999</v>
      </c>
      <c r="X349">
        <v>0.13017699999999999</v>
      </c>
      <c r="Y349">
        <v>0.208033</v>
      </c>
      <c r="Z349">
        <v>0.15332200000000001</v>
      </c>
      <c r="AA349">
        <v>0.218806</v>
      </c>
      <c r="AB349">
        <v>0.104799</v>
      </c>
      <c r="AF349">
        <f>'User Add-In Location'!E350</f>
        <v>0</v>
      </c>
      <c r="AI349">
        <v>0.214004</v>
      </c>
      <c r="AJ349">
        <v>0.243812</v>
      </c>
      <c r="AL349">
        <v>0.16832</v>
      </c>
      <c r="AM349">
        <v>0.13398399999999999</v>
      </c>
      <c r="AO349">
        <v>0.155279</v>
      </c>
      <c r="AQ349">
        <v>0.16708000000000001</v>
      </c>
      <c r="AR349">
        <v>0.23114100000000001</v>
      </c>
      <c r="AS349">
        <v>0.15886500000000001</v>
      </c>
      <c r="AT349">
        <v>0.109072</v>
      </c>
      <c r="AW349">
        <v>0.18631400000000001</v>
      </c>
      <c r="AX349" s="176">
        <v>0.400038</v>
      </c>
      <c r="BA349">
        <v>0.15812000000000001</v>
      </c>
      <c r="BB349">
        <v>0.153664</v>
      </c>
      <c r="BD349">
        <v>0.16064000000000001</v>
      </c>
      <c r="BF349">
        <v>0.18792300000000001</v>
      </c>
      <c r="BG349">
        <v>0.19969000000000001</v>
      </c>
      <c r="BH349">
        <v>0.20314299999999999</v>
      </c>
      <c r="BI349">
        <v>0.202736</v>
      </c>
      <c r="BJ349">
        <v>0.18825700000000001</v>
      </c>
      <c r="BK349">
        <v>0.176173</v>
      </c>
      <c r="BL349">
        <v>0.21990599999999999</v>
      </c>
      <c r="BM349">
        <v>0.19445100000000001</v>
      </c>
    </row>
    <row r="350" spans="2:65" x14ac:dyDescent="0.25">
      <c r="B350">
        <v>336</v>
      </c>
      <c r="C350" t="s">
        <v>595</v>
      </c>
      <c r="D350">
        <v>0.14477000000000001</v>
      </c>
      <c r="E350">
        <v>0.19339000000000001</v>
      </c>
      <c r="H350">
        <v>0.24163299999999999</v>
      </c>
      <c r="J350">
        <v>0.190752</v>
      </c>
      <c r="K350">
        <v>0.19132399999999999</v>
      </c>
      <c r="L350">
        <v>5.3469999999999997E-2</v>
      </c>
      <c r="M350">
        <v>0.21512600000000001</v>
      </c>
      <c r="N350">
        <v>0.188393</v>
      </c>
      <c r="O350">
        <v>0.10822</v>
      </c>
      <c r="Q350">
        <v>0.22308500000000001</v>
      </c>
      <c r="R350">
        <v>0.164964</v>
      </c>
      <c r="V350">
        <v>0.17732300000000001</v>
      </c>
      <c r="W350">
        <v>0.15456700000000001</v>
      </c>
      <c r="X350">
        <v>0.191942</v>
      </c>
      <c r="Y350">
        <v>0.22048899999999999</v>
      </c>
      <c r="Z350">
        <v>0.20830799999999999</v>
      </c>
      <c r="AA350">
        <v>0.26992899999999997</v>
      </c>
      <c r="AB350">
        <v>0.12773699999999999</v>
      </c>
      <c r="AF350">
        <f>'User Add-In Location'!E351</f>
        <v>0</v>
      </c>
      <c r="AI350">
        <v>0.24144199999999999</v>
      </c>
      <c r="AJ350">
        <v>0.22564500000000001</v>
      </c>
      <c r="AL350">
        <v>0.195413</v>
      </c>
      <c r="AM350">
        <v>0.14774699999999999</v>
      </c>
      <c r="AO350">
        <v>0.179481</v>
      </c>
      <c r="AQ350">
        <v>0.194356</v>
      </c>
      <c r="AR350">
        <v>0.245646</v>
      </c>
      <c r="AS350">
        <v>0.15528400000000001</v>
      </c>
      <c r="AT350">
        <v>0.108735</v>
      </c>
      <c r="AW350">
        <v>0.22029199999999999</v>
      </c>
      <c r="AX350" s="176">
        <v>0.45179799999999998</v>
      </c>
      <c r="BA350">
        <v>0.19409000000000001</v>
      </c>
      <c r="BB350">
        <v>0.14496300000000001</v>
      </c>
      <c r="BD350">
        <v>0.18668499999999999</v>
      </c>
      <c r="BF350">
        <v>0.23674700000000001</v>
      </c>
      <c r="BG350">
        <v>0.22231600000000001</v>
      </c>
      <c r="BH350">
        <v>0.23266500000000001</v>
      </c>
      <c r="BI350">
        <v>0.240399</v>
      </c>
      <c r="BJ350">
        <v>0.22803200000000001</v>
      </c>
      <c r="BK350">
        <v>0.192054</v>
      </c>
      <c r="BL350">
        <v>0.239676</v>
      </c>
      <c r="BM350">
        <v>0.21588499999999999</v>
      </c>
    </row>
    <row r="351" spans="2:65" x14ac:dyDescent="0.25">
      <c r="B351">
        <v>337</v>
      </c>
      <c r="C351" t="s">
        <v>417</v>
      </c>
      <c r="D351">
        <v>0.110903</v>
      </c>
      <c r="E351">
        <v>0.25858999999999999</v>
      </c>
      <c r="H351">
        <v>0.231154</v>
      </c>
      <c r="J351">
        <v>0.22755400000000001</v>
      </c>
      <c r="K351">
        <v>0.19822899999999999</v>
      </c>
      <c r="L351">
        <v>0.11848</v>
      </c>
      <c r="M351">
        <v>0.19267000000000001</v>
      </c>
      <c r="N351">
        <v>0.180871</v>
      </c>
      <c r="O351">
        <v>0.16690099999999999</v>
      </c>
      <c r="Q351">
        <v>0.24901300000000001</v>
      </c>
      <c r="R351">
        <v>0.17909</v>
      </c>
      <c r="V351">
        <v>0.17991099999999999</v>
      </c>
      <c r="W351">
        <v>0.173542</v>
      </c>
      <c r="X351">
        <v>0.19123599999999999</v>
      </c>
      <c r="Y351">
        <v>0.23080300000000001</v>
      </c>
      <c r="Z351">
        <v>0.208036</v>
      </c>
      <c r="AA351">
        <v>0.24202399999999999</v>
      </c>
      <c r="AB351">
        <v>0.13475400000000001</v>
      </c>
      <c r="AF351">
        <f>'User Add-In Location'!E352</f>
        <v>0</v>
      </c>
      <c r="AI351">
        <v>0.25833699999999998</v>
      </c>
      <c r="AJ351">
        <v>0.25484299999999999</v>
      </c>
      <c r="AL351">
        <v>0.19949600000000001</v>
      </c>
      <c r="AM351">
        <v>0.150535</v>
      </c>
      <c r="AO351">
        <v>0.16828499999999999</v>
      </c>
      <c r="AQ351">
        <v>0.20515800000000001</v>
      </c>
      <c r="AR351">
        <v>0.25739299999999998</v>
      </c>
      <c r="AS351">
        <v>0.154194</v>
      </c>
      <c r="AT351">
        <v>0.105251</v>
      </c>
      <c r="AW351">
        <v>0.233987</v>
      </c>
      <c r="AX351" s="176">
        <v>0.46621400000000002</v>
      </c>
      <c r="BA351">
        <v>0.17527000000000001</v>
      </c>
      <c r="BB351">
        <v>0.17558299999999999</v>
      </c>
      <c r="BD351">
        <v>0.195795</v>
      </c>
      <c r="BF351">
        <v>0.23704</v>
      </c>
      <c r="BG351">
        <v>0.22781499999999999</v>
      </c>
      <c r="BH351">
        <v>0.23605699999999999</v>
      </c>
      <c r="BI351">
        <v>0.240207</v>
      </c>
      <c r="BJ351">
        <v>0.23894000000000001</v>
      </c>
      <c r="BK351">
        <v>0.19158700000000001</v>
      </c>
      <c r="BL351">
        <v>0.25432399999999999</v>
      </c>
      <c r="BM351">
        <v>0.22441700000000001</v>
      </c>
    </row>
    <row r="352" spans="2:65" x14ac:dyDescent="0.25">
      <c r="B352">
        <v>338</v>
      </c>
      <c r="C352" t="s">
        <v>418</v>
      </c>
      <c r="D352">
        <v>0.20868</v>
      </c>
      <c r="E352">
        <v>0.21444199999999999</v>
      </c>
      <c r="H352">
        <v>0.228543</v>
      </c>
      <c r="J352">
        <v>0.25162000000000001</v>
      </c>
      <c r="K352">
        <v>0.21057600000000001</v>
      </c>
      <c r="L352">
        <v>9.3672000000000005E-2</v>
      </c>
      <c r="M352">
        <v>0.237765</v>
      </c>
      <c r="N352">
        <v>0.21861800000000001</v>
      </c>
      <c r="O352">
        <v>0.21662200000000001</v>
      </c>
      <c r="Q352">
        <v>0.27469900000000003</v>
      </c>
      <c r="R352">
        <v>0.22820499999999999</v>
      </c>
      <c r="V352">
        <v>0.217502</v>
      </c>
      <c r="W352">
        <v>0.21521999999999999</v>
      </c>
      <c r="X352">
        <v>0.24005499999999999</v>
      </c>
      <c r="Y352">
        <v>0.27013999999999999</v>
      </c>
      <c r="Z352">
        <v>0.24394399999999999</v>
      </c>
      <c r="AA352">
        <v>0.29986600000000002</v>
      </c>
      <c r="AB352">
        <v>0.16838800000000001</v>
      </c>
      <c r="AF352">
        <f>'User Add-In Location'!E353</f>
        <v>0</v>
      </c>
      <c r="AI352">
        <v>0.30066199999999998</v>
      </c>
      <c r="AJ352">
        <v>0.27380500000000002</v>
      </c>
      <c r="AL352">
        <v>0.22848199999999999</v>
      </c>
      <c r="AM352">
        <v>0.199271</v>
      </c>
      <c r="AO352">
        <v>0.21853800000000001</v>
      </c>
      <c r="AQ352">
        <v>0.26830500000000002</v>
      </c>
      <c r="AR352">
        <v>0.30235299999999998</v>
      </c>
      <c r="AS352">
        <v>0.18614800000000001</v>
      </c>
      <c r="AT352">
        <v>0.14909500000000001</v>
      </c>
      <c r="AW352">
        <v>0.25688499999999997</v>
      </c>
      <c r="AX352" s="176">
        <v>0.48353099999999999</v>
      </c>
      <c r="BA352">
        <v>0.229875</v>
      </c>
      <c r="BB352">
        <v>0.18690499999999999</v>
      </c>
      <c r="BD352">
        <v>0.247192</v>
      </c>
      <c r="BF352">
        <v>0.27096900000000002</v>
      </c>
      <c r="BG352">
        <v>0.23152300000000001</v>
      </c>
      <c r="BH352">
        <v>0.279941</v>
      </c>
      <c r="BI352">
        <v>0.28508099999999997</v>
      </c>
      <c r="BJ352">
        <v>0.26850299999999999</v>
      </c>
      <c r="BK352">
        <v>0.24441199999999999</v>
      </c>
      <c r="BL352">
        <v>0.29356300000000002</v>
      </c>
      <c r="BM352">
        <v>0.25324799999999997</v>
      </c>
    </row>
    <row r="353" spans="1:65" x14ac:dyDescent="0.25">
      <c r="B353">
        <v>339</v>
      </c>
      <c r="C353" t="s">
        <v>596</v>
      </c>
      <c r="D353">
        <v>0.18801399999999999</v>
      </c>
      <c r="E353">
        <v>0.22742699999999999</v>
      </c>
      <c r="H353">
        <v>0.29727199999999998</v>
      </c>
      <c r="J353">
        <v>0.33201000000000003</v>
      </c>
      <c r="K353">
        <v>0.24254000000000001</v>
      </c>
      <c r="L353">
        <v>0.178032</v>
      </c>
      <c r="M353">
        <v>0.247616</v>
      </c>
      <c r="N353">
        <v>0.226605</v>
      </c>
      <c r="O353">
        <v>0.18807399999999999</v>
      </c>
      <c r="Q353">
        <v>0.32523000000000002</v>
      </c>
      <c r="R353">
        <v>0.26680199999999998</v>
      </c>
      <c r="V353">
        <v>0.27978799999999998</v>
      </c>
      <c r="W353">
        <v>0.26021499999999997</v>
      </c>
      <c r="X353">
        <v>0.29558299999999998</v>
      </c>
      <c r="Y353">
        <v>0.30069200000000001</v>
      </c>
      <c r="Z353">
        <v>0.266675</v>
      </c>
      <c r="AA353">
        <v>0.34098099999999998</v>
      </c>
      <c r="AB353">
        <v>0.198911</v>
      </c>
      <c r="AF353">
        <f>'User Add-In Location'!E354</f>
        <v>0</v>
      </c>
      <c r="AI353">
        <v>0.31793500000000002</v>
      </c>
      <c r="AJ353">
        <v>0.33013300000000001</v>
      </c>
      <c r="AL353">
        <v>0.29779699999999998</v>
      </c>
      <c r="AM353">
        <v>0.223494</v>
      </c>
      <c r="AO353">
        <v>0.278202</v>
      </c>
      <c r="AQ353">
        <v>0.28735899999999998</v>
      </c>
      <c r="AR353">
        <v>0.37315999999999999</v>
      </c>
      <c r="AS353">
        <v>0.219001</v>
      </c>
      <c r="AT353">
        <v>0.18046699999999999</v>
      </c>
      <c r="AW353">
        <v>0.29806500000000002</v>
      </c>
      <c r="AX353" s="176">
        <v>0.56381599999999998</v>
      </c>
      <c r="BA353">
        <v>0.29234100000000002</v>
      </c>
      <c r="BB353">
        <v>0.23716300000000001</v>
      </c>
      <c r="BD353">
        <v>0.29183700000000001</v>
      </c>
      <c r="BF353">
        <v>0.308278</v>
      </c>
      <c r="BG353">
        <v>0.29519299999999998</v>
      </c>
      <c r="BH353">
        <v>0.33123399999999997</v>
      </c>
      <c r="BI353">
        <v>0.34383999999999998</v>
      </c>
      <c r="BJ353">
        <v>0.33529500000000001</v>
      </c>
      <c r="BK353">
        <v>0.277171</v>
      </c>
      <c r="BL353">
        <v>0.32557900000000001</v>
      </c>
      <c r="BM353">
        <v>0.31895200000000001</v>
      </c>
    </row>
    <row r="354" spans="1:65" x14ac:dyDescent="0.25">
      <c r="B354">
        <v>340</v>
      </c>
      <c r="C354" t="s">
        <v>597</v>
      </c>
      <c r="D354">
        <v>0.20049600000000001</v>
      </c>
      <c r="E354">
        <v>0.183917</v>
      </c>
      <c r="H354">
        <v>0.20640900000000001</v>
      </c>
      <c r="J354">
        <v>0.24040900000000001</v>
      </c>
      <c r="K354">
        <v>0.12273199999999999</v>
      </c>
      <c r="L354">
        <v>6.2911999999999996E-2</v>
      </c>
      <c r="M354">
        <v>0.191023</v>
      </c>
      <c r="N354">
        <v>0.173293</v>
      </c>
      <c r="O354">
        <v>0.171933</v>
      </c>
      <c r="Q354">
        <v>0.25314999999999999</v>
      </c>
      <c r="R354">
        <v>0.20599300000000001</v>
      </c>
      <c r="V354">
        <v>0.20513700000000001</v>
      </c>
      <c r="W354">
        <v>0.163966</v>
      </c>
      <c r="X354">
        <v>0.196353</v>
      </c>
      <c r="Y354">
        <v>0.22103400000000001</v>
      </c>
      <c r="Z354">
        <v>0.192967</v>
      </c>
      <c r="AA354">
        <v>0.49151699999999998</v>
      </c>
      <c r="AB354">
        <v>0.16253999999999999</v>
      </c>
      <c r="AF354">
        <f>'User Add-In Location'!E355</f>
        <v>0</v>
      </c>
      <c r="AI354">
        <v>0.105139</v>
      </c>
      <c r="AJ354">
        <v>0.29955799999999999</v>
      </c>
      <c r="AL354">
        <v>0.19209899999999999</v>
      </c>
      <c r="AM354">
        <v>0.140458</v>
      </c>
      <c r="AO354">
        <v>0.18576699999999999</v>
      </c>
      <c r="AQ354">
        <v>0.21809300000000001</v>
      </c>
      <c r="AR354">
        <v>0.26521</v>
      </c>
      <c r="AS354">
        <v>0.143229</v>
      </c>
      <c r="AT354">
        <v>0.12116300000000001</v>
      </c>
      <c r="AW354">
        <v>0.23347599999999999</v>
      </c>
      <c r="AX354" s="176">
        <v>0.48225600000000002</v>
      </c>
      <c r="BA354">
        <v>0.189835</v>
      </c>
      <c r="BB354">
        <v>0.16075600000000001</v>
      </c>
      <c r="BD354">
        <v>0.20255600000000001</v>
      </c>
      <c r="BF354">
        <v>0.240284</v>
      </c>
      <c r="BG354">
        <v>0.20723800000000001</v>
      </c>
      <c r="BH354">
        <v>0.24857599999999999</v>
      </c>
      <c r="BI354">
        <v>0.26833699999999999</v>
      </c>
      <c r="BJ354">
        <v>0.241478</v>
      </c>
      <c r="BK354">
        <v>0.20222699999999999</v>
      </c>
      <c r="BL354">
        <v>0.23144500000000001</v>
      </c>
      <c r="BM354">
        <v>0.22003900000000001</v>
      </c>
    </row>
    <row r="355" spans="1:65" x14ac:dyDescent="0.25">
      <c r="B355">
        <v>341</v>
      </c>
      <c r="C355" t="s">
        <v>598</v>
      </c>
      <c r="D355">
        <v>0.192742</v>
      </c>
      <c r="E355">
        <v>0.208532</v>
      </c>
      <c r="H355">
        <v>0.21983800000000001</v>
      </c>
      <c r="J355">
        <v>0.22454099999999999</v>
      </c>
      <c r="K355">
        <v>0.17533699999999999</v>
      </c>
      <c r="L355">
        <v>9.0410000000000004E-2</v>
      </c>
      <c r="M355">
        <v>0.22514100000000001</v>
      </c>
      <c r="N355">
        <v>0.21351300000000001</v>
      </c>
      <c r="O355">
        <v>0.19719500000000001</v>
      </c>
      <c r="Q355">
        <v>0.27406199999999997</v>
      </c>
      <c r="R355">
        <v>0.237155</v>
      </c>
      <c r="V355">
        <v>0.22092000000000001</v>
      </c>
      <c r="W355">
        <v>0.21710599999999999</v>
      </c>
      <c r="X355">
        <v>0.228824</v>
      </c>
      <c r="Y355">
        <v>0.24898500000000001</v>
      </c>
      <c r="Z355">
        <v>0.24032800000000001</v>
      </c>
      <c r="AA355">
        <v>0.30640400000000001</v>
      </c>
      <c r="AB355">
        <v>0.16587299999999999</v>
      </c>
      <c r="AF355">
        <f>'User Add-In Location'!E356</f>
        <v>0</v>
      </c>
      <c r="AI355">
        <v>0.25702799999999998</v>
      </c>
      <c r="AJ355">
        <v>0.26412600000000003</v>
      </c>
      <c r="AL355">
        <v>0.21692500000000001</v>
      </c>
      <c r="AM355">
        <v>0.19025600000000001</v>
      </c>
      <c r="AO355">
        <v>0.22472800000000001</v>
      </c>
      <c r="AQ355">
        <v>0.23829400000000001</v>
      </c>
      <c r="AR355">
        <v>0.30884899999999998</v>
      </c>
      <c r="AS355">
        <v>0.174985</v>
      </c>
      <c r="AT355">
        <v>0.143064</v>
      </c>
      <c r="AW355">
        <v>0.257052</v>
      </c>
      <c r="AX355" s="176">
        <v>0.47056100000000001</v>
      </c>
      <c r="BA355">
        <v>0.213057</v>
      </c>
      <c r="BB355">
        <v>0.172266</v>
      </c>
      <c r="BD355">
        <v>0.24088799999999999</v>
      </c>
      <c r="BF355">
        <v>0.26534600000000003</v>
      </c>
      <c r="BG355">
        <v>0.21984600000000001</v>
      </c>
      <c r="BH355">
        <v>0.26452300000000001</v>
      </c>
      <c r="BI355">
        <v>0.28255400000000003</v>
      </c>
      <c r="BJ355">
        <v>0.25504599999999999</v>
      </c>
      <c r="BK355">
        <v>0.233407</v>
      </c>
      <c r="BL355">
        <v>0.27034399999999997</v>
      </c>
      <c r="BM355">
        <v>0.236981</v>
      </c>
    </row>
    <row r="356" spans="1:65" x14ac:dyDescent="0.25">
      <c r="B356">
        <v>342</v>
      </c>
      <c r="C356" t="s">
        <v>599</v>
      </c>
      <c r="D356">
        <v>0.141207</v>
      </c>
      <c r="E356">
        <v>0.23238300000000001</v>
      </c>
      <c r="H356">
        <v>0.26334600000000002</v>
      </c>
      <c r="J356">
        <v>0.30459599999999998</v>
      </c>
      <c r="K356">
        <v>0.21731700000000001</v>
      </c>
      <c r="L356">
        <v>7.5191999999999995E-2</v>
      </c>
      <c r="M356">
        <v>0.229547</v>
      </c>
      <c r="N356">
        <v>0.23661199999999999</v>
      </c>
      <c r="O356">
        <v>0.21885399999999999</v>
      </c>
      <c r="Q356">
        <v>0.31659199999999998</v>
      </c>
      <c r="R356">
        <v>0.26634099999999999</v>
      </c>
      <c r="V356">
        <v>0.24340700000000001</v>
      </c>
      <c r="W356">
        <v>0.25594800000000001</v>
      </c>
      <c r="X356">
        <v>0.25204900000000002</v>
      </c>
      <c r="Y356">
        <v>0.29813000000000001</v>
      </c>
      <c r="Z356">
        <v>0.25675500000000001</v>
      </c>
      <c r="AA356">
        <v>0.33280700000000002</v>
      </c>
      <c r="AB356">
        <v>0.19477</v>
      </c>
      <c r="AF356">
        <f>'User Add-In Location'!E357</f>
        <v>0</v>
      </c>
      <c r="AI356">
        <v>0.29269000000000001</v>
      </c>
      <c r="AJ356">
        <v>0.31447199999999997</v>
      </c>
      <c r="AL356">
        <v>0.224831</v>
      </c>
      <c r="AM356">
        <v>0.21763099999999999</v>
      </c>
      <c r="AO356">
        <v>0.24968499999999999</v>
      </c>
      <c r="AQ356">
        <v>0.273729</v>
      </c>
      <c r="AR356">
        <v>0.344559</v>
      </c>
      <c r="AS356">
        <v>0.18089</v>
      </c>
      <c r="AT356">
        <v>0.160331</v>
      </c>
      <c r="AW356">
        <v>0.28525699999999998</v>
      </c>
      <c r="AX356" s="176">
        <v>0.54616500000000001</v>
      </c>
      <c r="BA356">
        <v>0.246116</v>
      </c>
      <c r="BB356">
        <v>0.20147399999999999</v>
      </c>
      <c r="BD356">
        <v>0.272096</v>
      </c>
      <c r="BF356">
        <v>0.29056300000000002</v>
      </c>
      <c r="BG356">
        <v>0.26185199999999997</v>
      </c>
      <c r="BH356">
        <v>0.300514</v>
      </c>
      <c r="BI356">
        <v>0.31542700000000001</v>
      </c>
      <c r="BJ356">
        <v>0.28270000000000001</v>
      </c>
      <c r="BK356">
        <v>0.26456000000000002</v>
      </c>
      <c r="BL356">
        <v>0.32093100000000002</v>
      </c>
      <c r="BM356">
        <v>0.26602599999999998</v>
      </c>
    </row>
    <row r="357" spans="1:65" x14ac:dyDescent="0.25">
      <c r="B357">
        <v>343</v>
      </c>
      <c r="C357" t="s">
        <v>423</v>
      </c>
      <c r="D357">
        <v>0.17555799999999999</v>
      </c>
      <c r="E357">
        <v>0.168132</v>
      </c>
      <c r="H357">
        <v>0.25219799999999998</v>
      </c>
      <c r="J357">
        <v>0.26404100000000003</v>
      </c>
      <c r="K357">
        <v>0.107153</v>
      </c>
      <c r="L357">
        <v>9.6999000000000002E-2</v>
      </c>
      <c r="M357">
        <v>0.248755</v>
      </c>
      <c r="N357">
        <v>0.181281</v>
      </c>
      <c r="O357">
        <v>0.17960100000000001</v>
      </c>
      <c r="Q357">
        <v>0.25281799999999999</v>
      </c>
      <c r="R357">
        <v>0.17391499999999999</v>
      </c>
      <c r="V357">
        <v>0.17723</v>
      </c>
      <c r="W357">
        <v>0.19755500000000001</v>
      </c>
      <c r="X357">
        <v>0.23354800000000001</v>
      </c>
      <c r="Y357">
        <v>0.27358500000000002</v>
      </c>
      <c r="Z357">
        <v>0.21884100000000001</v>
      </c>
      <c r="AA357">
        <v>0.29031600000000002</v>
      </c>
      <c r="AB357">
        <v>0.13201499999999999</v>
      </c>
      <c r="AF357">
        <f>'User Add-In Location'!E358</f>
        <v>0</v>
      </c>
      <c r="AI357">
        <v>0.23124400000000001</v>
      </c>
      <c r="AJ357">
        <v>0.30828899999999998</v>
      </c>
      <c r="AL357">
        <v>0.20690500000000001</v>
      </c>
      <c r="AM357">
        <v>0.163351</v>
      </c>
      <c r="AO357">
        <v>0.15724299999999999</v>
      </c>
      <c r="AQ357">
        <v>0.21917800000000001</v>
      </c>
      <c r="AR357">
        <v>0.27691100000000002</v>
      </c>
      <c r="AS357">
        <v>0.16239799999999999</v>
      </c>
      <c r="AT357">
        <v>0.14965200000000001</v>
      </c>
      <c r="AW357">
        <v>0.264318</v>
      </c>
      <c r="AX357" s="176">
        <v>0.49214599999999997</v>
      </c>
      <c r="BA357">
        <v>0.22752500000000001</v>
      </c>
      <c r="BB357">
        <v>0.17058599999999999</v>
      </c>
      <c r="BD357">
        <v>0.20147699999999999</v>
      </c>
      <c r="BF357">
        <v>0.27402799999999999</v>
      </c>
      <c r="BG357">
        <v>0.245807</v>
      </c>
      <c r="BH357">
        <v>0.263741</v>
      </c>
      <c r="BI357">
        <v>0.25357099999999999</v>
      </c>
      <c r="BJ357">
        <v>0.250058</v>
      </c>
      <c r="BK357">
        <v>0.220419</v>
      </c>
      <c r="BL357">
        <v>0.28895799999999999</v>
      </c>
      <c r="BM357">
        <v>0.236789</v>
      </c>
    </row>
    <row r="358" spans="1:65" x14ac:dyDescent="0.25">
      <c r="B358">
        <v>344</v>
      </c>
      <c r="C358" t="s">
        <v>600</v>
      </c>
      <c r="D358">
        <v>0.19164800000000001</v>
      </c>
      <c r="E358">
        <v>0.29384199999999999</v>
      </c>
      <c r="H358">
        <v>0.32928499999999999</v>
      </c>
      <c r="J358">
        <v>0.33901199999999998</v>
      </c>
      <c r="K358">
        <v>0.26819100000000001</v>
      </c>
      <c r="L358">
        <v>0.15016699999999999</v>
      </c>
      <c r="M358">
        <v>0.328318</v>
      </c>
      <c r="N358">
        <v>0.30924200000000002</v>
      </c>
      <c r="O358">
        <v>0.29703600000000002</v>
      </c>
      <c r="Q358">
        <v>0.39332800000000001</v>
      </c>
      <c r="R358">
        <v>0.274258</v>
      </c>
      <c r="V358">
        <v>0.31093700000000002</v>
      </c>
      <c r="W358">
        <v>0.29020400000000002</v>
      </c>
      <c r="X358">
        <v>0.33662599999999998</v>
      </c>
      <c r="Y358">
        <v>0.353406</v>
      </c>
      <c r="Z358">
        <v>0.33808899999999997</v>
      </c>
      <c r="AA358">
        <v>0.40515000000000001</v>
      </c>
      <c r="AB358">
        <v>0.23095099999999999</v>
      </c>
      <c r="AF358">
        <f>'User Add-In Location'!E359</f>
        <v>0</v>
      </c>
      <c r="AI358">
        <v>0.35947499999999999</v>
      </c>
      <c r="AJ358">
        <v>0.37455500000000003</v>
      </c>
      <c r="AL358">
        <v>0.31371399999999999</v>
      </c>
      <c r="AM358">
        <v>0.25250400000000001</v>
      </c>
      <c r="AO358">
        <v>0.30202699999999999</v>
      </c>
      <c r="AQ358">
        <v>0.31426500000000002</v>
      </c>
      <c r="AR358">
        <v>0.40540199999999998</v>
      </c>
      <c r="AS358">
        <v>0.245087</v>
      </c>
      <c r="AT358">
        <v>0.21145800000000001</v>
      </c>
      <c r="AW358">
        <v>0.36099500000000001</v>
      </c>
      <c r="AX358" s="176">
        <v>0.63984099999999999</v>
      </c>
      <c r="BA358">
        <v>0.346891</v>
      </c>
      <c r="BB358">
        <v>0.23826700000000001</v>
      </c>
      <c r="BD358">
        <v>0.31893500000000002</v>
      </c>
      <c r="BF358">
        <v>0.37705300000000003</v>
      </c>
      <c r="BG358">
        <v>0.323405</v>
      </c>
      <c r="BH358">
        <v>0.380855</v>
      </c>
      <c r="BI358">
        <v>0.38670700000000002</v>
      </c>
      <c r="BJ358">
        <v>0.36559999999999998</v>
      </c>
      <c r="BK358">
        <v>0.34253800000000001</v>
      </c>
      <c r="BL358">
        <v>0.38212099999999999</v>
      </c>
      <c r="BM358">
        <v>0.341812</v>
      </c>
    </row>
    <row r="359" spans="1:65" x14ac:dyDescent="0.25">
      <c r="B359">
        <v>345</v>
      </c>
      <c r="C359" t="s">
        <v>601</v>
      </c>
      <c r="D359">
        <v>0.13971700000000001</v>
      </c>
      <c r="E359">
        <v>0.23569100000000001</v>
      </c>
      <c r="H359">
        <v>0.27004899999999998</v>
      </c>
      <c r="J359">
        <v>0.27335399999999999</v>
      </c>
      <c r="K359">
        <v>0.214002</v>
      </c>
      <c r="L359">
        <v>8.7327000000000002E-2</v>
      </c>
      <c r="M359">
        <v>0.25194699999999998</v>
      </c>
      <c r="N359">
        <v>0.23124800000000001</v>
      </c>
      <c r="O359">
        <v>0.217811</v>
      </c>
      <c r="Q359">
        <v>0.30694199999999999</v>
      </c>
      <c r="R359">
        <v>0.224526</v>
      </c>
      <c r="V359">
        <v>0.23399800000000001</v>
      </c>
      <c r="W359">
        <v>0.228906</v>
      </c>
      <c r="X359">
        <v>0.25787399999999999</v>
      </c>
      <c r="Y359">
        <v>0.28561700000000001</v>
      </c>
      <c r="Z359">
        <v>0.25355100000000003</v>
      </c>
      <c r="AA359">
        <v>0.322015</v>
      </c>
      <c r="AB359">
        <v>0.17291899999999999</v>
      </c>
      <c r="AF359">
        <f>'User Add-In Location'!E360</f>
        <v>0</v>
      </c>
      <c r="AI359">
        <v>0.282827</v>
      </c>
      <c r="AJ359">
        <v>0.310562</v>
      </c>
      <c r="AL359">
        <v>0.24113399999999999</v>
      </c>
      <c r="AM359">
        <v>0.21993199999999999</v>
      </c>
      <c r="AO359">
        <v>0.24102999999999999</v>
      </c>
      <c r="AQ359">
        <v>0.276862</v>
      </c>
      <c r="AR359">
        <v>0.32594499999999998</v>
      </c>
      <c r="AS359">
        <v>0.18938199999999999</v>
      </c>
      <c r="AT359">
        <v>0.15418899999999999</v>
      </c>
      <c r="AW359">
        <v>0.290939</v>
      </c>
      <c r="AX359" s="176">
        <v>0.51820500000000003</v>
      </c>
      <c r="BA359">
        <v>0.24557300000000001</v>
      </c>
      <c r="BB359">
        <v>0.19209899999999999</v>
      </c>
      <c r="BD359">
        <v>0.25974399999999997</v>
      </c>
      <c r="BF359">
        <v>0.29627799999999999</v>
      </c>
      <c r="BG359">
        <v>0.26557700000000001</v>
      </c>
      <c r="BH359">
        <v>0.29836299999999999</v>
      </c>
      <c r="BI359">
        <v>0.304066</v>
      </c>
      <c r="BJ359">
        <v>0.28740399999999999</v>
      </c>
      <c r="BK359">
        <v>0.261214</v>
      </c>
      <c r="BL359">
        <v>0.30479299999999998</v>
      </c>
      <c r="BM359">
        <v>0.26724199999999998</v>
      </c>
    </row>
    <row r="360" spans="1:65" x14ac:dyDescent="0.25">
      <c r="B360">
        <v>346</v>
      </c>
      <c r="C360" t="s">
        <v>602</v>
      </c>
      <c r="D360">
        <v>0.11765399999999999</v>
      </c>
      <c r="E360">
        <v>0.37769000000000003</v>
      </c>
      <c r="H360">
        <v>0.380243</v>
      </c>
      <c r="J360">
        <v>0.31180000000000002</v>
      </c>
      <c r="K360">
        <v>0.31960100000000002</v>
      </c>
      <c r="L360">
        <v>0.11415599999999999</v>
      </c>
      <c r="M360">
        <v>0.38206400000000001</v>
      </c>
      <c r="N360">
        <v>0.38146000000000002</v>
      </c>
      <c r="O360">
        <v>0.36786000000000002</v>
      </c>
      <c r="Q360">
        <v>0.48038199999999998</v>
      </c>
      <c r="R360">
        <v>0.34941499999999998</v>
      </c>
      <c r="V360">
        <v>0.39137899999999998</v>
      </c>
      <c r="W360">
        <v>0.39050600000000002</v>
      </c>
      <c r="X360">
        <v>0.31152000000000002</v>
      </c>
      <c r="Y360">
        <v>0.29552200000000001</v>
      </c>
      <c r="Z360">
        <v>0.39984700000000001</v>
      </c>
      <c r="AA360">
        <v>0.45981899999999998</v>
      </c>
      <c r="AB360">
        <v>0.319081</v>
      </c>
      <c r="AF360">
        <f>'User Add-In Location'!E361</f>
        <v>0</v>
      </c>
      <c r="AI360">
        <v>0.329017</v>
      </c>
      <c r="AJ360">
        <v>0.44266899999999998</v>
      </c>
      <c r="AL360">
        <v>0.36133500000000002</v>
      </c>
      <c r="AM360">
        <v>0.32558700000000002</v>
      </c>
      <c r="AO360">
        <v>0.35535499999999998</v>
      </c>
      <c r="AQ360">
        <v>0.39254299999999998</v>
      </c>
      <c r="AR360">
        <v>0.44364700000000001</v>
      </c>
      <c r="AS360">
        <v>0.26952100000000001</v>
      </c>
      <c r="AT360">
        <v>0.27143899999999999</v>
      </c>
      <c r="AW360">
        <v>0.40831800000000001</v>
      </c>
      <c r="AX360" s="176">
        <v>0.67309200000000002</v>
      </c>
      <c r="BA360">
        <v>0.36987999999999999</v>
      </c>
      <c r="BB360">
        <v>0.300873</v>
      </c>
      <c r="BD360">
        <v>0.41386299999999998</v>
      </c>
      <c r="BF360">
        <v>0.42566799999999999</v>
      </c>
      <c r="BG360">
        <v>0.37752599999999997</v>
      </c>
      <c r="BH360">
        <v>0.41198400000000002</v>
      </c>
      <c r="BI360">
        <v>0.44774900000000001</v>
      </c>
      <c r="BJ360">
        <v>0.404169</v>
      </c>
      <c r="BK360">
        <v>0.396152</v>
      </c>
      <c r="BL360">
        <v>0.33614699999999997</v>
      </c>
      <c r="BM360">
        <v>0.357184</v>
      </c>
    </row>
    <row r="361" spans="1:65" x14ac:dyDescent="0.25">
      <c r="B361">
        <v>347</v>
      </c>
    </row>
    <row r="362" spans="1:65" x14ac:dyDescent="0.25">
      <c r="A362" t="s">
        <v>727</v>
      </c>
      <c r="B362">
        <v>348</v>
      </c>
      <c r="D362" s="174" t="s">
        <v>532</v>
      </c>
      <c r="E362" s="174" t="s">
        <v>680</v>
      </c>
      <c r="F362" s="174" t="s">
        <v>681</v>
      </c>
      <c r="G362" s="174" t="s">
        <v>682</v>
      </c>
      <c r="H362" s="174" t="s">
        <v>533</v>
      </c>
      <c r="I362" s="174" t="s">
        <v>683</v>
      </c>
      <c r="J362" s="174" t="s">
        <v>534</v>
      </c>
      <c r="K362" s="174" t="s">
        <v>535</v>
      </c>
      <c r="L362" s="174" t="s">
        <v>684</v>
      </c>
      <c r="M362" s="174" t="s">
        <v>536</v>
      </c>
      <c r="N362" s="174" t="s">
        <v>537</v>
      </c>
      <c r="O362" s="174" t="s">
        <v>538</v>
      </c>
      <c r="P362" s="174" t="s">
        <v>685</v>
      </c>
      <c r="Q362" s="174" t="s">
        <v>539</v>
      </c>
      <c r="R362" s="174" t="s">
        <v>540</v>
      </c>
      <c r="S362" s="174" t="s">
        <v>686</v>
      </c>
      <c r="T362" s="174" t="s">
        <v>687</v>
      </c>
      <c r="U362" s="174" t="s">
        <v>688</v>
      </c>
      <c r="V362" s="174" t="s">
        <v>541</v>
      </c>
      <c r="W362" s="174" t="s">
        <v>542</v>
      </c>
      <c r="X362" s="174" t="s">
        <v>543</v>
      </c>
      <c r="Y362" s="174" t="s">
        <v>544</v>
      </c>
      <c r="Z362" s="174" t="s">
        <v>545</v>
      </c>
      <c r="AA362" s="174" t="s">
        <v>546</v>
      </c>
      <c r="AB362" s="174" t="s">
        <v>549</v>
      </c>
      <c r="AC362" s="174" t="s">
        <v>689</v>
      </c>
      <c r="AD362" s="174" t="s">
        <v>690</v>
      </c>
      <c r="AE362" s="175" t="s">
        <v>691</v>
      </c>
      <c r="AF362" s="175" t="s">
        <v>1064</v>
      </c>
      <c r="AG362" s="174" t="s">
        <v>692</v>
      </c>
      <c r="AH362" s="174" t="s">
        <v>693</v>
      </c>
      <c r="AI362" s="174" t="s">
        <v>550</v>
      </c>
      <c r="AJ362" s="174" t="s">
        <v>551</v>
      </c>
      <c r="AK362" s="174" t="s">
        <v>694</v>
      </c>
      <c r="AL362" s="174" t="s">
        <v>695</v>
      </c>
      <c r="AM362" s="174" t="s">
        <v>553</v>
      </c>
      <c r="AN362" s="174" t="s">
        <v>696</v>
      </c>
      <c r="AO362" s="174" t="s">
        <v>554</v>
      </c>
      <c r="AP362" s="174" t="s">
        <v>697</v>
      </c>
      <c r="AQ362" s="174" t="s">
        <v>555</v>
      </c>
      <c r="AR362" s="174" t="s">
        <v>556</v>
      </c>
      <c r="AS362" s="174" t="s">
        <v>557</v>
      </c>
      <c r="AT362" s="174" t="s">
        <v>558</v>
      </c>
      <c r="AU362" s="174" t="s">
        <v>698</v>
      </c>
      <c r="AV362" s="174" t="s">
        <v>699</v>
      </c>
      <c r="AW362" s="174" t="s">
        <v>559</v>
      </c>
      <c r="AX362" s="174" t="s">
        <v>530</v>
      </c>
      <c r="AY362" s="174" t="s">
        <v>700</v>
      </c>
      <c r="AZ362" s="174" t="s">
        <v>701</v>
      </c>
      <c r="BA362" s="174" t="s">
        <v>560</v>
      </c>
      <c r="BB362" s="174" t="s">
        <v>561</v>
      </c>
      <c r="BC362" s="174" t="s">
        <v>702</v>
      </c>
      <c r="BD362" s="174" t="s">
        <v>562</v>
      </c>
      <c r="BE362" s="174" t="s">
        <v>703</v>
      </c>
      <c r="BF362" t="s">
        <v>704</v>
      </c>
      <c r="BG362" t="s">
        <v>705</v>
      </c>
      <c r="BH362" t="s">
        <v>706</v>
      </c>
      <c r="BI362" t="s">
        <v>707</v>
      </c>
      <c r="BJ362" t="s">
        <v>708</v>
      </c>
      <c r="BK362" t="s">
        <v>709</v>
      </c>
      <c r="BL362" t="s">
        <v>710</v>
      </c>
      <c r="BM362" t="s">
        <v>711</v>
      </c>
    </row>
    <row r="363" spans="1:65" x14ac:dyDescent="0.25">
      <c r="B363">
        <v>349</v>
      </c>
      <c r="C363" t="s">
        <v>400</v>
      </c>
      <c r="D363">
        <v>6.2135705719367409E-3</v>
      </c>
      <c r="E363">
        <v>1.2067528426567527E-3</v>
      </c>
      <c r="H363">
        <v>1.5016287306402899E-3</v>
      </c>
      <c r="N363">
        <v>4.774407548514094E-3</v>
      </c>
      <c r="O363">
        <v>1.9886692769141602E-3</v>
      </c>
      <c r="Q363">
        <v>1.0299734552213688E-3</v>
      </c>
      <c r="R363">
        <v>2.9488682457642769E-3</v>
      </c>
      <c r="V363">
        <v>2.7534672142612432E-3</v>
      </c>
      <c r="W363">
        <v>3.6449943392709923E-3</v>
      </c>
      <c r="X363">
        <v>1.8261905381507485E-3</v>
      </c>
      <c r="Y363">
        <v>1.8305459508746237E-4</v>
      </c>
      <c r="Z363">
        <v>3.0331985969011188E-3</v>
      </c>
      <c r="AA363">
        <v>3.7418589286834134E-3</v>
      </c>
      <c r="AB363">
        <v>6.7560485969207764E-3</v>
      </c>
      <c r="AF363">
        <f>'User Add-In Location'!E364</f>
        <v>0</v>
      </c>
      <c r="AI363">
        <v>1.6637211432393045E-3</v>
      </c>
      <c r="AJ363">
        <v>5.2359017901743075E-4</v>
      </c>
      <c r="AL363">
        <v>2.0366558460323488E-3</v>
      </c>
      <c r="AM363">
        <v>5.3500714959128686E-3</v>
      </c>
      <c r="AO363">
        <v>2.8330223572595238E-3</v>
      </c>
      <c r="AQ363">
        <v>5.6076087973307544E-3</v>
      </c>
      <c r="AR363">
        <v>3.0181976434181532E-3</v>
      </c>
      <c r="AS363">
        <v>1.370534928241813E-4</v>
      </c>
      <c r="AT363">
        <v>3.4016868525889258E-3</v>
      </c>
      <c r="AW363">
        <v>3.4444271395139129E-3</v>
      </c>
      <c r="AX363">
        <v>4.523342640382364E-3</v>
      </c>
      <c r="BA363">
        <v>3.3331842237110079E-3</v>
      </c>
      <c r="BB363">
        <v>4.1381446706246494E-3</v>
      </c>
      <c r="BD363">
        <v>5.8288461890846155E-3</v>
      </c>
      <c r="BF363">
        <v>3.9690052365278479E-3</v>
      </c>
      <c r="BG363">
        <v>3.0746604140562831E-3</v>
      </c>
      <c r="BH363">
        <v>2.3562916714586291E-3</v>
      </c>
      <c r="BI363">
        <v>2.5896240078165222E-3</v>
      </c>
      <c r="BJ363">
        <v>1.4807963407483511E-3</v>
      </c>
      <c r="BK363">
        <v>4.1231355791977627E-3</v>
      </c>
      <c r="BL363">
        <v>9.0242327456647965E-4</v>
      </c>
      <c r="BM363">
        <v>1.3042811180851862E-3</v>
      </c>
    </row>
    <row r="364" spans="1:65" x14ac:dyDescent="0.25">
      <c r="B364">
        <v>350</v>
      </c>
      <c r="C364" t="s">
        <v>401</v>
      </c>
      <c r="D364">
        <v>5.3529781570155473E-5</v>
      </c>
      <c r="E364">
        <v>3.3206313384961761E-3</v>
      </c>
      <c r="H364">
        <v>6.6889577863667429E-5</v>
      </c>
      <c r="N364">
        <v>2.7499832864603983E-5</v>
      </c>
      <c r="O364">
        <v>3.0394927887124155E-5</v>
      </c>
      <c r="Q364">
        <v>7.7969120487226829E-5</v>
      </c>
      <c r="R364">
        <v>3.3069809365553817E-5</v>
      </c>
      <c r="V364">
        <v>1.0927319755025871E-3</v>
      </c>
      <c r="W364">
        <v>1.4878416972009403E-5</v>
      </c>
      <c r="X364">
        <v>3.1973905542852854E-5</v>
      </c>
      <c r="Y364">
        <v>1.7118418981091511E-5</v>
      </c>
      <c r="Z364">
        <v>4.0278611702657023E-5</v>
      </c>
      <c r="AA364">
        <v>3.3696479665472588E-5</v>
      </c>
      <c r="AB364">
        <v>3.4567433542436257E-4</v>
      </c>
      <c r="AF364">
        <f>'User Add-In Location'!E365</f>
        <v>0</v>
      </c>
      <c r="AI364">
        <v>3.1377544816097016E-5</v>
      </c>
      <c r="AJ364">
        <v>1.9281363658049038E-5</v>
      </c>
      <c r="AL364">
        <v>2.9508550582832502E-5</v>
      </c>
      <c r="AM364">
        <v>3.4878105738537243E-5</v>
      </c>
      <c r="AO364">
        <v>2.3341258846721003E-4</v>
      </c>
      <c r="AQ364">
        <v>3.6383830354819246E-5</v>
      </c>
      <c r="AR364">
        <v>4.1284531568807297E-4</v>
      </c>
      <c r="AS364">
        <v>1.3763795038976545E-5</v>
      </c>
      <c r="AT364">
        <v>2.7965160905316036E-5</v>
      </c>
      <c r="AW364">
        <v>2.446882777650471E-3</v>
      </c>
      <c r="AX364">
        <v>3.7596165600066255E-4</v>
      </c>
      <c r="BA364">
        <v>5.7889147808945802E-5</v>
      </c>
      <c r="BB364">
        <v>3.6660175037309304E-5</v>
      </c>
      <c r="BD364">
        <v>1.2793431719100701E-5</v>
      </c>
      <c r="BF364">
        <v>1.414857442551677E-3</v>
      </c>
      <c r="BG364">
        <v>1.0099639269220938E-4</v>
      </c>
      <c r="BH364">
        <v>3.2107565781685536E-5</v>
      </c>
      <c r="BI364">
        <v>1.1274320903249037E-4</v>
      </c>
      <c r="BJ364">
        <v>2.6465439533646622E-5</v>
      </c>
      <c r="BK364">
        <v>3.9166978079893014E-5</v>
      </c>
      <c r="BL364">
        <v>1.9188587635729607E-5</v>
      </c>
      <c r="BM364">
        <v>2.6589950132667207E-5</v>
      </c>
    </row>
    <row r="365" spans="1:65" x14ac:dyDescent="0.25">
      <c r="B365">
        <v>351</v>
      </c>
      <c r="C365" t="s">
        <v>402</v>
      </c>
      <c r="D365">
        <v>2.4788316506375246E-6</v>
      </c>
      <c r="E365">
        <v>1.3097883053683306E-6</v>
      </c>
      <c r="H365">
        <v>4.0715239848849126E-9</v>
      </c>
      <c r="N365">
        <v>0</v>
      </c>
      <c r="O365">
        <v>0</v>
      </c>
      <c r="Q365">
        <v>7.4575852286186059E-7</v>
      </c>
      <c r="R365">
        <v>1.7500394305470624E-6</v>
      </c>
      <c r="V365">
        <v>8.1679261343348875E-7</v>
      </c>
      <c r="W365">
        <v>0</v>
      </c>
      <c r="X365">
        <v>2.7813140308858326E-7</v>
      </c>
      <c r="Y365">
        <v>0</v>
      </c>
      <c r="Z365">
        <v>0</v>
      </c>
      <c r="AA365">
        <v>0</v>
      </c>
      <c r="AB365">
        <v>1.6640739392001929E-6</v>
      </c>
      <c r="AF365">
        <f>'User Add-In Location'!E366</f>
        <v>0</v>
      </c>
      <c r="AI365">
        <v>0</v>
      </c>
      <c r="AJ365">
        <v>0</v>
      </c>
      <c r="AL365">
        <v>0</v>
      </c>
      <c r="AM365">
        <v>0</v>
      </c>
      <c r="AO365">
        <v>6.2712207752260846E-7</v>
      </c>
      <c r="AQ365">
        <v>0</v>
      </c>
      <c r="AR365">
        <v>1.613094741812903E-6</v>
      </c>
      <c r="AS365">
        <v>0</v>
      </c>
      <c r="AT365">
        <v>0</v>
      </c>
      <c r="AW365">
        <v>1.0212376826533823E-6</v>
      </c>
      <c r="AX365">
        <v>2.7157084198756777E-6</v>
      </c>
      <c r="BA365">
        <v>1.0217515176294794E-6</v>
      </c>
      <c r="BB365">
        <v>1.348354024124668E-7</v>
      </c>
      <c r="BD365">
        <v>0</v>
      </c>
      <c r="BF365">
        <v>8.739303345610412E-7</v>
      </c>
      <c r="BG365">
        <v>3.2961233783488567E-8</v>
      </c>
      <c r="BH365">
        <v>2.4829741082624178E-7</v>
      </c>
      <c r="BI365">
        <v>8.4681778331961868E-7</v>
      </c>
      <c r="BJ365">
        <v>7.3204118290363268E-8</v>
      </c>
      <c r="BK365">
        <v>6.3176445558016617E-7</v>
      </c>
      <c r="BL365">
        <v>0</v>
      </c>
      <c r="BM365">
        <v>0</v>
      </c>
    </row>
    <row r="366" spans="1:65" x14ac:dyDescent="0.25">
      <c r="B366">
        <v>352</v>
      </c>
      <c r="C366" t="s">
        <v>403</v>
      </c>
      <c r="D366">
        <v>1.2589065942363382E-5</v>
      </c>
      <c r="E366">
        <v>3.7502121546260052E-4</v>
      </c>
      <c r="H366">
        <v>5.2167398680522786E-6</v>
      </c>
      <c r="N366">
        <v>1.3780304102281947E-5</v>
      </c>
      <c r="O366">
        <v>8.9750457575453354E-6</v>
      </c>
      <c r="Q366">
        <v>8.7637623812688877E-6</v>
      </c>
      <c r="R366">
        <v>6.723119245437708E-6</v>
      </c>
      <c r="V366">
        <v>3.2541687241206996E-5</v>
      </c>
      <c r="W366">
        <v>7.6392587782466077E-6</v>
      </c>
      <c r="X366">
        <v>7.3120696910071499E-6</v>
      </c>
      <c r="Y366">
        <v>4.7641753714634716E-6</v>
      </c>
      <c r="Z366">
        <v>1.0069220494337515E-5</v>
      </c>
      <c r="AA366">
        <v>3.5202815368649815E-5</v>
      </c>
      <c r="AB366">
        <v>1.567585911071973E-5</v>
      </c>
      <c r="AF366">
        <f>'User Add-In Location'!E367</f>
        <v>0</v>
      </c>
      <c r="AI366">
        <v>1.0891293393303365E-5</v>
      </c>
      <c r="AJ366">
        <v>5.2032536999964806E-6</v>
      </c>
      <c r="AL366">
        <v>8.6509628398652732E-6</v>
      </c>
      <c r="AM366">
        <v>1.1458128556201018E-5</v>
      </c>
      <c r="AO366">
        <v>1.418204570742212E-5</v>
      </c>
      <c r="AQ366">
        <v>1.285013839685445E-5</v>
      </c>
      <c r="AR366">
        <v>2.56143874795635E-5</v>
      </c>
      <c r="AS366">
        <v>3.970604593365802E-6</v>
      </c>
      <c r="AT366">
        <v>8.7696884997200237E-6</v>
      </c>
      <c r="AW366">
        <v>8.3469496510728131E-5</v>
      </c>
      <c r="AX366">
        <v>3.0758192680186001E-5</v>
      </c>
      <c r="BA366">
        <v>1.534548257804033E-5</v>
      </c>
      <c r="BB366">
        <v>1.246300848244796E-5</v>
      </c>
      <c r="BD366">
        <v>1.4242488160125387E-5</v>
      </c>
      <c r="BF366">
        <v>5.2362607497326618E-5</v>
      </c>
      <c r="BG366">
        <v>1.0246718886502064E-5</v>
      </c>
      <c r="BH366">
        <v>1.0179539676115293E-5</v>
      </c>
      <c r="BI366">
        <v>1.3356245413865476E-5</v>
      </c>
      <c r="BJ366">
        <v>7.2346792744821425E-6</v>
      </c>
      <c r="BK366">
        <v>1.3758206536425884E-5</v>
      </c>
      <c r="BL366">
        <v>6.1748326382409357E-6</v>
      </c>
      <c r="BM366">
        <v>7.3729768384185508E-6</v>
      </c>
    </row>
    <row r="367" spans="1:65" x14ac:dyDescent="0.25">
      <c r="B367">
        <v>353</v>
      </c>
      <c r="C367" t="s">
        <v>404</v>
      </c>
      <c r="D367">
        <v>0</v>
      </c>
      <c r="E367">
        <v>0</v>
      </c>
      <c r="H367">
        <v>0</v>
      </c>
      <c r="N367">
        <v>0</v>
      </c>
      <c r="O367">
        <v>0</v>
      </c>
      <c r="Q367">
        <v>0</v>
      </c>
      <c r="R367">
        <v>0</v>
      </c>
      <c r="V367">
        <v>0</v>
      </c>
      <c r="W367">
        <v>0</v>
      </c>
      <c r="X367">
        <v>0</v>
      </c>
      <c r="Y367">
        <v>0</v>
      </c>
      <c r="Z367">
        <v>0</v>
      </c>
      <c r="AA367">
        <v>0</v>
      </c>
      <c r="AB367">
        <v>0</v>
      </c>
      <c r="AF367">
        <f>'User Add-In Location'!E368</f>
        <v>0</v>
      </c>
      <c r="AI367">
        <v>0</v>
      </c>
      <c r="AJ367">
        <v>0</v>
      </c>
      <c r="AL367">
        <v>0</v>
      </c>
      <c r="AM367">
        <v>0</v>
      </c>
      <c r="AO367">
        <v>0</v>
      </c>
      <c r="AQ367">
        <v>0</v>
      </c>
      <c r="AR367">
        <v>0</v>
      </c>
      <c r="AS367">
        <v>0</v>
      </c>
      <c r="AT367">
        <v>0</v>
      </c>
      <c r="AW367">
        <v>0</v>
      </c>
      <c r="AX367">
        <v>6.4943658645587224E-13</v>
      </c>
      <c r="BA367">
        <v>0</v>
      </c>
      <c r="BB367">
        <v>0</v>
      </c>
      <c r="BD367">
        <v>0</v>
      </c>
      <c r="BF367">
        <v>0</v>
      </c>
      <c r="BG367">
        <v>0</v>
      </c>
      <c r="BH367">
        <v>0</v>
      </c>
      <c r="BI367">
        <v>0</v>
      </c>
      <c r="BJ367">
        <v>0</v>
      </c>
      <c r="BK367">
        <v>0</v>
      </c>
      <c r="BL367">
        <v>0</v>
      </c>
      <c r="BM367">
        <v>0</v>
      </c>
    </row>
    <row r="368" spans="1:65" x14ac:dyDescent="0.25">
      <c r="B368">
        <v>354</v>
      </c>
      <c r="C368" t="s">
        <v>405</v>
      </c>
      <c r="D368">
        <v>1.3703855617544581E-3</v>
      </c>
      <c r="E368">
        <v>1.1764252956833273E-3</v>
      </c>
      <c r="H368">
        <v>7.7195300610329943E-4</v>
      </c>
      <c r="N368">
        <v>3.175317942736002E-4</v>
      </c>
      <c r="O368">
        <v>4.0390557171762261E-3</v>
      </c>
      <c r="Q368">
        <v>8.0756022764042368E-4</v>
      </c>
      <c r="R368">
        <v>9.9782120404758316E-4</v>
      </c>
      <c r="V368">
        <v>1.0732880968602973E-3</v>
      </c>
      <c r="W368">
        <v>6.910692256711764E-4</v>
      </c>
      <c r="X368">
        <v>1.3415244106919065E-3</v>
      </c>
      <c r="Y368">
        <v>1.6377124676767022E-3</v>
      </c>
      <c r="Z368">
        <v>1.6918693359591758E-3</v>
      </c>
      <c r="AA368">
        <v>7.0444059682340024E-4</v>
      </c>
      <c r="AB368">
        <v>8.7845688892682669E-4</v>
      </c>
      <c r="AF368">
        <f>'User Add-In Location'!E369</f>
        <v>0</v>
      </c>
      <c r="AI368">
        <v>1.2398078728862168E-3</v>
      </c>
      <c r="AJ368">
        <v>7.8311549140361184E-4</v>
      </c>
      <c r="AL368">
        <v>3.4544254008255008E-4</v>
      </c>
      <c r="AM368">
        <v>6.3830091144777246E-4</v>
      </c>
      <c r="AO368">
        <v>6.7634438624029642E-4</v>
      </c>
      <c r="AQ368">
        <v>1.3052827759131508E-3</v>
      </c>
      <c r="AR368">
        <v>7.3040134031019549E-4</v>
      </c>
      <c r="AS368">
        <v>5.4327317656869135E-4</v>
      </c>
      <c r="AT368">
        <v>3.0956725526447917E-3</v>
      </c>
      <c r="AW368">
        <v>8.6486314114375988E-4</v>
      </c>
      <c r="AX368">
        <v>9.9083566995246679E-4</v>
      </c>
      <c r="BA368">
        <v>7.5933002699007143E-4</v>
      </c>
      <c r="BB368">
        <v>1.5500394896956992E-3</v>
      </c>
      <c r="BD368">
        <v>1.0480419876144466E-3</v>
      </c>
      <c r="BF368">
        <v>1.0469828487463327E-3</v>
      </c>
      <c r="BG368">
        <v>1.4015964128617124E-3</v>
      </c>
      <c r="BH368">
        <v>8.0951602618942501E-4</v>
      </c>
      <c r="BI368">
        <v>8.1798497051899796E-4</v>
      </c>
      <c r="BJ368">
        <v>5.872447456069308E-4</v>
      </c>
      <c r="BK368">
        <v>8.2243460623005491E-4</v>
      </c>
      <c r="BL368">
        <v>1.444136662884049E-3</v>
      </c>
      <c r="BM368">
        <v>6.975020773566246E-4</v>
      </c>
    </row>
    <row r="369" spans="2:65" x14ac:dyDescent="0.25">
      <c r="B369">
        <v>355</v>
      </c>
      <c r="C369" t="s">
        <v>406</v>
      </c>
      <c r="D369">
        <v>9.8909668288935815E-3</v>
      </c>
      <c r="E369">
        <v>9.9147466198610725E-3</v>
      </c>
      <c r="H369">
        <v>1.1836076256667456E-3</v>
      </c>
      <c r="N369">
        <v>1.0827360476242455E-2</v>
      </c>
      <c r="O369">
        <v>1.27371075076209E-3</v>
      </c>
      <c r="Q369">
        <v>7.1181664205758324E-3</v>
      </c>
      <c r="R369">
        <v>7.6732641207862698E-3</v>
      </c>
      <c r="V369">
        <v>7.8805323916857246E-3</v>
      </c>
      <c r="W369">
        <v>9.5112901387997533E-3</v>
      </c>
      <c r="X369">
        <v>1.2045737443304456E-2</v>
      </c>
      <c r="Y369">
        <v>5.8976270008848182E-3</v>
      </c>
      <c r="Z369">
        <v>8.4085619381687668E-3</v>
      </c>
      <c r="AA369">
        <v>6.5830576656666319E-3</v>
      </c>
      <c r="AB369">
        <v>9.2876977533086231E-3</v>
      </c>
      <c r="AF369">
        <f>'User Add-In Location'!E370</f>
        <v>0</v>
      </c>
      <c r="AI369">
        <v>8.5475204874860614E-3</v>
      </c>
      <c r="AJ369">
        <v>7.8057075651544556E-3</v>
      </c>
      <c r="AL369">
        <v>9.8379067248400998E-3</v>
      </c>
      <c r="AM369">
        <v>9.7470822240155776E-3</v>
      </c>
      <c r="AO369">
        <v>6.7295043057974627E-3</v>
      </c>
      <c r="AQ369">
        <v>7.4031902124017729E-3</v>
      </c>
      <c r="AR369">
        <v>7.5006645733955652E-3</v>
      </c>
      <c r="AS369">
        <v>6.1367492756402645E-3</v>
      </c>
      <c r="AT369">
        <v>7.8485639003101574E-3</v>
      </c>
      <c r="AW369">
        <v>8.6912738098113909E-3</v>
      </c>
      <c r="AX369">
        <v>7.6753110278104299E-3</v>
      </c>
      <c r="BA369">
        <v>9.401623639522334E-3</v>
      </c>
      <c r="BB369">
        <v>7.2808411790466245E-3</v>
      </c>
      <c r="BD369">
        <v>6.1279926307593689E-3</v>
      </c>
      <c r="BF369">
        <v>8.8519649628848902E-3</v>
      </c>
      <c r="BG369">
        <v>3.3140460980224003E-3</v>
      </c>
      <c r="BH369">
        <v>1.0178466811587081E-2</v>
      </c>
      <c r="BI369">
        <v>8.6060916205039622E-3</v>
      </c>
      <c r="BJ369">
        <v>1.0753569839989666E-2</v>
      </c>
      <c r="BK369">
        <v>9.8126591882183034E-3</v>
      </c>
      <c r="BL369">
        <v>6.6260886286370248E-3</v>
      </c>
      <c r="BM369">
        <v>1.0276183906364146E-2</v>
      </c>
    </row>
    <row r="370" spans="2:65" x14ac:dyDescent="0.25">
      <c r="B370">
        <v>356</v>
      </c>
      <c r="C370" t="s">
        <v>407</v>
      </c>
      <c r="D370">
        <v>4.794674608858884E-3</v>
      </c>
      <c r="E370">
        <v>9.5525242094219847E-3</v>
      </c>
      <c r="H370">
        <v>4.5287781320397661E-3</v>
      </c>
      <c r="N370">
        <v>4.3127908543825122E-3</v>
      </c>
      <c r="O370">
        <v>2.8727984284566909E-3</v>
      </c>
      <c r="Q370">
        <v>4.2745415538374036E-3</v>
      </c>
      <c r="R370">
        <v>3.1263675635364711E-3</v>
      </c>
      <c r="V370">
        <v>4.4353016862049713E-3</v>
      </c>
      <c r="W370">
        <v>1.8772129846046667E-3</v>
      </c>
      <c r="X370">
        <v>1.9999114845770383E-3</v>
      </c>
      <c r="Y370">
        <v>5.2840924907943858E-3</v>
      </c>
      <c r="Z370">
        <v>3.4349771340534681E-3</v>
      </c>
      <c r="AA370">
        <v>2.8106466024748209E-3</v>
      </c>
      <c r="AB370">
        <v>4.600383072113739E-3</v>
      </c>
      <c r="AF370">
        <f>'User Add-In Location'!E371</f>
        <v>0</v>
      </c>
      <c r="AI370">
        <v>2.6185991683237344E-3</v>
      </c>
      <c r="AJ370">
        <v>6.2034472093348125E-3</v>
      </c>
      <c r="AL370">
        <v>3.4121048627344564E-3</v>
      </c>
      <c r="AM370">
        <v>3.2128742366404365E-3</v>
      </c>
      <c r="AO370">
        <v>4.1408795449714673E-3</v>
      </c>
      <c r="AQ370">
        <v>4.1885979252268418E-3</v>
      </c>
      <c r="AR370">
        <v>6.6310808449443941E-3</v>
      </c>
      <c r="AS370">
        <v>5.0703984209537209E-3</v>
      </c>
      <c r="AT370">
        <v>1.9535073443536421E-3</v>
      </c>
      <c r="AW370">
        <v>6.0610067692501062E-3</v>
      </c>
      <c r="AX370">
        <v>5.0302582339640314E-3</v>
      </c>
      <c r="BA370">
        <v>3.8167855405373909E-3</v>
      </c>
      <c r="BB370">
        <v>2.2408712220234467E-3</v>
      </c>
      <c r="BD370">
        <v>1.9384576475393938E-3</v>
      </c>
      <c r="BF370">
        <v>5.112783984955154E-3</v>
      </c>
      <c r="BG370">
        <v>7.6928436666664716E-3</v>
      </c>
      <c r="BH370">
        <v>4.2109658694544022E-3</v>
      </c>
      <c r="BI370">
        <v>4.7304827452438686E-3</v>
      </c>
      <c r="BJ370">
        <v>4.649400355611108E-3</v>
      </c>
      <c r="BK370">
        <v>3.3242621865337434E-3</v>
      </c>
      <c r="BL370">
        <v>4.6934771905771154E-3</v>
      </c>
      <c r="BM370">
        <v>4.3877233709703738E-3</v>
      </c>
    </row>
    <row r="371" spans="2:65" x14ac:dyDescent="0.25">
      <c r="B371">
        <v>357</v>
      </c>
      <c r="C371" t="s">
        <v>408</v>
      </c>
      <c r="D371">
        <v>0</v>
      </c>
      <c r="E371">
        <v>0</v>
      </c>
      <c r="H371">
        <v>0</v>
      </c>
      <c r="N371">
        <v>0</v>
      </c>
      <c r="O371">
        <v>0</v>
      </c>
      <c r="Q371">
        <v>0</v>
      </c>
      <c r="R371">
        <v>0</v>
      </c>
      <c r="V371">
        <v>0</v>
      </c>
      <c r="W371">
        <v>0</v>
      </c>
      <c r="X371">
        <v>0</v>
      </c>
      <c r="Y371">
        <v>0</v>
      </c>
      <c r="Z371">
        <v>0</v>
      </c>
      <c r="AA371">
        <v>0</v>
      </c>
      <c r="AB371">
        <v>0</v>
      </c>
      <c r="AF371">
        <f>'User Add-In Location'!E372</f>
        <v>0</v>
      </c>
      <c r="AI371">
        <v>0</v>
      </c>
      <c r="AJ371">
        <v>0</v>
      </c>
      <c r="AL371">
        <v>0</v>
      </c>
      <c r="AM371">
        <v>0</v>
      </c>
      <c r="AO371">
        <v>0</v>
      </c>
      <c r="AQ371">
        <v>0</v>
      </c>
      <c r="AR371">
        <v>0</v>
      </c>
      <c r="AS371">
        <v>0</v>
      </c>
      <c r="AT371">
        <v>0</v>
      </c>
      <c r="AW371">
        <v>0</v>
      </c>
      <c r="AX371">
        <v>0</v>
      </c>
      <c r="BA371">
        <v>0</v>
      </c>
      <c r="BB371">
        <v>0</v>
      </c>
      <c r="BD371">
        <v>0</v>
      </c>
      <c r="BF371">
        <v>0</v>
      </c>
      <c r="BG371">
        <v>0</v>
      </c>
      <c r="BH371">
        <v>0</v>
      </c>
      <c r="BI371">
        <v>0</v>
      </c>
      <c r="BJ371">
        <v>0</v>
      </c>
      <c r="BK371">
        <v>0</v>
      </c>
      <c r="BL371">
        <v>0</v>
      </c>
      <c r="BM371">
        <v>0</v>
      </c>
    </row>
    <row r="372" spans="2:65" x14ac:dyDescent="0.25">
      <c r="B372">
        <v>358</v>
      </c>
      <c r="C372" t="s">
        <v>409</v>
      </c>
      <c r="D372">
        <v>0</v>
      </c>
      <c r="E372">
        <v>0</v>
      </c>
      <c r="H372">
        <v>0</v>
      </c>
      <c r="N372">
        <v>0</v>
      </c>
      <c r="O372">
        <v>0</v>
      </c>
      <c r="Q372">
        <v>0</v>
      </c>
      <c r="R372">
        <v>0</v>
      </c>
      <c r="V372">
        <v>0</v>
      </c>
      <c r="W372">
        <v>0</v>
      </c>
      <c r="X372">
        <v>0</v>
      </c>
      <c r="Y372">
        <v>0</v>
      </c>
      <c r="Z372">
        <v>0</v>
      </c>
      <c r="AA372">
        <v>0</v>
      </c>
      <c r="AB372">
        <v>0</v>
      </c>
      <c r="AF372">
        <f>'User Add-In Location'!E373</f>
        <v>0</v>
      </c>
      <c r="AI372">
        <v>0</v>
      </c>
      <c r="AJ372">
        <v>0</v>
      </c>
      <c r="AL372">
        <v>0</v>
      </c>
      <c r="AM372">
        <v>0</v>
      </c>
      <c r="AO372">
        <v>0</v>
      </c>
      <c r="AQ372">
        <v>0</v>
      </c>
      <c r="AR372">
        <v>0</v>
      </c>
      <c r="AS372">
        <v>0</v>
      </c>
      <c r="AT372">
        <v>0</v>
      </c>
      <c r="AW372">
        <v>0</v>
      </c>
      <c r="AX372">
        <v>0</v>
      </c>
      <c r="BA372">
        <v>0</v>
      </c>
      <c r="BB372">
        <v>0</v>
      </c>
      <c r="BD372">
        <v>0</v>
      </c>
      <c r="BF372">
        <v>0</v>
      </c>
      <c r="BG372">
        <v>0</v>
      </c>
      <c r="BH372">
        <v>0</v>
      </c>
      <c r="BI372">
        <v>0</v>
      </c>
      <c r="BJ372">
        <v>0</v>
      </c>
      <c r="BK372">
        <v>0</v>
      </c>
      <c r="BL372">
        <v>0</v>
      </c>
      <c r="BM372">
        <v>0</v>
      </c>
    </row>
    <row r="373" spans="2:65" x14ac:dyDescent="0.25">
      <c r="B373">
        <v>359</v>
      </c>
      <c r="C373" t="s">
        <v>410</v>
      </c>
      <c r="D373">
        <v>0</v>
      </c>
      <c r="E373">
        <v>0</v>
      </c>
      <c r="H373">
        <v>0</v>
      </c>
      <c r="N373">
        <v>0</v>
      </c>
      <c r="O373">
        <v>0</v>
      </c>
      <c r="Q373">
        <v>0</v>
      </c>
      <c r="R373">
        <v>0</v>
      </c>
      <c r="V373">
        <v>0</v>
      </c>
      <c r="W373">
        <v>0</v>
      </c>
      <c r="X373">
        <v>0</v>
      </c>
      <c r="Y373">
        <v>0</v>
      </c>
      <c r="Z373">
        <v>0</v>
      </c>
      <c r="AA373">
        <v>0</v>
      </c>
      <c r="AB373">
        <v>0</v>
      </c>
      <c r="AF373">
        <f>'User Add-In Location'!E374</f>
        <v>0</v>
      </c>
      <c r="AI373">
        <v>0</v>
      </c>
      <c r="AJ373">
        <v>0</v>
      </c>
      <c r="AL373">
        <v>0</v>
      </c>
      <c r="AM373">
        <v>0</v>
      </c>
      <c r="AO373">
        <v>0</v>
      </c>
      <c r="AQ373">
        <v>0</v>
      </c>
      <c r="AR373">
        <v>0</v>
      </c>
      <c r="AS373">
        <v>0</v>
      </c>
      <c r="AT373">
        <v>0</v>
      </c>
      <c r="AW373">
        <v>0</v>
      </c>
      <c r="AX373">
        <v>0</v>
      </c>
      <c r="BA373">
        <v>0</v>
      </c>
      <c r="BB373">
        <v>0</v>
      </c>
      <c r="BD373">
        <v>0</v>
      </c>
      <c r="BF373">
        <v>0</v>
      </c>
      <c r="BG373">
        <v>0</v>
      </c>
      <c r="BH373">
        <v>0</v>
      </c>
      <c r="BI373">
        <v>0</v>
      </c>
      <c r="BJ373">
        <v>0</v>
      </c>
      <c r="BK373">
        <v>0</v>
      </c>
      <c r="BL373">
        <v>0</v>
      </c>
      <c r="BM373">
        <v>0</v>
      </c>
    </row>
    <row r="374" spans="2:65" x14ac:dyDescent="0.25">
      <c r="B374">
        <v>360</v>
      </c>
      <c r="C374" t="s">
        <v>411</v>
      </c>
      <c r="D374">
        <v>0.1024618158803213</v>
      </c>
      <c r="E374">
        <v>6.3861155385010943E-2</v>
      </c>
      <c r="H374">
        <v>5.7165408608766982E-2</v>
      </c>
      <c r="N374">
        <v>8.8314125901592377E-2</v>
      </c>
      <c r="O374">
        <v>3.850293268478823E-2</v>
      </c>
      <c r="Q374">
        <v>9.9562888550942155E-2</v>
      </c>
      <c r="R374">
        <v>0.11942677536424948</v>
      </c>
      <c r="V374">
        <v>0.16414177558863788</v>
      </c>
      <c r="W374">
        <v>8.1175013094836948E-2</v>
      </c>
      <c r="X374">
        <v>5.9547325215732194E-2</v>
      </c>
      <c r="Y374">
        <v>8.6354331448350793E-2</v>
      </c>
      <c r="Z374">
        <v>7.9030733327543817E-2</v>
      </c>
      <c r="AA374">
        <v>0.11581134089106912</v>
      </c>
      <c r="AB374">
        <v>0.15182022063476464</v>
      </c>
      <c r="AF374">
        <f>'User Add-In Location'!E375</f>
        <v>0</v>
      </c>
      <c r="AI374">
        <v>0.10553650237158167</v>
      </c>
      <c r="AJ374">
        <v>9.4578505233170712E-2</v>
      </c>
      <c r="AL374">
        <v>6.2628296494693744E-2</v>
      </c>
      <c r="AM374">
        <v>0.15203969476137918</v>
      </c>
      <c r="AO374">
        <v>0.10758774608400616</v>
      </c>
      <c r="AQ374">
        <v>8.9093753151595581E-2</v>
      </c>
      <c r="AR374">
        <v>0.10248593668811956</v>
      </c>
      <c r="AS374">
        <v>6.9382616269962449E-2</v>
      </c>
      <c r="AT374">
        <v>8.9507963874477958E-2</v>
      </c>
      <c r="AW374">
        <v>0.1385976246276536</v>
      </c>
      <c r="AX374">
        <v>9.7663120727739333E-2</v>
      </c>
      <c r="BA374">
        <v>9.3895406187877201E-2</v>
      </c>
      <c r="BB374">
        <v>0.12881560016342281</v>
      </c>
      <c r="BD374">
        <v>0.10595669762418045</v>
      </c>
      <c r="BF374">
        <v>0.12468730370166772</v>
      </c>
      <c r="BG374">
        <v>0.10635058338731969</v>
      </c>
      <c r="BH374">
        <v>9.6624298933566596E-2</v>
      </c>
      <c r="BI374">
        <v>9.4701551340307499E-2</v>
      </c>
      <c r="BJ374">
        <v>7.0105292685267953E-2</v>
      </c>
      <c r="BK374">
        <v>0.11683367750501279</v>
      </c>
      <c r="BL374">
        <v>9.0600705798195735E-2</v>
      </c>
      <c r="BM374">
        <v>7.4187724913278685E-2</v>
      </c>
    </row>
    <row r="375" spans="2:65" x14ac:dyDescent="0.25">
      <c r="B375">
        <v>361</v>
      </c>
      <c r="C375" t="s">
        <v>412</v>
      </c>
      <c r="D375">
        <v>1.8511602582960647E-4</v>
      </c>
      <c r="E375">
        <v>5.3571030230946821E-5</v>
      </c>
      <c r="H375">
        <v>5.3776433917925667E-5</v>
      </c>
      <c r="N375">
        <v>1.772375891802596E-4</v>
      </c>
      <c r="O375">
        <v>8.7933664293929577E-6</v>
      </c>
      <c r="Q375">
        <v>1.0518386542788611E-4</v>
      </c>
      <c r="R375">
        <v>1.774745201256855E-4</v>
      </c>
      <c r="V375">
        <v>7.0709284034130837E-6</v>
      </c>
      <c r="W375">
        <v>1.693119270966648E-4</v>
      </c>
      <c r="X375">
        <v>8.3373160671861696E-5</v>
      </c>
      <c r="Y375">
        <v>1.2615891514470009E-4</v>
      </c>
      <c r="Z375">
        <v>1.6892654445239898E-4</v>
      </c>
      <c r="AA375">
        <v>1.1134934160359154E-4</v>
      </c>
      <c r="AB375">
        <v>2.4107464918633449E-4</v>
      </c>
      <c r="AF375">
        <f>'User Add-In Location'!E376</f>
        <v>0</v>
      </c>
      <c r="AI375">
        <v>1.643391559188827E-4</v>
      </c>
      <c r="AJ375">
        <v>8.5157654143559861E-5</v>
      </c>
      <c r="AL375">
        <v>1.5191506668543633E-4</v>
      </c>
      <c r="AM375">
        <v>2.7417074117163645E-4</v>
      </c>
      <c r="AO375">
        <v>1.622431630473555E-4</v>
      </c>
      <c r="AQ375">
        <v>5.1749427965784964E-5</v>
      </c>
      <c r="AR375">
        <v>1.6271917351096975E-4</v>
      </c>
      <c r="AS375">
        <v>2.0671097064419553E-4</v>
      </c>
      <c r="AT375">
        <v>1.8371034731774392E-4</v>
      </c>
      <c r="AW375">
        <v>1.563362282417256E-4</v>
      </c>
      <c r="AX375">
        <v>1.2563943015075885E-4</v>
      </c>
      <c r="BA375">
        <v>8.1997708959382663E-5</v>
      </c>
      <c r="BB375">
        <v>8.8876002580940216E-5</v>
      </c>
      <c r="BD375">
        <v>1.0304773699438275E-4</v>
      </c>
      <c r="BF375">
        <v>1.4101748732165545E-4</v>
      </c>
      <c r="BG375">
        <v>9.2403974310908933E-5</v>
      </c>
      <c r="BH375">
        <v>1.5979742764787858E-4</v>
      </c>
      <c r="BI375">
        <v>1.4677535401039246E-4</v>
      </c>
      <c r="BJ375">
        <v>1.1902298577790666E-4</v>
      </c>
      <c r="BK375">
        <v>1.8594202154047375E-4</v>
      </c>
      <c r="BL375">
        <v>1.4288649983740508E-4</v>
      </c>
      <c r="BM375">
        <v>1.5095630666356002E-4</v>
      </c>
    </row>
    <row r="376" spans="2:65" x14ac:dyDescent="0.25">
      <c r="B376">
        <v>362</v>
      </c>
      <c r="C376" t="s">
        <v>413</v>
      </c>
      <c r="D376">
        <v>3.3608564305261743E-6</v>
      </c>
      <c r="E376">
        <v>3.1234291304021819E-6</v>
      </c>
      <c r="H376">
        <v>1.5455190067471538E-6</v>
      </c>
      <c r="N376">
        <v>3.4473229461616249E-6</v>
      </c>
      <c r="O376">
        <v>4.4514399493397502E-6</v>
      </c>
      <c r="Q376">
        <v>3.0493039407520294E-6</v>
      </c>
      <c r="R376">
        <v>2.0432638188264173E-6</v>
      </c>
      <c r="V376">
        <v>3.1629156616430486E-6</v>
      </c>
      <c r="W376">
        <v>3.5747688527353162E-6</v>
      </c>
      <c r="X376">
        <v>3.4942595906446885E-6</v>
      </c>
      <c r="Y376">
        <v>1.718719865902547E-6</v>
      </c>
      <c r="Z376">
        <v>1.4839753281233699E-6</v>
      </c>
      <c r="AA376">
        <v>3.1657496447336276E-6</v>
      </c>
      <c r="AB376">
        <v>4.1339917786789072E-6</v>
      </c>
      <c r="AF376">
        <f>'User Add-In Location'!E377</f>
        <v>0</v>
      </c>
      <c r="AI376">
        <v>3.5185814925530802E-6</v>
      </c>
      <c r="AJ376">
        <v>2.4918617261417155E-6</v>
      </c>
      <c r="AL376">
        <v>2.4590502488236517E-6</v>
      </c>
      <c r="AM376">
        <v>4.0518541586057752E-6</v>
      </c>
      <c r="AO376">
        <v>1.9262223503507469E-6</v>
      </c>
      <c r="AQ376">
        <v>2.9249048889867283E-6</v>
      </c>
      <c r="AR376">
        <v>4.0080120941325179E-6</v>
      </c>
      <c r="AS376">
        <v>6.6902406741440783E-7</v>
      </c>
      <c r="AT376">
        <v>3.831210833752707E-6</v>
      </c>
      <c r="AW376">
        <v>5.6640678861829255E-6</v>
      </c>
      <c r="AX376">
        <v>5.8445555634271551E-6</v>
      </c>
      <c r="BA376">
        <v>4.2641609391019324E-6</v>
      </c>
      <c r="BB376">
        <v>4.0362776841171842E-6</v>
      </c>
      <c r="BD376">
        <v>2.8609391829875325E-6</v>
      </c>
      <c r="BF376">
        <v>5.680693230393838E-6</v>
      </c>
      <c r="BG376">
        <v>2.9961622223495817E-6</v>
      </c>
      <c r="BH376">
        <v>3.1852623470885405E-6</v>
      </c>
      <c r="BI376">
        <v>2.4624146802095414E-6</v>
      </c>
      <c r="BJ376">
        <v>2.6071483248213411E-6</v>
      </c>
      <c r="BK376">
        <v>4.0468428889469215E-6</v>
      </c>
      <c r="BL376">
        <v>2.2876847861888106E-6</v>
      </c>
      <c r="BM376">
        <v>2.0882599976290889E-6</v>
      </c>
    </row>
    <row r="377" spans="2:65" x14ac:dyDescent="0.25">
      <c r="B377">
        <v>363</v>
      </c>
      <c r="C377" t="s">
        <v>414</v>
      </c>
      <c r="D377">
        <v>4.6873481966785676E-4</v>
      </c>
      <c r="E377">
        <v>3.8414750813420457E-5</v>
      </c>
      <c r="H377">
        <v>7.2784572838146912E-5</v>
      </c>
      <c r="N377">
        <v>1.5311067486007161E-4</v>
      </c>
      <c r="O377">
        <v>1.6003055852464844E-5</v>
      </c>
      <c r="Q377">
        <v>2.9034278772097657E-4</v>
      </c>
      <c r="R377">
        <v>7.3452970209923914E-4</v>
      </c>
      <c r="V377">
        <v>1.6175120005953913E-4</v>
      </c>
      <c r="W377">
        <v>1.5621788863202956E-4</v>
      </c>
      <c r="X377">
        <v>6.5148214101052039E-5</v>
      </c>
      <c r="Y377">
        <v>1.5919143994355128E-4</v>
      </c>
      <c r="Z377">
        <v>2.015596776934755E-4</v>
      </c>
      <c r="AA377">
        <v>2.3985057164012288E-4</v>
      </c>
      <c r="AB377">
        <v>3.2444653003464485E-4</v>
      </c>
      <c r="AF377">
        <f>'User Add-In Location'!E378</f>
        <v>0</v>
      </c>
      <c r="AI377">
        <v>3.0734330574019939E-4</v>
      </c>
      <c r="AJ377">
        <v>1.2347681807799366E-4</v>
      </c>
      <c r="AL377">
        <v>1.3701214502645446E-4</v>
      </c>
      <c r="AM377">
        <v>1.9545206479038252E-4</v>
      </c>
      <c r="AO377">
        <v>3.7239785882032736E-4</v>
      </c>
      <c r="AQ377">
        <v>2.0429821678835894E-4</v>
      </c>
      <c r="AR377">
        <v>4.7540242236305126E-4</v>
      </c>
      <c r="AS377">
        <v>2.0182800909961985E-4</v>
      </c>
      <c r="AT377">
        <v>1.9473610555549299E-4</v>
      </c>
      <c r="AW377">
        <v>2.3628894263251629E-4</v>
      </c>
      <c r="AX377">
        <v>2.5333985993656905E-4</v>
      </c>
      <c r="BA377">
        <v>1.4176732319872603E-4</v>
      </c>
      <c r="BB377">
        <v>1.2334810746232079E-4</v>
      </c>
      <c r="BD377">
        <v>1.9648726299413473E-4</v>
      </c>
      <c r="BF377">
        <v>2.3590071572354701E-4</v>
      </c>
      <c r="BG377">
        <v>1.3659294517307682E-4</v>
      </c>
      <c r="BH377">
        <v>1.6759999491758486E-4</v>
      </c>
      <c r="BI377">
        <v>3.0699046263593584E-4</v>
      </c>
      <c r="BJ377">
        <v>1.1952463710504266E-4</v>
      </c>
      <c r="BK377">
        <v>1.8431504911631315E-4</v>
      </c>
      <c r="BL377">
        <v>1.8205061323720695E-4</v>
      </c>
      <c r="BM377">
        <v>1.6448389249784076E-4</v>
      </c>
    </row>
    <row r="378" spans="2:65" x14ac:dyDescent="0.25">
      <c r="B378">
        <v>364</v>
      </c>
      <c r="C378" t="s">
        <v>415</v>
      </c>
      <c r="D378">
        <v>3.698008622851054E-5</v>
      </c>
      <c r="E378">
        <v>4.336098864029774E-6</v>
      </c>
      <c r="H378">
        <v>1.3130737129078482E-5</v>
      </c>
      <c r="N378">
        <v>3.7745801174657296E-5</v>
      </c>
      <c r="O378">
        <v>0</v>
      </c>
      <c r="Q378">
        <v>5.5368222522513046E-5</v>
      </c>
      <c r="R378">
        <v>1.3683185191059989E-4</v>
      </c>
      <c r="V378">
        <v>3.3949221649522622E-6</v>
      </c>
      <c r="W378">
        <v>3.2358172489189135E-5</v>
      </c>
      <c r="X378">
        <v>5.6491645549035565E-5</v>
      </c>
      <c r="Y378">
        <v>1.7111961256419165E-5</v>
      </c>
      <c r="Z378">
        <v>4.8644393422993054E-5</v>
      </c>
      <c r="AA378">
        <v>7.483685534635092E-6</v>
      </c>
      <c r="AB378">
        <v>8.2130954845996448E-5</v>
      </c>
      <c r="AF378">
        <f>'User Add-In Location'!E379</f>
        <v>0</v>
      </c>
      <c r="AI378">
        <v>6.6196458509984376E-5</v>
      </c>
      <c r="AJ378">
        <v>9.8153831976243294E-6</v>
      </c>
      <c r="AL378">
        <v>2.8674424374364527E-5</v>
      </c>
      <c r="AM378">
        <v>7.785217727820954E-5</v>
      </c>
      <c r="AO378">
        <v>4.9418704118064669E-5</v>
      </c>
      <c r="AQ378">
        <v>7.9159139916259424E-6</v>
      </c>
      <c r="AR378">
        <v>2.4114002393178574E-5</v>
      </c>
      <c r="AS378">
        <v>1.1990725761002931E-7</v>
      </c>
      <c r="AT378">
        <v>9.577894719583807E-5</v>
      </c>
      <c r="AW378">
        <v>1.8383775390353596E-5</v>
      </c>
      <c r="AX378">
        <v>4.202071113856063E-5</v>
      </c>
      <c r="BA378">
        <v>9.6685943212407226E-6</v>
      </c>
      <c r="BB378">
        <v>4.2693158052724816E-6</v>
      </c>
      <c r="BD378">
        <v>1.0310497277354314E-4</v>
      </c>
      <c r="BF378">
        <v>2.4932385572648385E-5</v>
      </c>
      <c r="BG378">
        <v>1.9830939614603776E-5</v>
      </c>
      <c r="BH378">
        <v>4.544632860444825E-5</v>
      </c>
      <c r="BI378">
        <v>5.5072432227578189E-5</v>
      </c>
      <c r="BJ378">
        <v>2.9739172012408824E-5</v>
      </c>
      <c r="BK378">
        <v>6.5294657762327856E-5</v>
      </c>
      <c r="BL378">
        <v>3.1905427589326041E-5</v>
      </c>
      <c r="BM378">
        <v>2.8394479406232431E-5</v>
      </c>
    </row>
    <row r="379" spans="2:65" x14ac:dyDescent="0.25">
      <c r="B379">
        <v>365</v>
      </c>
      <c r="C379" t="s">
        <v>416</v>
      </c>
      <c r="D379">
        <v>5.0508985862103601E-5</v>
      </c>
      <c r="E379">
        <v>8.0133282950201518E-7</v>
      </c>
      <c r="H379">
        <v>1.7555200502974291E-4</v>
      </c>
      <c r="N379">
        <v>8.1938537380613682E-5</v>
      </c>
      <c r="O379">
        <v>9.3902563343495274E-7</v>
      </c>
      <c r="Q379">
        <v>9.6498689531257609E-5</v>
      </c>
      <c r="R379">
        <v>5.101860011050198E-5</v>
      </c>
      <c r="V379">
        <v>5.1753688192707948E-6</v>
      </c>
      <c r="W379">
        <v>3.6517598389089175E-4</v>
      </c>
      <c r="X379">
        <v>7.858863447190435E-5</v>
      </c>
      <c r="Y379">
        <v>3.0153259023981099E-4</v>
      </c>
      <c r="Z379">
        <v>1.7967962491073592E-4</v>
      </c>
      <c r="AA379">
        <v>2.2438135696483758E-4</v>
      </c>
      <c r="AB379">
        <v>3.6332611669076152E-5</v>
      </c>
      <c r="AF379">
        <f>'User Add-In Location'!E380</f>
        <v>0</v>
      </c>
      <c r="AI379">
        <v>2.9194225300851361E-4</v>
      </c>
      <c r="AJ379">
        <v>1.4197268856034912E-4</v>
      </c>
      <c r="AL379">
        <v>2.0612383513037046E-4</v>
      </c>
      <c r="AM379">
        <v>3.1647300309596847E-4</v>
      </c>
      <c r="AO379">
        <v>1.251899587764964E-4</v>
      </c>
      <c r="AQ379">
        <v>5.5699316647709425E-4</v>
      </c>
      <c r="AR379">
        <v>1.4048634653274247E-4</v>
      </c>
      <c r="AS379">
        <v>9.96843661467108E-5</v>
      </c>
      <c r="AT379">
        <v>7.2360367087009327E-5</v>
      </c>
      <c r="AW379">
        <v>3.8501683821380648E-4</v>
      </c>
      <c r="AX379">
        <v>2.440180374595013E-4</v>
      </c>
      <c r="BA379">
        <v>1.5161291705313083E-4</v>
      </c>
      <c r="BB379">
        <v>1.6241887330598859E-4</v>
      </c>
      <c r="BD379">
        <v>1.3213656028536602E-4</v>
      </c>
      <c r="BF379">
        <v>3.3275835181365129E-4</v>
      </c>
      <c r="BG379">
        <v>3.3566932095802467E-4</v>
      </c>
      <c r="BH379">
        <v>1.9486537514289498E-4</v>
      </c>
      <c r="BI379">
        <v>1.3296829163723578E-4</v>
      </c>
      <c r="BJ379">
        <v>1.6886731695327155E-4</v>
      </c>
      <c r="BK379">
        <v>1.532217816243281E-4</v>
      </c>
      <c r="BL379">
        <v>3.0258681716006415E-4</v>
      </c>
      <c r="BM379">
        <v>2.5268275375648415E-4</v>
      </c>
    </row>
    <row r="380" spans="2:65" x14ac:dyDescent="0.25">
      <c r="B380">
        <v>366</v>
      </c>
      <c r="C380" t="s">
        <v>417</v>
      </c>
      <c r="D380">
        <v>5.4822052895596287E-5</v>
      </c>
      <c r="E380">
        <v>4.671391888441394E-6</v>
      </c>
      <c r="H380">
        <v>4.3529732253799679E-5</v>
      </c>
      <c r="N380">
        <v>5.6738357009471991E-5</v>
      </c>
      <c r="O380">
        <v>6.4973973779793699E-6</v>
      </c>
      <c r="Q380">
        <v>7.5537195618551582E-5</v>
      </c>
      <c r="R380">
        <v>5.471508878264767E-5</v>
      </c>
      <c r="V380">
        <v>2.2447438062021255E-5</v>
      </c>
      <c r="W380">
        <v>4.2543990130562692E-5</v>
      </c>
      <c r="X380">
        <v>3.0376208904055907E-5</v>
      </c>
      <c r="Y380">
        <v>8.7053311730177785E-5</v>
      </c>
      <c r="Z380">
        <v>2.9824178405875726E-5</v>
      </c>
      <c r="AA380">
        <v>8.8678119358199587E-5</v>
      </c>
      <c r="AB380">
        <v>1.4790247129425459E-4</v>
      </c>
      <c r="AF380">
        <f>'User Add-In Location'!E381</f>
        <v>0</v>
      </c>
      <c r="AI380">
        <v>1.2653625163499551E-4</v>
      </c>
      <c r="AJ380">
        <v>6.3165735260368712E-5</v>
      </c>
      <c r="AL380">
        <v>4.3258695859493743E-5</v>
      </c>
      <c r="AM380">
        <v>8.3915285288432552E-5</v>
      </c>
      <c r="AO380">
        <v>5.2975375601151039E-5</v>
      </c>
      <c r="AQ380">
        <v>4.2494100994494353E-5</v>
      </c>
      <c r="AR380">
        <v>6.3890681041427436E-5</v>
      </c>
      <c r="AS380">
        <v>6.9430982842972472E-5</v>
      </c>
      <c r="AT380">
        <v>8.8438313176493211E-5</v>
      </c>
      <c r="AW380">
        <v>5.0570830075776973E-5</v>
      </c>
      <c r="AX380">
        <v>5.8822943090341817E-5</v>
      </c>
      <c r="BA380">
        <v>8.0360266519416301E-5</v>
      </c>
      <c r="BB380">
        <v>4.9530255640855688E-5</v>
      </c>
      <c r="BD380">
        <v>9.8624684344400832E-5</v>
      </c>
      <c r="BF380">
        <v>5.8242720024909266E-5</v>
      </c>
      <c r="BG380">
        <v>7.1243434960386036E-5</v>
      </c>
      <c r="BH380">
        <v>7.065185982453656E-5</v>
      </c>
      <c r="BI380">
        <v>5.7835423469425458E-5</v>
      </c>
      <c r="BJ380">
        <v>4.5501019175084335E-5</v>
      </c>
      <c r="BK380">
        <v>7.9490113481373414E-5</v>
      </c>
      <c r="BL380">
        <v>8.8999470258420454E-5</v>
      </c>
      <c r="BM380">
        <v>6.1700213194856539E-5</v>
      </c>
    </row>
    <row r="381" spans="2:65" x14ac:dyDescent="0.25">
      <c r="B381">
        <v>367</v>
      </c>
      <c r="C381" t="s">
        <v>418</v>
      </c>
      <c r="D381">
        <v>0.19177470668727786</v>
      </c>
      <c r="E381">
        <v>0.11936518954037142</v>
      </c>
      <c r="H381">
        <v>9.4572053970555264E-2</v>
      </c>
      <c r="N381">
        <v>0.20881166242060761</v>
      </c>
      <c r="O381">
        <v>0.17088394114959987</v>
      </c>
      <c r="Q381">
        <v>0.16504166872451839</v>
      </c>
      <c r="R381">
        <v>0.15996349550493105</v>
      </c>
      <c r="V381">
        <v>0.16055467781262511</v>
      </c>
      <c r="W381">
        <v>0.17512599532061668</v>
      </c>
      <c r="X381">
        <v>0.14858975644587336</v>
      </c>
      <c r="Y381">
        <v>0.1690954394429095</v>
      </c>
      <c r="Z381">
        <v>0.15134624909515063</v>
      </c>
      <c r="AA381">
        <v>0.16679390839698782</v>
      </c>
      <c r="AB381">
        <v>0.18174627400679569</v>
      </c>
      <c r="AF381">
        <f>'User Add-In Location'!E382</f>
        <v>0</v>
      </c>
      <c r="AI381">
        <v>0.14689643980407535</v>
      </c>
      <c r="AJ381">
        <v>0.16791809836433977</v>
      </c>
      <c r="AL381">
        <v>0.17336052391466178</v>
      </c>
      <c r="AM381">
        <v>0.20138815664028778</v>
      </c>
      <c r="AO381">
        <v>8.7968470648709218E-2</v>
      </c>
      <c r="AQ381">
        <v>0.18173232831204977</v>
      </c>
      <c r="AR381">
        <v>0.1546010718150849</v>
      </c>
      <c r="AS381">
        <v>0.12064186648656769</v>
      </c>
      <c r="AT381">
        <v>0.19528651894198465</v>
      </c>
      <c r="AW381">
        <v>0.18989563455843098</v>
      </c>
      <c r="AX381">
        <v>0.14925688530779316</v>
      </c>
      <c r="BA381">
        <v>0.14448461400829862</v>
      </c>
      <c r="BB381">
        <v>0.19019567070692908</v>
      </c>
      <c r="BD381">
        <v>0.16449930776666147</v>
      </c>
      <c r="BF381">
        <v>0.18871244494893019</v>
      </c>
      <c r="BG381">
        <v>0.17500183745409578</v>
      </c>
      <c r="BH381">
        <v>0.17511221480282566</v>
      </c>
      <c r="BI381">
        <v>0.16812056902964251</v>
      </c>
      <c r="BJ381">
        <v>0.16917311207977601</v>
      </c>
      <c r="BK381">
        <v>0.19031326481649927</v>
      </c>
      <c r="BL381">
        <v>0.16986552414640346</v>
      </c>
      <c r="BM381">
        <v>0.17015854208625525</v>
      </c>
    </row>
    <row r="382" spans="2:65" x14ac:dyDescent="0.25">
      <c r="B382">
        <v>368</v>
      </c>
      <c r="C382" t="s">
        <v>419</v>
      </c>
      <c r="D382">
        <v>1.8595730710403258E-2</v>
      </c>
      <c r="E382">
        <v>1.6277419405142112E-2</v>
      </c>
      <c r="H382">
        <v>1.1422202692671159E-2</v>
      </c>
      <c r="N382">
        <v>1.904058978287829E-2</v>
      </c>
      <c r="O382">
        <v>1.5858992780639878E-2</v>
      </c>
      <c r="Q382">
        <v>2.1703173721781054E-2</v>
      </c>
      <c r="R382">
        <v>2.2077206276567451E-2</v>
      </c>
      <c r="V382">
        <v>1.6367368843143545E-2</v>
      </c>
      <c r="W382">
        <v>1.584205441330476E-2</v>
      </c>
      <c r="X382">
        <v>1.8474870232871369E-2</v>
      </c>
      <c r="Y382">
        <v>1.9294553745357431E-2</v>
      </c>
      <c r="Z382">
        <v>2.2942448376239766E-2</v>
      </c>
      <c r="AA382">
        <v>1.949238446811908E-2</v>
      </c>
      <c r="AB382">
        <v>1.8767320614241464E-2</v>
      </c>
      <c r="AF382">
        <f>'User Add-In Location'!E383</f>
        <v>0</v>
      </c>
      <c r="AI382">
        <v>1.1843860899662627E-2</v>
      </c>
      <c r="AJ382">
        <v>2.0110963994368004E-2</v>
      </c>
      <c r="AL382">
        <v>2.3081523860752136E-2</v>
      </c>
      <c r="AM382">
        <v>1.8056764350335066E-2</v>
      </c>
      <c r="AO382">
        <v>2.2732700383830622E-2</v>
      </c>
      <c r="AQ382">
        <v>1.9328830668203584E-2</v>
      </c>
      <c r="AR382">
        <v>2.0439158576673565E-2</v>
      </c>
      <c r="AS382">
        <v>1.5932904292329842E-2</v>
      </c>
      <c r="AT382">
        <v>1.8436535504990803E-2</v>
      </c>
      <c r="AW382">
        <v>1.8170874370598313E-2</v>
      </c>
      <c r="AX382">
        <v>2.0733908304383535E-2</v>
      </c>
      <c r="BA382">
        <v>1.6705881528137307E-2</v>
      </c>
      <c r="BB382">
        <v>2.1081010911576333E-2</v>
      </c>
      <c r="BD382">
        <v>2.1505071320422928E-2</v>
      </c>
      <c r="BF382">
        <v>1.7033392495607744E-2</v>
      </c>
      <c r="BG382">
        <v>2.0736239535985846E-2</v>
      </c>
      <c r="BH382">
        <v>1.9910274478300811E-2</v>
      </c>
      <c r="BI382">
        <v>2.2377575692945181E-2</v>
      </c>
      <c r="BJ382">
        <v>2.1299363961106436E-2</v>
      </c>
      <c r="BK382">
        <v>1.7518888672350748E-2</v>
      </c>
      <c r="BL382">
        <v>1.7360422045932206E-2</v>
      </c>
      <c r="BM382">
        <v>2.2424867432009773E-2</v>
      </c>
    </row>
    <row r="383" spans="2:65" x14ac:dyDescent="0.25">
      <c r="B383">
        <v>369</v>
      </c>
      <c r="C383" t="s">
        <v>420</v>
      </c>
      <c r="D383">
        <v>9.5790162695887592E-4</v>
      </c>
      <c r="E383">
        <v>2.2853206970267137E-3</v>
      </c>
      <c r="H383">
        <v>9.6059366659097668E-4</v>
      </c>
      <c r="N383">
        <v>5.049844694068968E-4</v>
      </c>
      <c r="O383">
        <v>2.486132452451282E-3</v>
      </c>
      <c r="Q383">
        <v>1.598290895210508E-3</v>
      </c>
      <c r="R383">
        <v>1.0902376489018331E-3</v>
      </c>
      <c r="V383">
        <v>1.6329327838749156E-3</v>
      </c>
      <c r="W383">
        <v>1.4764638876053405E-3</v>
      </c>
      <c r="X383">
        <v>1.7402333291641418E-3</v>
      </c>
      <c r="Y383">
        <v>1.1251435075763918E-3</v>
      </c>
      <c r="Z383">
        <v>8.456872064656675E-4</v>
      </c>
      <c r="AA383">
        <v>1.1531696056197578E-3</v>
      </c>
      <c r="AB383">
        <v>1.6109173805302203E-3</v>
      </c>
      <c r="AF383">
        <f>'User Add-In Location'!E384</f>
        <v>0</v>
      </c>
      <c r="AI383">
        <v>2.4327827715515891E-4</v>
      </c>
      <c r="AJ383">
        <v>1.6783664981406719E-3</v>
      </c>
      <c r="AL383">
        <v>2.1305510122219306E-3</v>
      </c>
      <c r="AM383">
        <v>3.8227712216342677E-4</v>
      </c>
      <c r="AO383">
        <v>7.3942073230988013E-4</v>
      </c>
      <c r="AQ383">
        <v>9.7053974960883028E-4</v>
      </c>
      <c r="AR383">
        <v>5.8998311180893037E-4</v>
      </c>
      <c r="AS383">
        <v>8.3533998875026335E-4</v>
      </c>
      <c r="AT383">
        <v>1.2027119289170329E-3</v>
      </c>
      <c r="AW383">
        <v>1.4885516329225408E-3</v>
      </c>
      <c r="AX383">
        <v>1.7210930691829466E-3</v>
      </c>
      <c r="BA383">
        <v>2.2340187106352316E-3</v>
      </c>
      <c r="BB383">
        <v>2.4559959846594749E-3</v>
      </c>
      <c r="BD383">
        <v>2.8623452703693407E-4</v>
      </c>
      <c r="BF383">
        <v>1.8786770007001767E-3</v>
      </c>
      <c r="BG383">
        <v>2.1322498950054726E-3</v>
      </c>
      <c r="BH383">
        <v>1.4259919430244293E-3</v>
      </c>
      <c r="BI383">
        <v>1.1720680859072211E-3</v>
      </c>
      <c r="BJ383">
        <v>1.8688565988830711E-3</v>
      </c>
      <c r="BK383">
        <v>9.6815570160327792E-4</v>
      </c>
      <c r="BL383">
        <v>1.0111295223492556E-3</v>
      </c>
      <c r="BM383">
        <v>1.8987945987694837E-3</v>
      </c>
    </row>
    <row r="384" spans="2:65" x14ac:dyDescent="0.25">
      <c r="B384">
        <v>370</v>
      </c>
      <c r="C384" t="s">
        <v>421</v>
      </c>
      <c r="D384">
        <v>0.44553112474649265</v>
      </c>
      <c r="E384">
        <v>0.57709826127790964</v>
      </c>
      <c r="H384">
        <v>0.2585062901419502</v>
      </c>
      <c r="N384">
        <v>0.44931852643761361</v>
      </c>
      <c r="O384">
        <v>0.56655936869715151</v>
      </c>
      <c r="Q384">
        <v>0.49346770832873699</v>
      </c>
      <c r="R384">
        <v>0.50562531513164022</v>
      </c>
      <c r="V384">
        <v>0.44879944605569888</v>
      </c>
      <c r="W384">
        <v>0.51264574116070372</v>
      </c>
      <c r="X384">
        <v>0.55869937369644718</v>
      </c>
      <c r="Y384">
        <v>0.50729874189382829</v>
      </c>
      <c r="Z384">
        <v>0.53901064658754849</v>
      </c>
      <c r="AA384">
        <v>0.49430999741652837</v>
      </c>
      <c r="AB384">
        <v>0.43334049721679857</v>
      </c>
      <c r="AF384">
        <f>'User Add-In Location'!E385</f>
        <v>0</v>
      </c>
      <c r="AI384">
        <v>0.52217720590557248</v>
      </c>
      <c r="AJ384">
        <v>0.53234700432546245</v>
      </c>
      <c r="AL384">
        <v>0.49713813113256927</v>
      </c>
      <c r="AM384">
        <v>0.40824141693567445</v>
      </c>
      <c r="AO384">
        <v>0.53740995821507043</v>
      </c>
      <c r="AQ384">
        <v>0.49785696890732778</v>
      </c>
      <c r="AR384">
        <v>0.50449540987076624</v>
      </c>
      <c r="AS384">
        <v>0.5532761154679311</v>
      </c>
      <c r="AT384">
        <v>0.4514822900547702</v>
      </c>
      <c r="AW384">
        <v>0.41289166730052368</v>
      </c>
      <c r="AX384">
        <v>0.49749663437112246</v>
      </c>
      <c r="BA384">
        <v>0.49605820763822006</v>
      </c>
      <c r="BB384">
        <v>0.42676953088379116</v>
      </c>
      <c r="BD384">
        <v>0.49524502665296427</v>
      </c>
      <c r="BF384">
        <v>0.43136266037875876</v>
      </c>
      <c r="BG384">
        <v>0.46416203634903896</v>
      </c>
      <c r="BH384">
        <v>0.47713516330154443</v>
      </c>
      <c r="BI384">
        <v>0.48709263706298217</v>
      </c>
      <c r="BJ384">
        <v>0.50585942029249864</v>
      </c>
      <c r="BK384">
        <v>0.44198340450831458</v>
      </c>
      <c r="BL384">
        <v>0.50173339791245242</v>
      </c>
      <c r="BM384">
        <v>0.4959556630981487</v>
      </c>
    </row>
    <row r="385" spans="1:65" x14ac:dyDescent="0.25">
      <c r="B385">
        <v>371</v>
      </c>
      <c r="C385" t="s">
        <v>422</v>
      </c>
      <c r="D385">
        <v>2.6408562760220889E-5</v>
      </c>
      <c r="E385">
        <v>3.2297003572000374E-5</v>
      </c>
      <c r="H385">
        <v>1.396961942971009E-5</v>
      </c>
      <c r="N385">
        <v>3.3814240371009621E-5</v>
      </c>
      <c r="O385">
        <v>2.8270184785073231E-5</v>
      </c>
      <c r="Q385">
        <v>3.0358464341763573E-5</v>
      </c>
      <c r="R385">
        <v>3.1552618798166772E-5</v>
      </c>
      <c r="V385">
        <v>2.505019353652102E-5</v>
      </c>
      <c r="W385">
        <v>2.5880382240640334E-5</v>
      </c>
      <c r="X385">
        <v>3.3062144196735074E-5</v>
      </c>
      <c r="Y385">
        <v>2.4535100528813733E-5</v>
      </c>
      <c r="Z385">
        <v>2.4624994552326057E-5</v>
      </c>
      <c r="AA385">
        <v>2.0124429267042921E-5</v>
      </c>
      <c r="AB385">
        <v>2.949280540578823E-5</v>
      </c>
      <c r="AF385">
        <f>'User Add-In Location'!E386</f>
        <v>0</v>
      </c>
      <c r="AI385">
        <v>2.1502130522394096E-5</v>
      </c>
      <c r="AJ385">
        <v>3.6229088622885948E-5</v>
      </c>
      <c r="AL385">
        <v>2.3082402743000801E-5</v>
      </c>
      <c r="AM385">
        <v>2.5903174757593632E-5</v>
      </c>
      <c r="AO385">
        <v>3.1921308465021688E-5</v>
      </c>
      <c r="AQ385">
        <v>2.2406164203653592E-5</v>
      </c>
      <c r="AR385">
        <v>3.4589394897973246E-5</v>
      </c>
      <c r="AS385">
        <v>2.4006928280172419E-5</v>
      </c>
      <c r="AT385">
        <v>3.2405214512405152E-5</v>
      </c>
      <c r="AW385">
        <v>2.8022662778012086E-5</v>
      </c>
      <c r="AX385">
        <v>2.585543612763035E-5</v>
      </c>
      <c r="BA385">
        <v>3.4780605024940964E-5</v>
      </c>
      <c r="BB385">
        <v>2.338780117851076E-5</v>
      </c>
      <c r="BD385">
        <v>2.5603737542404254E-5</v>
      </c>
      <c r="BF385">
        <v>2.6873291284705667E-5</v>
      </c>
      <c r="BG385">
        <v>2.549961411723509E-5</v>
      </c>
      <c r="BH385">
        <v>3.0093806682149971E-5</v>
      </c>
      <c r="BI385">
        <v>2.8324108137130427E-5</v>
      </c>
      <c r="BJ385">
        <v>2.9984167367165479E-5</v>
      </c>
      <c r="BK385">
        <v>3.041155203980398E-5</v>
      </c>
      <c r="BL385">
        <v>2.3688735855398815E-5</v>
      </c>
      <c r="BM385">
        <v>2.3228958509449934E-5</v>
      </c>
    </row>
    <row r="386" spans="1:65" x14ac:dyDescent="0.25">
      <c r="B386">
        <v>372</v>
      </c>
      <c r="C386" t="s">
        <v>423</v>
      </c>
      <c r="D386">
        <v>8.1492093054376477E-2</v>
      </c>
      <c r="E386">
        <v>5.0754976130451553E-2</v>
      </c>
      <c r="H386">
        <v>4.1297806352364505E-2</v>
      </c>
      <c r="N386">
        <v>7.5696674710933637E-2</v>
      </c>
      <c r="O386">
        <v>6.9626439890148731E-2</v>
      </c>
      <c r="Q386">
        <v>7.8660911022125066E-2</v>
      </c>
      <c r="R386">
        <v>5.1279642554104436E-2</v>
      </c>
      <c r="V386">
        <v>5.6651039078043121E-2</v>
      </c>
      <c r="W386">
        <v>5.651948903925124E-2</v>
      </c>
      <c r="X386">
        <v>5.3291262858095087E-2</v>
      </c>
      <c r="Y386">
        <v>6.919733063035384E-2</v>
      </c>
      <c r="Z386">
        <v>5.8884364280177855E-2</v>
      </c>
      <c r="AA386">
        <v>6.5801392767766198E-2</v>
      </c>
      <c r="AB386">
        <v>6.8504387608659928E-2</v>
      </c>
      <c r="AF386">
        <f>'User Add-In Location'!E387</f>
        <v>0</v>
      </c>
      <c r="AI386">
        <v>7.156582368406067E-2</v>
      </c>
      <c r="AJ386">
        <v>5.5117450949888264E-2</v>
      </c>
      <c r="AL386">
        <v>8.5020499796496687E-2</v>
      </c>
      <c r="AM386">
        <v>6.1138013018122196E-2</v>
      </c>
      <c r="AO386">
        <v>9.5667236071184672E-2</v>
      </c>
      <c r="AQ386">
        <v>5.2842432131565573E-2</v>
      </c>
      <c r="AR386">
        <v>7.7422147525676124E-2</v>
      </c>
      <c r="AS386">
        <v>8.0192424299542181E-2</v>
      </c>
      <c r="AT386">
        <v>6.0303011468784369E-2</v>
      </c>
      <c r="AW386">
        <v>8.9284616404912517E-2</v>
      </c>
      <c r="AX386">
        <v>9.1079458795218449E-2</v>
      </c>
      <c r="BA386">
        <v>8.5929897732988675E-2</v>
      </c>
      <c r="BB386">
        <v>6.9150093590868711E-2</v>
      </c>
      <c r="BD386">
        <v>7.6813383179602526E-2</v>
      </c>
      <c r="BF386">
        <v>8.4337312732119168E-2</v>
      </c>
      <c r="BG386">
        <v>7.3313535657745635E-2</v>
      </c>
      <c r="BH386">
        <v>7.6381206690992687E-2</v>
      </c>
      <c r="BI386">
        <v>7.9394520519939768E-2</v>
      </c>
      <c r="BJ386">
        <v>7.5538920676476523E-2</v>
      </c>
      <c r="BK386">
        <v>7.8411956528633295E-2</v>
      </c>
      <c r="BL386">
        <v>6.8557740855586191E-2</v>
      </c>
      <c r="BM386">
        <v>8.3206894151680422E-2</v>
      </c>
    </row>
    <row r="387" spans="1:65" x14ac:dyDescent="0.25">
      <c r="B387">
        <v>373</v>
      </c>
      <c r="C387" t="s">
        <v>424</v>
      </c>
      <c r="D387">
        <v>7.5240511486798847E-3</v>
      </c>
      <c r="E387">
        <v>8.3978876726319273E-3</v>
      </c>
      <c r="H387">
        <v>7.2452098960832144E-3</v>
      </c>
      <c r="N387">
        <v>1.0797760754188361E-2</v>
      </c>
      <c r="O387">
        <v>8.3128354155002377E-3</v>
      </c>
      <c r="Q387">
        <v>1.6160809522841092E-2</v>
      </c>
      <c r="R387">
        <v>7.9092907504684801E-3</v>
      </c>
      <c r="V387">
        <v>7.0202228172340682E-3</v>
      </c>
      <c r="W387">
        <v>9.1867946609573026E-3</v>
      </c>
      <c r="X387">
        <v>1.4985426490196399E-2</v>
      </c>
      <c r="Y387">
        <v>1.6735755960610756E-2</v>
      </c>
      <c r="Z387">
        <v>1.4213580287918543E-2</v>
      </c>
      <c r="AA387">
        <v>1.2379860084397421E-2</v>
      </c>
      <c r="AB387">
        <v>5.2632827226608342E-3</v>
      </c>
      <c r="AF387">
        <f>'User Add-In Location'!E388</f>
        <v>0</v>
      </c>
      <c r="AI387">
        <v>1.1333601297319992E-2</v>
      </c>
      <c r="AJ387">
        <v>1.9039308656288546E-2</v>
      </c>
      <c r="AL387">
        <v>1.7703996842302588E-2</v>
      </c>
      <c r="AM387">
        <v>5.7171050839461245E-3</v>
      </c>
      <c r="AO387">
        <v>1.2596128494331119E-2</v>
      </c>
      <c r="AQ387">
        <v>1.0364962008909328E-2</v>
      </c>
      <c r="AR387">
        <v>1.5143153437647975E-2</v>
      </c>
      <c r="AS387">
        <v>8.5041857613606543E-3</v>
      </c>
      <c r="AT387">
        <v>7.2102984266835361E-3</v>
      </c>
      <c r="AW387">
        <v>1.1022226583151374E-2</v>
      </c>
      <c r="AX387">
        <v>1.1874378299953253E-2</v>
      </c>
      <c r="BA387">
        <v>1.4062884905658622E-2</v>
      </c>
      <c r="BB387">
        <v>1.0845784991966433E-2</v>
      </c>
      <c r="BD387">
        <v>1.0543330838268925E-2</v>
      </c>
      <c r="BF387">
        <v>9.2839502801672844E-3</v>
      </c>
      <c r="BG387">
        <v>1.3043378693080679E-2</v>
      </c>
      <c r="BH387">
        <v>1.4569971748351996E-2</v>
      </c>
      <c r="BI387">
        <v>1.4814646506671207E-2</v>
      </c>
      <c r="BJ387">
        <v>1.7166033950050067E-2</v>
      </c>
      <c r="BK387">
        <v>1.0348781241943024E-2</v>
      </c>
      <c r="BL387">
        <v>1.5914751391382726E-2</v>
      </c>
      <c r="BM387">
        <v>1.6879418202924355E-2</v>
      </c>
    </row>
    <row r="388" spans="1:65" x14ac:dyDescent="0.25">
      <c r="B388">
        <v>374</v>
      </c>
      <c r="C388" t="s">
        <v>425</v>
      </c>
      <c r="D388">
        <v>9.7866521022026781E-2</v>
      </c>
      <c r="E388">
        <v>0.10723104834897673</v>
      </c>
      <c r="H388">
        <v>5.7201839891354904E-2</v>
      </c>
      <c r="N388">
        <v>0.10180614916861551</v>
      </c>
      <c r="O388">
        <v>8.5897622576814103E-2</v>
      </c>
      <c r="Q388">
        <v>8.8999006812451348E-2</v>
      </c>
      <c r="R388">
        <v>9.6571704772017597E-2</v>
      </c>
      <c r="V388">
        <v>0.10609779344658662</v>
      </c>
      <c r="W388">
        <v>0.10655371402438459</v>
      </c>
      <c r="X388">
        <v>9.1319124099182483E-2</v>
      </c>
      <c r="Y388">
        <v>9.2175170705076928E-2</v>
      </c>
      <c r="Z388">
        <v>9.4997614906380645E-2</v>
      </c>
      <c r="AA388">
        <v>8.7808015802907688E-2</v>
      </c>
      <c r="AB388">
        <v>9.3081788313212135E-2</v>
      </c>
      <c r="AF388">
        <f>'User Add-In Location'!E389</f>
        <v>0</v>
      </c>
      <c r="AI388">
        <v>9.1930021595794997E-2</v>
      </c>
      <c r="AJ388">
        <v>7.0050261291632651E-2</v>
      </c>
      <c r="AL388">
        <v>9.4977625294643236E-2</v>
      </c>
      <c r="AM388">
        <v>0.10670148148778603</v>
      </c>
      <c r="AO388">
        <v>9.7676753720315715E-2</v>
      </c>
      <c r="AQ388">
        <v>0.10356292903205652</v>
      </c>
      <c r="AR388">
        <v>8.368116720979886E-2</v>
      </c>
      <c r="AS388">
        <v>0.11122194406684044</v>
      </c>
      <c r="AT388">
        <v>0.13054415271694711</v>
      </c>
      <c r="AW388">
        <v>9.3807332188063877E-2</v>
      </c>
      <c r="AX388">
        <v>9.0263205187769827E-2</v>
      </c>
      <c r="BA388">
        <v>9.4189977988875864E-2</v>
      </c>
      <c r="BB388">
        <v>0.10359088316320417</v>
      </c>
      <c r="BD388">
        <v>8.7662596314815031E-2</v>
      </c>
      <c r="BF388">
        <v>9.9559481908070693E-2</v>
      </c>
      <c r="BG388">
        <v>0.10284566312221162</v>
      </c>
      <c r="BH388">
        <v>9.4114785029295822E-2</v>
      </c>
      <c r="BI388">
        <v>9.2506623155776527E-2</v>
      </c>
      <c r="BJ388">
        <v>9.3291749193299536E-2</v>
      </c>
      <c r="BK388">
        <v>9.7981912192650053E-2</v>
      </c>
      <c r="BL388">
        <v>9.6134251600956788E-2</v>
      </c>
      <c r="BM388">
        <v>9.125940799724945E-2</v>
      </c>
    </row>
    <row r="389" spans="1:65" x14ac:dyDescent="0.25">
      <c r="B389">
        <v>375</v>
      </c>
      <c r="C389" t="s">
        <v>426</v>
      </c>
      <c r="D389">
        <v>3.0631928483181654E-2</v>
      </c>
      <c r="E389">
        <v>2.9044115195262989E-2</v>
      </c>
      <c r="H389">
        <v>1.4076349671669302E-2</v>
      </c>
      <c r="N389">
        <v>2.489212302086188E-2</v>
      </c>
      <c r="O389">
        <v>3.15931757359246E-2</v>
      </c>
      <c r="Q389">
        <v>2.0831483593623308E-2</v>
      </c>
      <c r="R389">
        <v>2.0080302249297702E-2</v>
      </c>
      <c r="V389">
        <v>2.1238010763079018E-2</v>
      </c>
      <c r="W389">
        <v>2.4932586920909813E-2</v>
      </c>
      <c r="X389">
        <v>3.5749165381591341E-2</v>
      </c>
      <c r="Y389">
        <v>2.4981861478430789E-2</v>
      </c>
      <c r="Z389">
        <v>2.1454977706529176E-2</v>
      </c>
      <c r="AA389">
        <v>2.1845994223909013E-2</v>
      </c>
      <c r="AB389">
        <v>2.3114196908377484E-2</v>
      </c>
      <c r="AF389">
        <f>'User Add-In Location'!E390</f>
        <v>0</v>
      </c>
      <c r="AI389">
        <v>2.3379970517804806E-2</v>
      </c>
      <c r="AJ389">
        <v>2.3357386394851687E-2</v>
      </c>
      <c r="AL389">
        <v>2.7696056544478497E-2</v>
      </c>
      <c r="AM389">
        <v>2.6362607197453508E-2</v>
      </c>
      <c r="AO389">
        <v>2.2197540708542525E-2</v>
      </c>
      <c r="AQ389">
        <v>2.4804560463748845E-2</v>
      </c>
      <c r="AR389">
        <v>2.1916344531612657E-2</v>
      </c>
      <c r="AS389">
        <v>2.750494441275754E-2</v>
      </c>
      <c r="AT389">
        <v>2.9019091077463078E-2</v>
      </c>
      <c r="AW389">
        <v>2.236824461696171E-2</v>
      </c>
      <c r="AX389">
        <v>2.0526591833510802E-2</v>
      </c>
      <c r="BA389">
        <v>3.4549479910627068E-2</v>
      </c>
      <c r="BB389">
        <v>3.1380408389611265E-2</v>
      </c>
      <c r="BD389">
        <v>2.1856111507053202E-2</v>
      </c>
      <c r="BF389">
        <v>2.1870539895508967E-2</v>
      </c>
      <c r="BG389">
        <v>2.6135816849740375E-2</v>
      </c>
      <c r="BH389">
        <v>2.6456677235372827E-2</v>
      </c>
      <c r="BI389">
        <v>2.2218250502716995E-2</v>
      </c>
      <c r="BJ389">
        <v>2.7677219511043544E-2</v>
      </c>
      <c r="BK389">
        <v>2.6801188305287597E-2</v>
      </c>
      <c r="BL389">
        <v>2.4356182301078635E-2</v>
      </c>
      <c r="BM389">
        <v>2.66454992559104E-2</v>
      </c>
    </row>
    <row r="392" spans="1:65" x14ac:dyDescent="0.25">
      <c r="A392" t="s">
        <v>728</v>
      </c>
      <c r="D392" s="174" t="s">
        <v>532</v>
      </c>
      <c r="E392" s="174" t="s">
        <v>680</v>
      </c>
      <c r="F392" s="174" t="s">
        <v>681</v>
      </c>
      <c r="G392" s="174" t="s">
        <v>682</v>
      </c>
      <c r="H392" s="174" t="s">
        <v>533</v>
      </c>
      <c r="I392" s="174" t="s">
        <v>683</v>
      </c>
      <c r="J392" s="174" t="s">
        <v>534</v>
      </c>
      <c r="K392" s="174" t="s">
        <v>535</v>
      </c>
      <c r="L392" s="174" t="s">
        <v>684</v>
      </c>
      <c r="M392" s="174" t="s">
        <v>536</v>
      </c>
      <c r="N392" s="174" t="s">
        <v>537</v>
      </c>
      <c r="O392" s="174" t="s">
        <v>538</v>
      </c>
      <c r="P392" s="174" t="s">
        <v>685</v>
      </c>
      <c r="Q392" s="174" t="s">
        <v>539</v>
      </c>
      <c r="R392" s="174" t="s">
        <v>540</v>
      </c>
      <c r="S392" s="174" t="s">
        <v>686</v>
      </c>
      <c r="T392" s="174" t="s">
        <v>687</v>
      </c>
      <c r="U392" s="174" t="s">
        <v>688</v>
      </c>
      <c r="V392" s="174" t="s">
        <v>541</v>
      </c>
      <c r="W392" s="174" t="s">
        <v>542</v>
      </c>
      <c r="X392" s="174" t="s">
        <v>543</v>
      </c>
      <c r="Y392" s="174" t="s">
        <v>544</v>
      </c>
      <c r="Z392" s="174" t="s">
        <v>545</v>
      </c>
      <c r="AA392" s="174" t="s">
        <v>546</v>
      </c>
      <c r="AB392" s="174" t="s">
        <v>549</v>
      </c>
      <c r="AC392" s="174" t="s">
        <v>689</v>
      </c>
      <c r="AD392" s="174" t="s">
        <v>690</v>
      </c>
      <c r="AE392" s="175" t="s">
        <v>691</v>
      </c>
      <c r="AF392" s="175" t="s">
        <v>1064</v>
      </c>
      <c r="AG392" s="174" t="s">
        <v>692</v>
      </c>
      <c r="AH392" s="174" t="s">
        <v>693</v>
      </c>
      <c r="AI392" s="174" t="s">
        <v>550</v>
      </c>
      <c r="AJ392" s="174" t="s">
        <v>551</v>
      </c>
      <c r="AK392" s="174" t="s">
        <v>694</v>
      </c>
      <c r="AL392" s="174" t="s">
        <v>695</v>
      </c>
      <c r="AM392" s="174" t="s">
        <v>553</v>
      </c>
      <c r="AN392" s="174" t="s">
        <v>696</v>
      </c>
      <c r="AO392" s="174" t="s">
        <v>554</v>
      </c>
      <c r="AP392" s="174" t="s">
        <v>697</v>
      </c>
      <c r="AQ392" s="174" t="s">
        <v>555</v>
      </c>
      <c r="AR392" s="174" t="s">
        <v>556</v>
      </c>
      <c r="AS392" s="174" t="s">
        <v>557</v>
      </c>
      <c r="AT392" s="174" t="s">
        <v>558</v>
      </c>
      <c r="AU392" s="174" t="s">
        <v>698</v>
      </c>
      <c r="AV392" s="174" t="s">
        <v>699</v>
      </c>
      <c r="AW392" s="174" t="s">
        <v>559</v>
      </c>
      <c r="AX392" s="174" t="s">
        <v>530</v>
      </c>
      <c r="AY392" s="174" t="s">
        <v>700</v>
      </c>
      <c r="AZ392" s="174" t="s">
        <v>701</v>
      </c>
      <c r="BA392" s="174" t="s">
        <v>560</v>
      </c>
      <c r="BB392" s="174" t="s">
        <v>561</v>
      </c>
      <c r="BC392" s="174" t="s">
        <v>702</v>
      </c>
      <c r="BD392" s="174" t="s">
        <v>562</v>
      </c>
      <c r="BE392" s="174" t="s">
        <v>703</v>
      </c>
      <c r="BF392" t="s">
        <v>704</v>
      </c>
      <c r="BG392" t="s">
        <v>705</v>
      </c>
      <c r="BH392" t="s">
        <v>706</v>
      </c>
      <c r="BI392" t="s">
        <v>707</v>
      </c>
      <c r="BJ392" t="s">
        <v>708</v>
      </c>
      <c r="BK392" t="s">
        <v>709</v>
      </c>
      <c r="BL392" t="s">
        <v>710</v>
      </c>
      <c r="BM392" t="s">
        <v>711</v>
      </c>
    </row>
    <row r="393" spans="1:65" x14ac:dyDescent="0.25">
      <c r="C393" t="s">
        <v>729</v>
      </c>
      <c r="D393">
        <v>0.2916551309008179</v>
      </c>
      <c r="H393">
        <v>0.47245570612885046</v>
      </c>
      <c r="J393" s="174">
        <v>0.15998471092635236</v>
      </c>
      <c r="K393" s="174">
        <v>0.15998471092635236</v>
      </c>
      <c r="L393" s="174"/>
      <c r="M393" s="174"/>
      <c r="N393" s="174">
        <v>0.11824128045405842</v>
      </c>
      <c r="O393" s="174">
        <v>0.36256160838258616</v>
      </c>
      <c r="P393" s="174"/>
      <c r="Q393" s="174">
        <v>6.1257624530389639E-2</v>
      </c>
      <c r="R393" s="174">
        <v>8.0495257126477898E-2</v>
      </c>
      <c r="S393" s="174"/>
      <c r="T393" s="174"/>
      <c r="U393" s="174"/>
      <c r="V393" s="174">
        <v>0.14732968222259943</v>
      </c>
      <c r="W393" s="174">
        <v>0.23339334968638056</v>
      </c>
      <c r="X393" s="174">
        <v>0.14411666364722028</v>
      </c>
      <c r="Y393" s="174">
        <v>0.38654686622614992</v>
      </c>
      <c r="Z393" s="174">
        <v>0.18477396027537712</v>
      </c>
      <c r="AA393" s="174">
        <v>6.457481658499277E-2</v>
      </c>
      <c r="AB393" s="174">
        <v>0.10867281527689102</v>
      </c>
      <c r="AC393" s="174"/>
      <c r="AD393" s="174"/>
      <c r="AE393" s="174"/>
      <c r="AF393" s="175">
        <v>0</v>
      </c>
      <c r="AG393" s="174"/>
      <c r="AH393" s="174"/>
      <c r="AI393" s="174">
        <v>0.24927294777448217</v>
      </c>
      <c r="AJ393" s="174">
        <v>0.32355396773450479</v>
      </c>
      <c r="AK393" s="175"/>
      <c r="AL393" s="175">
        <v>0.19522485842419909</v>
      </c>
      <c r="AM393" s="174">
        <v>0.11530927280383726</v>
      </c>
      <c r="AN393" s="174"/>
      <c r="AO393" s="174">
        <v>0.11629961425854161</v>
      </c>
      <c r="AP393" s="174"/>
      <c r="AQ393" s="174">
        <v>0.3370327297417664</v>
      </c>
      <c r="AR393" s="174">
        <v>0.13661664003587587</v>
      </c>
      <c r="AS393" s="174">
        <v>0.32873550335136759</v>
      </c>
      <c r="AT393" s="174">
        <v>0.17694726382630604</v>
      </c>
      <c r="AU393" s="174"/>
      <c r="AV393" s="174"/>
      <c r="AW393" s="174">
        <v>0.15916310499097094</v>
      </c>
      <c r="AX393" s="174">
        <v>0.14810721127889645</v>
      </c>
      <c r="AY393" s="174"/>
      <c r="AZ393" s="174"/>
      <c r="BA393" s="174">
        <v>0.17611480009115321</v>
      </c>
      <c r="BB393" s="174">
        <v>0.30950374422605909</v>
      </c>
      <c r="BC393" s="174"/>
      <c r="BD393" s="174">
        <v>0.12428054712226079</v>
      </c>
      <c r="BE393" s="174"/>
      <c r="BF393">
        <v>0.1745011321776323</v>
      </c>
      <c r="BG393">
        <v>0.3062233185719973</v>
      </c>
      <c r="BH393">
        <v>0.15998471092635236</v>
      </c>
      <c r="BI393">
        <v>0.10632388144440208</v>
      </c>
      <c r="BJ393">
        <v>0.18686780021849511</v>
      </c>
      <c r="BK393">
        <v>0.13088760596495427</v>
      </c>
      <c r="BL393">
        <v>0.29797806894226897</v>
      </c>
      <c r="BM393">
        <v>0.2365232344884417</v>
      </c>
    </row>
    <row r="394" spans="1:65" x14ac:dyDescent="0.25">
      <c r="C394" t="s">
        <v>441</v>
      </c>
      <c r="D394">
        <v>0.17295350020216957</v>
      </c>
      <c r="H394">
        <v>0.32160832369646747</v>
      </c>
      <c r="J394" s="174">
        <v>2.7375316439262679E-2</v>
      </c>
      <c r="K394" s="174">
        <v>2.7375316439262679E-2</v>
      </c>
      <c r="L394" s="174"/>
      <c r="M394" s="174"/>
      <c r="N394" s="174">
        <v>2.4705862470231477E-2</v>
      </c>
      <c r="O394" s="174">
        <v>2.0858084179026229E-3</v>
      </c>
      <c r="P394" s="174"/>
      <c r="Q394" s="174">
        <v>4.2823706635351684E-2</v>
      </c>
      <c r="R394" s="174">
        <v>2.5203921862422523E-2</v>
      </c>
      <c r="S394" s="174"/>
      <c r="T394" s="174"/>
      <c r="U394" s="174"/>
      <c r="V394" s="174">
        <v>0.17930392335704626</v>
      </c>
      <c r="W394" s="174">
        <v>3.9240818410713665E-3</v>
      </c>
      <c r="X394" s="174">
        <v>1.145964491501013E-2</v>
      </c>
      <c r="Y394" s="174">
        <v>1.5178762380291108E-2</v>
      </c>
      <c r="Z394" s="174">
        <v>5.9887021841803188E-2</v>
      </c>
      <c r="AA394" s="174">
        <v>1.7564924601139703E-2</v>
      </c>
      <c r="AB394" s="174">
        <v>9.5433935731103703E-2</v>
      </c>
      <c r="AC394" s="174"/>
      <c r="AD394" s="174"/>
      <c r="AE394" s="174"/>
      <c r="AF394" s="175">
        <f>'User Add-In Location'!E395</f>
        <v>0</v>
      </c>
      <c r="AG394" s="174"/>
      <c r="AH394" s="174"/>
      <c r="AI394" s="174">
        <v>3.346649863958788E-2</v>
      </c>
      <c r="AJ394" s="174">
        <v>5.9391470334596325E-2</v>
      </c>
      <c r="AK394" s="175"/>
      <c r="AL394" s="175">
        <v>3.3025117543841749E-2</v>
      </c>
      <c r="AM394" s="174">
        <v>1.8951645825717178E-2</v>
      </c>
      <c r="AN394" s="174"/>
      <c r="AO394" s="174">
        <v>4.4225650319102104E-2</v>
      </c>
      <c r="AP394" s="174"/>
      <c r="AQ394" s="174">
        <v>2.9526306187536702E-3</v>
      </c>
      <c r="AR394" s="174">
        <v>0.11448288088545085</v>
      </c>
      <c r="AS394" s="174">
        <v>0</v>
      </c>
      <c r="AT394" s="174">
        <v>1.9266544103333026E-2</v>
      </c>
      <c r="AU394" s="174"/>
      <c r="AV394" s="174"/>
      <c r="AW394" s="174">
        <v>0.15996468149382601</v>
      </c>
      <c r="AX394">
        <v>0.14125580422560796</v>
      </c>
      <c r="AY394" s="174"/>
      <c r="AZ394" s="174"/>
      <c r="BA394" s="174">
        <v>4.2262736583913788E-2</v>
      </c>
      <c r="BB394" s="174">
        <v>6.6131912720272072E-3</v>
      </c>
      <c r="BC394" s="174"/>
      <c r="BD394" s="174">
        <v>5.5266410589593527E-3</v>
      </c>
      <c r="BE394" s="174"/>
      <c r="BF394">
        <v>0.15794155772700108</v>
      </c>
      <c r="BG394">
        <v>0.1366753653403231</v>
      </c>
      <c r="BH394">
        <v>2.7375316439262679E-2</v>
      </c>
      <c r="BI394">
        <v>7.3242494877630168E-2</v>
      </c>
      <c r="BJ394">
        <v>3.3390434068493291E-2</v>
      </c>
      <c r="BK394">
        <v>2.7870240135813313E-2</v>
      </c>
      <c r="BL394">
        <v>1.7919757048555158E-2</v>
      </c>
      <c r="BM394">
        <v>2.3935774151867685E-2</v>
      </c>
    </row>
    <row r="395" spans="1:65" x14ac:dyDescent="0.25">
      <c r="C395" t="s">
        <v>442</v>
      </c>
      <c r="D395">
        <v>0.1802958652445642</v>
      </c>
      <c r="H395">
        <v>0.32137494157171731</v>
      </c>
      <c r="J395" s="174">
        <v>0.17215255067813723</v>
      </c>
      <c r="K395" s="174">
        <v>0.17215255067813723</v>
      </c>
      <c r="L395" s="174"/>
      <c r="M395" s="174"/>
      <c r="N395" s="174">
        <v>0.25004483586412901</v>
      </c>
      <c r="O395" s="174">
        <v>0.2475899266419776</v>
      </c>
      <c r="P395" s="174"/>
      <c r="Q395" s="174">
        <v>0.19667618266913375</v>
      </c>
      <c r="R395" s="174">
        <v>0.22491224283858566</v>
      </c>
      <c r="S395" s="174"/>
      <c r="T395" s="174"/>
      <c r="U395" s="174"/>
      <c r="V395" s="174">
        <v>0.13699760727276</v>
      </c>
      <c r="W395" s="174">
        <v>0.24286261715805837</v>
      </c>
      <c r="X395" s="174">
        <v>0.10807219028557437</v>
      </c>
      <c r="Y395" s="174">
        <v>0.29024784369041667</v>
      </c>
      <c r="Z395" s="174">
        <v>0.25956222961106334</v>
      </c>
      <c r="AA395" s="174">
        <v>0.26452559001683029</v>
      </c>
      <c r="AB395" s="174">
        <v>0.12664320911452259</v>
      </c>
      <c r="AC395" s="174"/>
      <c r="AD395" s="174"/>
      <c r="AE395" s="174"/>
      <c r="AF395" s="175">
        <f>'User Add-In Location'!E396</f>
        <v>0</v>
      </c>
      <c r="AG395" s="174"/>
      <c r="AH395" s="174"/>
      <c r="AI395" s="174">
        <v>0.2646874013354692</v>
      </c>
      <c r="AJ395" s="174">
        <v>0.27291655827088923</v>
      </c>
      <c r="AK395" s="175"/>
      <c r="AL395" s="175">
        <v>0.28115030367959404</v>
      </c>
      <c r="AM395" s="174">
        <v>0.24241808340646087</v>
      </c>
      <c r="AN395" s="174"/>
      <c r="AO395" s="174">
        <v>0.14082291815589282</v>
      </c>
      <c r="AP395" s="174"/>
      <c r="AQ395" s="174">
        <v>0.26399758236409149</v>
      </c>
      <c r="AR395" s="174">
        <v>0.148108162156811</v>
      </c>
      <c r="AS395" s="174">
        <v>0.25444908435712243</v>
      </c>
      <c r="AT395" s="174">
        <v>0.239855397383018</v>
      </c>
      <c r="AU395" s="174"/>
      <c r="AV395" s="174"/>
      <c r="AW395" s="174">
        <v>0.14798081282702116</v>
      </c>
      <c r="AX395">
        <v>0.18026229675768229</v>
      </c>
      <c r="AY395" s="174"/>
      <c r="AZ395" s="174"/>
      <c r="BA395" s="174">
        <v>0.18079624331354699</v>
      </c>
      <c r="BB395" s="174">
        <v>0.14215543281210313</v>
      </c>
      <c r="BC395" s="174"/>
      <c r="BD395" s="174">
        <v>0.24960781146665206</v>
      </c>
      <c r="BE395" s="174"/>
      <c r="BF395">
        <v>0.15503856332482771</v>
      </c>
      <c r="BG395">
        <v>0.14336288796592533</v>
      </c>
      <c r="BH395">
        <v>0.17215255067813723</v>
      </c>
      <c r="BI395">
        <v>0.17117308443385054</v>
      </c>
      <c r="BJ395">
        <v>0.10807219028557437</v>
      </c>
      <c r="BK395">
        <v>0.18079624331354699</v>
      </c>
      <c r="BL395">
        <v>0.28092887248336029</v>
      </c>
      <c r="BM395">
        <v>0.2812262000377464</v>
      </c>
    </row>
    <row r="396" spans="1:65" x14ac:dyDescent="0.25">
      <c r="C396" t="s">
        <v>730</v>
      </c>
      <c r="D396">
        <v>0.18548277286682538</v>
      </c>
      <c r="H396">
        <v>0.18371303208243589</v>
      </c>
      <c r="J396" s="174">
        <v>0.16207838480924305</v>
      </c>
      <c r="K396" s="174">
        <v>0.16207838480924305</v>
      </c>
      <c r="L396" s="174"/>
      <c r="M396" s="174"/>
      <c r="N396" s="174">
        <v>0.17217696775029007</v>
      </c>
      <c r="O396" s="174">
        <v>0.1838594252948568</v>
      </c>
      <c r="P396" s="174"/>
      <c r="Q396" s="174">
        <v>0.15664844993570487</v>
      </c>
      <c r="R396" s="174">
        <v>0.17001537790192386</v>
      </c>
      <c r="S396" s="174"/>
      <c r="T396" s="174"/>
      <c r="U396" s="174"/>
      <c r="V396" s="174">
        <v>0.10124645096729297</v>
      </c>
      <c r="W396" s="174">
        <v>9.5152148342287413E-2</v>
      </c>
      <c r="X396" s="174">
        <v>0.11998527319536673</v>
      </c>
      <c r="Y396" s="174">
        <v>0.16404047808355116</v>
      </c>
      <c r="Z396" s="174">
        <v>0.12863858557780514</v>
      </c>
      <c r="AA396" s="174">
        <v>0.18045840078858902</v>
      </c>
      <c r="AB396" s="174">
        <v>8.1435069394165144E-2</v>
      </c>
      <c r="AC396" s="174"/>
      <c r="AD396" s="174"/>
      <c r="AE396" s="174"/>
      <c r="AF396" s="175">
        <v>0</v>
      </c>
      <c r="AG396" s="174"/>
      <c r="AH396" s="174"/>
      <c r="AI396" s="174">
        <v>0.18960372293042904</v>
      </c>
      <c r="AJ396" s="174">
        <v>0.17284257030573963</v>
      </c>
      <c r="AK396" s="175"/>
      <c r="AL396" s="175">
        <v>0.16277679718488602</v>
      </c>
      <c r="AM396" s="174">
        <v>0.17310038858966334</v>
      </c>
      <c r="AN396" s="174"/>
      <c r="AO396" s="174">
        <v>0.10042117013615745</v>
      </c>
      <c r="AP396" s="174"/>
      <c r="AQ396" s="174">
        <v>0.16375603945263492</v>
      </c>
      <c r="AR396" s="174">
        <v>9.7274500827864929E-2</v>
      </c>
      <c r="AS396" s="174">
        <v>0.19246929084782091</v>
      </c>
      <c r="AT396" s="174">
        <v>0.16729453209827258</v>
      </c>
      <c r="AU396" s="174"/>
      <c r="AV396" s="174"/>
      <c r="AW396" s="174">
        <v>0.11407568896247196</v>
      </c>
      <c r="AX396">
        <v>0.13833410748117819</v>
      </c>
      <c r="AY396" s="174"/>
      <c r="AZ396" s="174"/>
      <c r="BA396" s="174">
        <v>0.15713260502300272</v>
      </c>
      <c r="BB396" s="174">
        <v>0.15446812935857826</v>
      </c>
      <c r="BC396" s="174"/>
      <c r="BD396" s="174">
        <v>0.12204255766243841</v>
      </c>
      <c r="BE396" s="174"/>
      <c r="BF396">
        <v>0.11267520138500396</v>
      </c>
      <c r="BG396">
        <v>0.15729247240158042</v>
      </c>
      <c r="BH396">
        <v>0.16207838480924305</v>
      </c>
      <c r="BI396">
        <v>0.13234768720162737</v>
      </c>
      <c r="BJ396">
        <v>0.15710850355002923</v>
      </c>
      <c r="BK396">
        <v>0.16787889754570942</v>
      </c>
      <c r="BL396">
        <v>0.15761055621397524</v>
      </c>
      <c r="BM396">
        <v>0.1577858353376895</v>
      </c>
    </row>
    <row r="397" spans="1:65" x14ac:dyDescent="0.25">
      <c r="C397" t="s">
        <v>443</v>
      </c>
      <c r="D397">
        <v>0.19383373294655348</v>
      </c>
      <c r="H397">
        <v>0.17558848692270165</v>
      </c>
      <c r="J397" s="174">
        <v>0.14030393594453591</v>
      </c>
      <c r="K397" s="174">
        <v>0.14030393594453591</v>
      </c>
      <c r="L397" s="174"/>
      <c r="M397" s="174"/>
      <c r="N397" s="174">
        <v>0.25358428441475805</v>
      </c>
      <c r="O397" s="174">
        <v>0.2506247124204119</v>
      </c>
      <c r="P397" s="174"/>
      <c r="Q397" s="174">
        <v>0.27851724661810656</v>
      </c>
      <c r="R397" s="174">
        <v>0.24816171031171155</v>
      </c>
      <c r="S397" s="174"/>
      <c r="T397" s="174"/>
      <c r="U397" s="174"/>
      <c r="V397" s="174">
        <v>0.25615142334864588</v>
      </c>
      <c r="W397" s="174">
        <v>0.24957672937695705</v>
      </c>
      <c r="X397" s="174">
        <v>0.2622239160151883</v>
      </c>
      <c r="Y397" s="174">
        <v>0.29598454212709241</v>
      </c>
      <c r="Z397" s="174">
        <v>0.26551330433984782</v>
      </c>
      <c r="AA397" s="174">
        <v>0.12828103512939118</v>
      </c>
      <c r="AB397" s="174">
        <v>0.22331147114115468</v>
      </c>
      <c r="AC397" s="174"/>
      <c r="AD397" s="174"/>
      <c r="AE397" s="174"/>
      <c r="AF397" s="175">
        <f>'User Add-In Location'!E397</f>
        <v>0</v>
      </c>
      <c r="AG397" s="174"/>
      <c r="AH397" s="174"/>
      <c r="AI397" s="174">
        <v>0.26810029580842559</v>
      </c>
      <c r="AJ397" s="174">
        <v>0.14030393594453591</v>
      </c>
      <c r="AK397" s="175"/>
      <c r="AL397" s="175">
        <v>0.28653091761117166</v>
      </c>
      <c r="AM397" s="174">
        <v>0.24556888771631533</v>
      </c>
      <c r="AN397" s="174"/>
      <c r="AO397" s="174">
        <v>0.25562814451924476</v>
      </c>
      <c r="AP397" s="174"/>
      <c r="AQ397" s="174">
        <v>0.268554016132794</v>
      </c>
      <c r="AR397" s="174">
        <v>0.26894063363930287</v>
      </c>
      <c r="AS397" s="174">
        <v>0.2572663476984543</v>
      </c>
      <c r="AT397" s="174">
        <v>0.24315361853232467</v>
      </c>
      <c r="AU397" s="174"/>
      <c r="AV397" s="174"/>
      <c r="AW397" s="174">
        <v>0.1630225779006218</v>
      </c>
      <c r="AX397">
        <v>0.17385999125507626</v>
      </c>
      <c r="AY397" s="174"/>
      <c r="AZ397" s="174"/>
      <c r="BA397" s="174">
        <v>0.27122326289543286</v>
      </c>
      <c r="BB397" s="174">
        <v>0.27435747247714987</v>
      </c>
      <c r="BC397" s="174"/>
      <c r="BD397" s="174">
        <v>0.25540623209411639</v>
      </c>
      <c r="BE397" s="174"/>
      <c r="BF397">
        <v>0.15162227380052493</v>
      </c>
      <c r="BG397">
        <v>0.2880519008993731</v>
      </c>
      <c r="BH397">
        <v>0.14030393594453591</v>
      </c>
      <c r="BI397">
        <v>0.12828103512939118</v>
      </c>
      <c r="BJ397">
        <v>0.14030393594453591</v>
      </c>
      <c r="BK397">
        <v>0.25562311238208957</v>
      </c>
      <c r="BL397">
        <v>0.28653425049560505</v>
      </c>
      <c r="BM397">
        <v>0.28683712570593084</v>
      </c>
    </row>
    <row r="398" spans="1:65" x14ac:dyDescent="0.25">
      <c r="C398" t="s">
        <v>444</v>
      </c>
      <c r="D398">
        <v>0.15875106739001843</v>
      </c>
      <c r="H398">
        <v>0.2649609502318645</v>
      </c>
      <c r="J398" s="174">
        <v>0.14048057829164812</v>
      </c>
      <c r="K398" s="174">
        <v>0.14048057829164812</v>
      </c>
      <c r="L398" s="174"/>
      <c r="M398" s="174"/>
      <c r="N398" s="174">
        <v>0.18362631756777342</v>
      </c>
      <c r="O398" s="174">
        <v>0.11016570220078903</v>
      </c>
      <c r="P398" s="174"/>
      <c r="Q398" s="174">
        <v>0.14775465972682461</v>
      </c>
      <c r="R398" s="174">
        <v>0.10541537057263788</v>
      </c>
      <c r="S398" s="174"/>
      <c r="T398" s="174"/>
      <c r="U398" s="174"/>
      <c r="V398" s="174">
        <v>0.1308327164425559</v>
      </c>
      <c r="W398" s="174">
        <v>8.6423556102810356E-2</v>
      </c>
      <c r="X398" s="174">
        <v>0.12621228690952227</v>
      </c>
      <c r="Y398" s="174">
        <v>0.13339812696823358</v>
      </c>
      <c r="Z398" s="174">
        <v>0.15088961281340754</v>
      </c>
      <c r="AA398" s="174">
        <v>0.15353460933090179</v>
      </c>
      <c r="AB398" s="174">
        <v>0.1238327993088265</v>
      </c>
      <c r="AC398" s="174"/>
      <c r="AD398" s="174"/>
      <c r="AE398" s="174"/>
      <c r="AF398" s="175">
        <f>'User Add-In Location'!E398</f>
        <v>0</v>
      </c>
      <c r="AG398" s="174"/>
      <c r="AH398" s="174"/>
      <c r="AI398" s="174">
        <v>0.12326279893058716</v>
      </c>
      <c r="AJ398" s="174">
        <v>0.13919471000098105</v>
      </c>
      <c r="AK398" s="175"/>
      <c r="AL398" s="175">
        <v>0.16449977803723978</v>
      </c>
      <c r="AM398" s="174">
        <v>0.11880916956138057</v>
      </c>
      <c r="AN398" s="174"/>
      <c r="AO398" s="174">
        <v>0.1297970079001807</v>
      </c>
      <c r="AP398" s="174"/>
      <c r="AQ398" s="174">
        <v>0.13034874590468212</v>
      </c>
      <c r="AR398" s="174">
        <v>0.15975998511114273</v>
      </c>
      <c r="AS398" s="174">
        <v>7.3178733897937012E-2</v>
      </c>
      <c r="AT398" s="174">
        <v>0.14380482253091592</v>
      </c>
      <c r="AU398" s="174"/>
      <c r="AV398" s="174"/>
      <c r="AW398" s="174">
        <v>0.12681469826240283</v>
      </c>
      <c r="AX398">
        <v>0.14377906948213492</v>
      </c>
      <c r="AY398" s="174"/>
      <c r="AZ398" s="174"/>
      <c r="BA398" s="174">
        <v>0.13170555180256172</v>
      </c>
      <c r="BB398" s="174">
        <v>0.18495104696515735</v>
      </c>
      <c r="BC398" s="174"/>
      <c r="BD398" s="174">
        <v>0.11335853997743067</v>
      </c>
      <c r="BE398" s="174"/>
      <c r="BF398">
        <v>0.12629643246369718</v>
      </c>
      <c r="BG398">
        <v>0.17490323573864339</v>
      </c>
      <c r="BH398">
        <v>0.14048057829164812</v>
      </c>
      <c r="BI398">
        <v>0.14311019412664522</v>
      </c>
      <c r="BJ398">
        <v>0.14647099210672612</v>
      </c>
      <c r="BK398">
        <v>0.14215160228642326</v>
      </c>
      <c r="BL398">
        <v>0.12943595508819339</v>
      </c>
      <c r="BM398">
        <v>0.14574293274415445</v>
      </c>
    </row>
    <row r="399" spans="1:65" x14ac:dyDescent="0.25">
      <c r="C399" t="s">
        <v>445</v>
      </c>
      <c r="D399">
        <v>0.13663122991856391</v>
      </c>
      <c r="H399">
        <v>0.24185080011567237</v>
      </c>
      <c r="J399" s="174">
        <v>0.10909546710898663</v>
      </c>
      <c r="K399" s="174">
        <v>0.10909546710898663</v>
      </c>
      <c r="L399" s="174"/>
      <c r="M399" s="174"/>
      <c r="N399" s="174">
        <v>0.10340011727086044</v>
      </c>
      <c r="O399" s="174">
        <v>0.1081793226183856</v>
      </c>
      <c r="P399" s="174"/>
      <c r="Q399" s="174">
        <v>0.13097307492255475</v>
      </c>
      <c r="R399" s="174">
        <v>0.11308604792081654</v>
      </c>
      <c r="S399" s="174"/>
      <c r="T399" s="174"/>
      <c r="U399" s="174"/>
      <c r="V399" s="174">
        <v>8.8270621998732923E-2</v>
      </c>
      <c r="W399" s="174">
        <v>8.7044586464809212E-2</v>
      </c>
      <c r="X399" s="174">
        <v>0.10275170309732753</v>
      </c>
      <c r="Y399" s="174">
        <v>0.12055138619943767</v>
      </c>
      <c r="Z399" s="174">
        <v>0.13676355817664568</v>
      </c>
      <c r="AA399" s="174">
        <v>0.13570689077670212</v>
      </c>
      <c r="AB399" s="174">
        <v>9.8445691219080825E-2</v>
      </c>
      <c r="AC399" s="174"/>
      <c r="AD399" s="174"/>
      <c r="AE399" s="174"/>
      <c r="AF399" s="175">
        <f>'User Add-In Location'!E399</f>
        <v>0</v>
      </c>
      <c r="AG399" s="174"/>
      <c r="AH399" s="174"/>
      <c r="AI399" s="174">
        <v>0.10148084922146304</v>
      </c>
      <c r="AJ399" s="174">
        <v>0.11111897627381787</v>
      </c>
      <c r="AK399" s="175"/>
      <c r="AL399" s="175">
        <v>0.11986283132100009</v>
      </c>
      <c r="AM399" s="174">
        <v>9.4377629980125055E-2</v>
      </c>
      <c r="AN399" s="174"/>
      <c r="AO399" s="174">
        <v>0.10143364634657416</v>
      </c>
      <c r="AP399" s="174"/>
      <c r="AQ399" s="174">
        <v>0.11354197955787028</v>
      </c>
      <c r="AR399" s="174">
        <v>0.12147050867794502</v>
      </c>
      <c r="AS399" s="174">
        <v>8.4192757849308006E-2</v>
      </c>
      <c r="AT399" s="174">
        <v>9.2934767214095076E-2</v>
      </c>
      <c r="AU399" s="174"/>
      <c r="AV399" s="174"/>
      <c r="AW399" s="174">
        <v>0.11438907044013899</v>
      </c>
      <c r="AX399">
        <v>0.11086711838867663</v>
      </c>
      <c r="AY399" s="174"/>
      <c r="AZ399" s="174"/>
      <c r="BA399" s="174">
        <v>0.10250617747585042</v>
      </c>
      <c r="BB399" s="174">
        <v>9.1500200981277882E-2</v>
      </c>
      <c r="BC399" s="174"/>
      <c r="BD399" s="174">
        <v>0.11058482901736416</v>
      </c>
      <c r="BE399" s="174"/>
      <c r="BF399">
        <v>0.10690399983384244</v>
      </c>
      <c r="BG399">
        <v>0.10723690123104</v>
      </c>
      <c r="BH399">
        <v>0.10909546710898663</v>
      </c>
      <c r="BI399">
        <v>0.12145728966501268</v>
      </c>
      <c r="BJ399">
        <v>0.11662383795508238</v>
      </c>
      <c r="BK399">
        <v>9.9740677002299244E-2</v>
      </c>
      <c r="BL399">
        <v>0.11130713955234239</v>
      </c>
      <c r="BM399">
        <v>0.11802394831522102</v>
      </c>
    </row>
    <row r="400" spans="1:65" x14ac:dyDescent="0.25">
      <c r="C400" t="s">
        <v>446</v>
      </c>
      <c r="D400">
        <v>0.36472087418250859</v>
      </c>
      <c r="H400">
        <v>0.14532742147394903</v>
      </c>
      <c r="J400" s="174">
        <v>0.16134478484128922</v>
      </c>
      <c r="K400" s="174">
        <v>0.16134478484128922</v>
      </c>
      <c r="L400" s="174"/>
      <c r="M400" s="174"/>
      <c r="N400" s="174">
        <v>0.15482838497079265</v>
      </c>
      <c r="O400" s="174">
        <v>0.18117314702276618</v>
      </c>
      <c r="P400" s="174"/>
      <c r="Q400" s="174">
        <v>0.17060890786367713</v>
      </c>
      <c r="R400" s="174">
        <v>0.1943579496317728</v>
      </c>
      <c r="S400" s="174"/>
      <c r="T400" s="174"/>
      <c r="U400" s="174"/>
      <c r="V400" s="174">
        <v>0.22561581788427448</v>
      </c>
      <c r="W400" s="174">
        <v>0.16751448248636483</v>
      </c>
      <c r="X400" s="174">
        <v>0.15298411512341781</v>
      </c>
      <c r="Y400" s="174">
        <v>0.18416604114928006</v>
      </c>
      <c r="Z400" s="174">
        <v>0.21436183403750772</v>
      </c>
      <c r="AA400" s="174">
        <v>0.19825924143887452</v>
      </c>
      <c r="AB400" s="174">
        <v>0.21603698371631819</v>
      </c>
      <c r="AC400" s="174"/>
      <c r="AD400" s="174"/>
      <c r="AE400" s="174"/>
      <c r="AF400" s="175">
        <f>'User Add-In Location'!E400</f>
        <v>0</v>
      </c>
      <c r="AG400" s="174"/>
      <c r="AH400" s="174"/>
      <c r="AI400" s="174">
        <v>0.14733918772028035</v>
      </c>
      <c r="AJ400" s="174">
        <v>0.17237194365031677</v>
      </c>
      <c r="AK400" s="175"/>
      <c r="AL400" s="175">
        <v>0.16380378779001373</v>
      </c>
      <c r="AM400" s="174">
        <v>0.14628100747125183</v>
      </c>
      <c r="AN400" s="174"/>
      <c r="AO400" s="174">
        <v>0.16320026089573958</v>
      </c>
      <c r="AP400" s="174"/>
      <c r="AQ400" s="174">
        <v>0.17081197445935692</v>
      </c>
      <c r="AR400" s="174">
        <v>9.398041559775594E-2</v>
      </c>
      <c r="AS400" s="174">
        <v>0.1335389744884464</v>
      </c>
      <c r="AT400" s="174">
        <v>0.18386960298875268</v>
      </c>
      <c r="AU400" s="174"/>
      <c r="AV400" s="174"/>
      <c r="AW400" s="174">
        <v>0.26456211957048226</v>
      </c>
      <c r="AX400">
        <v>0.16743552542771287</v>
      </c>
      <c r="AY400" s="174"/>
      <c r="AZ400" s="174"/>
      <c r="BA400" s="174">
        <v>0.16263527406070305</v>
      </c>
      <c r="BB400" s="174">
        <v>0.16428330121420068</v>
      </c>
      <c r="BC400" s="174"/>
      <c r="BD400" s="174">
        <v>0.18898848444217758</v>
      </c>
      <c r="BE400" s="174"/>
      <c r="BF400">
        <v>0.24165967608837671</v>
      </c>
      <c r="BG400">
        <v>0.18147011653257905</v>
      </c>
      <c r="BH400">
        <v>0.16134478484128922</v>
      </c>
      <c r="BI400">
        <v>0.14805159986098612</v>
      </c>
      <c r="BJ400">
        <v>0.16966888817057241</v>
      </c>
      <c r="BK400">
        <v>0.15705812862773935</v>
      </c>
      <c r="BL400">
        <v>0.18020842940168133</v>
      </c>
      <c r="BM400">
        <v>0.15641812536025207</v>
      </c>
    </row>
    <row r="401" spans="2:57" x14ac:dyDescent="0.25">
      <c r="J401" s="174"/>
      <c r="K401" s="174"/>
      <c r="L401" s="174"/>
      <c r="M401" s="174"/>
      <c r="N401" s="174"/>
      <c r="O401" s="174"/>
      <c r="P401" s="174"/>
      <c r="Q401" s="174"/>
      <c r="R401" s="174"/>
      <c r="S401" s="174"/>
      <c r="T401" s="174"/>
      <c r="U401" s="174"/>
      <c r="V401" s="174"/>
      <c r="W401" s="174"/>
      <c r="X401" s="174"/>
      <c r="Y401" s="174"/>
      <c r="Z401" s="174"/>
      <c r="AA401" s="174"/>
      <c r="AB401" s="174"/>
      <c r="AC401" s="174"/>
      <c r="AD401" s="174"/>
      <c r="AE401" s="174"/>
      <c r="AF401" s="174"/>
      <c r="AG401" s="174"/>
      <c r="AH401" s="174"/>
      <c r="AI401" s="174"/>
      <c r="AJ401" s="174"/>
      <c r="AK401" s="175"/>
      <c r="AL401" s="175"/>
      <c r="AM401" s="174"/>
      <c r="AN401" s="174"/>
      <c r="AO401" s="174"/>
      <c r="AP401" s="174"/>
      <c r="AQ401" s="174"/>
      <c r="AR401" s="174"/>
      <c r="AS401" s="174"/>
      <c r="AT401" s="174"/>
      <c r="AU401" s="174"/>
      <c r="AV401" s="174"/>
      <c r="AW401" s="174"/>
      <c r="AX401" s="174"/>
      <c r="AY401" s="174"/>
      <c r="AZ401" s="174"/>
      <c r="BA401" s="174"/>
      <c r="BB401" s="174"/>
      <c r="BC401" s="174"/>
      <c r="BD401" s="174"/>
      <c r="BE401" s="174"/>
    </row>
    <row r="402" spans="2:57" x14ac:dyDescent="0.25">
      <c r="C402" t="s">
        <v>731</v>
      </c>
      <c r="D402" t="str">
        <f>BS12</f>
        <v>United States</v>
      </c>
      <c r="L402" s="180"/>
      <c r="M402" s="180"/>
      <c r="N402" s="180"/>
      <c r="P402" s="180"/>
      <c r="Q402" s="180"/>
      <c r="R402" s="180"/>
      <c r="Y402" t="s">
        <v>732</v>
      </c>
    </row>
    <row r="403" spans="2:57" x14ac:dyDescent="0.25">
      <c r="B403" s="177"/>
      <c r="C403" s="178" t="s">
        <v>733</v>
      </c>
      <c r="D403" s="175" t="s">
        <v>734</v>
      </c>
      <c r="E403" s="177">
        <v>2019</v>
      </c>
      <c r="F403" s="177"/>
      <c r="G403" s="177"/>
      <c r="H403" s="177"/>
      <c r="I403" s="177"/>
      <c r="J403" s="177"/>
      <c r="K403" s="177"/>
      <c r="L403" s="177"/>
      <c r="M403" s="177"/>
      <c r="N403" s="177"/>
      <c r="O403" s="177"/>
      <c r="P403" s="177"/>
      <c r="Q403" s="177"/>
      <c r="R403" s="177"/>
      <c r="S403" s="177"/>
      <c r="T403" s="177"/>
      <c r="U403" s="177"/>
    </row>
    <row r="404" spans="2:57" x14ac:dyDescent="0.25">
      <c r="B404" s="177"/>
      <c r="C404" s="177"/>
      <c r="D404" s="179" t="s">
        <v>357</v>
      </c>
      <c r="E404" s="180" t="s">
        <v>357</v>
      </c>
      <c r="F404" s="180" t="s">
        <v>357</v>
      </c>
      <c r="G404" s="180" t="s">
        <v>499</v>
      </c>
      <c r="H404" s="181" t="s">
        <v>499</v>
      </c>
      <c r="I404" s="180" t="s">
        <v>499</v>
      </c>
      <c r="J404" s="180" t="s">
        <v>359</v>
      </c>
      <c r="K404" s="180" t="s">
        <v>359</v>
      </c>
      <c r="L404" s="182" t="s">
        <v>359</v>
      </c>
      <c r="M404" s="180" t="s">
        <v>735</v>
      </c>
      <c r="N404" s="180" t="s">
        <v>735</v>
      </c>
      <c r="O404" s="180" t="s">
        <v>735</v>
      </c>
      <c r="P404" s="182"/>
      <c r="Q404" s="180"/>
      <c r="R404" s="180"/>
      <c r="S404" s="180"/>
      <c r="T404" s="177"/>
      <c r="U404" s="177"/>
    </row>
    <row r="405" spans="2:57" x14ac:dyDescent="0.25">
      <c r="B405" s="177"/>
      <c r="C405" s="177"/>
      <c r="D405" s="183" t="s">
        <v>581</v>
      </c>
      <c r="E405" s="180" t="s">
        <v>582</v>
      </c>
      <c r="F405" s="180" t="s">
        <v>374</v>
      </c>
      <c r="G405" s="180" t="s">
        <v>581</v>
      </c>
      <c r="H405" s="180" t="s">
        <v>582</v>
      </c>
      <c r="I405" s="180" t="s">
        <v>374</v>
      </c>
      <c r="J405" s="180" t="s">
        <v>581</v>
      </c>
      <c r="K405" s="180" t="s">
        <v>582</v>
      </c>
      <c r="L405" s="180" t="s">
        <v>374</v>
      </c>
      <c r="M405" s="180" t="s">
        <v>581</v>
      </c>
      <c r="N405" s="180" t="s">
        <v>582</v>
      </c>
      <c r="O405" s="180" t="s">
        <v>374</v>
      </c>
      <c r="P405" s="180" t="s">
        <v>736</v>
      </c>
      <c r="Q405" s="180" t="s">
        <v>736</v>
      </c>
      <c r="R405" s="180" t="s">
        <v>736</v>
      </c>
      <c r="S405" s="180" t="s">
        <v>736</v>
      </c>
      <c r="T405" s="177"/>
      <c r="U405" s="180" t="s">
        <v>737</v>
      </c>
    </row>
    <row r="406" spans="2:57" x14ac:dyDescent="0.25">
      <c r="B406">
        <v>2</v>
      </c>
      <c r="C406" t="s">
        <v>400</v>
      </c>
      <c r="D406">
        <f>HLOOKUP(proxy_region,$D$14:$BM$41,B406,FALSE)</f>
        <v>8.5422130000000003</v>
      </c>
      <c r="E406">
        <f>HLOOKUP(proxy_region,$C$43:$BM$70,B406,FALSE)</f>
        <v>4.6903769999999998</v>
      </c>
      <c r="F406">
        <f>HLOOKUP(proxy_region,$C$72:$BM$99,B406,FALSE)</f>
        <v>4.4978670000000003</v>
      </c>
      <c r="G406">
        <f t="shared" ref="G406:G432" si="1">HLOOKUP(proxy_region,$D$101:$BM$128,B406,FALSE)</f>
        <v>0.14810699999999999</v>
      </c>
      <c r="H406">
        <f>HLOOKUP(proxy_region,$D$130:$BM$157,B406,FALSE)</f>
        <v>0.212199</v>
      </c>
      <c r="I406">
        <f t="shared" ref="I406:I432" si="2">HLOOKUP(proxy_region,$D$159:$BM$186,B406,FALSE)</f>
        <v>0.23195499999999999</v>
      </c>
      <c r="J406">
        <f t="shared" ref="J406:J432" si="3">HLOOKUP(proxy_region,$D$188:$BM$215,B406,FALSE)</f>
        <v>1</v>
      </c>
      <c r="K406">
        <f t="shared" ref="K406:K432" si="4">HLOOKUP(proxy_region,$D$217:$BM$244,B406,FALSE)</f>
        <v>0.91372600000000004</v>
      </c>
      <c r="L406">
        <f t="shared" ref="L406:L432" si="5">HLOOKUP(proxy_region,$D$246:$BM$273,B406,FALSE)</f>
        <v>0.81681099999999995</v>
      </c>
      <c r="M406">
        <f t="shared" ref="M406:M432" si="6">HLOOKUP(proxy_region,$D$275:$BM$302,B406,FALSE)</f>
        <v>0.417597</v>
      </c>
      <c r="N406">
        <f>HLOOKUP(proxy_region,$D$304:$BM$331,B406,FALSE)</f>
        <v>0.44150099999999998</v>
      </c>
      <c r="O406">
        <f t="shared" ref="O406:O432" si="7">HLOOKUP(proxy_region,$D$333:$BM$360,B406,FALSE)</f>
        <v>0.46216499999999999</v>
      </c>
      <c r="P406">
        <v>0</v>
      </c>
      <c r="Q406">
        <v>0</v>
      </c>
      <c r="R406">
        <v>0</v>
      </c>
      <c r="S406">
        <v>0</v>
      </c>
      <c r="U406">
        <f>HLOOKUP(proxy_region,$D$362:$BM$389,B406,FALSE)</f>
        <v>4.523342640382364E-3</v>
      </c>
    </row>
    <row r="407" spans="2:57" x14ac:dyDescent="0.25">
      <c r="B407">
        <v>3</v>
      </c>
      <c r="C407" t="s">
        <v>401</v>
      </c>
      <c r="D407">
        <f t="shared" ref="D407:D432" si="8">HLOOKUP(proxy_region,$C$14:$BM$41,B407,FALSE)</f>
        <v>2.1416490000000001</v>
      </c>
      <c r="E407">
        <f t="shared" ref="E407:E432" si="9">HLOOKUP(proxy_region,$D$43:$BM$70,B407,FALSE)</f>
        <v>3.6200209999999999</v>
      </c>
      <c r="F407">
        <f t="shared" ref="F407:F432" si="10">HLOOKUP(proxy_region,$D$72:$BM$99,B407,FALSE)</f>
        <v>4.7561419999999996</v>
      </c>
      <c r="G407">
        <f t="shared" si="1"/>
        <v>0.14125599999999999</v>
      </c>
      <c r="H407">
        <f t="shared" ref="H407:H432" si="11">HLOOKUP(proxy_region,$D$101:$BM$128,B407,FALSE)</f>
        <v>0.14125599999999999</v>
      </c>
      <c r="I407">
        <f t="shared" si="2"/>
        <v>0.24527399999999999</v>
      </c>
      <c r="J407">
        <f t="shared" si="3"/>
        <v>1</v>
      </c>
      <c r="K407">
        <f t="shared" si="4"/>
        <v>0.79456800000000005</v>
      </c>
      <c r="L407">
        <f t="shared" si="5"/>
        <v>0.86368100000000003</v>
      </c>
      <c r="M407">
        <f t="shared" si="6"/>
        <v>0.48393700000000001</v>
      </c>
      <c r="N407">
        <f t="shared" ref="N407:N432" si="12">HLOOKUP(proxy_region,$D$304:$BM$331,B407,FALSE)</f>
        <v>0.43587700000000001</v>
      </c>
      <c r="O407">
        <f t="shared" si="7"/>
        <v>0.48869699999999999</v>
      </c>
      <c r="P407">
        <v>0</v>
      </c>
      <c r="Q407">
        <v>0</v>
      </c>
      <c r="R407">
        <v>0</v>
      </c>
      <c r="S407">
        <v>0</v>
      </c>
      <c r="U407">
        <f t="shared" ref="U407:U432" si="13">HLOOKUP(proxy_region,$D$362:$BM$389,B407,FALSE)</f>
        <v>3.7596165600066255E-4</v>
      </c>
    </row>
    <row r="408" spans="2:57" x14ac:dyDescent="0.25">
      <c r="B408">
        <v>4</v>
      </c>
      <c r="C408" t="s">
        <v>402</v>
      </c>
      <c r="D408">
        <f>HLOOKUP(proxy_region,$C$14:$BM$41,B408,FALSE)</f>
        <v>2.285679</v>
      </c>
      <c r="E408">
        <f t="shared" si="9"/>
        <v>2.8562669999999999</v>
      </c>
      <c r="F408">
        <f t="shared" si="10"/>
        <v>3.4293990000000001</v>
      </c>
      <c r="G408">
        <f t="shared" si="1"/>
        <v>0.18026200000000001</v>
      </c>
      <c r="H408">
        <f t="shared" si="11"/>
        <v>0.18026200000000001</v>
      </c>
      <c r="I408">
        <f t="shared" si="2"/>
        <v>0.17685699999999999</v>
      </c>
      <c r="J408">
        <f t="shared" si="3"/>
        <v>1</v>
      </c>
      <c r="K408">
        <f t="shared" si="4"/>
        <v>0.67208400000000001</v>
      </c>
      <c r="L408">
        <f t="shared" si="5"/>
        <v>0.623004</v>
      </c>
      <c r="M408">
        <f t="shared" si="6"/>
        <v>0.58600300000000005</v>
      </c>
      <c r="N408">
        <f t="shared" si="12"/>
        <v>0.34265699999999999</v>
      </c>
      <c r="O408">
        <f t="shared" si="7"/>
        <v>0.35242499999999999</v>
      </c>
      <c r="P408">
        <v>0</v>
      </c>
      <c r="Q408">
        <v>0</v>
      </c>
      <c r="R408">
        <v>0</v>
      </c>
      <c r="S408">
        <v>0</v>
      </c>
      <c r="U408">
        <f t="shared" si="13"/>
        <v>2.7157084198756777E-6</v>
      </c>
    </row>
    <row r="409" spans="2:57" x14ac:dyDescent="0.25">
      <c r="B409">
        <v>5</v>
      </c>
      <c r="C409" t="s">
        <v>403</v>
      </c>
      <c r="D409">
        <f t="shared" si="8"/>
        <v>2.1822300000000001</v>
      </c>
      <c r="E409">
        <f t="shared" si="9"/>
        <v>3.6123430000000001</v>
      </c>
      <c r="F409">
        <f t="shared" si="10"/>
        <v>4.1306529999999997</v>
      </c>
      <c r="G409">
        <f t="shared" si="1"/>
        <v>0.13833400000000001</v>
      </c>
      <c r="H409">
        <f t="shared" si="11"/>
        <v>0.13833400000000001</v>
      </c>
      <c r="I409">
        <f t="shared" si="2"/>
        <v>0.21301899999999999</v>
      </c>
      <c r="J409">
        <f t="shared" si="3"/>
        <v>1</v>
      </c>
      <c r="K409">
        <f t="shared" si="4"/>
        <v>0.79283099999999995</v>
      </c>
      <c r="L409">
        <f t="shared" si="5"/>
        <v>0.750197</v>
      </c>
      <c r="M409">
        <f t="shared" si="6"/>
        <v>0.50118300000000005</v>
      </c>
      <c r="N409">
        <f t="shared" si="12"/>
        <v>0.40901700000000002</v>
      </c>
      <c r="O409">
        <f t="shared" si="7"/>
        <v>0.42444799999999999</v>
      </c>
      <c r="P409">
        <v>0</v>
      </c>
      <c r="Q409">
        <v>0</v>
      </c>
      <c r="R409">
        <v>0</v>
      </c>
      <c r="S409">
        <v>0</v>
      </c>
      <c r="U409">
        <f t="shared" si="13"/>
        <v>3.0758192680186001E-5</v>
      </c>
    </row>
    <row r="410" spans="2:57" x14ac:dyDescent="0.25">
      <c r="B410">
        <v>6</v>
      </c>
      <c r="C410" t="s">
        <v>404</v>
      </c>
      <c r="D410">
        <f t="shared" si="8"/>
        <v>2.2669990000000002</v>
      </c>
      <c r="E410">
        <f t="shared" si="9"/>
        <v>3.1617130000000002</v>
      </c>
      <c r="F410">
        <f t="shared" si="10"/>
        <v>3.6188500000000001</v>
      </c>
      <c r="G410">
        <f t="shared" si="1"/>
        <v>0.17385999999999999</v>
      </c>
      <c r="H410">
        <f t="shared" si="11"/>
        <v>0.17385999999999999</v>
      </c>
      <c r="I410">
        <f t="shared" si="2"/>
        <v>0.18662699999999999</v>
      </c>
      <c r="J410">
        <f t="shared" si="3"/>
        <v>1</v>
      </c>
      <c r="K410">
        <f t="shared" si="4"/>
        <v>0.82040299999999999</v>
      </c>
      <c r="L410">
        <f t="shared" si="5"/>
        <v>0.65740799999999999</v>
      </c>
      <c r="M410">
        <f t="shared" si="6"/>
        <v>0.49533100000000002</v>
      </c>
      <c r="N410">
        <f t="shared" si="12"/>
        <v>0.38866600000000001</v>
      </c>
      <c r="O410">
        <f t="shared" si="7"/>
        <v>0.37189100000000003</v>
      </c>
      <c r="P410">
        <v>0</v>
      </c>
      <c r="Q410">
        <v>0</v>
      </c>
      <c r="R410">
        <v>0</v>
      </c>
      <c r="S410">
        <v>0</v>
      </c>
      <c r="U410">
        <f t="shared" si="13"/>
        <v>6.4943658645587224E-13</v>
      </c>
    </row>
    <row r="411" spans="2:57" x14ac:dyDescent="0.25">
      <c r="B411">
        <v>7</v>
      </c>
      <c r="C411" t="s">
        <v>405</v>
      </c>
      <c r="D411">
        <f t="shared" si="8"/>
        <v>0.89776299999999998</v>
      </c>
      <c r="E411">
        <f t="shared" si="9"/>
        <v>2.506837</v>
      </c>
      <c r="F411">
        <f t="shared" si="10"/>
        <v>3.3363100000000001</v>
      </c>
      <c r="G411">
        <f t="shared" si="1"/>
        <v>0.14377899999999999</v>
      </c>
      <c r="H411">
        <f t="shared" si="11"/>
        <v>0.14377899999999999</v>
      </c>
      <c r="I411">
        <f t="shared" si="2"/>
        <v>0.17205599999999999</v>
      </c>
      <c r="J411">
        <f t="shared" si="3"/>
        <v>1</v>
      </c>
      <c r="K411">
        <f t="shared" si="4"/>
        <v>0.91115999999999997</v>
      </c>
      <c r="L411">
        <f t="shared" si="5"/>
        <v>0.60607599999999995</v>
      </c>
      <c r="M411">
        <f t="shared" si="6"/>
        <v>0.47551300000000002</v>
      </c>
      <c r="N411">
        <f t="shared" si="12"/>
        <v>0.46947100000000003</v>
      </c>
      <c r="O411">
        <f t="shared" si="7"/>
        <v>0.34285500000000002</v>
      </c>
      <c r="P411">
        <v>0</v>
      </c>
      <c r="Q411">
        <v>0</v>
      </c>
      <c r="R411">
        <v>0</v>
      </c>
      <c r="S411">
        <v>0</v>
      </c>
      <c r="U411">
        <f t="shared" si="13"/>
        <v>9.9083566995246679E-4</v>
      </c>
    </row>
    <row r="412" spans="2:57" x14ac:dyDescent="0.25">
      <c r="B412">
        <v>8</v>
      </c>
      <c r="C412" t="s">
        <v>406</v>
      </c>
      <c r="D412">
        <f t="shared" si="8"/>
        <v>0.74740799999999996</v>
      </c>
      <c r="E412">
        <f t="shared" si="9"/>
        <v>1.9018090000000001</v>
      </c>
      <c r="F412">
        <f t="shared" si="10"/>
        <v>2.9816210000000001</v>
      </c>
      <c r="G412">
        <f t="shared" si="1"/>
        <v>0.11086699999999999</v>
      </c>
      <c r="H412">
        <f t="shared" si="11"/>
        <v>0.11086699999999999</v>
      </c>
      <c r="I412">
        <f t="shared" si="2"/>
        <v>0.15376400000000001</v>
      </c>
      <c r="J412">
        <f t="shared" si="3"/>
        <v>1</v>
      </c>
      <c r="K412">
        <f t="shared" si="4"/>
        <v>1.067348</v>
      </c>
      <c r="L412">
        <f t="shared" si="5"/>
        <v>0.54164100000000004</v>
      </c>
      <c r="M412">
        <f t="shared" si="6"/>
        <v>0.441498</v>
      </c>
      <c r="N412">
        <f t="shared" si="12"/>
        <v>0.52776800000000001</v>
      </c>
      <c r="O412">
        <f t="shared" si="7"/>
        <v>0.30640499999999998</v>
      </c>
      <c r="P412">
        <v>0</v>
      </c>
      <c r="Q412">
        <v>0</v>
      </c>
      <c r="R412">
        <v>0</v>
      </c>
      <c r="S412">
        <v>0</v>
      </c>
      <c r="U412">
        <f t="shared" si="13"/>
        <v>7.6753110278104299E-3</v>
      </c>
      <c r="BA412" s="184"/>
    </row>
    <row r="413" spans="2:57" x14ac:dyDescent="0.25">
      <c r="B413">
        <v>9</v>
      </c>
      <c r="C413" t="s">
        <v>407</v>
      </c>
      <c r="D413">
        <f t="shared" si="8"/>
        <v>1.192477</v>
      </c>
      <c r="E413">
        <f t="shared" si="9"/>
        <v>2.394155</v>
      </c>
      <c r="F413">
        <f t="shared" si="10"/>
        <v>5.3607779999999998</v>
      </c>
      <c r="G413">
        <f t="shared" si="1"/>
        <v>0.167436</v>
      </c>
      <c r="H413">
        <f t="shared" si="11"/>
        <v>0.167436</v>
      </c>
      <c r="I413">
        <f t="shared" si="2"/>
        <v>0.276451</v>
      </c>
      <c r="J413">
        <f t="shared" si="3"/>
        <v>1</v>
      </c>
      <c r="K413">
        <f t="shared" si="4"/>
        <v>0.52400400000000003</v>
      </c>
      <c r="L413">
        <f t="shared" si="5"/>
        <v>0.97316499999999995</v>
      </c>
      <c r="M413">
        <f t="shared" si="6"/>
        <v>0.65050399999999997</v>
      </c>
      <c r="N413">
        <f t="shared" si="12"/>
        <v>0.30033900000000002</v>
      </c>
      <c r="O413">
        <f t="shared" si="7"/>
        <v>0.550759</v>
      </c>
      <c r="P413">
        <v>0</v>
      </c>
      <c r="Q413">
        <v>0</v>
      </c>
      <c r="R413">
        <v>0</v>
      </c>
      <c r="S413">
        <v>0</v>
      </c>
      <c r="U413">
        <f t="shared" si="13"/>
        <v>5.0302582339640314E-3</v>
      </c>
      <c r="BA413" s="184"/>
    </row>
    <row r="414" spans="2:57" x14ac:dyDescent="0.25">
      <c r="B414">
        <v>10</v>
      </c>
      <c r="C414" t="s">
        <v>408</v>
      </c>
      <c r="D414">
        <f t="shared" si="8"/>
        <v>7.0698730000000003</v>
      </c>
      <c r="E414">
        <f t="shared" si="9"/>
        <v>3.12581</v>
      </c>
      <c r="F414">
        <f t="shared" si="10"/>
        <v>5.7262029999999999</v>
      </c>
      <c r="G414">
        <f t="shared" si="1"/>
        <v>0.32503900000000002</v>
      </c>
      <c r="H414">
        <f t="shared" si="11"/>
        <v>0.32503900000000002</v>
      </c>
      <c r="I414">
        <f t="shared" si="2"/>
        <v>0.29530200000000001</v>
      </c>
      <c r="J414">
        <f t="shared" si="3"/>
        <v>1</v>
      </c>
      <c r="K414">
        <f t="shared" si="4"/>
        <v>0.70779499999999995</v>
      </c>
      <c r="L414">
        <f t="shared" si="5"/>
        <v>1.0400229999999999</v>
      </c>
      <c r="M414">
        <f t="shared" si="6"/>
        <v>0.56457100000000005</v>
      </c>
      <c r="N414">
        <f t="shared" si="12"/>
        <v>0.35075600000000001</v>
      </c>
      <c r="O414">
        <f t="shared" si="7"/>
        <v>0.58840899999999996</v>
      </c>
      <c r="P414">
        <v>0</v>
      </c>
      <c r="Q414">
        <v>0</v>
      </c>
      <c r="R414">
        <v>0</v>
      </c>
      <c r="S414">
        <v>0</v>
      </c>
      <c r="U414">
        <f t="shared" si="13"/>
        <v>0</v>
      </c>
      <c r="BA414" s="184"/>
    </row>
    <row r="415" spans="2:57" x14ac:dyDescent="0.25">
      <c r="B415">
        <v>11</v>
      </c>
      <c r="C415" t="s">
        <v>409</v>
      </c>
      <c r="D415">
        <f t="shared" si="8"/>
        <v>6.417046</v>
      </c>
      <c r="E415">
        <f t="shared" si="9"/>
        <v>2.5782970000000001</v>
      </c>
      <c r="F415">
        <f t="shared" si="10"/>
        <v>5.2050090000000004</v>
      </c>
      <c r="G415">
        <f t="shared" si="1"/>
        <v>0.30497800000000003</v>
      </c>
      <c r="H415">
        <f t="shared" si="11"/>
        <v>0.30497800000000003</v>
      </c>
      <c r="I415">
        <f t="shared" si="2"/>
        <v>0.268424</v>
      </c>
      <c r="J415">
        <f t="shared" si="3"/>
        <v>1</v>
      </c>
      <c r="K415">
        <f t="shared" si="4"/>
        <v>0.57399800000000001</v>
      </c>
      <c r="L415">
        <f t="shared" si="5"/>
        <v>0.94535800000000003</v>
      </c>
      <c r="M415">
        <f t="shared" si="6"/>
        <v>0.64380899999999996</v>
      </c>
      <c r="N415">
        <f t="shared" si="12"/>
        <v>0.28977599999999998</v>
      </c>
      <c r="O415">
        <f t="shared" si="7"/>
        <v>0.53485199999999999</v>
      </c>
      <c r="P415">
        <v>0</v>
      </c>
      <c r="Q415">
        <v>0</v>
      </c>
      <c r="R415">
        <v>0</v>
      </c>
      <c r="S415">
        <v>0</v>
      </c>
      <c r="U415">
        <f t="shared" si="13"/>
        <v>0</v>
      </c>
      <c r="BA415" s="184"/>
    </row>
    <row r="416" spans="2:57" x14ac:dyDescent="0.25">
      <c r="B416">
        <v>12</v>
      </c>
      <c r="C416" t="s">
        <v>410</v>
      </c>
      <c r="D416">
        <f t="shared" si="8"/>
        <v>6.0486690000000003</v>
      </c>
      <c r="E416">
        <f t="shared" si="9"/>
        <v>3.1357390000000001</v>
      </c>
      <c r="F416">
        <f t="shared" si="10"/>
        <v>5.302511</v>
      </c>
      <c r="G416">
        <f t="shared" si="1"/>
        <v>0.28998499999999999</v>
      </c>
      <c r="H416">
        <f t="shared" si="11"/>
        <v>0.28998499999999999</v>
      </c>
      <c r="I416">
        <f t="shared" si="2"/>
        <v>0.27345199999999997</v>
      </c>
      <c r="J416">
        <f t="shared" si="3"/>
        <v>1</v>
      </c>
      <c r="K416">
        <f t="shared" si="4"/>
        <v>0.74956599999999995</v>
      </c>
      <c r="L416">
        <f t="shared" si="5"/>
        <v>0.96309400000000001</v>
      </c>
      <c r="M416">
        <f t="shared" si="6"/>
        <v>0.54489100000000001</v>
      </c>
      <c r="N416">
        <f t="shared" si="12"/>
        <v>0.36158000000000001</v>
      </c>
      <c r="O416">
        <f t="shared" si="7"/>
        <v>0.54487699999999994</v>
      </c>
      <c r="P416">
        <v>0</v>
      </c>
      <c r="Q416">
        <v>0</v>
      </c>
      <c r="R416">
        <v>0</v>
      </c>
      <c r="S416">
        <v>0</v>
      </c>
      <c r="U416">
        <f t="shared" si="13"/>
        <v>0</v>
      </c>
      <c r="BA416" s="184"/>
    </row>
    <row r="417" spans="2:53" x14ac:dyDescent="0.25">
      <c r="B417">
        <v>13</v>
      </c>
      <c r="C417" t="s">
        <v>411</v>
      </c>
      <c r="D417">
        <f t="shared" si="8"/>
        <v>1.862142</v>
      </c>
      <c r="E417">
        <f t="shared" si="9"/>
        <v>4.443187</v>
      </c>
      <c r="F417">
        <f t="shared" si="10"/>
        <v>3.882482</v>
      </c>
      <c r="G417">
        <f t="shared" si="1"/>
        <v>0.15056700000000001</v>
      </c>
      <c r="H417">
        <f t="shared" si="11"/>
        <v>0.15056700000000001</v>
      </c>
      <c r="I417">
        <f t="shared" si="2"/>
        <v>0.20022300000000001</v>
      </c>
      <c r="J417">
        <f t="shared" si="3"/>
        <v>1</v>
      </c>
      <c r="K417">
        <f t="shared" si="4"/>
        <v>1.07283</v>
      </c>
      <c r="L417">
        <f t="shared" si="5"/>
        <v>0.70534300000000005</v>
      </c>
      <c r="M417">
        <f t="shared" si="6"/>
        <v>0.30828699999999998</v>
      </c>
      <c r="N417">
        <f t="shared" si="12"/>
        <v>0.50112400000000001</v>
      </c>
      <c r="O417">
        <f t="shared" si="7"/>
        <v>0.39899200000000001</v>
      </c>
      <c r="P417">
        <v>0</v>
      </c>
      <c r="Q417">
        <v>0</v>
      </c>
      <c r="R417">
        <v>0</v>
      </c>
      <c r="S417">
        <v>0</v>
      </c>
      <c r="U417">
        <f t="shared" si="13"/>
        <v>9.7663120727739333E-2</v>
      </c>
      <c r="BA417" s="184"/>
    </row>
    <row r="418" spans="2:53" x14ac:dyDescent="0.25">
      <c r="B418">
        <v>14</v>
      </c>
      <c r="C418" t="s">
        <v>412</v>
      </c>
      <c r="D418">
        <f t="shared" si="8"/>
        <v>2.4940920000000002</v>
      </c>
      <c r="E418">
        <f t="shared" si="9"/>
        <v>4.358047</v>
      </c>
      <c r="F418">
        <f t="shared" si="10"/>
        <v>3.9830909999999999</v>
      </c>
      <c r="G418">
        <f t="shared" si="1"/>
        <v>0.16852</v>
      </c>
      <c r="H418">
        <f t="shared" si="11"/>
        <v>0.16852</v>
      </c>
      <c r="I418">
        <f t="shared" si="2"/>
        <v>0.20541200000000001</v>
      </c>
      <c r="J418">
        <f t="shared" si="3"/>
        <v>1</v>
      </c>
      <c r="K418">
        <f t="shared" si="4"/>
        <v>1.121038</v>
      </c>
      <c r="L418">
        <f t="shared" si="5"/>
        <v>0.723665</v>
      </c>
      <c r="M418">
        <f t="shared" si="6"/>
        <v>0.30129</v>
      </c>
      <c r="N418">
        <f t="shared" si="12"/>
        <v>0.50922000000000001</v>
      </c>
      <c r="O418">
        <f t="shared" si="7"/>
        <v>0.40933999999999998</v>
      </c>
      <c r="P418">
        <v>0</v>
      </c>
      <c r="Q418">
        <v>0</v>
      </c>
      <c r="R418">
        <v>0</v>
      </c>
      <c r="S418">
        <v>0</v>
      </c>
      <c r="U418">
        <f t="shared" si="13"/>
        <v>1.2563943015075885E-4</v>
      </c>
      <c r="BA418" s="184"/>
    </row>
    <row r="419" spans="2:53" x14ac:dyDescent="0.25">
      <c r="B419">
        <v>15</v>
      </c>
      <c r="C419" t="s">
        <v>413</v>
      </c>
      <c r="D419">
        <f t="shared" si="8"/>
        <v>2.805955</v>
      </c>
      <c r="E419">
        <f t="shared" si="9"/>
        <v>4.4567259999999997</v>
      </c>
      <c r="F419">
        <f t="shared" si="10"/>
        <v>4.380414</v>
      </c>
      <c r="G419">
        <f t="shared" si="1"/>
        <v>0.19798099999999999</v>
      </c>
      <c r="H419">
        <f t="shared" si="11"/>
        <v>0.19798099999999999</v>
      </c>
      <c r="I419">
        <f t="shared" si="2"/>
        <v>0.22590199999999999</v>
      </c>
      <c r="J419">
        <f t="shared" si="3"/>
        <v>1</v>
      </c>
      <c r="K419">
        <f t="shared" si="4"/>
        <v>1.0564929999999999</v>
      </c>
      <c r="L419">
        <f t="shared" si="5"/>
        <v>0.795817</v>
      </c>
      <c r="M419">
        <f t="shared" si="6"/>
        <v>0.375913</v>
      </c>
      <c r="N419">
        <f t="shared" si="12"/>
        <v>0.5262</v>
      </c>
      <c r="O419">
        <f t="shared" si="7"/>
        <v>0.45016600000000001</v>
      </c>
      <c r="P419">
        <v>0</v>
      </c>
      <c r="Q419">
        <v>0</v>
      </c>
      <c r="R419">
        <v>0</v>
      </c>
      <c r="S419">
        <v>0</v>
      </c>
      <c r="U419">
        <f t="shared" si="13"/>
        <v>5.8445555634271551E-6</v>
      </c>
      <c r="BA419" s="184"/>
    </row>
    <row r="420" spans="2:53" x14ac:dyDescent="0.25">
      <c r="B420">
        <v>16</v>
      </c>
      <c r="C420" t="s">
        <v>414</v>
      </c>
      <c r="D420">
        <f t="shared" si="8"/>
        <v>2.6146189999999998</v>
      </c>
      <c r="E420">
        <f t="shared" si="9"/>
        <v>4.9997389999999999</v>
      </c>
      <c r="F420">
        <f t="shared" si="10"/>
        <v>4.7206700000000001</v>
      </c>
      <c r="G420">
        <f t="shared" si="1"/>
        <v>0.19481299999999999</v>
      </c>
      <c r="H420">
        <f t="shared" si="11"/>
        <v>0.19481299999999999</v>
      </c>
      <c r="I420">
        <f t="shared" si="2"/>
        <v>0.243451</v>
      </c>
      <c r="J420">
        <f t="shared" si="3"/>
        <v>1</v>
      </c>
      <c r="K420">
        <f t="shared" si="4"/>
        <v>1.1513949999999999</v>
      </c>
      <c r="L420">
        <f t="shared" si="5"/>
        <v>0.85769700000000004</v>
      </c>
      <c r="M420">
        <f t="shared" si="6"/>
        <v>0.28903299999999998</v>
      </c>
      <c r="N420">
        <f t="shared" si="12"/>
        <v>0.56303499999999995</v>
      </c>
      <c r="O420">
        <f t="shared" si="7"/>
        <v>0.48514800000000002</v>
      </c>
      <c r="P420">
        <v>0</v>
      </c>
      <c r="Q420">
        <v>0</v>
      </c>
      <c r="R420">
        <v>0</v>
      </c>
      <c r="S420">
        <v>0</v>
      </c>
      <c r="U420">
        <f t="shared" si="13"/>
        <v>2.5333985993656905E-4</v>
      </c>
      <c r="BA420" s="184"/>
    </row>
    <row r="421" spans="2:53" x14ac:dyDescent="0.25">
      <c r="B421">
        <v>17</v>
      </c>
      <c r="C421" t="s">
        <v>415</v>
      </c>
      <c r="D421">
        <f t="shared" si="8"/>
        <v>1.599194</v>
      </c>
      <c r="E421">
        <f t="shared" si="9"/>
        <v>4.4087730000000001</v>
      </c>
      <c r="F421">
        <f t="shared" si="10"/>
        <v>3.8925559999999999</v>
      </c>
      <c r="G421">
        <f t="shared" si="1"/>
        <v>0.15198700000000001</v>
      </c>
      <c r="H421">
        <f t="shared" si="11"/>
        <v>0.15198700000000001</v>
      </c>
      <c r="I421">
        <f t="shared" si="2"/>
        <v>0.200743</v>
      </c>
      <c r="J421">
        <f t="shared" si="3"/>
        <v>1</v>
      </c>
      <c r="K421">
        <f t="shared" si="4"/>
        <v>1.141011</v>
      </c>
      <c r="L421">
        <f t="shared" si="5"/>
        <v>0.70722600000000002</v>
      </c>
      <c r="M421">
        <f t="shared" si="6"/>
        <v>0.27478799999999998</v>
      </c>
      <c r="N421">
        <f t="shared" si="12"/>
        <v>0.51461299999999999</v>
      </c>
      <c r="O421">
        <f t="shared" si="7"/>
        <v>0.400038</v>
      </c>
      <c r="P421">
        <v>0</v>
      </c>
      <c r="Q421">
        <v>0</v>
      </c>
      <c r="R421">
        <v>0</v>
      </c>
      <c r="S421">
        <v>0</v>
      </c>
      <c r="U421">
        <f t="shared" si="13"/>
        <v>4.202071113856063E-5</v>
      </c>
      <c r="BA421" s="184"/>
    </row>
    <row r="422" spans="2:53" x14ac:dyDescent="0.25">
      <c r="B422">
        <v>18</v>
      </c>
      <c r="C422" t="s">
        <v>416</v>
      </c>
      <c r="D422">
        <f t="shared" si="8"/>
        <v>1.6900219999999999</v>
      </c>
      <c r="E422">
        <f t="shared" si="9"/>
        <v>3.697514</v>
      </c>
      <c r="F422">
        <f t="shared" si="10"/>
        <v>4.3961480000000002</v>
      </c>
      <c r="G422">
        <f t="shared" si="1"/>
        <v>0.25629099999999999</v>
      </c>
      <c r="H422">
        <f t="shared" si="11"/>
        <v>0.25629099999999999</v>
      </c>
      <c r="I422">
        <f t="shared" si="2"/>
        <v>0.226714</v>
      </c>
      <c r="J422">
        <f t="shared" si="3"/>
        <v>1</v>
      </c>
      <c r="K422">
        <f t="shared" si="4"/>
        <v>0.83870100000000003</v>
      </c>
      <c r="L422">
        <f t="shared" si="5"/>
        <v>0.79874900000000004</v>
      </c>
      <c r="M422">
        <f t="shared" si="6"/>
        <v>0.44548599999999999</v>
      </c>
      <c r="N422">
        <f t="shared" si="12"/>
        <v>0.43654399999999999</v>
      </c>
      <c r="O422">
        <f t="shared" si="7"/>
        <v>0.45179799999999998</v>
      </c>
      <c r="P422">
        <v>0</v>
      </c>
      <c r="Q422">
        <v>0</v>
      </c>
      <c r="R422">
        <v>0</v>
      </c>
      <c r="S422">
        <v>0</v>
      </c>
      <c r="U422">
        <f t="shared" si="13"/>
        <v>2.440180374595013E-4</v>
      </c>
      <c r="BA422" s="184"/>
    </row>
    <row r="423" spans="2:53" x14ac:dyDescent="0.25">
      <c r="B423">
        <v>19</v>
      </c>
      <c r="C423" t="s">
        <v>417</v>
      </c>
      <c r="D423">
        <f t="shared" si="8"/>
        <v>2.7085159999999999</v>
      </c>
      <c r="E423">
        <f t="shared" si="9"/>
        <v>4.0651840000000004</v>
      </c>
      <c r="F423">
        <f t="shared" si="10"/>
        <v>4.5364199999999997</v>
      </c>
      <c r="G423">
        <f t="shared" si="1"/>
        <v>0.248831</v>
      </c>
      <c r="H423">
        <f t="shared" si="11"/>
        <v>0.248831</v>
      </c>
      <c r="I423">
        <f t="shared" si="2"/>
        <v>0.23394799999999999</v>
      </c>
      <c r="J423">
        <f t="shared" si="3"/>
        <v>1</v>
      </c>
      <c r="K423">
        <f t="shared" si="4"/>
        <v>0.98141100000000003</v>
      </c>
      <c r="L423">
        <f t="shared" si="5"/>
        <v>0.82423299999999999</v>
      </c>
      <c r="M423">
        <f t="shared" si="6"/>
        <v>0.37291600000000003</v>
      </c>
      <c r="N423">
        <f t="shared" si="12"/>
        <v>0.46627099999999999</v>
      </c>
      <c r="O423">
        <f t="shared" si="7"/>
        <v>0.46621400000000002</v>
      </c>
      <c r="P423">
        <v>0</v>
      </c>
      <c r="Q423">
        <v>0</v>
      </c>
      <c r="R423">
        <v>0</v>
      </c>
      <c r="S423">
        <v>0</v>
      </c>
      <c r="U423">
        <f t="shared" si="13"/>
        <v>5.8822943090341817E-5</v>
      </c>
      <c r="BA423" s="184"/>
    </row>
    <row r="424" spans="2:53" x14ac:dyDescent="0.25">
      <c r="B424">
        <v>20</v>
      </c>
      <c r="C424" t="s">
        <v>418</v>
      </c>
      <c r="D424">
        <f t="shared" si="8"/>
        <v>6.2673329999999998</v>
      </c>
      <c r="E424">
        <f t="shared" si="9"/>
        <v>3.3333300000000001</v>
      </c>
      <c r="F424">
        <f t="shared" si="10"/>
        <v>4.7051069999999999</v>
      </c>
      <c r="G424">
        <f t="shared" si="1"/>
        <v>0.29825699999999999</v>
      </c>
      <c r="H424">
        <f t="shared" si="11"/>
        <v>0.29825699999999999</v>
      </c>
      <c r="I424">
        <f t="shared" si="2"/>
        <v>0.242647</v>
      </c>
      <c r="J424">
        <f t="shared" si="3"/>
        <v>1</v>
      </c>
      <c r="K424">
        <f t="shared" si="4"/>
        <v>0.62814000000000003</v>
      </c>
      <c r="L424">
        <f t="shared" si="5"/>
        <v>0.85479400000000005</v>
      </c>
      <c r="M424">
        <f t="shared" si="6"/>
        <v>0.59880999999999995</v>
      </c>
      <c r="N424">
        <f t="shared" si="12"/>
        <v>0.36021799999999998</v>
      </c>
      <c r="O424">
        <f t="shared" si="7"/>
        <v>0.48353099999999999</v>
      </c>
      <c r="P424">
        <v>0</v>
      </c>
      <c r="Q424">
        <v>0</v>
      </c>
      <c r="R424">
        <v>0</v>
      </c>
      <c r="S424">
        <v>0</v>
      </c>
      <c r="U424">
        <f t="shared" si="13"/>
        <v>0.14925688530779316</v>
      </c>
      <c r="BA424" s="184"/>
    </row>
    <row r="425" spans="2:53" x14ac:dyDescent="0.25">
      <c r="B425">
        <v>21</v>
      </c>
      <c r="C425" t="s">
        <v>419</v>
      </c>
      <c r="D425">
        <f t="shared" si="8"/>
        <v>7.2037319999999996</v>
      </c>
      <c r="E425">
        <f t="shared" si="9"/>
        <v>3.800665</v>
      </c>
      <c r="F425">
        <f t="shared" si="10"/>
        <v>5.4865599999999999</v>
      </c>
      <c r="G425">
        <f t="shared" si="1"/>
        <v>0.32150699999999999</v>
      </c>
      <c r="H425">
        <f t="shared" si="11"/>
        <v>0.32150699999999999</v>
      </c>
      <c r="I425">
        <f t="shared" si="2"/>
        <v>0.28294599999999998</v>
      </c>
      <c r="J425">
        <f t="shared" si="3"/>
        <v>1</v>
      </c>
      <c r="K425">
        <f t="shared" si="4"/>
        <v>0.75307000000000002</v>
      </c>
      <c r="L425">
        <f t="shared" si="5"/>
        <v>0.99665199999999998</v>
      </c>
      <c r="M425">
        <f t="shared" si="6"/>
        <v>0.51987499999999998</v>
      </c>
      <c r="N425">
        <f t="shared" si="12"/>
        <v>0.39577299999999999</v>
      </c>
      <c r="O425">
        <f t="shared" si="7"/>
        <v>0.56381599999999998</v>
      </c>
      <c r="P425">
        <v>0</v>
      </c>
      <c r="Q425">
        <v>0</v>
      </c>
      <c r="R425">
        <v>0</v>
      </c>
      <c r="S425">
        <v>0</v>
      </c>
      <c r="U425">
        <f t="shared" si="13"/>
        <v>2.0733908304383535E-2</v>
      </c>
      <c r="BA425" s="184"/>
    </row>
    <row r="426" spans="2:53" x14ac:dyDescent="0.25">
      <c r="B426">
        <v>22</v>
      </c>
      <c r="C426" t="s">
        <v>420</v>
      </c>
      <c r="D426">
        <f t="shared" si="8"/>
        <v>1.40991</v>
      </c>
      <c r="E426">
        <f t="shared" si="9"/>
        <v>5.5497259999999997</v>
      </c>
      <c r="F426">
        <f t="shared" si="10"/>
        <v>4.6926550000000002</v>
      </c>
      <c r="G426">
        <f t="shared" si="1"/>
        <v>0.14505199999999999</v>
      </c>
      <c r="H426">
        <f t="shared" si="11"/>
        <v>0.14505199999999999</v>
      </c>
      <c r="I426">
        <f t="shared" si="2"/>
        <v>0.242006</v>
      </c>
      <c r="J426">
        <f t="shared" si="3"/>
        <v>1</v>
      </c>
      <c r="K426">
        <f t="shared" si="4"/>
        <v>1.1159060000000001</v>
      </c>
      <c r="L426">
        <f t="shared" si="5"/>
        <v>0.852545</v>
      </c>
      <c r="M426">
        <f t="shared" si="6"/>
        <v>0.27315299999999998</v>
      </c>
      <c r="N426">
        <f t="shared" si="12"/>
        <v>0.60737600000000003</v>
      </c>
      <c r="O426">
        <f t="shared" si="7"/>
        <v>0.48225600000000002</v>
      </c>
      <c r="P426">
        <v>0</v>
      </c>
      <c r="Q426">
        <v>0</v>
      </c>
      <c r="R426">
        <v>0</v>
      </c>
      <c r="S426">
        <v>0</v>
      </c>
      <c r="U426">
        <f t="shared" si="13"/>
        <v>1.7210930691829466E-3</v>
      </c>
      <c r="BA426" s="184"/>
    </row>
    <row r="427" spans="2:53" x14ac:dyDescent="0.25">
      <c r="B427">
        <v>23</v>
      </c>
      <c r="C427" t="s">
        <v>421</v>
      </c>
      <c r="D427">
        <f t="shared" si="8"/>
        <v>5.7783519999999999</v>
      </c>
      <c r="E427">
        <f t="shared" si="9"/>
        <v>3.0765120000000001</v>
      </c>
      <c r="F427">
        <f t="shared" si="10"/>
        <v>4.5790050000000004</v>
      </c>
      <c r="G427">
        <f t="shared" si="1"/>
        <v>0.28299999999999997</v>
      </c>
      <c r="H427">
        <f t="shared" si="11"/>
        <v>0.28299999999999997</v>
      </c>
      <c r="I427">
        <f t="shared" si="2"/>
        <v>0.23614299999999999</v>
      </c>
      <c r="J427">
        <f t="shared" si="3"/>
        <v>1</v>
      </c>
      <c r="K427">
        <f t="shared" si="4"/>
        <v>0.59751900000000002</v>
      </c>
      <c r="L427">
        <f t="shared" si="5"/>
        <v>0.83182999999999996</v>
      </c>
      <c r="M427">
        <f t="shared" si="6"/>
        <v>0.62060199999999999</v>
      </c>
      <c r="N427">
        <f t="shared" si="12"/>
        <v>0.33711000000000002</v>
      </c>
      <c r="O427">
        <f t="shared" si="7"/>
        <v>0.47056100000000001</v>
      </c>
      <c r="P427">
        <v>0</v>
      </c>
      <c r="Q427">
        <v>0</v>
      </c>
      <c r="R427">
        <v>0</v>
      </c>
      <c r="S427">
        <v>0</v>
      </c>
      <c r="U427">
        <f t="shared" si="13"/>
        <v>0.49749663437112246</v>
      </c>
      <c r="BA427" s="184"/>
    </row>
    <row r="428" spans="2:53" x14ac:dyDescent="0.25">
      <c r="B428">
        <v>24</v>
      </c>
      <c r="C428" t="s">
        <v>422</v>
      </c>
      <c r="D428">
        <f t="shared" si="8"/>
        <v>7.3678619999999997</v>
      </c>
      <c r="E428">
        <f t="shared" si="9"/>
        <v>3.89812</v>
      </c>
      <c r="F428">
        <f t="shared" si="10"/>
        <v>5.3146870000000002</v>
      </c>
      <c r="G428">
        <f t="shared" si="1"/>
        <v>0.31433899999999998</v>
      </c>
      <c r="H428">
        <f t="shared" si="11"/>
        <v>0.31433899999999998</v>
      </c>
      <c r="I428">
        <f t="shared" si="2"/>
        <v>0.27408199999999999</v>
      </c>
      <c r="J428">
        <f t="shared" si="3"/>
        <v>1</v>
      </c>
      <c r="K428">
        <f t="shared" si="4"/>
        <v>0.84990699999999997</v>
      </c>
      <c r="L428">
        <f t="shared" si="5"/>
        <v>0.96548599999999996</v>
      </c>
      <c r="M428">
        <f t="shared" si="6"/>
        <v>0.47934100000000002</v>
      </c>
      <c r="N428">
        <f t="shared" si="12"/>
        <v>0.43700299999999997</v>
      </c>
      <c r="O428">
        <f t="shared" si="7"/>
        <v>0.54616500000000001</v>
      </c>
      <c r="P428">
        <v>0</v>
      </c>
      <c r="Q428">
        <v>0</v>
      </c>
      <c r="R428">
        <v>0</v>
      </c>
      <c r="S428">
        <v>0</v>
      </c>
      <c r="U428">
        <f t="shared" si="13"/>
        <v>2.585543612763035E-5</v>
      </c>
      <c r="BA428" s="184"/>
    </row>
    <row r="429" spans="2:53" x14ac:dyDescent="0.25">
      <c r="B429">
        <v>25</v>
      </c>
      <c r="C429" t="s">
        <v>423</v>
      </c>
      <c r="D429">
        <f t="shared" si="8"/>
        <v>3.1884480000000002</v>
      </c>
      <c r="E429">
        <f t="shared" si="9"/>
        <v>3.6514220000000002</v>
      </c>
      <c r="F429">
        <f t="shared" si="10"/>
        <v>4.7888970000000004</v>
      </c>
      <c r="G429">
        <f t="shared" si="1"/>
        <v>0.26125900000000002</v>
      </c>
      <c r="H429">
        <f t="shared" si="11"/>
        <v>0.26125900000000002</v>
      </c>
      <c r="I429">
        <f t="shared" si="2"/>
        <v>0.24696799999999999</v>
      </c>
      <c r="J429">
        <f t="shared" si="3"/>
        <v>1</v>
      </c>
      <c r="K429">
        <f t="shared" si="4"/>
        <v>0.79546600000000001</v>
      </c>
      <c r="L429">
        <f t="shared" si="5"/>
        <v>0.87003399999999997</v>
      </c>
      <c r="M429">
        <f t="shared" si="6"/>
        <v>0.51374900000000001</v>
      </c>
      <c r="N429">
        <f t="shared" si="12"/>
        <v>0.44919900000000001</v>
      </c>
      <c r="O429">
        <f t="shared" si="7"/>
        <v>0.49214599999999997</v>
      </c>
      <c r="P429">
        <v>0</v>
      </c>
      <c r="Q429">
        <v>0</v>
      </c>
      <c r="R429">
        <v>0</v>
      </c>
      <c r="S429">
        <v>0</v>
      </c>
      <c r="U429">
        <f t="shared" si="13"/>
        <v>9.1079458795218449E-2</v>
      </c>
      <c r="BA429" s="184"/>
    </row>
    <row r="430" spans="2:53" x14ac:dyDescent="0.25">
      <c r="B430">
        <v>26</v>
      </c>
      <c r="C430" t="s">
        <v>424</v>
      </c>
      <c r="D430">
        <f t="shared" si="8"/>
        <v>5.4532860000000003</v>
      </c>
      <c r="E430">
        <f t="shared" si="9"/>
        <v>2.8736449999999998</v>
      </c>
      <c r="F430">
        <f t="shared" si="10"/>
        <v>6.2263349999999997</v>
      </c>
      <c r="G430">
        <f t="shared" si="1"/>
        <v>0.44666299999999998</v>
      </c>
      <c r="H430">
        <f t="shared" si="11"/>
        <v>0.44666299999999998</v>
      </c>
      <c r="I430">
        <f t="shared" si="2"/>
        <v>0.32109599999999999</v>
      </c>
      <c r="J430">
        <f t="shared" si="3"/>
        <v>1</v>
      </c>
      <c r="K430">
        <f t="shared" si="4"/>
        <v>0.52648300000000003</v>
      </c>
      <c r="L430">
        <f t="shared" si="5"/>
        <v>1.1310519999999999</v>
      </c>
      <c r="M430">
        <f t="shared" si="6"/>
        <v>0.65698800000000002</v>
      </c>
      <c r="N430">
        <f t="shared" si="12"/>
        <v>0.30849900000000002</v>
      </c>
      <c r="O430">
        <f t="shared" si="7"/>
        <v>0.63984099999999999</v>
      </c>
      <c r="P430">
        <v>0</v>
      </c>
      <c r="Q430">
        <v>0</v>
      </c>
      <c r="R430">
        <v>0</v>
      </c>
      <c r="S430">
        <v>0</v>
      </c>
      <c r="U430">
        <f t="shared" si="13"/>
        <v>1.1874378299953253E-2</v>
      </c>
      <c r="BA430" s="184"/>
    </row>
    <row r="431" spans="2:53" x14ac:dyDescent="0.25">
      <c r="B431">
        <v>27</v>
      </c>
      <c r="C431" t="s">
        <v>425</v>
      </c>
      <c r="D431">
        <f t="shared" si="8"/>
        <v>12.608841</v>
      </c>
      <c r="E431">
        <f t="shared" si="9"/>
        <v>3.2685740000000001</v>
      </c>
      <c r="F431">
        <f t="shared" si="10"/>
        <v>5.0425740000000001</v>
      </c>
      <c r="G431">
        <f t="shared" si="1"/>
        <v>0.33553100000000002</v>
      </c>
      <c r="H431">
        <f t="shared" si="11"/>
        <v>0.33553100000000002</v>
      </c>
      <c r="I431">
        <f t="shared" si="2"/>
        <v>0.26005</v>
      </c>
      <c r="J431">
        <f t="shared" si="3"/>
        <v>1</v>
      </c>
      <c r="K431">
        <f t="shared" si="4"/>
        <v>0.62993900000000003</v>
      </c>
      <c r="L431">
        <f t="shared" si="5"/>
        <v>0.91607099999999997</v>
      </c>
      <c r="M431">
        <f t="shared" si="6"/>
        <v>0.59722200000000003</v>
      </c>
      <c r="N431">
        <f t="shared" si="12"/>
        <v>0.34740799999999999</v>
      </c>
      <c r="O431">
        <f t="shared" si="7"/>
        <v>0.51820500000000003</v>
      </c>
      <c r="P431">
        <v>0</v>
      </c>
      <c r="Q431">
        <v>0</v>
      </c>
      <c r="R431">
        <v>0</v>
      </c>
      <c r="S431">
        <v>0</v>
      </c>
      <c r="U431">
        <f t="shared" si="13"/>
        <v>9.0263205187769827E-2</v>
      </c>
      <c r="BA431" s="184"/>
    </row>
    <row r="432" spans="2:53" x14ac:dyDescent="0.25">
      <c r="B432">
        <v>28</v>
      </c>
      <c r="C432" t="s">
        <v>426</v>
      </c>
      <c r="D432">
        <f t="shared" si="8"/>
        <v>8.7925799999999992</v>
      </c>
      <c r="E432">
        <f t="shared" si="9"/>
        <v>0.479798</v>
      </c>
      <c r="F432">
        <f t="shared" si="10"/>
        <v>6.549169</v>
      </c>
      <c r="G432">
        <f t="shared" si="1"/>
        <v>0.73280900000000004</v>
      </c>
      <c r="H432">
        <f t="shared" si="11"/>
        <v>0.73280900000000004</v>
      </c>
      <c r="I432">
        <f t="shared" si="2"/>
        <v>0.33774900000000002</v>
      </c>
      <c r="J432">
        <f t="shared" si="3"/>
        <v>1</v>
      </c>
      <c r="K432">
        <f t="shared" si="4"/>
        <v>9.5560999999999993E-2</v>
      </c>
      <c r="L432">
        <f t="shared" si="5"/>
        <v>1.190062</v>
      </c>
      <c r="M432">
        <f t="shared" si="6"/>
        <v>0.94171899999999997</v>
      </c>
      <c r="N432">
        <f t="shared" si="12"/>
        <v>5.0931999999999998E-2</v>
      </c>
      <c r="O432">
        <f t="shared" si="7"/>
        <v>0.67309200000000002</v>
      </c>
      <c r="P432">
        <v>0</v>
      </c>
      <c r="Q432">
        <v>0</v>
      </c>
      <c r="R432">
        <v>0</v>
      </c>
      <c r="S432">
        <v>0</v>
      </c>
      <c r="U432">
        <f t="shared" si="13"/>
        <v>2.0526591833510802E-2</v>
      </c>
      <c r="BA432" s="184"/>
    </row>
    <row r="433" spans="2:53" x14ac:dyDescent="0.25">
      <c r="BA433" s="184"/>
    </row>
    <row r="434" spans="2:53" x14ac:dyDescent="0.25">
      <c r="BA434" s="184"/>
    </row>
    <row r="435" spans="2:53" x14ac:dyDescent="0.25">
      <c r="C435" t="s">
        <v>738</v>
      </c>
      <c r="BA435" s="184"/>
    </row>
    <row r="436" spans="2:53" x14ac:dyDescent="0.25">
      <c r="B436">
        <v>2</v>
      </c>
      <c r="C436" t="s">
        <v>729</v>
      </c>
      <c r="D436">
        <f>HLOOKUP(proxy_region,$D$392:$BM$400,B436,FALSE)</f>
        <v>0.14810721127889645</v>
      </c>
      <c r="BA436" s="184"/>
    </row>
    <row r="437" spans="2:53" x14ac:dyDescent="0.25">
      <c r="B437">
        <v>3</v>
      </c>
      <c r="C437" t="s">
        <v>441</v>
      </c>
      <c r="D437">
        <f t="shared" ref="D437:D443" si="14">HLOOKUP(proxy_region,$D$392:$BM$400,B437,FALSE)</f>
        <v>0.14125580422560796</v>
      </c>
    </row>
    <row r="438" spans="2:53" x14ac:dyDescent="0.25">
      <c r="B438">
        <v>4</v>
      </c>
      <c r="C438" t="s">
        <v>442</v>
      </c>
      <c r="D438">
        <f t="shared" si="14"/>
        <v>0.18026229675768229</v>
      </c>
    </row>
    <row r="439" spans="2:53" x14ac:dyDescent="0.25">
      <c r="B439">
        <v>5</v>
      </c>
      <c r="C439" t="s">
        <v>739</v>
      </c>
      <c r="D439">
        <f t="shared" si="14"/>
        <v>0.13833410748117819</v>
      </c>
    </row>
    <row r="440" spans="2:53" x14ac:dyDescent="0.25">
      <c r="B440">
        <v>6</v>
      </c>
      <c r="C440" t="s">
        <v>443</v>
      </c>
      <c r="D440">
        <f t="shared" si="14"/>
        <v>0.17385999125507626</v>
      </c>
    </row>
    <row r="441" spans="2:53" x14ac:dyDescent="0.25">
      <c r="B441">
        <v>7</v>
      </c>
      <c r="C441" t="s">
        <v>444</v>
      </c>
      <c r="D441">
        <f t="shared" si="14"/>
        <v>0.14377906948213492</v>
      </c>
    </row>
    <row r="442" spans="2:53" x14ac:dyDescent="0.25">
      <c r="B442">
        <v>8</v>
      </c>
      <c r="C442" t="s">
        <v>445</v>
      </c>
      <c r="D442">
        <f t="shared" si="14"/>
        <v>0.11086711838867663</v>
      </c>
    </row>
    <row r="443" spans="2:53" x14ac:dyDescent="0.25">
      <c r="B443">
        <v>9</v>
      </c>
      <c r="C443" t="s">
        <v>446</v>
      </c>
      <c r="D443">
        <f t="shared" si="14"/>
        <v>0.16743552542771287</v>
      </c>
    </row>
  </sheetData>
  <mergeCells count="3">
    <mergeCell ref="B5:J5"/>
    <mergeCell ref="B8:J8"/>
    <mergeCell ref="B11:J1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528B-EC6B-49F8-8DD4-7166B7EBBAFC}">
  <sheetPr codeName="Sheet9">
    <tabColor theme="0" tint="-0.249977111117893"/>
  </sheetPr>
  <dimension ref="A1:M85"/>
  <sheetViews>
    <sheetView showGridLines="0" zoomScaleNormal="100" workbookViewId="0">
      <selection activeCell="M18" sqref="M18"/>
    </sheetView>
  </sheetViews>
  <sheetFormatPr defaultColWidth="8.85546875" defaultRowHeight="15" x14ac:dyDescent="0.25"/>
  <cols>
    <col min="2" max="2" width="20.28515625" customWidth="1"/>
    <col min="7" max="7" width="24.42578125" customWidth="1"/>
  </cols>
  <sheetData>
    <row r="1" spans="1:13" ht="25.5" x14ac:dyDescent="0.25">
      <c r="A1" s="850" t="s">
        <v>0</v>
      </c>
      <c r="B1" s="850"/>
      <c r="C1" s="850"/>
      <c r="D1" s="850"/>
      <c r="E1" s="850"/>
      <c r="F1" s="850"/>
      <c r="G1" s="850"/>
      <c r="H1" s="850"/>
      <c r="I1" s="850"/>
      <c r="J1" s="850"/>
      <c r="K1" s="850"/>
      <c r="L1" s="850"/>
      <c r="M1" s="850"/>
    </row>
    <row r="2" spans="1:13" ht="24" x14ac:dyDescent="0.25">
      <c r="A2" s="851" t="s">
        <v>1</v>
      </c>
      <c r="B2" s="851"/>
      <c r="C2" s="851"/>
      <c r="D2" s="851"/>
      <c r="E2" s="851"/>
      <c r="F2" s="851"/>
      <c r="G2" s="851"/>
      <c r="H2" s="851"/>
      <c r="I2" s="851"/>
      <c r="J2" s="851"/>
      <c r="K2" s="851"/>
      <c r="L2" s="851"/>
      <c r="M2" s="851"/>
    </row>
    <row r="3" spans="1:13" x14ac:dyDescent="0.25">
      <c r="A3" s="852" t="s">
        <v>2</v>
      </c>
      <c r="B3" s="852"/>
      <c r="C3" s="852"/>
      <c r="D3" s="852"/>
      <c r="E3" s="852"/>
      <c r="F3" s="852"/>
      <c r="G3" s="852"/>
      <c r="H3" s="852"/>
      <c r="I3" s="852"/>
      <c r="J3" s="852"/>
      <c r="K3" s="852"/>
      <c r="L3" s="852"/>
      <c r="M3" s="852"/>
    </row>
    <row r="4" spans="1:13" ht="21" x14ac:dyDescent="0.25">
      <c r="A4" s="171"/>
    </row>
    <row r="5" spans="1:13" ht="20.25" x14ac:dyDescent="0.25">
      <c r="B5" s="910" t="s">
        <v>740</v>
      </c>
      <c r="C5" s="911"/>
      <c r="D5" s="911"/>
      <c r="E5" s="911"/>
      <c r="F5" s="911"/>
      <c r="G5" s="911"/>
      <c r="H5" s="911"/>
      <c r="I5" s="911"/>
      <c r="J5" s="912"/>
    </row>
    <row r="6" spans="1:13" ht="23.25" x14ac:dyDescent="0.35">
      <c r="B6" s="172"/>
    </row>
    <row r="7" spans="1:13" x14ac:dyDescent="0.25">
      <c r="B7" s="173" t="s">
        <v>448</v>
      </c>
    </row>
    <row r="8" spans="1:13" ht="65.25" customHeight="1" x14ac:dyDescent="0.25">
      <c r="B8" s="913" t="s">
        <v>449</v>
      </c>
      <c r="C8" s="914"/>
      <c r="D8" s="914"/>
      <c r="E8" s="914"/>
      <c r="F8" s="914"/>
      <c r="G8" s="914"/>
      <c r="H8" s="914"/>
      <c r="I8" s="914"/>
      <c r="J8" s="915"/>
    </row>
    <row r="10" spans="1:13" x14ac:dyDescent="0.25">
      <c r="B10" s="54" t="s">
        <v>450</v>
      </c>
    </row>
    <row r="11" spans="1:13" ht="75" customHeight="1" x14ac:dyDescent="0.25">
      <c r="B11" s="904" t="s">
        <v>741</v>
      </c>
      <c r="C11" s="905"/>
      <c r="D11" s="905"/>
      <c r="E11" s="905"/>
      <c r="F11" s="905"/>
      <c r="G11" s="905"/>
      <c r="H11" s="905"/>
      <c r="I11" s="905"/>
      <c r="J11" s="906"/>
    </row>
    <row r="13" spans="1:13" ht="18" x14ac:dyDescent="0.25">
      <c r="A13" s="3"/>
      <c r="B13" s="884" t="s">
        <v>742</v>
      </c>
      <c r="C13" s="887"/>
      <c r="D13" s="888"/>
      <c r="E13" s="185"/>
      <c r="F13" s="185"/>
      <c r="G13" s="185"/>
    </row>
    <row r="14" spans="1:13" ht="18" x14ac:dyDescent="0.25">
      <c r="A14" s="3"/>
      <c r="B14" s="51" t="s">
        <v>9</v>
      </c>
      <c r="C14" s="186" t="s">
        <v>743</v>
      </c>
      <c r="D14" s="52" t="s">
        <v>12</v>
      </c>
      <c r="E14" s="185"/>
      <c r="F14" s="185"/>
      <c r="G14" s="185"/>
    </row>
    <row r="15" spans="1:13" ht="15.75" x14ac:dyDescent="0.3">
      <c r="A15" s="3"/>
      <c r="B15" s="22" t="s">
        <v>744</v>
      </c>
      <c r="C15" s="187" t="s">
        <v>745</v>
      </c>
      <c r="D15" s="14" t="s">
        <v>29</v>
      </c>
    </row>
    <row r="16" spans="1:13" ht="15.75" x14ac:dyDescent="0.3">
      <c r="A16" s="3"/>
      <c r="B16" s="22" t="s">
        <v>746</v>
      </c>
      <c r="C16" s="187" t="s">
        <v>745</v>
      </c>
      <c r="D16" s="14" t="s">
        <v>29</v>
      </c>
    </row>
    <row r="17" spans="1:6" ht="15.75" x14ac:dyDescent="0.3">
      <c r="A17" s="3"/>
      <c r="B17" s="44" t="s">
        <v>747</v>
      </c>
      <c r="C17" s="188" t="s">
        <v>745</v>
      </c>
      <c r="D17" s="15" t="s">
        <v>29</v>
      </c>
    </row>
    <row r="18" spans="1:6" x14ac:dyDescent="0.25">
      <c r="A18" s="3"/>
    </row>
    <row r="19" spans="1:6" ht="18" x14ac:dyDescent="0.25">
      <c r="B19" s="884" t="s">
        <v>748</v>
      </c>
      <c r="C19" s="887"/>
      <c r="D19" s="888"/>
    </row>
    <row r="20" spans="1:6" x14ac:dyDescent="0.25">
      <c r="B20" s="51" t="s">
        <v>749</v>
      </c>
      <c r="C20" s="186" t="s">
        <v>359</v>
      </c>
      <c r="D20" s="52" t="s">
        <v>12</v>
      </c>
    </row>
    <row r="21" spans="1:6" ht="15.75" x14ac:dyDescent="0.3">
      <c r="B21" s="22" t="s">
        <v>573</v>
      </c>
      <c r="C21" s="189"/>
      <c r="D21" s="14" t="s">
        <v>29</v>
      </c>
    </row>
    <row r="22" spans="1:6" ht="15.75" x14ac:dyDescent="0.3">
      <c r="B22" s="22" t="s">
        <v>750</v>
      </c>
      <c r="C22" s="189"/>
      <c r="D22" s="14" t="s">
        <v>29</v>
      </c>
    </row>
    <row r="23" spans="1:6" ht="15.75" x14ac:dyDescent="0.3">
      <c r="B23" s="44" t="s">
        <v>751</v>
      </c>
      <c r="C23" s="53">
        <v>44197</v>
      </c>
      <c r="D23" s="15" t="s">
        <v>29</v>
      </c>
    </row>
    <row r="25" spans="1:6" ht="18" x14ac:dyDescent="0.25">
      <c r="B25" s="917" t="s">
        <v>752</v>
      </c>
      <c r="C25" s="918"/>
      <c r="D25" s="918"/>
      <c r="E25" s="919"/>
    </row>
    <row r="30" spans="1:6" x14ac:dyDescent="0.25">
      <c r="B30" s="177"/>
      <c r="C30" s="177" t="s">
        <v>678</v>
      </c>
      <c r="D30" s="190" t="s">
        <v>753</v>
      </c>
      <c r="E30" s="177" t="s">
        <v>754</v>
      </c>
    </row>
    <row r="31" spans="1:6" x14ac:dyDescent="0.25">
      <c r="B31" s="177" t="s">
        <v>755</v>
      </c>
      <c r="C31" s="191">
        <f>D31</f>
        <v>2019</v>
      </c>
      <c r="D31" s="191">
        <v>2019</v>
      </c>
      <c r="E31" s="177"/>
      <c r="F31" s="442"/>
    </row>
    <row r="32" spans="1:6" x14ac:dyDescent="0.25">
      <c r="B32" s="177" t="s">
        <v>756</v>
      </c>
      <c r="C32" s="191">
        <f>IF('Project Data - Step 1'!D22="Default",2019,'Project Data - Step 1'!D22)</f>
        <v>2022</v>
      </c>
      <c r="D32" s="192"/>
      <c r="E32" s="177"/>
    </row>
    <row r="33" spans="2:7" x14ac:dyDescent="0.25">
      <c r="B33" s="175"/>
      <c r="C33" s="175"/>
      <c r="D33" s="175"/>
      <c r="E33" s="177"/>
    </row>
    <row r="34" spans="2:7" x14ac:dyDescent="0.25">
      <c r="B34" s="193" t="s">
        <v>757</v>
      </c>
      <c r="C34" s="194">
        <f>(VLOOKUP(C31,B38:C83,2,FALSE)/VLOOKUP(C32,B38:C83,2,FALSE))</f>
        <v>0.99948340377580625</v>
      </c>
      <c r="D34" s="194" t="s">
        <v>758</v>
      </c>
      <c r="E34" s="194"/>
    </row>
    <row r="35" spans="2:7" x14ac:dyDescent="0.25">
      <c r="B35" s="195" t="s">
        <v>759</v>
      </c>
      <c r="C35" s="196">
        <f>VLOOKUP(C32,B38:C83,2,FALSE)/VLOOKUP(C31,B38:C83,2,FALSE)</f>
        <v>1.0005168632337886</v>
      </c>
      <c r="D35" s="197" t="s">
        <v>760</v>
      </c>
      <c r="E35" s="197"/>
      <c r="F35" t="s">
        <v>761</v>
      </c>
    </row>
    <row r="36" spans="2:7" x14ac:dyDescent="0.25">
      <c r="B36" s="198"/>
      <c r="C36" s="198"/>
      <c r="D36" s="198"/>
      <c r="E36" s="198"/>
      <c r="F36" t="s">
        <v>762</v>
      </c>
      <c r="G36" s="199">
        <v>1000000</v>
      </c>
    </row>
    <row r="37" spans="2:7" ht="26.25" x14ac:dyDescent="0.25">
      <c r="B37" s="198"/>
      <c r="C37" s="198" t="s">
        <v>763</v>
      </c>
      <c r="D37" s="198"/>
      <c r="E37" s="198"/>
      <c r="F37" t="s">
        <v>764</v>
      </c>
      <c r="G37" s="199">
        <v>1000000000</v>
      </c>
    </row>
    <row r="38" spans="2:7" x14ac:dyDescent="0.25">
      <c r="B38" s="200">
        <v>2000</v>
      </c>
      <c r="C38" s="198">
        <v>78.078000000000003</v>
      </c>
      <c r="D38" s="198"/>
      <c r="E38" s="198"/>
    </row>
    <row r="39" spans="2:7" x14ac:dyDescent="0.25">
      <c r="B39" s="200">
        <v>2001</v>
      </c>
      <c r="C39" s="198">
        <v>79.790000000000006</v>
      </c>
      <c r="D39" s="198"/>
      <c r="E39" s="198"/>
    </row>
    <row r="40" spans="2:7" x14ac:dyDescent="0.25">
      <c r="B40" s="200">
        <v>2002</v>
      </c>
      <c r="C40" s="198">
        <v>81.052000000000007</v>
      </c>
      <c r="D40" s="198"/>
      <c r="E40" s="198"/>
    </row>
    <row r="41" spans="2:7" x14ac:dyDescent="0.25">
      <c r="B41" s="200">
        <v>2003</v>
      </c>
      <c r="C41" s="198">
        <v>82.557000000000002</v>
      </c>
      <c r="D41" s="198"/>
      <c r="E41" s="198"/>
    </row>
    <row r="42" spans="2:7" x14ac:dyDescent="0.25">
      <c r="B42" s="200">
        <v>2004</v>
      </c>
      <c r="C42" s="198">
        <v>84.78</v>
      </c>
      <c r="D42" s="198"/>
      <c r="E42" s="198"/>
    </row>
    <row r="43" spans="2:7" x14ac:dyDescent="0.25">
      <c r="B43" s="200">
        <v>2005</v>
      </c>
      <c r="C43" s="198">
        <v>87.421000000000006</v>
      </c>
      <c r="D43" s="198"/>
      <c r="E43" s="198"/>
    </row>
    <row r="44" spans="2:7" x14ac:dyDescent="0.25">
      <c r="B44" s="200">
        <v>2006</v>
      </c>
      <c r="C44" s="198">
        <v>90.066000000000003</v>
      </c>
      <c r="D44" s="198"/>
      <c r="E44" s="198"/>
    </row>
    <row r="45" spans="2:7" x14ac:dyDescent="0.25">
      <c r="B45" s="200">
        <v>2007</v>
      </c>
      <c r="C45" s="198">
        <v>92.486000000000004</v>
      </c>
      <c r="D45" s="198"/>
      <c r="E45" s="198"/>
    </row>
    <row r="46" spans="2:7" x14ac:dyDescent="0.25">
      <c r="B46" s="200">
        <v>2008</v>
      </c>
      <c r="C46" s="198">
        <v>94.284999999999997</v>
      </c>
      <c r="D46" s="198"/>
      <c r="E46" s="198"/>
    </row>
    <row r="47" spans="2:7" x14ac:dyDescent="0.25">
      <c r="B47" s="200">
        <v>2009</v>
      </c>
      <c r="C47" s="198">
        <v>95.004000000000005</v>
      </c>
      <c r="D47" s="198"/>
      <c r="E47" s="198"/>
    </row>
    <row r="48" spans="2:7" x14ac:dyDescent="0.25">
      <c r="B48" s="200">
        <v>2010</v>
      </c>
      <c r="C48" s="198">
        <v>96.111000000000004</v>
      </c>
      <c r="D48" s="198"/>
      <c r="E48" s="198"/>
    </row>
    <row r="49" spans="2:5" x14ac:dyDescent="0.25">
      <c r="B49" s="200">
        <v>2011</v>
      </c>
      <c r="C49" s="198">
        <v>98.117999999999995</v>
      </c>
      <c r="D49" s="198"/>
      <c r="E49" s="198"/>
    </row>
    <row r="50" spans="2:5" x14ac:dyDescent="0.25">
      <c r="B50" s="200">
        <v>2012</v>
      </c>
      <c r="C50" s="198">
        <v>100</v>
      </c>
      <c r="D50" s="198"/>
      <c r="E50" s="198"/>
    </row>
    <row r="51" spans="2:5" x14ac:dyDescent="0.25">
      <c r="B51" s="200">
        <v>2013</v>
      </c>
      <c r="C51" s="198">
        <v>101.755</v>
      </c>
      <c r="D51" s="198"/>
      <c r="E51" s="198"/>
    </row>
    <row r="52" spans="2:5" x14ac:dyDescent="0.25">
      <c r="B52" s="200">
        <v>2014</v>
      </c>
      <c r="C52" s="198">
        <v>103.63800000000001</v>
      </c>
      <c r="D52" s="198"/>
      <c r="E52" s="198"/>
    </row>
    <row r="53" spans="2:5" x14ac:dyDescent="0.25">
      <c r="B53">
        <v>2015</v>
      </c>
      <c r="C53">
        <v>104.717</v>
      </c>
    </row>
    <row r="54" spans="2:5" x14ac:dyDescent="0.25">
      <c r="B54">
        <v>2016</v>
      </c>
      <c r="C54">
        <v>105.801</v>
      </c>
    </row>
    <row r="55" spans="2:5" x14ac:dyDescent="0.25">
      <c r="B55">
        <v>2017</v>
      </c>
      <c r="C55">
        <v>107.794</v>
      </c>
    </row>
    <row r="56" spans="2:5" x14ac:dyDescent="0.25">
      <c r="B56">
        <v>2018</v>
      </c>
      <c r="C56">
        <v>110.42</v>
      </c>
    </row>
    <row r="57" spans="2:5" x14ac:dyDescent="0.25">
      <c r="B57">
        <v>2019</v>
      </c>
      <c r="C57">
        <v>112.345</v>
      </c>
    </row>
    <row r="58" spans="2:5" x14ac:dyDescent="0.25">
      <c r="B58" s="201">
        <v>2020</v>
      </c>
      <c r="C58" s="201">
        <v>112.3643557</v>
      </c>
      <c r="D58" t="s">
        <v>765</v>
      </c>
    </row>
    <row r="59" spans="2:5" x14ac:dyDescent="0.25">
      <c r="B59" s="201">
        <v>2021</v>
      </c>
      <c r="C59" s="201">
        <v>112.3837113</v>
      </c>
    </row>
    <row r="60" spans="2:5" x14ac:dyDescent="0.25">
      <c r="B60" s="201">
        <v>2022</v>
      </c>
      <c r="C60" s="201">
        <v>112.40306699999999</v>
      </c>
    </row>
    <row r="61" spans="2:5" x14ac:dyDescent="0.25">
      <c r="B61" s="201">
        <v>2023</v>
      </c>
      <c r="C61" s="201">
        <v>112.4224226</v>
      </c>
    </row>
    <row r="62" spans="2:5" x14ac:dyDescent="0.25">
      <c r="B62" s="201">
        <v>2024</v>
      </c>
      <c r="C62" s="201">
        <v>112.4417783</v>
      </c>
    </row>
    <row r="63" spans="2:5" x14ac:dyDescent="0.25">
      <c r="B63" s="201">
        <v>2025</v>
      </c>
      <c r="C63" s="201">
        <v>112.461134</v>
      </c>
    </row>
    <row r="64" spans="2:5" x14ac:dyDescent="0.25">
      <c r="B64" s="201">
        <v>2026</v>
      </c>
      <c r="C64" s="201">
        <v>112.4804896</v>
      </c>
    </row>
    <row r="65" spans="2:3" x14ac:dyDescent="0.25">
      <c r="B65" s="201">
        <v>2027</v>
      </c>
      <c r="C65" s="201">
        <v>112.4998453</v>
      </c>
    </row>
    <row r="66" spans="2:3" x14ac:dyDescent="0.25">
      <c r="B66" s="201">
        <v>2028</v>
      </c>
      <c r="C66" s="201">
        <v>112.519201</v>
      </c>
    </row>
    <row r="67" spans="2:3" x14ac:dyDescent="0.25">
      <c r="B67" s="201">
        <v>2029</v>
      </c>
      <c r="C67" s="201">
        <v>112.53855660000001</v>
      </c>
    </row>
    <row r="68" spans="2:3" x14ac:dyDescent="0.25">
      <c r="B68" s="201">
        <v>2030</v>
      </c>
      <c r="C68" s="201">
        <v>112.5579123</v>
      </c>
    </row>
    <row r="69" spans="2:3" x14ac:dyDescent="0.25">
      <c r="B69" s="201">
        <v>2031</v>
      </c>
      <c r="C69" s="201">
        <v>112.5772679</v>
      </c>
    </row>
    <row r="70" spans="2:3" x14ac:dyDescent="0.25">
      <c r="B70" s="201">
        <v>2032</v>
      </c>
      <c r="C70" s="201">
        <v>112.5966236</v>
      </c>
    </row>
    <row r="71" spans="2:3" x14ac:dyDescent="0.25">
      <c r="B71" s="201">
        <v>2033</v>
      </c>
      <c r="C71" s="201">
        <v>112.61597930000001</v>
      </c>
    </row>
    <row r="72" spans="2:3" x14ac:dyDescent="0.25">
      <c r="B72" s="201">
        <v>2034</v>
      </c>
      <c r="C72" s="201">
        <v>112.6353349</v>
      </c>
    </row>
    <row r="73" spans="2:3" x14ac:dyDescent="0.25">
      <c r="B73" s="201">
        <v>2035</v>
      </c>
      <c r="C73" s="201">
        <v>112.6546906</v>
      </c>
    </row>
    <row r="74" spans="2:3" x14ac:dyDescent="0.25">
      <c r="B74" s="201">
        <v>2036</v>
      </c>
      <c r="C74" s="201">
        <v>112.67404620000001</v>
      </c>
    </row>
    <row r="75" spans="2:3" x14ac:dyDescent="0.25">
      <c r="B75" s="201">
        <v>2037</v>
      </c>
      <c r="C75" s="201">
        <v>112.6934019</v>
      </c>
    </row>
    <row r="76" spans="2:3" x14ac:dyDescent="0.25">
      <c r="B76" s="201">
        <v>2038</v>
      </c>
      <c r="C76" s="201">
        <v>112.7127576</v>
      </c>
    </row>
    <row r="77" spans="2:3" x14ac:dyDescent="0.25">
      <c r="B77" s="201">
        <v>2039</v>
      </c>
      <c r="C77" s="201">
        <v>112.7321132</v>
      </c>
    </row>
    <row r="78" spans="2:3" x14ac:dyDescent="0.25">
      <c r="B78" s="201">
        <v>2040</v>
      </c>
      <c r="C78" s="201">
        <v>112.75146890000001</v>
      </c>
    </row>
    <row r="79" spans="2:3" x14ac:dyDescent="0.25">
      <c r="B79" s="201">
        <v>2041</v>
      </c>
      <c r="C79" s="201">
        <v>112.7708245</v>
      </c>
    </row>
    <row r="80" spans="2:3" x14ac:dyDescent="0.25">
      <c r="B80" s="201">
        <v>2042</v>
      </c>
      <c r="C80" s="201">
        <v>112.79018019999999</v>
      </c>
    </row>
    <row r="81" spans="2:3" x14ac:dyDescent="0.25">
      <c r="B81" s="201">
        <v>2043</v>
      </c>
      <c r="C81" s="201">
        <v>112.8095359</v>
      </c>
    </row>
    <row r="82" spans="2:3" x14ac:dyDescent="0.25">
      <c r="B82" s="201">
        <v>2044</v>
      </c>
      <c r="C82" s="201">
        <v>112.8288915</v>
      </c>
    </row>
    <row r="83" spans="2:3" x14ac:dyDescent="0.25">
      <c r="B83" s="201">
        <v>2045</v>
      </c>
      <c r="C83" s="201">
        <v>112.8482472</v>
      </c>
    </row>
    <row r="85" spans="2:3" x14ac:dyDescent="0.25">
      <c r="B85" t="s">
        <v>766</v>
      </c>
    </row>
  </sheetData>
  <sheetProtection algorithmName="SHA-512" hashValue="stqVtL3Yyg5yDthAEeiBgN6yuvNgpQWvfW64Oalsvq75IQ7Gyj/s4poRlgEWxNiRjwbhBxScyLt+Ga2yWpEmEA==" saltValue="uN6yB2qRb4OHwxIXCfg7rA==" spinCount="100000" sheet="1" objects="1" scenarios="1"/>
  <mergeCells count="6">
    <mergeCell ref="B25:E25"/>
    <mergeCell ref="B5:J5"/>
    <mergeCell ref="B8:J8"/>
    <mergeCell ref="B11:J11"/>
    <mergeCell ref="B13:D13"/>
    <mergeCell ref="B19:D1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D0EFC-08E7-422A-95A3-A72C392880BD}">
  <sheetPr codeName="Sheet13">
    <tabColor theme="0" tint="-0.249977111117893"/>
  </sheetPr>
  <dimension ref="A1:AJ187"/>
  <sheetViews>
    <sheetView showGridLines="0" workbookViewId="0">
      <selection activeCell="E31" sqref="E31"/>
    </sheetView>
  </sheetViews>
  <sheetFormatPr defaultColWidth="8.85546875" defaultRowHeight="15" x14ac:dyDescent="0.25"/>
  <cols>
    <col min="2" max="2" width="39.28515625" customWidth="1"/>
    <col min="3" max="3" width="40.85546875" customWidth="1"/>
    <col min="4" max="9" width="19.7109375" customWidth="1"/>
    <col min="19" max="19" width="12" customWidth="1"/>
    <col min="20" max="21" width="9.140625" customWidth="1"/>
    <col min="22" max="22" width="12.42578125" customWidth="1"/>
  </cols>
  <sheetData>
    <row r="1" spans="1:36" s="1" customFormat="1" ht="40.5" customHeight="1" x14ac:dyDescent="0.25">
      <c r="A1" s="850" t="s">
        <v>0</v>
      </c>
      <c r="B1" s="850"/>
      <c r="C1" s="850"/>
      <c r="D1" s="850"/>
      <c r="E1" s="850"/>
      <c r="F1" s="850"/>
      <c r="G1" s="850"/>
      <c r="H1" s="850"/>
      <c r="I1" s="850"/>
      <c r="J1" s="850"/>
      <c r="K1" s="850"/>
      <c r="L1" s="850"/>
      <c r="M1" s="850"/>
      <c r="N1" s="850"/>
      <c r="O1" s="850"/>
      <c r="P1" s="850"/>
      <c r="Q1" s="850"/>
      <c r="R1" s="850"/>
      <c r="S1" s="850"/>
      <c r="T1" s="850"/>
      <c r="U1" s="850"/>
      <c r="V1" s="850"/>
      <c r="W1" s="850"/>
      <c r="X1" s="850"/>
      <c r="Y1" s="850"/>
      <c r="Z1" s="850"/>
      <c r="AA1" s="850"/>
      <c r="AB1" s="850"/>
      <c r="AC1" s="850"/>
      <c r="AD1" s="850"/>
      <c r="AE1" s="850"/>
      <c r="AF1" s="850"/>
      <c r="AG1" s="850"/>
      <c r="AH1" s="850"/>
      <c r="AI1" s="850"/>
      <c r="AJ1" s="850"/>
    </row>
    <row r="2" spans="1:36" s="1" customFormat="1" ht="30.75" customHeight="1" x14ac:dyDescent="0.25">
      <c r="A2" s="851" t="s">
        <v>1</v>
      </c>
      <c r="B2" s="851"/>
      <c r="C2" s="851"/>
      <c r="D2" s="851"/>
      <c r="E2" s="851"/>
      <c r="F2" s="851"/>
      <c r="G2" s="851"/>
      <c r="H2" s="851"/>
      <c r="I2" s="851"/>
      <c r="J2" s="851"/>
      <c r="K2" s="851"/>
      <c r="L2" s="851"/>
      <c r="M2" s="851"/>
      <c r="N2" s="851"/>
      <c r="O2" s="851"/>
      <c r="P2" s="851"/>
      <c r="Q2" s="851"/>
      <c r="R2" s="851"/>
      <c r="S2" s="851"/>
      <c r="T2" s="851"/>
      <c r="U2" s="851"/>
      <c r="V2" s="851"/>
      <c r="W2" s="851"/>
      <c r="X2" s="851"/>
      <c r="Y2" s="851"/>
      <c r="Z2" s="851"/>
      <c r="AA2" s="851"/>
      <c r="AB2" s="851"/>
      <c r="AC2" s="851"/>
      <c r="AD2" s="851"/>
      <c r="AE2" s="851"/>
      <c r="AF2" s="851"/>
      <c r="AG2" s="851"/>
      <c r="AH2" s="851"/>
      <c r="AI2" s="851"/>
      <c r="AJ2" s="851"/>
    </row>
    <row r="3" spans="1:36" s="1" customFormat="1" ht="20.25" customHeight="1" x14ac:dyDescent="0.25">
      <c r="A3" s="852" t="s">
        <v>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row>
    <row r="4" spans="1:36" s="1" customFormat="1" ht="15" customHeight="1" x14ac:dyDescent="0.25">
      <c r="A4" s="6"/>
    </row>
    <row r="5" spans="1:36" s="1" customFormat="1" ht="27" customHeight="1" x14ac:dyDescent="0.25">
      <c r="B5" s="910" t="s">
        <v>767</v>
      </c>
      <c r="C5" s="911"/>
      <c r="D5" s="911"/>
      <c r="E5" s="911"/>
      <c r="F5" s="911"/>
      <c r="G5" s="911"/>
      <c r="H5" s="911"/>
      <c r="I5" s="911"/>
      <c r="J5" s="912"/>
    </row>
    <row r="6" spans="1:36" s="1" customFormat="1" ht="15" customHeight="1" x14ac:dyDescent="0.35">
      <c r="B6" s="8"/>
    </row>
    <row r="7" spans="1:36" s="1" customFormat="1" x14ac:dyDescent="0.25">
      <c r="B7" s="49" t="s">
        <v>448</v>
      </c>
    </row>
    <row r="8" spans="1:36" s="1" customFormat="1" ht="49.5" customHeight="1" x14ac:dyDescent="0.25">
      <c r="B8" s="913" t="s">
        <v>449</v>
      </c>
      <c r="C8" s="914"/>
      <c r="D8" s="914"/>
      <c r="E8" s="914"/>
      <c r="F8" s="914"/>
      <c r="G8" s="914"/>
      <c r="H8" s="914"/>
      <c r="I8" s="914"/>
      <c r="J8" s="915"/>
    </row>
    <row r="9" spans="1:36" s="1" customFormat="1" x14ac:dyDescent="0.25"/>
    <row r="10" spans="1:36" s="1" customFormat="1" x14ac:dyDescent="0.25">
      <c r="B10" s="9" t="s">
        <v>450</v>
      </c>
    </row>
    <row r="11" spans="1:36" s="1" customFormat="1" ht="24.75" customHeight="1" x14ac:dyDescent="0.25">
      <c r="B11" s="904" t="s">
        <v>1068</v>
      </c>
      <c r="C11" s="905"/>
      <c r="D11" s="905"/>
      <c r="E11" s="905"/>
      <c r="F11" s="905"/>
      <c r="G11" s="905"/>
      <c r="H11" s="905"/>
      <c r="I11" s="905"/>
      <c r="J11" s="906"/>
    </row>
    <row r="12" spans="1:36" s="1" customFormat="1" x14ac:dyDescent="0.25"/>
    <row r="13" spans="1:36" x14ac:dyDescent="0.25">
      <c r="B13" s="102" t="s">
        <v>768</v>
      </c>
      <c r="C13" s="103"/>
      <c r="D13" s="148"/>
      <c r="E13" s="148"/>
      <c r="F13" s="148"/>
      <c r="G13" s="148"/>
      <c r="H13" s="148"/>
    </row>
    <row r="14" spans="1:36" x14ac:dyDescent="0.25">
      <c r="B14" s="101" t="s">
        <v>14</v>
      </c>
      <c r="C14" s="143" t="s">
        <v>769</v>
      </c>
      <c r="D14" s="55"/>
      <c r="E14" s="148" t="s">
        <v>770</v>
      </c>
      <c r="F14" s="55"/>
      <c r="G14" s="55"/>
      <c r="H14" s="55"/>
    </row>
    <row r="15" spans="1:36" x14ac:dyDescent="0.25">
      <c r="B15" s="22" t="s">
        <v>771</v>
      </c>
      <c r="C15" s="104" t="s">
        <v>530</v>
      </c>
      <c r="D15" s="55"/>
      <c r="E15" s="298"/>
      <c r="F15" s="55"/>
      <c r="G15" s="55"/>
      <c r="H15" s="55"/>
    </row>
    <row r="16" spans="1:36" x14ac:dyDescent="0.25">
      <c r="B16" s="144"/>
      <c r="C16" s="104" t="s">
        <v>532</v>
      </c>
      <c r="D16" s="55"/>
      <c r="E16" s="55"/>
      <c r="F16" s="55"/>
      <c r="G16" s="55"/>
      <c r="H16" s="55"/>
    </row>
    <row r="17" spans="2:8" x14ac:dyDescent="0.25">
      <c r="B17" s="144"/>
      <c r="C17" s="104" t="s">
        <v>533</v>
      </c>
      <c r="D17" s="55"/>
      <c r="E17" s="55"/>
      <c r="F17" s="55"/>
      <c r="G17" s="55"/>
      <c r="H17" s="55"/>
    </row>
    <row r="18" spans="2:8" x14ac:dyDescent="0.25">
      <c r="B18" s="144"/>
      <c r="C18" s="104" t="s">
        <v>534</v>
      </c>
      <c r="D18" s="55"/>
      <c r="E18" s="55"/>
      <c r="F18" s="55"/>
      <c r="G18" s="55"/>
      <c r="H18" s="55"/>
    </row>
    <row r="19" spans="2:8" x14ac:dyDescent="0.25">
      <c r="B19" s="144"/>
      <c r="C19" s="104" t="s">
        <v>535</v>
      </c>
      <c r="D19" s="55"/>
      <c r="E19" s="55"/>
      <c r="F19" s="55"/>
      <c r="G19" s="55"/>
      <c r="H19" s="55"/>
    </row>
    <row r="20" spans="2:8" x14ac:dyDescent="0.25">
      <c r="B20" s="144"/>
      <c r="C20" s="104" t="s">
        <v>536</v>
      </c>
      <c r="D20" s="55"/>
      <c r="E20" s="55"/>
      <c r="F20" s="55"/>
      <c r="G20" s="55"/>
      <c r="H20" s="55"/>
    </row>
    <row r="21" spans="2:8" x14ac:dyDescent="0.25">
      <c r="B21" s="144"/>
      <c r="C21" s="104" t="s">
        <v>537</v>
      </c>
      <c r="D21" s="55"/>
      <c r="E21" s="55"/>
      <c r="F21" s="55"/>
      <c r="G21" s="55"/>
      <c r="H21" s="55"/>
    </row>
    <row r="22" spans="2:8" x14ac:dyDescent="0.25">
      <c r="B22" s="144"/>
      <c r="C22" s="104" t="s">
        <v>538</v>
      </c>
      <c r="D22" s="55"/>
      <c r="E22" s="55"/>
      <c r="F22" s="55"/>
      <c r="G22" s="55"/>
      <c r="H22" s="55"/>
    </row>
    <row r="23" spans="2:8" x14ac:dyDescent="0.25">
      <c r="B23" s="144"/>
      <c r="C23" s="104" t="s">
        <v>539</v>
      </c>
      <c r="D23" s="55"/>
      <c r="E23" s="55"/>
      <c r="F23" s="55"/>
      <c r="G23" s="55"/>
      <c r="H23" s="55"/>
    </row>
    <row r="24" spans="2:8" x14ac:dyDescent="0.25">
      <c r="B24" s="144"/>
      <c r="C24" s="104" t="s">
        <v>540</v>
      </c>
      <c r="D24" s="55"/>
      <c r="E24" s="55"/>
      <c r="F24" s="55"/>
      <c r="G24" s="55"/>
      <c r="H24" s="55"/>
    </row>
    <row r="25" spans="2:8" x14ac:dyDescent="0.25">
      <c r="B25" s="144"/>
      <c r="C25" s="104" t="s">
        <v>541</v>
      </c>
      <c r="D25" s="55"/>
      <c r="E25" s="55"/>
      <c r="F25" s="55"/>
      <c r="G25" s="55"/>
      <c r="H25" s="55"/>
    </row>
    <row r="26" spans="2:8" x14ac:dyDescent="0.25">
      <c r="B26" s="144"/>
      <c r="C26" s="104" t="s">
        <v>542</v>
      </c>
      <c r="D26" s="55"/>
      <c r="E26" s="55"/>
      <c r="F26" s="55"/>
      <c r="G26" s="55"/>
      <c r="H26" s="55"/>
    </row>
    <row r="27" spans="2:8" x14ac:dyDescent="0.25">
      <c r="B27" s="144"/>
      <c r="C27" s="104" t="s">
        <v>543</v>
      </c>
      <c r="D27" s="55"/>
      <c r="E27" s="55"/>
      <c r="F27" s="55"/>
      <c r="G27" s="55"/>
      <c r="H27" s="55"/>
    </row>
    <row r="28" spans="2:8" x14ac:dyDescent="0.25">
      <c r="B28" s="144"/>
      <c r="C28" s="104" t="s">
        <v>544</v>
      </c>
      <c r="D28" s="55"/>
      <c r="E28" s="55"/>
      <c r="F28" s="55"/>
      <c r="G28" s="55"/>
      <c r="H28" s="55"/>
    </row>
    <row r="29" spans="2:8" x14ac:dyDescent="0.25">
      <c r="B29" s="144"/>
      <c r="C29" s="104" t="s">
        <v>545</v>
      </c>
      <c r="D29" s="55"/>
      <c r="E29" s="55"/>
    </row>
    <row r="30" spans="2:8" x14ac:dyDescent="0.25">
      <c r="B30" s="144"/>
      <c r="C30" s="104" t="s">
        <v>546</v>
      </c>
      <c r="D30" s="55"/>
      <c r="E30" s="55"/>
    </row>
    <row r="31" spans="2:8" x14ac:dyDescent="0.25">
      <c r="B31" s="144"/>
      <c r="C31" s="104" t="s">
        <v>549</v>
      </c>
      <c r="D31" s="55"/>
      <c r="E31" s="55"/>
    </row>
    <row r="32" spans="2:8" x14ac:dyDescent="0.25">
      <c r="B32" s="144"/>
      <c r="C32" s="104" t="s">
        <v>550</v>
      </c>
      <c r="D32" s="55"/>
      <c r="E32" s="55"/>
    </row>
    <row r="33" spans="2:8" x14ac:dyDescent="0.25">
      <c r="B33" s="144"/>
      <c r="C33" s="104" t="s">
        <v>551</v>
      </c>
      <c r="D33" s="55"/>
      <c r="E33" s="55"/>
    </row>
    <row r="34" spans="2:8" x14ac:dyDescent="0.25">
      <c r="B34" s="144"/>
      <c r="C34" s="104" t="s">
        <v>21</v>
      </c>
      <c r="D34" s="55"/>
    </row>
    <row r="35" spans="2:8" x14ac:dyDescent="0.25">
      <c r="B35" s="144"/>
      <c r="C35" s="104" t="s">
        <v>552</v>
      </c>
      <c r="D35" s="55"/>
      <c r="E35" s="55"/>
    </row>
    <row r="36" spans="2:8" x14ac:dyDescent="0.25">
      <c r="B36" s="144"/>
      <c r="C36" s="104" t="s">
        <v>553</v>
      </c>
      <c r="D36" s="55"/>
      <c r="E36" s="55"/>
    </row>
    <row r="37" spans="2:8" x14ac:dyDescent="0.25">
      <c r="B37" s="144"/>
      <c r="C37" s="104" t="s">
        <v>554</v>
      </c>
      <c r="D37" s="55"/>
      <c r="E37" s="55"/>
    </row>
    <row r="38" spans="2:8" x14ac:dyDescent="0.25">
      <c r="B38" s="144"/>
      <c r="C38" s="104" t="s">
        <v>555</v>
      </c>
      <c r="D38" s="55"/>
      <c r="E38" s="55"/>
    </row>
    <row r="39" spans="2:8" x14ac:dyDescent="0.25">
      <c r="B39" s="144"/>
      <c r="C39" s="104" t="s">
        <v>556</v>
      </c>
      <c r="D39" s="55"/>
      <c r="E39" s="55"/>
    </row>
    <row r="40" spans="2:8" x14ac:dyDescent="0.25">
      <c r="B40" s="144"/>
      <c r="C40" s="104" t="s">
        <v>557</v>
      </c>
      <c r="D40" s="55"/>
      <c r="E40" s="55"/>
    </row>
    <row r="41" spans="2:8" x14ac:dyDescent="0.25">
      <c r="B41" s="144"/>
      <c r="C41" s="104" t="s">
        <v>558</v>
      </c>
      <c r="D41" s="55"/>
      <c r="E41" s="55"/>
    </row>
    <row r="42" spans="2:8" x14ac:dyDescent="0.25">
      <c r="B42" s="144"/>
      <c r="C42" s="104" t="s">
        <v>559</v>
      </c>
      <c r="D42" s="55"/>
      <c r="E42" s="55"/>
      <c r="F42" s="55"/>
      <c r="G42" s="55"/>
      <c r="H42" s="55"/>
    </row>
    <row r="43" spans="2:8" x14ac:dyDescent="0.25">
      <c r="B43" s="144"/>
      <c r="C43" s="105" t="s">
        <v>560</v>
      </c>
      <c r="D43" s="55"/>
      <c r="E43" s="55"/>
      <c r="F43" s="55"/>
      <c r="G43" s="55"/>
      <c r="H43" s="55"/>
    </row>
    <row r="44" spans="2:8" x14ac:dyDescent="0.25">
      <c r="B44" s="144"/>
      <c r="C44" s="105" t="s">
        <v>561</v>
      </c>
      <c r="D44" s="55"/>
      <c r="E44" s="55"/>
      <c r="F44" s="55"/>
      <c r="G44" s="55"/>
      <c r="H44" s="55"/>
    </row>
    <row r="45" spans="2:8" x14ac:dyDescent="0.25">
      <c r="B45" s="144"/>
      <c r="C45" s="105" t="s">
        <v>562</v>
      </c>
      <c r="D45" s="55"/>
      <c r="E45" s="55"/>
      <c r="F45" s="55"/>
      <c r="G45" s="55"/>
      <c r="H45" s="55"/>
    </row>
    <row r="46" spans="2:8" x14ac:dyDescent="0.25">
      <c r="B46" s="144"/>
      <c r="C46" s="105" t="s">
        <v>563</v>
      </c>
      <c r="D46" s="55"/>
      <c r="E46" s="55"/>
      <c r="F46" s="55"/>
      <c r="G46" s="55"/>
      <c r="H46" s="55"/>
    </row>
    <row r="47" spans="2:8" x14ac:dyDescent="0.25">
      <c r="B47" s="144"/>
      <c r="C47" s="105" t="s">
        <v>564</v>
      </c>
      <c r="D47" s="55"/>
      <c r="E47" s="55"/>
      <c r="F47" s="55"/>
      <c r="G47" s="55"/>
      <c r="H47" s="55"/>
    </row>
    <row r="48" spans="2:8" x14ac:dyDescent="0.25">
      <c r="B48" s="144"/>
      <c r="C48" s="105" t="s">
        <v>565</v>
      </c>
      <c r="D48" s="55"/>
      <c r="E48" s="55"/>
      <c r="F48" s="55"/>
      <c r="G48" s="55"/>
      <c r="H48" s="55"/>
    </row>
    <row r="49" spans="2:8" x14ac:dyDescent="0.25">
      <c r="B49" s="144"/>
      <c r="C49" s="105" t="s">
        <v>566</v>
      </c>
      <c r="D49" s="55"/>
      <c r="E49" s="55"/>
      <c r="F49" s="55"/>
      <c r="G49" s="55"/>
      <c r="H49" s="55"/>
    </row>
    <row r="50" spans="2:8" x14ac:dyDescent="0.25">
      <c r="B50" s="144"/>
      <c r="C50" s="105" t="s">
        <v>567</v>
      </c>
      <c r="D50" s="55"/>
      <c r="E50" s="55"/>
      <c r="F50" s="55"/>
      <c r="G50" s="55"/>
      <c r="H50" s="55"/>
    </row>
    <row r="51" spans="2:8" x14ac:dyDescent="0.25">
      <c r="B51" s="144"/>
      <c r="C51" s="105" t="s">
        <v>568</v>
      </c>
      <c r="D51" s="55"/>
      <c r="E51" s="55"/>
      <c r="F51" s="55"/>
      <c r="G51" s="55"/>
      <c r="H51" s="55"/>
    </row>
    <row r="52" spans="2:8" x14ac:dyDescent="0.25">
      <c r="B52" s="144"/>
      <c r="C52" s="105" t="s">
        <v>569</v>
      </c>
      <c r="D52" s="55"/>
      <c r="E52" s="55"/>
      <c r="F52" s="55"/>
      <c r="G52" s="55"/>
      <c r="H52" s="55"/>
    </row>
    <row r="53" spans="2:8" x14ac:dyDescent="0.25">
      <c r="B53" s="144"/>
      <c r="C53" s="105" t="s">
        <v>570</v>
      </c>
      <c r="D53" s="55"/>
      <c r="E53" s="55"/>
      <c r="F53" s="55"/>
      <c r="G53" s="55"/>
      <c r="H53" s="55"/>
    </row>
    <row r="54" spans="2:8" x14ac:dyDescent="0.25">
      <c r="B54" s="144"/>
      <c r="C54" s="105" t="s">
        <v>18</v>
      </c>
      <c r="D54" s="55"/>
      <c r="E54" s="55"/>
      <c r="F54" s="55"/>
      <c r="G54" s="55"/>
      <c r="H54" s="55"/>
    </row>
    <row r="55" spans="2:8" x14ac:dyDescent="0.25">
      <c r="B55" s="101" t="s">
        <v>22</v>
      </c>
      <c r="C55" s="142" t="s">
        <v>772</v>
      </c>
      <c r="D55" s="55"/>
      <c r="E55" s="55"/>
      <c r="F55" s="55"/>
      <c r="G55" s="55"/>
      <c r="H55" s="55"/>
    </row>
    <row r="56" spans="2:8" x14ac:dyDescent="0.25">
      <c r="B56" s="22" t="s">
        <v>25</v>
      </c>
      <c r="C56" s="105" t="s">
        <v>772</v>
      </c>
      <c r="D56" s="55"/>
      <c r="E56" s="55"/>
      <c r="F56" s="55"/>
      <c r="G56" s="55"/>
    </row>
    <row r="57" spans="2:8" x14ac:dyDescent="0.25">
      <c r="B57" s="102" t="s">
        <v>26</v>
      </c>
      <c r="C57" s="103"/>
      <c r="D57" s="150"/>
      <c r="E57" s="148"/>
      <c r="F57" s="148"/>
      <c r="G57" s="148"/>
    </row>
    <row r="58" spans="2:8" x14ac:dyDescent="0.25">
      <c r="B58" s="101" t="s">
        <v>27</v>
      </c>
      <c r="C58" s="138" t="s">
        <v>769</v>
      </c>
      <c r="D58" s="151"/>
      <c r="E58" s="55"/>
      <c r="F58" s="55"/>
      <c r="G58" s="55"/>
    </row>
    <row r="59" spans="2:8" x14ac:dyDescent="0.25">
      <c r="B59" s="22" t="s">
        <v>30</v>
      </c>
      <c r="C59" s="149">
        <f>'Project Data - Step 1'!D24/'Project Data - Step 1'!D31</f>
        <v>75</v>
      </c>
      <c r="D59" s="151"/>
      <c r="E59" s="55"/>
      <c r="F59" s="55"/>
      <c r="G59" s="55"/>
    </row>
    <row r="60" spans="2:8" x14ac:dyDescent="0.25">
      <c r="B60" s="101" t="s">
        <v>31</v>
      </c>
      <c r="C60" s="138" t="s">
        <v>773</v>
      </c>
      <c r="D60" s="151"/>
      <c r="E60" s="55"/>
      <c r="F60" s="55"/>
      <c r="G60" s="55"/>
    </row>
    <row r="61" spans="2:8" x14ac:dyDescent="0.25">
      <c r="B61" s="101"/>
      <c r="C61" s="138" t="s">
        <v>32</v>
      </c>
      <c r="D61" s="151"/>
      <c r="E61" s="55"/>
      <c r="F61" s="55"/>
      <c r="G61" s="55"/>
    </row>
    <row r="62" spans="2:8" x14ac:dyDescent="0.25">
      <c r="B62" s="101"/>
      <c r="C62" s="138" t="s">
        <v>754</v>
      </c>
      <c r="D62" s="151"/>
      <c r="E62" s="55"/>
      <c r="F62" s="55"/>
      <c r="G62" s="55"/>
    </row>
    <row r="63" spans="2:8" x14ac:dyDescent="0.25">
      <c r="B63" s="22" t="s">
        <v>33</v>
      </c>
      <c r="C63" s="167">
        <v>5</v>
      </c>
      <c r="D63" s="151"/>
      <c r="E63" s="55"/>
      <c r="F63" s="55"/>
      <c r="G63" s="55"/>
    </row>
    <row r="64" spans="2:8" x14ac:dyDescent="0.25">
      <c r="B64" s="101" t="s">
        <v>35</v>
      </c>
      <c r="C64" s="168">
        <v>5</v>
      </c>
      <c r="D64" s="151"/>
      <c r="E64" s="55"/>
      <c r="F64" s="55"/>
      <c r="G64" s="55"/>
    </row>
    <row r="65" spans="2:8" x14ac:dyDescent="0.25">
      <c r="B65" s="289" t="s">
        <v>104</v>
      </c>
      <c r="C65" s="292">
        <v>1</v>
      </c>
      <c r="D65" s="292">
        <v>2</v>
      </c>
      <c r="E65" s="55"/>
      <c r="F65" s="55"/>
      <c r="G65" s="55"/>
    </row>
    <row r="66" spans="2:8" x14ac:dyDescent="0.25">
      <c r="B66" s="102" t="s">
        <v>26</v>
      </c>
      <c r="C66" s="293"/>
      <c r="D66" s="55"/>
      <c r="E66" s="55"/>
      <c r="F66" s="55"/>
      <c r="G66" s="55"/>
    </row>
    <row r="67" spans="2:8" x14ac:dyDescent="0.25">
      <c r="B67" s="101" t="s">
        <v>106</v>
      </c>
      <c r="C67" s="299" t="s">
        <v>774</v>
      </c>
      <c r="D67" s="55"/>
      <c r="E67" s="55"/>
      <c r="F67" s="55"/>
      <c r="G67" s="55"/>
    </row>
    <row r="68" spans="2:8" x14ac:dyDescent="0.25">
      <c r="B68" s="22" t="s">
        <v>108</v>
      </c>
      <c r="C68" s="294">
        <v>2000000</v>
      </c>
      <c r="D68" s="55"/>
      <c r="E68" s="55"/>
      <c r="F68" s="55"/>
      <c r="G68" s="55"/>
    </row>
    <row r="69" spans="2:8" x14ac:dyDescent="0.25">
      <c r="B69" s="101" t="s">
        <v>110</v>
      </c>
      <c r="C69" s="155">
        <v>1</v>
      </c>
      <c r="D69" s="55"/>
      <c r="E69" s="55"/>
      <c r="F69" s="55"/>
      <c r="G69" s="55"/>
    </row>
    <row r="70" spans="2:8" x14ac:dyDescent="0.25">
      <c r="B70" s="102" t="s">
        <v>775</v>
      </c>
      <c r="C70" s="103"/>
      <c r="D70" s="290"/>
      <c r="E70" s="290"/>
      <c r="F70" s="290"/>
      <c r="G70" s="291"/>
    </row>
    <row r="71" spans="2:8" x14ac:dyDescent="0.25">
      <c r="B71" s="101" t="s">
        <v>37</v>
      </c>
      <c r="C71" s="154"/>
      <c r="D71" s="155" t="s">
        <v>38</v>
      </c>
      <c r="E71" s="155" t="s">
        <v>776</v>
      </c>
      <c r="F71" s="155" t="s">
        <v>777</v>
      </c>
      <c r="G71" s="155" t="s">
        <v>754</v>
      </c>
    </row>
    <row r="72" spans="2:8" x14ac:dyDescent="0.25">
      <c r="B72" s="101"/>
      <c r="C72" s="141" t="s">
        <v>778</v>
      </c>
      <c r="D72" s="142">
        <v>154</v>
      </c>
      <c r="E72" s="142">
        <v>215</v>
      </c>
      <c r="F72" s="142">
        <v>240</v>
      </c>
      <c r="G72" s="142">
        <v>0</v>
      </c>
    </row>
    <row r="73" spans="2:8" x14ac:dyDescent="0.25">
      <c r="B73" s="101"/>
      <c r="C73" s="141" t="s">
        <v>779</v>
      </c>
      <c r="D73" s="142">
        <v>110</v>
      </c>
      <c r="E73" s="142">
        <v>132</v>
      </c>
      <c r="F73" s="142">
        <v>150</v>
      </c>
      <c r="G73" s="142">
        <v>0</v>
      </c>
    </row>
    <row r="74" spans="2:8" x14ac:dyDescent="0.25">
      <c r="B74" s="101"/>
      <c r="C74" s="141" t="s">
        <v>780</v>
      </c>
      <c r="D74" s="142">
        <v>13</v>
      </c>
      <c r="E74" s="142">
        <v>11</v>
      </c>
      <c r="F74" s="142">
        <v>10.84</v>
      </c>
      <c r="G74" s="142">
        <v>0</v>
      </c>
    </row>
    <row r="75" spans="2:8" x14ac:dyDescent="0.25">
      <c r="B75" s="101"/>
      <c r="C75" s="141" t="s">
        <v>781</v>
      </c>
      <c r="D75" s="142">
        <v>6</v>
      </c>
      <c r="E75" s="142">
        <v>12</v>
      </c>
      <c r="F75" s="142">
        <v>15</v>
      </c>
      <c r="G75" s="142">
        <v>0</v>
      </c>
    </row>
    <row r="76" spans="2:8" x14ac:dyDescent="0.25">
      <c r="B76" s="101"/>
      <c r="C76" s="141" t="s">
        <v>782</v>
      </c>
      <c r="D76" s="142">
        <v>100</v>
      </c>
      <c r="E76" s="142">
        <v>54</v>
      </c>
      <c r="F76" s="142">
        <v>68</v>
      </c>
      <c r="G76" s="142">
        <v>0</v>
      </c>
      <c r="H76" s="55"/>
    </row>
    <row r="77" spans="2:8" x14ac:dyDescent="0.25">
      <c r="B77" s="101"/>
      <c r="C77" s="141" t="s">
        <v>783</v>
      </c>
      <c r="D77" s="142">
        <v>100</v>
      </c>
      <c r="E77" s="142">
        <v>385</v>
      </c>
      <c r="F77" s="142">
        <v>200</v>
      </c>
      <c r="G77" s="142">
        <v>0</v>
      </c>
      <c r="H77" s="55"/>
    </row>
    <row r="78" spans="2:8" x14ac:dyDescent="0.25">
      <c r="B78" s="101"/>
      <c r="C78" s="141" t="s">
        <v>784</v>
      </c>
      <c r="D78" s="142">
        <v>75</v>
      </c>
      <c r="E78" s="142">
        <v>107</v>
      </c>
      <c r="F78" s="142">
        <v>120</v>
      </c>
      <c r="G78" s="142">
        <v>0</v>
      </c>
      <c r="H78" s="55"/>
    </row>
    <row r="79" spans="2:8" x14ac:dyDescent="0.25">
      <c r="B79" s="101"/>
      <c r="C79" s="141" t="s">
        <v>785</v>
      </c>
      <c r="D79" s="142">
        <v>360</v>
      </c>
      <c r="E79" s="142">
        <v>604</v>
      </c>
      <c r="F79" s="142">
        <v>985</v>
      </c>
      <c r="G79" s="158">
        <v>0</v>
      </c>
      <c r="H79" s="151"/>
    </row>
    <row r="80" spans="2:8" x14ac:dyDescent="0.25">
      <c r="B80" s="101"/>
      <c r="C80" s="141" t="s">
        <v>786</v>
      </c>
      <c r="D80" s="142">
        <v>200</v>
      </c>
      <c r="E80" s="142">
        <v>203</v>
      </c>
      <c r="F80" s="142">
        <v>200</v>
      </c>
      <c r="G80" s="158">
        <v>0</v>
      </c>
      <c r="H80" s="151"/>
    </row>
    <row r="81" spans="2:9" x14ac:dyDescent="0.25">
      <c r="B81" s="101"/>
      <c r="C81" s="141" t="s">
        <v>787</v>
      </c>
      <c r="D81" s="142">
        <v>150</v>
      </c>
      <c r="E81" s="142">
        <v>399</v>
      </c>
      <c r="F81" s="142">
        <v>803</v>
      </c>
      <c r="G81" s="158">
        <v>0</v>
      </c>
      <c r="H81" s="151"/>
    </row>
    <row r="82" spans="2:9" x14ac:dyDescent="0.25">
      <c r="B82" s="101"/>
      <c r="C82" s="141" t="s">
        <v>788</v>
      </c>
      <c r="D82" s="142">
        <v>36</v>
      </c>
      <c r="E82" s="142">
        <v>50.24</v>
      </c>
      <c r="F82" s="142">
        <v>200</v>
      </c>
      <c r="G82" s="158">
        <v>0</v>
      </c>
      <c r="H82" s="151"/>
    </row>
    <row r="83" spans="2:9" x14ac:dyDescent="0.25">
      <c r="B83" s="101"/>
      <c r="C83" s="141" t="s">
        <v>789</v>
      </c>
      <c r="D83" s="142">
        <v>110</v>
      </c>
      <c r="E83" s="142">
        <v>132</v>
      </c>
      <c r="F83" s="142">
        <v>130</v>
      </c>
      <c r="G83" s="158">
        <v>0</v>
      </c>
      <c r="H83" s="151"/>
    </row>
    <row r="84" spans="2:9" x14ac:dyDescent="0.25">
      <c r="B84" s="101"/>
      <c r="C84" s="156" t="s">
        <v>790</v>
      </c>
      <c r="D84" s="157">
        <v>2</v>
      </c>
      <c r="E84" s="157">
        <v>2</v>
      </c>
      <c r="F84" s="157">
        <v>2</v>
      </c>
      <c r="G84" s="142">
        <v>0</v>
      </c>
      <c r="H84" s="55"/>
    </row>
    <row r="85" spans="2:9" x14ac:dyDescent="0.25">
      <c r="B85" s="102" t="s">
        <v>791</v>
      </c>
      <c r="C85" s="103"/>
      <c r="D85" s="103"/>
      <c r="E85" s="137"/>
      <c r="F85" s="147"/>
      <c r="G85" s="147"/>
      <c r="H85" s="55"/>
    </row>
    <row r="86" spans="2:9" x14ac:dyDescent="0.25">
      <c r="B86" s="101" t="s">
        <v>57</v>
      </c>
      <c r="C86" s="155" t="s">
        <v>792</v>
      </c>
      <c r="D86" s="142">
        <v>22.5</v>
      </c>
      <c r="F86" s="304" t="s">
        <v>793</v>
      </c>
      <c r="G86" s="55"/>
      <c r="H86" s="55"/>
      <c r="I86" s="55"/>
    </row>
    <row r="87" spans="2:9" x14ac:dyDescent="0.25">
      <c r="B87" s="101"/>
      <c r="C87" s="155" t="s">
        <v>794</v>
      </c>
      <c r="D87" s="142">
        <v>900</v>
      </c>
      <c r="G87" s="55"/>
      <c r="H87" s="55"/>
      <c r="I87" s="55"/>
    </row>
    <row r="88" spans="2:9" x14ac:dyDescent="0.25">
      <c r="B88" s="22" t="s">
        <v>58</v>
      </c>
      <c r="C88" s="124"/>
      <c r="D88" s="124" t="s">
        <v>795</v>
      </c>
      <c r="E88" s="105" t="s">
        <v>796</v>
      </c>
      <c r="F88" s="287" t="s">
        <v>797</v>
      </c>
      <c r="G88" s="55"/>
      <c r="H88" s="55"/>
      <c r="I88" s="55"/>
    </row>
    <row r="89" spans="2:9" x14ac:dyDescent="0.25">
      <c r="B89" s="22"/>
      <c r="C89" s="124" t="s">
        <v>532</v>
      </c>
      <c r="D89" s="105">
        <v>7.1</v>
      </c>
      <c r="E89" s="105">
        <v>0.8</v>
      </c>
      <c r="F89" s="287"/>
      <c r="G89" s="55"/>
      <c r="H89" s="55"/>
      <c r="I89" s="55"/>
    </row>
    <row r="90" spans="2:9" x14ac:dyDescent="0.25">
      <c r="B90" s="22"/>
      <c r="C90" s="105" t="s">
        <v>533</v>
      </c>
      <c r="D90" s="105">
        <v>8.4</v>
      </c>
      <c r="E90" s="105">
        <v>2.2000000000000002</v>
      </c>
      <c r="F90" s="288"/>
      <c r="G90" s="55"/>
      <c r="H90" s="55"/>
      <c r="I90" s="55"/>
    </row>
    <row r="91" spans="2:9" x14ac:dyDescent="0.25">
      <c r="B91" s="22"/>
      <c r="C91" s="105" t="s">
        <v>534</v>
      </c>
      <c r="D91" s="794">
        <v>9</v>
      </c>
      <c r="E91" s="105">
        <v>1.5</v>
      </c>
      <c r="F91" s="151"/>
      <c r="G91" s="55"/>
      <c r="H91" s="55"/>
      <c r="I91" s="55"/>
    </row>
    <row r="92" spans="2:9" x14ac:dyDescent="0.25">
      <c r="B92" s="22"/>
      <c r="C92" s="105" t="s">
        <v>535</v>
      </c>
      <c r="D92" s="105">
        <v>8.6</v>
      </c>
      <c r="E92" s="105">
        <v>1.3</v>
      </c>
      <c r="F92" s="151"/>
      <c r="G92" s="55"/>
      <c r="H92" s="55"/>
      <c r="I92" s="55"/>
    </row>
    <row r="93" spans="2:9" x14ac:dyDescent="0.25">
      <c r="B93" s="22"/>
      <c r="C93" s="105" t="s">
        <v>536</v>
      </c>
      <c r="D93" s="105">
        <v>7.1</v>
      </c>
      <c r="E93" s="105">
        <v>0.8</v>
      </c>
      <c r="F93" s="151"/>
      <c r="G93" s="55"/>
      <c r="H93" s="55"/>
      <c r="I93" s="55"/>
    </row>
    <row r="94" spans="2:9" x14ac:dyDescent="0.25">
      <c r="B94" s="22"/>
      <c r="C94" s="105" t="s">
        <v>537</v>
      </c>
      <c r="D94" s="105">
        <v>7.6</v>
      </c>
      <c r="E94" s="105">
        <v>1</v>
      </c>
      <c r="F94" s="151"/>
      <c r="G94" s="55"/>
      <c r="H94" s="55"/>
      <c r="I94" s="55"/>
    </row>
    <row r="95" spans="2:9" x14ac:dyDescent="0.25">
      <c r="B95" s="22"/>
      <c r="C95" s="105" t="s">
        <v>569</v>
      </c>
      <c r="D95" s="105">
        <v>7.7</v>
      </c>
      <c r="E95" s="105">
        <v>0.7</v>
      </c>
      <c r="F95" s="151"/>
      <c r="G95" s="55"/>
      <c r="H95" s="55"/>
      <c r="I95" s="55"/>
    </row>
    <row r="96" spans="2:9" x14ac:dyDescent="0.25">
      <c r="B96" s="22"/>
      <c r="C96" s="105" t="s">
        <v>564</v>
      </c>
      <c r="D96" s="105">
        <v>9.1</v>
      </c>
      <c r="E96" s="105">
        <v>1.5</v>
      </c>
      <c r="F96" s="151"/>
      <c r="G96" s="55"/>
      <c r="H96" s="55"/>
      <c r="I96" s="55"/>
    </row>
    <row r="97" spans="2:9" x14ac:dyDescent="0.25">
      <c r="B97" s="22"/>
      <c r="C97" s="105" t="s">
        <v>568</v>
      </c>
      <c r="D97" s="105">
        <v>7.1</v>
      </c>
      <c r="E97" s="105">
        <v>0.8</v>
      </c>
      <c r="F97" s="151"/>
      <c r="G97" s="55"/>
      <c r="H97" s="55"/>
      <c r="I97" s="55"/>
    </row>
    <row r="98" spans="2:9" x14ac:dyDescent="0.25">
      <c r="B98" s="22"/>
      <c r="C98" s="105" t="s">
        <v>538</v>
      </c>
      <c r="D98" s="794">
        <v>8</v>
      </c>
      <c r="E98" s="105">
        <v>8</v>
      </c>
      <c r="F98" s="151"/>
      <c r="G98" s="55"/>
      <c r="H98" s="55"/>
      <c r="I98" s="55"/>
    </row>
    <row r="99" spans="2:9" x14ac:dyDescent="0.25">
      <c r="B99" s="22"/>
      <c r="C99" s="105" t="s">
        <v>539</v>
      </c>
      <c r="D99" s="105">
        <v>7.7</v>
      </c>
      <c r="E99" s="105">
        <v>0.7</v>
      </c>
      <c r="F99" s="151"/>
      <c r="G99" s="55"/>
      <c r="H99" s="55"/>
      <c r="I99" s="55"/>
    </row>
    <row r="100" spans="2:9" x14ac:dyDescent="0.25">
      <c r="B100" s="22"/>
      <c r="C100" s="105" t="s">
        <v>540</v>
      </c>
      <c r="D100" s="105">
        <v>7.7</v>
      </c>
      <c r="E100" s="105">
        <v>0.7</v>
      </c>
      <c r="F100" s="151"/>
      <c r="G100" s="55"/>
      <c r="H100" s="55"/>
      <c r="I100" s="55"/>
    </row>
    <row r="101" spans="2:9" x14ac:dyDescent="0.25">
      <c r="B101" s="22"/>
      <c r="C101" s="105" t="s">
        <v>541</v>
      </c>
      <c r="D101" s="105">
        <v>7.1</v>
      </c>
      <c r="E101" s="105">
        <v>0.8</v>
      </c>
      <c r="F101" s="151"/>
      <c r="G101" s="55"/>
      <c r="H101" s="301"/>
      <c r="I101" s="55"/>
    </row>
    <row r="102" spans="2:9" x14ac:dyDescent="0.25">
      <c r="B102" s="22"/>
      <c r="C102" s="105" t="s">
        <v>542</v>
      </c>
      <c r="D102" s="105">
        <v>9.1</v>
      </c>
      <c r="E102" s="105">
        <v>1.5</v>
      </c>
      <c r="F102" s="151"/>
      <c r="G102" s="55"/>
      <c r="H102" s="55"/>
      <c r="I102" s="55"/>
    </row>
    <row r="103" spans="2:9" x14ac:dyDescent="0.25">
      <c r="B103" s="22"/>
      <c r="C103" s="105" t="s">
        <v>543</v>
      </c>
      <c r="D103" s="105">
        <v>8.6</v>
      </c>
      <c r="E103" s="105">
        <v>1.3</v>
      </c>
      <c r="F103" s="151"/>
      <c r="G103" s="55"/>
      <c r="H103" s="55"/>
      <c r="I103" s="55"/>
    </row>
    <row r="104" spans="2:9" x14ac:dyDescent="0.25">
      <c r="B104" s="22"/>
      <c r="C104" s="105" t="s">
        <v>544</v>
      </c>
      <c r="D104" s="105">
        <v>9.1</v>
      </c>
      <c r="E104" s="105">
        <v>1.5</v>
      </c>
      <c r="F104" s="151"/>
      <c r="G104" s="55"/>
      <c r="H104" s="55"/>
      <c r="I104" s="55"/>
    </row>
    <row r="105" spans="2:9" x14ac:dyDescent="0.25">
      <c r="B105" s="22"/>
      <c r="C105" s="105" t="s">
        <v>545</v>
      </c>
      <c r="D105" s="105">
        <v>7.7</v>
      </c>
      <c r="E105" s="105">
        <v>0.7</v>
      </c>
      <c r="F105" s="151"/>
      <c r="G105" s="55"/>
      <c r="H105" s="55"/>
      <c r="I105" s="55"/>
    </row>
    <row r="106" spans="2:9" x14ac:dyDescent="0.25">
      <c r="B106" s="22"/>
      <c r="C106" s="105" t="s">
        <v>566</v>
      </c>
      <c r="D106" s="105">
        <v>8.6</v>
      </c>
      <c r="E106" s="105">
        <v>1.3</v>
      </c>
      <c r="F106" s="151"/>
      <c r="G106" s="55"/>
      <c r="H106" s="55"/>
      <c r="I106" s="55"/>
    </row>
    <row r="107" spans="2:9" x14ac:dyDescent="0.25">
      <c r="B107" s="22"/>
      <c r="C107" s="105" t="s">
        <v>546</v>
      </c>
      <c r="D107" s="105">
        <v>7.7</v>
      </c>
      <c r="E107" s="105">
        <v>0.7</v>
      </c>
      <c r="F107" s="151"/>
      <c r="G107" s="55"/>
      <c r="H107" s="55"/>
      <c r="I107" s="301"/>
    </row>
    <row r="108" spans="2:9" x14ac:dyDescent="0.25">
      <c r="B108" s="22"/>
      <c r="C108" s="105" t="s">
        <v>549</v>
      </c>
      <c r="D108" s="105">
        <v>7.1</v>
      </c>
      <c r="E108" s="105">
        <v>0.8</v>
      </c>
      <c r="F108" s="151"/>
      <c r="G108" s="55"/>
      <c r="H108" s="55"/>
      <c r="I108" s="55"/>
    </row>
    <row r="109" spans="2:9" x14ac:dyDescent="0.25">
      <c r="B109" s="22"/>
      <c r="C109" s="105" t="s">
        <v>550</v>
      </c>
      <c r="D109" s="105">
        <v>9.1</v>
      </c>
      <c r="E109" s="105">
        <v>1.5</v>
      </c>
      <c r="F109" s="151"/>
      <c r="G109" s="55"/>
      <c r="H109" s="55"/>
      <c r="I109" s="55"/>
    </row>
    <row r="110" spans="2:9" x14ac:dyDescent="0.25">
      <c r="B110" s="22"/>
      <c r="C110" s="105" t="s">
        <v>551</v>
      </c>
      <c r="D110" s="105">
        <v>8.6</v>
      </c>
      <c r="E110" s="105">
        <v>1.3</v>
      </c>
      <c r="F110" s="151"/>
      <c r="G110" s="55"/>
      <c r="H110" s="55"/>
      <c r="I110" s="55"/>
    </row>
    <row r="111" spans="2:9" x14ac:dyDescent="0.25">
      <c r="B111" s="22"/>
      <c r="C111" s="105" t="s">
        <v>21</v>
      </c>
      <c r="D111" s="105">
        <v>8.6</v>
      </c>
      <c r="E111" s="105">
        <v>1.3</v>
      </c>
      <c r="F111" s="151"/>
      <c r="G111" s="55"/>
      <c r="H111" s="55"/>
      <c r="I111" s="55"/>
    </row>
    <row r="112" spans="2:9" x14ac:dyDescent="0.25">
      <c r="B112" s="22"/>
      <c r="C112" s="105" t="s">
        <v>552</v>
      </c>
      <c r="D112" s="105">
        <v>7.7</v>
      </c>
      <c r="E112" s="105">
        <v>0.7</v>
      </c>
      <c r="F112" s="151"/>
      <c r="G112" s="55"/>
      <c r="H112" s="55"/>
      <c r="I112" s="55"/>
    </row>
    <row r="113" spans="2:9" x14ac:dyDescent="0.25">
      <c r="B113" s="22"/>
      <c r="C113" s="105" t="s">
        <v>565</v>
      </c>
      <c r="D113" s="794">
        <v>9</v>
      </c>
      <c r="E113" s="105">
        <v>1.5</v>
      </c>
      <c r="F113" s="151"/>
      <c r="G113" s="55"/>
      <c r="H113" s="55"/>
      <c r="I113" s="55"/>
    </row>
    <row r="114" spans="2:9" x14ac:dyDescent="0.25">
      <c r="B114" s="22"/>
      <c r="C114" s="105" t="s">
        <v>553</v>
      </c>
      <c r="D114" s="105">
        <v>7.6</v>
      </c>
      <c r="E114" s="794">
        <v>1</v>
      </c>
      <c r="F114" s="151"/>
      <c r="G114" s="55"/>
      <c r="H114" s="55"/>
      <c r="I114" s="55"/>
    </row>
    <row r="115" spans="2:9" x14ac:dyDescent="0.25">
      <c r="B115" s="22"/>
      <c r="C115" s="105" t="s">
        <v>554</v>
      </c>
      <c r="D115" s="105">
        <v>7.7</v>
      </c>
      <c r="E115" s="105">
        <v>0.7</v>
      </c>
      <c r="F115" s="151"/>
      <c r="G115" s="55"/>
      <c r="H115" s="55"/>
      <c r="I115" s="55"/>
    </row>
    <row r="116" spans="2:9" x14ac:dyDescent="0.25">
      <c r="B116" s="22"/>
      <c r="C116" s="105" t="s">
        <v>555</v>
      </c>
      <c r="D116" s="105">
        <v>8.4</v>
      </c>
      <c r="E116" s="105">
        <v>2.2000000000000002</v>
      </c>
      <c r="F116" s="151"/>
      <c r="G116" s="55"/>
      <c r="H116" s="55"/>
      <c r="I116" s="55"/>
    </row>
    <row r="117" spans="2:9" x14ac:dyDescent="0.25">
      <c r="B117" s="22"/>
      <c r="C117" s="105" t="s">
        <v>556</v>
      </c>
      <c r="D117" s="105">
        <v>7.7</v>
      </c>
      <c r="E117" s="105">
        <v>0.7</v>
      </c>
      <c r="F117" s="151"/>
      <c r="G117" s="55"/>
      <c r="H117" s="55"/>
      <c r="I117" s="55"/>
    </row>
    <row r="118" spans="2:9" x14ac:dyDescent="0.25">
      <c r="B118" s="22"/>
      <c r="C118" s="123" t="s">
        <v>557</v>
      </c>
      <c r="D118" s="794">
        <v>9</v>
      </c>
      <c r="E118" s="105">
        <v>1.5</v>
      </c>
      <c r="F118" s="151"/>
      <c r="G118" s="55"/>
      <c r="H118" s="55"/>
      <c r="I118" s="55"/>
    </row>
    <row r="119" spans="2:9" x14ac:dyDescent="0.25">
      <c r="B119" s="22"/>
      <c r="C119" s="123" t="s">
        <v>567</v>
      </c>
      <c r="D119" s="105">
        <v>7.6</v>
      </c>
      <c r="E119" s="105">
        <v>1</v>
      </c>
      <c r="F119" s="151"/>
      <c r="G119" s="55"/>
      <c r="H119" s="55"/>
      <c r="I119" s="55"/>
    </row>
    <row r="120" spans="2:9" x14ac:dyDescent="0.25">
      <c r="B120" s="22"/>
      <c r="C120" s="123" t="s">
        <v>558</v>
      </c>
      <c r="D120" s="105">
        <v>7.6</v>
      </c>
      <c r="E120" s="105">
        <v>1</v>
      </c>
      <c r="F120" s="151"/>
      <c r="G120" s="55"/>
      <c r="H120" s="55"/>
      <c r="I120" s="55"/>
    </row>
    <row r="121" spans="2:9" x14ac:dyDescent="0.25">
      <c r="B121" s="22"/>
      <c r="C121" s="123" t="s">
        <v>559</v>
      </c>
      <c r="D121" s="105">
        <v>7.1</v>
      </c>
      <c r="E121" s="105">
        <v>0.8</v>
      </c>
      <c r="F121" s="151"/>
      <c r="G121" s="55"/>
      <c r="H121" s="55"/>
      <c r="I121" s="55"/>
    </row>
    <row r="122" spans="2:9" x14ac:dyDescent="0.25">
      <c r="B122" s="22"/>
      <c r="C122" s="123" t="s">
        <v>530</v>
      </c>
      <c r="D122" s="794">
        <v>8.0133333333333301</v>
      </c>
      <c r="E122" s="794">
        <v>1.3633333333333335</v>
      </c>
      <c r="F122" s="151"/>
      <c r="G122" s="55"/>
      <c r="H122" s="55"/>
      <c r="I122" s="55"/>
    </row>
    <row r="123" spans="2:9" x14ac:dyDescent="0.25">
      <c r="B123" s="22"/>
      <c r="C123" s="123" t="s">
        <v>560</v>
      </c>
      <c r="D123" s="105">
        <v>7.6</v>
      </c>
      <c r="E123" s="105">
        <v>1</v>
      </c>
      <c r="F123" s="151"/>
      <c r="G123" s="55"/>
      <c r="H123" s="55"/>
      <c r="I123" s="55"/>
    </row>
    <row r="124" spans="2:9" x14ac:dyDescent="0.25">
      <c r="B124" s="22"/>
      <c r="C124" s="123" t="s">
        <v>561</v>
      </c>
      <c r="D124" s="105">
        <v>8.4</v>
      </c>
      <c r="E124" s="105">
        <v>2.2000000000000002</v>
      </c>
      <c r="F124" s="151"/>
      <c r="G124" s="55"/>
      <c r="H124" s="55"/>
      <c r="I124" s="55"/>
    </row>
    <row r="125" spans="2:9" x14ac:dyDescent="0.25">
      <c r="B125" s="22"/>
      <c r="C125" s="123" t="s">
        <v>570</v>
      </c>
      <c r="D125" s="105">
        <v>8.4</v>
      </c>
      <c r="E125" s="105">
        <v>2.2000000000000002</v>
      </c>
      <c r="F125" s="151"/>
      <c r="G125" s="55"/>
      <c r="H125" s="55"/>
      <c r="I125" s="55"/>
    </row>
    <row r="126" spans="2:9" x14ac:dyDescent="0.25">
      <c r="B126" s="22"/>
      <c r="C126" s="123" t="s">
        <v>562</v>
      </c>
      <c r="D126" s="105">
        <v>7.7</v>
      </c>
      <c r="E126" s="105">
        <v>0.7</v>
      </c>
      <c r="F126" s="151"/>
      <c r="G126" s="55"/>
      <c r="H126" s="55"/>
      <c r="I126" s="55"/>
    </row>
    <row r="127" spans="2:9" x14ac:dyDescent="0.25">
      <c r="B127" s="101" t="s">
        <v>59</v>
      </c>
      <c r="C127" s="296">
        <v>40</v>
      </c>
      <c r="D127" s="295"/>
      <c r="E127" s="151"/>
      <c r="F127" s="55"/>
      <c r="G127" s="55"/>
      <c r="H127" s="55"/>
    </row>
    <row r="128" spans="2:9" x14ac:dyDescent="0.25">
      <c r="B128" s="22" t="s">
        <v>61</v>
      </c>
      <c r="C128" s="123">
        <v>2</v>
      </c>
      <c r="D128" s="145"/>
      <c r="E128" s="151"/>
      <c r="F128" s="55"/>
      <c r="G128" s="55"/>
      <c r="H128" s="55"/>
    </row>
    <row r="129" spans="1:9" x14ac:dyDescent="0.25">
      <c r="B129" s="101" t="s">
        <v>62</v>
      </c>
      <c r="C129" s="157">
        <v>20</v>
      </c>
      <c r="D129" s="145"/>
      <c r="E129" s="151"/>
      <c r="F129" s="55"/>
      <c r="G129" s="55"/>
      <c r="H129" s="55"/>
    </row>
    <row r="130" spans="1:9" x14ac:dyDescent="0.25">
      <c r="B130" s="22" t="s">
        <v>63</v>
      </c>
      <c r="C130" s="123">
        <v>3</v>
      </c>
      <c r="D130" s="162"/>
      <c r="E130" s="55"/>
      <c r="F130" s="55"/>
      <c r="G130" s="55"/>
      <c r="H130" s="55"/>
      <c r="I130" s="55"/>
    </row>
    <row r="131" spans="1:9" x14ac:dyDescent="0.25">
      <c r="B131" s="101" t="s">
        <v>64</v>
      </c>
      <c r="C131" s="157">
        <v>1</v>
      </c>
      <c r="D131" s="70"/>
      <c r="E131" s="55"/>
      <c r="F131" s="55"/>
      <c r="G131" s="55"/>
      <c r="H131" s="55"/>
      <c r="I131" s="55"/>
    </row>
    <row r="132" spans="1:9" x14ac:dyDescent="0.25">
      <c r="B132" s="102" t="s">
        <v>798</v>
      </c>
      <c r="C132" s="103"/>
      <c r="D132" s="159"/>
      <c r="E132" s="55"/>
      <c r="F132" s="55"/>
      <c r="G132" s="55"/>
      <c r="H132" s="55"/>
      <c r="I132" s="55"/>
    </row>
    <row r="133" spans="1:9" x14ac:dyDescent="0.25">
      <c r="B133" s="101" t="s">
        <v>66</v>
      </c>
      <c r="C133" s="160" t="s">
        <v>67</v>
      </c>
      <c r="D133" s="151"/>
      <c r="E133" s="55"/>
      <c r="F133" s="55"/>
      <c r="G133" s="55"/>
      <c r="H133" s="55"/>
      <c r="I133" s="55"/>
    </row>
    <row r="134" spans="1:9" x14ac:dyDescent="0.25">
      <c r="B134" s="101"/>
      <c r="C134" s="160" t="s">
        <v>173</v>
      </c>
      <c r="D134" s="151"/>
      <c r="E134" s="55"/>
      <c r="F134" s="55"/>
      <c r="G134" s="55"/>
      <c r="H134" s="55"/>
      <c r="I134" s="55"/>
    </row>
    <row r="135" spans="1:9" x14ac:dyDescent="0.25">
      <c r="B135" s="101"/>
      <c r="C135" s="160" t="s">
        <v>180</v>
      </c>
      <c r="D135" s="151"/>
      <c r="E135" s="55"/>
      <c r="F135" s="55"/>
      <c r="G135" s="55"/>
      <c r="H135" s="55"/>
      <c r="I135" s="55"/>
    </row>
    <row r="136" spans="1:9" x14ac:dyDescent="0.25">
      <c r="B136" s="22" t="s">
        <v>69</v>
      </c>
      <c r="C136" s="161" t="str">
        <f>IF(ISNUMBER(SEARCH('Project Data - Step 1'!D53,"Monopile")), "Fixed-Bottom", "Floating")</f>
        <v>Fixed-Bottom</v>
      </c>
      <c r="D136" s="151"/>
      <c r="E136" s="55"/>
      <c r="F136" s="55"/>
      <c r="G136" s="55"/>
      <c r="H136" s="55"/>
    </row>
    <row r="137" spans="1:9" x14ac:dyDescent="0.25">
      <c r="A137" s="1"/>
      <c r="B137" s="101" t="s">
        <v>70</v>
      </c>
      <c r="C137" s="141" t="s">
        <v>71</v>
      </c>
      <c r="D137" s="151"/>
      <c r="E137" s="55"/>
      <c r="F137" s="55"/>
      <c r="G137" s="55"/>
      <c r="H137" s="55"/>
    </row>
    <row r="138" spans="1:9" x14ac:dyDescent="0.25">
      <c r="B138" s="101"/>
      <c r="C138" s="141" t="s">
        <v>799</v>
      </c>
      <c r="D138" s="151"/>
      <c r="E138" s="55"/>
      <c r="F138" s="55"/>
      <c r="G138" s="55"/>
      <c r="H138" s="55"/>
    </row>
    <row r="139" spans="1:9" x14ac:dyDescent="0.25">
      <c r="B139" s="22" t="s">
        <v>72</v>
      </c>
      <c r="C139" s="139">
        <v>4</v>
      </c>
      <c r="D139" s="151"/>
      <c r="E139" s="55"/>
      <c r="F139" s="55"/>
      <c r="G139" s="55"/>
      <c r="H139" s="55"/>
    </row>
    <row r="140" spans="1:9" x14ac:dyDescent="0.25">
      <c r="B140" s="101" t="s">
        <v>73</v>
      </c>
      <c r="C140" s="297">
        <v>5</v>
      </c>
      <c r="D140" s="152"/>
      <c r="E140" s="153"/>
      <c r="F140" s="153"/>
      <c r="G140" s="153"/>
      <c r="H140" s="153"/>
    </row>
    <row r="141" spans="1:9" x14ac:dyDescent="0.25">
      <c r="B141" s="102" t="s">
        <v>800</v>
      </c>
      <c r="C141" s="103"/>
      <c r="D141" s="103"/>
      <c r="E141" s="103"/>
      <c r="F141" s="103"/>
      <c r="G141" s="103"/>
      <c r="H141" s="137"/>
    </row>
    <row r="142" spans="1:9" x14ac:dyDescent="0.25">
      <c r="B142" s="101" t="s">
        <v>76</v>
      </c>
      <c r="C142" s="141"/>
      <c r="D142" s="163" t="s">
        <v>77</v>
      </c>
      <c r="E142" s="163" t="s">
        <v>801</v>
      </c>
      <c r="F142" s="163" t="s">
        <v>802</v>
      </c>
      <c r="G142" s="145"/>
      <c r="H142" s="146"/>
    </row>
    <row r="143" spans="1:9" x14ac:dyDescent="0.25">
      <c r="B143" s="101"/>
      <c r="C143" s="141" t="s">
        <v>803</v>
      </c>
      <c r="D143" s="163">
        <v>0.03</v>
      </c>
      <c r="E143" s="141">
        <v>0.06</v>
      </c>
      <c r="F143" s="141">
        <v>0</v>
      </c>
      <c r="G143" s="324"/>
      <c r="H143" s="146"/>
    </row>
    <row r="144" spans="1:9" x14ac:dyDescent="0.25">
      <c r="B144" s="101"/>
      <c r="C144" s="141" t="s">
        <v>804</v>
      </c>
      <c r="D144" s="163">
        <v>300</v>
      </c>
      <c r="E144" s="141">
        <v>200</v>
      </c>
      <c r="F144" s="141">
        <v>0</v>
      </c>
      <c r="G144" s="324"/>
      <c r="H144" s="146"/>
    </row>
    <row r="145" spans="2:8" x14ac:dyDescent="0.25">
      <c r="B145" s="101"/>
      <c r="C145" s="141" t="s">
        <v>805</v>
      </c>
      <c r="D145" s="163">
        <v>1000</v>
      </c>
      <c r="E145" s="141">
        <v>500</v>
      </c>
      <c r="F145" s="141">
        <v>0</v>
      </c>
      <c r="G145" s="324"/>
      <c r="H145" s="146"/>
    </row>
    <row r="146" spans="2:8" x14ac:dyDescent="0.25">
      <c r="B146" s="101"/>
      <c r="C146" s="141" t="s">
        <v>806</v>
      </c>
      <c r="D146" s="163">
        <v>850000</v>
      </c>
      <c r="E146" s="141">
        <v>200000</v>
      </c>
      <c r="F146" s="141">
        <v>0</v>
      </c>
      <c r="G146" s="324"/>
      <c r="H146" s="146"/>
    </row>
    <row r="147" spans="2:8" x14ac:dyDescent="0.25">
      <c r="B147" s="101"/>
      <c r="C147" s="142" t="s">
        <v>807</v>
      </c>
      <c r="D147" s="163">
        <v>900</v>
      </c>
      <c r="E147" s="141">
        <v>625</v>
      </c>
      <c r="F147" s="141">
        <v>0</v>
      </c>
      <c r="G147" s="324"/>
      <c r="H147" s="146"/>
    </row>
    <row r="148" spans="2:8" x14ac:dyDescent="0.25">
      <c r="B148" s="101"/>
      <c r="C148" s="142" t="s">
        <v>808</v>
      </c>
      <c r="D148" s="163">
        <v>0.35</v>
      </c>
      <c r="E148" s="141">
        <v>0.4</v>
      </c>
      <c r="F148" s="141">
        <v>0</v>
      </c>
      <c r="G148" s="324"/>
      <c r="H148" s="146"/>
    </row>
    <row r="149" spans="2:8" x14ac:dyDescent="0.25">
      <c r="B149" s="101"/>
      <c r="C149" s="142" t="s">
        <v>809</v>
      </c>
      <c r="D149" s="163">
        <v>90</v>
      </c>
      <c r="E149" s="141">
        <v>50</v>
      </c>
      <c r="F149" s="141">
        <v>0</v>
      </c>
      <c r="G149" s="324"/>
      <c r="H149" s="146"/>
    </row>
    <row r="150" spans="2:8" x14ac:dyDescent="0.25">
      <c r="B150" s="101"/>
      <c r="C150" s="142" t="s">
        <v>810</v>
      </c>
      <c r="D150" s="163">
        <v>220</v>
      </c>
      <c r="E150" s="141">
        <v>132</v>
      </c>
      <c r="F150" s="141">
        <v>0</v>
      </c>
      <c r="G150" s="324"/>
      <c r="H150" s="146"/>
    </row>
    <row r="151" spans="2:8" x14ac:dyDescent="0.25">
      <c r="B151" s="101"/>
      <c r="C151" s="157" t="s">
        <v>811</v>
      </c>
      <c r="D151" s="141" t="s">
        <v>812</v>
      </c>
      <c r="E151" s="141" t="s">
        <v>812</v>
      </c>
      <c r="F151" s="141" t="s">
        <v>812</v>
      </c>
      <c r="G151" s="55"/>
      <c r="H151" s="146"/>
    </row>
    <row r="152" spans="2:8" x14ac:dyDescent="0.25">
      <c r="B152" s="22" t="s">
        <v>813</v>
      </c>
      <c r="C152" s="123">
        <v>0</v>
      </c>
      <c r="D152" s="145"/>
      <c r="E152" s="145"/>
      <c r="F152" s="145"/>
      <c r="G152" s="145"/>
      <c r="H152" s="146"/>
    </row>
    <row r="153" spans="2:8" x14ac:dyDescent="0.25">
      <c r="B153" s="101" t="s">
        <v>96</v>
      </c>
      <c r="C153" s="296">
        <v>0</v>
      </c>
      <c r="D153" s="145"/>
      <c r="E153" s="145"/>
      <c r="F153" s="145"/>
      <c r="G153" s="145"/>
      <c r="H153" s="146"/>
    </row>
    <row r="154" spans="2:8" x14ac:dyDescent="0.25">
      <c r="B154" s="164" t="s">
        <v>98</v>
      </c>
      <c r="C154" s="105"/>
      <c r="D154" s="140" t="s">
        <v>99</v>
      </c>
      <c r="E154" s="104" t="s">
        <v>814</v>
      </c>
      <c r="F154" s="104" t="s">
        <v>815</v>
      </c>
      <c r="G154" s="104" t="s">
        <v>816</v>
      </c>
      <c r="H154" s="104" t="s">
        <v>802</v>
      </c>
    </row>
    <row r="155" spans="2:8" x14ac:dyDescent="0.25">
      <c r="B155" s="22"/>
      <c r="C155" s="105" t="s">
        <v>803</v>
      </c>
      <c r="D155" s="140">
        <v>0.128</v>
      </c>
      <c r="E155" s="104">
        <v>0.04</v>
      </c>
      <c r="F155" s="104">
        <v>0.04</v>
      </c>
      <c r="G155" s="104">
        <v>0.06</v>
      </c>
      <c r="H155" s="104">
        <v>0</v>
      </c>
    </row>
    <row r="156" spans="2:8" x14ac:dyDescent="0.25">
      <c r="B156" s="22"/>
      <c r="C156" s="105" t="s">
        <v>804</v>
      </c>
      <c r="D156" s="140">
        <v>163</v>
      </c>
      <c r="E156" s="104">
        <v>300</v>
      </c>
      <c r="F156" s="104">
        <v>300</v>
      </c>
      <c r="G156" s="104">
        <v>225</v>
      </c>
      <c r="H156" s="104">
        <v>0</v>
      </c>
    </row>
    <row r="157" spans="2:8" x14ac:dyDescent="0.25">
      <c r="B157" s="22"/>
      <c r="C157" s="105" t="s">
        <v>805</v>
      </c>
      <c r="D157" s="140">
        <v>185</v>
      </c>
      <c r="E157" s="104">
        <v>630</v>
      </c>
      <c r="F157" s="104">
        <v>630</v>
      </c>
      <c r="G157" s="104">
        <v>400</v>
      </c>
      <c r="H157" s="104">
        <v>0</v>
      </c>
    </row>
    <row r="158" spans="2:8" x14ac:dyDescent="0.25">
      <c r="B158" s="22"/>
      <c r="C158" s="105" t="s">
        <v>806</v>
      </c>
      <c r="D158" s="140">
        <v>200000</v>
      </c>
      <c r="E158" s="104">
        <v>400000</v>
      </c>
      <c r="F158" s="104">
        <v>450000</v>
      </c>
      <c r="G158" s="104">
        <v>300000</v>
      </c>
      <c r="H158" s="104">
        <v>0</v>
      </c>
    </row>
    <row r="159" spans="2:8" x14ac:dyDescent="0.25">
      <c r="B159" s="22"/>
      <c r="C159" s="105" t="s">
        <v>807</v>
      </c>
      <c r="D159" s="140">
        <v>445</v>
      </c>
      <c r="E159" s="104">
        <v>775</v>
      </c>
      <c r="F159" s="104">
        <v>700</v>
      </c>
      <c r="G159" s="104">
        <v>600</v>
      </c>
      <c r="H159" s="104">
        <v>0</v>
      </c>
    </row>
    <row r="160" spans="2:8" x14ac:dyDescent="0.25">
      <c r="B160" s="22"/>
      <c r="C160" s="105" t="s">
        <v>808</v>
      </c>
      <c r="D160" s="140">
        <v>0.443</v>
      </c>
      <c r="E160" s="104">
        <v>0.35</v>
      </c>
      <c r="F160" s="104">
        <v>0.35</v>
      </c>
      <c r="G160" s="104">
        <v>0.375</v>
      </c>
      <c r="H160" s="104">
        <v>0</v>
      </c>
    </row>
    <row r="161" spans="2:9" x14ac:dyDescent="0.25">
      <c r="B161" s="22"/>
      <c r="C161" s="105" t="s">
        <v>809</v>
      </c>
      <c r="D161" s="140">
        <v>26.1</v>
      </c>
      <c r="E161" s="104">
        <v>42.5</v>
      </c>
      <c r="F161" s="104">
        <v>42.5</v>
      </c>
      <c r="G161" s="104">
        <v>35</v>
      </c>
      <c r="H161" s="104">
        <v>0</v>
      </c>
    </row>
    <row r="162" spans="2:9" x14ac:dyDescent="0.25">
      <c r="B162" s="22"/>
      <c r="C162" s="105" t="s">
        <v>810</v>
      </c>
      <c r="D162" s="140">
        <v>66</v>
      </c>
      <c r="E162" s="104">
        <v>66</v>
      </c>
      <c r="F162" s="104">
        <v>33</v>
      </c>
      <c r="G162" s="104">
        <v>33</v>
      </c>
      <c r="H162" s="104">
        <v>0</v>
      </c>
    </row>
    <row r="163" spans="2:9" x14ac:dyDescent="0.25">
      <c r="B163" s="22"/>
      <c r="C163" s="105" t="s">
        <v>811</v>
      </c>
      <c r="D163" s="140" t="s">
        <v>817</v>
      </c>
      <c r="E163" s="104" t="s">
        <v>817</v>
      </c>
      <c r="F163" s="104" t="s">
        <v>817</v>
      </c>
      <c r="G163" s="104" t="s">
        <v>817</v>
      </c>
      <c r="H163" s="104" t="s">
        <v>817</v>
      </c>
    </row>
    <row r="164" spans="2:9" x14ac:dyDescent="0.25">
      <c r="B164" s="164" t="s">
        <v>101</v>
      </c>
      <c r="C164" s="105"/>
      <c r="D164" s="104" t="s">
        <v>814</v>
      </c>
      <c r="E164" s="104" t="s">
        <v>815</v>
      </c>
      <c r="F164" s="104" t="s">
        <v>102</v>
      </c>
      <c r="G164" s="104" t="s">
        <v>802</v>
      </c>
    </row>
    <row r="165" spans="2:9" x14ac:dyDescent="0.25">
      <c r="B165" s="22"/>
      <c r="C165" s="105" t="s">
        <v>803</v>
      </c>
      <c r="D165" s="104">
        <v>0.04</v>
      </c>
      <c r="E165" s="104">
        <v>0.04</v>
      </c>
      <c r="F165" s="104" t="s">
        <v>818</v>
      </c>
      <c r="G165" s="104">
        <v>0</v>
      </c>
    </row>
    <row r="166" spans="2:9" x14ac:dyDescent="0.25">
      <c r="B166" s="22"/>
      <c r="C166" s="105" t="s">
        <v>804</v>
      </c>
      <c r="D166" s="104">
        <v>300</v>
      </c>
      <c r="E166" s="104">
        <v>300</v>
      </c>
      <c r="F166" s="104" t="s">
        <v>818</v>
      </c>
      <c r="G166" s="104">
        <v>0</v>
      </c>
    </row>
    <row r="167" spans="2:9" x14ac:dyDescent="0.25">
      <c r="B167" s="22"/>
      <c r="C167" s="105" t="s">
        <v>805</v>
      </c>
      <c r="D167" s="104">
        <v>630</v>
      </c>
      <c r="E167" s="104">
        <v>630</v>
      </c>
      <c r="F167" s="104" t="s">
        <v>818</v>
      </c>
      <c r="G167" s="104">
        <v>0</v>
      </c>
    </row>
    <row r="168" spans="2:9" x14ac:dyDescent="0.25">
      <c r="B168" s="22"/>
      <c r="C168" s="105" t="s">
        <v>806</v>
      </c>
      <c r="D168" s="104">
        <v>400000</v>
      </c>
      <c r="E168" s="104">
        <v>450000</v>
      </c>
      <c r="F168" s="104" t="s">
        <v>818</v>
      </c>
      <c r="G168" s="104">
        <v>0</v>
      </c>
    </row>
    <row r="169" spans="2:9" x14ac:dyDescent="0.25">
      <c r="B169" s="22"/>
      <c r="C169" s="105" t="s">
        <v>807</v>
      </c>
      <c r="D169" s="104">
        <v>775</v>
      </c>
      <c r="E169" s="104">
        <v>700</v>
      </c>
      <c r="F169" s="104" t="s">
        <v>818</v>
      </c>
      <c r="G169" s="104">
        <v>0</v>
      </c>
    </row>
    <row r="170" spans="2:9" x14ac:dyDescent="0.25">
      <c r="B170" s="22"/>
      <c r="C170" s="105" t="s">
        <v>808</v>
      </c>
      <c r="D170" s="104">
        <v>0.35</v>
      </c>
      <c r="E170" s="104">
        <v>0.35</v>
      </c>
      <c r="F170" s="104" t="s">
        <v>818</v>
      </c>
      <c r="G170" s="104">
        <v>0</v>
      </c>
    </row>
    <row r="171" spans="2:9" x14ac:dyDescent="0.25">
      <c r="B171" s="22"/>
      <c r="C171" s="105" t="s">
        <v>809</v>
      </c>
      <c r="D171" s="104">
        <v>42.5</v>
      </c>
      <c r="E171" s="104">
        <v>42.5</v>
      </c>
      <c r="F171" s="104" t="s">
        <v>818</v>
      </c>
      <c r="G171" s="104">
        <v>0</v>
      </c>
    </row>
    <row r="172" spans="2:9" x14ac:dyDescent="0.25">
      <c r="B172" s="22"/>
      <c r="C172" s="105" t="s">
        <v>810</v>
      </c>
      <c r="D172" s="104">
        <v>66</v>
      </c>
      <c r="E172" s="104">
        <v>33</v>
      </c>
      <c r="F172" s="104" t="s">
        <v>818</v>
      </c>
      <c r="G172" s="104">
        <v>0</v>
      </c>
    </row>
    <row r="173" spans="2:9" x14ac:dyDescent="0.25">
      <c r="B173" s="22"/>
      <c r="C173" s="105" t="s">
        <v>811</v>
      </c>
      <c r="D173" s="104" t="s">
        <v>817</v>
      </c>
      <c r="E173" s="104" t="s">
        <v>817</v>
      </c>
      <c r="F173" s="104" t="s">
        <v>817</v>
      </c>
      <c r="G173" s="104" t="s">
        <v>817</v>
      </c>
    </row>
    <row r="174" spans="2:9" x14ac:dyDescent="0.25">
      <c r="B174" s="101" t="s">
        <v>112</v>
      </c>
      <c r="C174" s="141"/>
      <c r="D174" s="141" t="s">
        <v>819</v>
      </c>
      <c r="E174" s="141" t="s">
        <v>113</v>
      </c>
      <c r="F174" s="141" t="s">
        <v>820</v>
      </c>
      <c r="G174" s="141" t="s">
        <v>821</v>
      </c>
      <c r="H174" s="141" t="s">
        <v>116</v>
      </c>
      <c r="I174" s="55"/>
    </row>
    <row r="175" spans="2:9" x14ac:dyDescent="0.25">
      <c r="B175" s="101"/>
      <c r="C175" s="141" t="s">
        <v>822</v>
      </c>
      <c r="D175" s="141">
        <v>1</v>
      </c>
      <c r="E175" s="141">
        <v>1</v>
      </c>
      <c r="F175" s="141">
        <v>1</v>
      </c>
      <c r="G175" s="141">
        <v>1</v>
      </c>
      <c r="H175" s="141">
        <v>1</v>
      </c>
      <c r="I175" s="55"/>
    </row>
    <row r="176" spans="2:9" x14ac:dyDescent="0.25">
      <c r="B176" s="278"/>
      <c r="C176" s="141" t="s">
        <v>823</v>
      </c>
      <c r="D176" s="141">
        <v>180000</v>
      </c>
      <c r="E176" s="141">
        <v>500000</v>
      </c>
      <c r="F176" s="141">
        <v>75000</v>
      </c>
      <c r="G176" s="141">
        <v>120000</v>
      </c>
      <c r="H176" s="141">
        <v>120000</v>
      </c>
      <c r="I176" s="55"/>
    </row>
    <row r="177" spans="2:9" x14ac:dyDescent="0.25">
      <c r="B177" s="22" t="s">
        <v>117</v>
      </c>
      <c r="C177" s="105"/>
      <c r="D177" s="105" t="s">
        <v>118</v>
      </c>
      <c r="E177" s="105" t="s">
        <v>119</v>
      </c>
      <c r="F177" s="264"/>
      <c r="G177" s="264"/>
      <c r="H177" s="276"/>
      <c r="I177" s="1"/>
    </row>
    <row r="178" spans="2:9" x14ac:dyDescent="0.25">
      <c r="B178" s="22"/>
      <c r="C178" s="105" t="s">
        <v>822</v>
      </c>
      <c r="D178" s="105">
        <v>1</v>
      </c>
      <c r="E178" s="105">
        <v>1</v>
      </c>
      <c r="F178" s="264"/>
      <c r="G178" s="264"/>
      <c r="H178" s="276"/>
      <c r="I178" s="1"/>
    </row>
    <row r="179" spans="2:9" x14ac:dyDescent="0.25">
      <c r="B179" s="22"/>
      <c r="C179" s="105" t="s">
        <v>823</v>
      </c>
      <c r="D179" s="105">
        <v>100000</v>
      </c>
      <c r="E179" s="105">
        <v>30000</v>
      </c>
      <c r="F179" s="264"/>
      <c r="G179" s="264"/>
      <c r="H179" s="276"/>
    </row>
    <row r="180" spans="2:9" x14ac:dyDescent="0.25">
      <c r="B180" s="22"/>
      <c r="C180" s="105" t="s">
        <v>120</v>
      </c>
      <c r="D180" s="105">
        <v>1</v>
      </c>
      <c r="E180" s="105"/>
      <c r="F180" s="264"/>
      <c r="G180" s="264"/>
      <c r="H180" s="276"/>
    </row>
    <row r="181" spans="2:9" x14ac:dyDescent="0.25">
      <c r="B181" s="101" t="s">
        <v>121</v>
      </c>
      <c r="C181" s="141"/>
      <c r="D181" s="141" t="s">
        <v>824</v>
      </c>
      <c r="E181" s="141" t="s">
        <v>113</v>
      </c>
      <c r="F181" s="141" t="s">
        <v>825</v>
      </c>
      <c r="G181" s="141" t="s">
        <v>826</v>
      </c>
      <c r="H181" s="276"/>
    </row>
    <row r="182" spans="2:9" x14ac:dyDescent="0.25">
      <c r="B182" s="101"/>
      <c r="C182" s="141" t="s">
        <v>822</v>
      </c>
      <c r="D182" s="141">
        <v>1</v>
      </c>
      <c r="E182" s="141">
        <v>1</v>
      </c>
      <c r="F182" s="141">
        <v>1</v>
      </c>
      <c r="G182" s="141">
        <v>1</v>
      </c>
      <c r="H182" s="276"/>
    </row>
    <row r="183" spans="2:9" x14ac:dyDescent="0.25">
      <c r="B183" s="101"/>
      <c r="C183" s="141" t="s">
        <v>823</v>
      </c>
      <c r="D183" s="141">
        <v>500000</v>
      </c>
      <c r="E183" s="141">
        <v>500000</v>
      </c>
      <c r="F183" s="141">
        <v>120000</v>
      </c>
      <c r="G183" s="141">
        <v>120000</v>
      </c>
      <c r="H183" s="276"/>
    </row>
    <row r="184" spans="2:9" x14ac:dyDescent="0.25">
      <c r="B184" s="22" t="s">
        <v>122</v>
      </c>
      <c r="C184" s="105"/>
      <c r="D184" s="105" t="s">
        <v>123</v>
      </c>
      <c r="E184" s="105" t="s">
        <v>125</v>
      </c>
      <c r="F184" s="264"/>
      <c r="G184" s="264"/>
      <c r="H184" s="276"/>
    </row>
    <row r="185" spans="2:9" x14ac:dyDescent="0.25">
      <c r="B185" s="22"/>
      <c r="C185" s="105" t="s">
        <v>822</v>
      </c>
      <c r="D185" s="105">
        <v>1</v>
      </c>
      <c r="E185" s="105">
        <v>1</v>
      </c>
      <c r="F185" s="264"/>
      <c r="G185" s="264"/>
      <c r="H185" s="276"/>
    </row>
    <row r="186" spans="2:9" x14ac:dyDescent="0.25">
      <c r="B186" s="44"/>
      <c r="C186" s="105" t="s">
        <v>823</v>
      </c>
      <c r="D186" s="105">
        <v>120000</v>
      </c>
      <c r="E186" s="105">
        <v>120000</v>
      </c>
      <c r="F186" s="263"/>
      <c r="G186" s="263"/>
      <c r="H186" s="277"/>
    </row>
    <row r="187" spans="2:9" x14ac:dyDescent="0.25">
      <c r="B187" s="160" t="s">
        <v>104</v>
      </c>
      <c r="C187" s="158">
        <v>1</v>
      </c>
    </row>
  </sheetData>
  <sheetProtection algorithmName="SHA-512" hashValue="/FXWYcGszKqGrpi9YQfRh+aMQZw6Fz5CT+z6mmVuvYko8wbTZce7q1vgc8HXTNhTL99TlBJlmH/tXUDknPEowQ==" saltValue="AZapI25msKcAVr0pomkhdg==" spinCount="100000" sheet="1" objects="1" scenarios="1"/>
  <sortState xmlns:xlrd2="http://schemas.microsoft.com/office/spreadsheetml/2017/richdata2" ref="C90:E126">
    <sortCondition ref="C90:C126"/>
  </sortState>
  <mergeCells count="3">
    <mergeCell ref="B5:J5"/>
    <mergeCell ref="B8:J8"/>
    <mergeCell ref="B11:J11"/>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CC1A6-8B7C-4F7F-BBEE-281D0EC31420}">
  <sheetPr codeName="Sheet12">
    <tabColor theme="0" tint="-0.249977111117893"/>
  </sheetPr>
  <dimension ref="A1:AK356"/>
  <sheetViews>
    <sheetView showGridLines="0" zoomScaleNormal="100" workbookViewId="0">
      <selection activeCell="M22" sqref="M22"/>
    </sheetView>
  </sheetViews>
  <sheetFormatPr defaultColWidth="8.85546875" defaultRowHeight="15" x14ac:dyDescent="0.25"/>
  <cols>
    <col min="2" max="2" width="67.28515625" customWidth="1"/>
    <col min="3" max="3" width="25" customWidth="1"/>
    <col min="4" max="4" width="38.140625" customWidth="1"/>
    <col min="5" max="5" width="20.7109375" customWidth="1"/>
    <col min="6" max="6" width="29" customWidth="1"/>
    <col min="7" max="7" width="37.7109375" customWidth="1"/>
    <col min="8" max="8" width="43.140625" customWidth="1"/>
    <col min="9" max="9" width="10.42578125" customWidth="1"/>
    <col min="10" max="10" width="1.140625" customWidth="1"/>
    <col min="11" max="11" width="3.140625" customWidth="1"/>
    <col min="20" max="20" width="12" customWidth="1"/>
    <col min="21" max="22" width="9.140625" customWidth="1"/>
    <col min="23" max="23" width="12.42578125" customWidth="1"/>
  </cols>
  <sheetData>
    <row r="1" spans="1:37" ht="40.5" customHeight="1" x14ac:dyDescent="0.25">
      <c r="A1" s="850" t="s">
        <v>0</v>
      </c>
      <c r="B1" s="850"/>
      <c r="C1" s="850"/>
      <c r="D1" s="850"/>
      <c r="E1" s="850"/>
      <c r="F1" s="850"/>
      <c r="G1" s="850"/>
      <c r="H1" s="850"/>
      <c r="I1" s="850"/>
      <c r="J1" s="850"/>
      <c r="K1" s="850"/>
      <c r="L1" s="850"/>
      <c r="M1" s="850"/>
      <c r="N1" s="850"/>
      <c r="O1" s="850"/>
      <c r="P1" s="850"/>
      <c r="Q1" s="850"/>
      <c r="R1" s="850"/>
      <c r="S1" s="850"/>
      <c r="T1" s="850"/>
      <c r="U1" s="850"/>
      <c r="V1" s="850"/>
      <c r="W1" s="850"/>
      <c r="X1" s="850"/>
      <c r="Y1" s="850"/>
      <c r="Z1" s="850"/>
      <c r="AA1" s="850"/>
      <c r="AB1" s="850"/>
      <c r="AC1" s="850"/>
      <c r="AD1" s="850"/>
      <c r="AE1" s="850"/>
      <c r="AF1" s="850"/>
      <c r="AG1" s="850"/>
      <c r="AH1" s="850"/>
      <c r="AI1" s="850"/>
      <c r="AJ1" s="850"/>
      <c r="AK1" s="850"/>
    </row>
    <row r="2" spans="1:37" ht="30.75" customHeight="1" x14ac:dyDescent="0.25">
      <c r="A2" s="851" t="s">
        <v>1</v>
      </c>
      <c r="B2" s="851"/>
      <c r="C2" s="851"/>
      <c r="D2" s="851"/>
      <c r="E2" s="851"/>
      <c r="F2" s="851"/>
      <c r="G2" s="851"/>
      <c r="H2" s="851"/>
      <c r="I2" s="851"/>
      <c r="J2" s="851"/>
      <c r="K2" s="851"/>
      <c r="L2" s="851"/>
      <c r="M2" s="851"/>
      <c r="N2" s="851"/>
      <c r="O2" s="851"/>
      <c r="P2" s="851"/>
      <c r="Q2" s="851"/>
      <c r="R2" s="851"/>
      <c r="S2" s="851"/>
      <c r="T2" s="851"/>
      <c r="U2" s="851"/>
      <c r="V2" s="851"/>
      <c r="W2" s="851"/>
      <c r="X2" s="851"/>
      <c r="Y2" s="851"/>
      <c r="Z2" s="851"/>
      <c r="AA2" s="851"/>
      <c r="AB2" s="851"/>
      <c r="AC2" s="851"/>
      <c r="AD2" s="851"/>
      <c r="AE2" s="851"/>
      <c r="AF2" s="851"/>
      <c r="AG2" s="851"/>
      <c r="AH2" s="851"/>
      <c r="AI2" s="851"/>
      <c r="AJ2" s="851"/>
      <c r="AK2" s="851"/>
    </row>
    <row r="3" spans="1:37" ht="20.25" customHeight="1" x14ac:dyDescent="0.25">
      <c r="A3" s="852" t="s">
        <v>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row>
    <row r="4" spans="1:37" ht="15" customHeight="1" x14ac:dyDescent="0.25">
      <c r="A4" s="171"/>
    </row>
    <row r="5" spans="1:37" ht="27" customHeight="1" x14ac:dyDescent="0.25">
      <c r="B5" s="910" t="s">
        <v>827</v>
      </c>
      <c r="C5" s="911"/>
      <c r="D5" s="911"/>
      <c r="E5" s="911"/>
      <c r="F5" s="911"/>
      <c r="G5" s="911"/>
      <c r="H5" s="911"/>
      <c r="I5" s="911"/>
      <c r="J5" s="911"/>
      <c r="K5" s="912"/>
    </row>
    <row r="6" spans="1:37" ht="15" customHeight="1" x14ac:dyDescent="0.35">
      <c r="B6" s="172"/>
    </row>
    <row r="7" spans="1:37" x14ac:dyDescent="0.25">
      <c r="B7" s="173" t="s">
        <v>448</v>
      </c>
    </row>
    <row r="8" spans="1:37" ht="81.75" customHeight="1" x14ac:dyDescent="0.25">
      <c r="B8" s="913" t="s">
        <v>449</v>
      </c>
      <c r="C8" s="914"/>
      <c r="D8" s="914"/>
      <c r="E8" s="914"/>
      <c r="F8" s="914"/>
      <c r="G8" s="914"/>
      <c r="H8" s="914"/>
      <c r="I8" s="914"/>
      <c r="J8" s="914"/>
      <c r="K8" s="915"/>
    </row>
    <row r="10" spans="1:37" x14ac:dyDescent="0.25">
      <c r="B10" s="54" t="s">
        <v>450</v>
      </c>
    </row>
    <row r="11" spans="1:37" ht="43.5" customHeight="1" x14ac:dyDescent="0.25">
      <c r="B11" s="855" t="s">
        <v>1069</v>
      </c>
      <c r="C11" s="121"/>
      <c r="D11" s="121"/>
      <c r="E11" s="121"/>
      <c r="F11" s="121"/>
      <c r="G11" s="121"/>
      <c r="H11" s="121"/>
      <c r="I11" s="121"/>
      <c r="J11" s="121"/>
      <c r="K11" s="122"/>
    </row>
    <row r="12" spans="1:37" ht="15" customHeight="1" x14ac:dyDescent="0.25">
      <c r="B12" s="280" t="s">
        <v>828</v>
      </c>
      <c r="C12" s="859"/>
      <c r="D12" s="859"/>
      <c r="E12" s="859"/>
      <c r="F12" s="859"/>
      <c r="G12" s="859"/>
      <c r="H12" s="859"/>
      <c r="I12" s="859"/>
      <c r="J12" s="859"/>
      <c r="K12" s="859"/>
      <c r="L12" s="1"/>
    </row>
    <row r="13" spans="1:37" ht="15" customHeight="1" x14ac:dyDescent="0.25">
      <c r="B13" s="281" t="s">
        <v>829</v>
      </c>
      <c r="C13" s="859"/>
      <c r="D13" s="859"/>
      <c r="E13" s="859"/>
      <c r="F13" s="859"/>
      <c r="G13" s="859"/>
      <c r="H13" s="859"/>
      <c r="I13" s="859"/>
      <c r="J13" s="859"/>
      <c r="K13" s="859"/>
      <c r="L13" s="1"/>
    </row>
    <row r="14" spans="1:37" ht="15" customHeight="1" x14ac:dyDescent="0.25">
      <c r="B14" s="282" t="s">
        <v>830</v>
      </c>
      <c r="C14" s="859"/>
      <c r="D14" s="859"/>
      <c r="E14" s="859"/>
      <c r="F14" s="859"/>
      <c r="G14" s="859"/>
      <c r="H14" s="859"/>
      <c r="I14" s="859"/>
      <c r="J14" s="859"/>
      <c r="K14" s="859"/>
      <c r="L14" s="1"/>
    </row>
    <row r="16" spans="1:37" x14ac:dyDescent="0.25">
      <c r="B16" s="102" t="s">
        <v>831</v>
      </c>
      <c r="C16" s="102" t="s">
        <v>832</v>
      </c>
      <c r="D16" s="102" t="s">
        <v>131</v>
      </c>
      <c r="E16" s="102" t="s">
        <v>833</v>
      </c>
      <c r="F16" s="102" t="s">
        <v>10</v>
      </c>
      <c r="G16" s="102" t="s">
        <v>834</v>
      </c>
      <c r="H16" s="102" t="s">
        <v>835</v>
      </c>
      <c r="I16" s="102" t="s">
        <v>836</v>
      </c>
    </row>
    <row r="17" spans="2:9" x14ac:dyDescent="0.25">
      <c r="B17" s="107" t="s">
        <v>837</v>
      </c>
      <c r="C17" s="107"/>
      <c r="D17" s="107" t="s">
        <v>838</v>
      </c>
      <c r="E17" s="108">
        <f>'Project Data - Step 1'!D24</f>
        <v>900</v>
      </c>
      <c r="F17" s="107" t="s">
        <v>28</v>
      </c>
      <c r="G17" s="108" t="s">
        <v>26</v>
      </c>
      <c r="H17" s="108" t="s">
        <v>27</v>
      </c>
      <c r="I17" s="109" t="s">
        <v>506</v>
      </c>
    </row>
    <row r="18" spans="2:9" x14ac:dyDescent="0.25">
      <c r="B18" s="107" t="s">
        <v>837</v>
      </c>
      <c r="C18" s="107"/>
      <c r="D18" s="107" t="s">
        <v>839</v>
      </c>
      <c r="E18" s="110" t="str">
        <f>'Project Data - Step 1'!D26</f>
        <v>Grid</v>
      </c>
      <c r="F18" s="107"/>
      <c r="G18" s="108" t="s">
        <v>26</v>
      </c>
      <c r="H18" s="108" t="s">
        <v>30</v>
      </c>
      <c r="I18" s="109" t="s">
        <v>506</v>
      </c>
    </row>
    <row r="19" spans="2:9" x14ac:dyDescent="0.25">
      <c r="B19" s="107" t="s">
        <v>837</v>
      </c>
      <c r="C19" s="107"/>
      <c r="D19" s="107" t="s">
        <v>840</v>
      </c>
      <c r="E19" s="111">
        <f>'Project Data - Step 1'!D25</f>
        <v>75</v>
      </c>
      <c r="F19" s="107"/>
      <c r="G19" s="108" t="s">
        <v>26</v>
      </c>
      <c r="H19" s="108" t="s">
        <v>31</v>
      </c>
      <c r="I19" s="109" t="s">
        <v>506</v>
      </c>
    </row>
    <row r="20" spans="2:9" x14ac:dyDescent="0.25">
      <c r="B20" s="107" t="s">
        <v>837</v>
      </c>
      <c r="C20" s="107"/>
      <c r="D20" s="107" t="s">
        <v>841</v>
      </c>
      <c r="E20" s="112">
        <f>'Project Data - Step 1'!D27</f>
        <v>7</v>
      </c>
      <c r="F20" s="107" t="s">
        <v>842</v>
      </c>
      <c r="G20" s="113" t="s">
        <v>26</v>
      </c>
      <c r="H20" s="113" t="s">
        <v>33</v>
      </c>
      <c r="I20" s="109" t="s">
        <v>506</v>
      </c>
    </row>
    <row r="21" spans="2:9" ht="15.95" customHeight="1" x14ac:dyDescent="0.25">
      <c r="B21" s="107" t="s">
        <v>837</v>
      </c>
      <c r="C21" s="107"/>
      <c r="D21" s="107" t="s">
        <v>843</v>
      </c>
      <c r="E21" s="112">
        <f>'Project Data - Step 1'!D48</f>
        <v>2</v>
      </c>
      <c r="F21" s="107" t="s">
        <v>60</v>
      </c>
      <c r="G21" s="113" t="s">
        <v>56</v>
      </c>
      <c r="H21" s="114" t="s">
        <v>61</v>
      </c>
      <c r="I21" s="109" t="s">
        <v>506</v>
      </c>
    </row>
    <row r="22" spans="2:9" x14ac:dyDescent="0.25">
      <c r="B22" s="107" t="s">
        <v>837</v>
      </c>
      <c r="C22" s="107"/>
      <c r="D22" s="107" t="s">
        <v>844</v>
      </c>
      <c r="E22" s="112">
        <f>'Project Data - Step 1'!D28</f>
        <v>7</v>
      </c>
      <c r="F22" s="107" t="s">
        <v>842</v>
      </c>
      <c r="G22" s="113" t="s">
        <v>26</v>
      </c>
      <c r="H22" s="113" t="s">
        <v>35</v>
      </c>
      <c r="I22" s="109" t="s">
        <v>506</v>
      </c>
    </row>
    <row r="23" spans="2:9" x14ac:dyDescent="0.25">
      <c r="B23" s="104" t="s">
        <v>845</v>
      </c>
      <c r="C23" s="104"/>
      <c r="D23" s="104" t="s">
        <v>846</v>
      </c>
      <c r="E23" s="111">
        <f>'Project Data - Step 1'!D46</f>
        <v>8.0133333333333301</v>
      </c>
      <c r="F23" s="104" t="s">
        <v>44</v>
      </c>
      <c r="G23" s="108" t="s">
        <v>56</v>
      </c>
      <c r="H23" s="108" t="s">
        <v>58</v>
      </c>
      <c r="I23" s="116" t="s">
        <v>506</v>
      </c>
    </row>
    <row r="24" spans="2:9" x14ac:dyDescent="0.25">
      <c r="B24" s="104" t="s">
        <v>845</v>
      </c>
      <c r="C24" s="104"/>
      <c r="D24" s="104" t="s">
        <v>847</v>
      </c>
      <c r="E24" s="111">
        <f>'Project Data - Step 1'!D45</f>
        <v>22.5</v>
      </c>
      <c r="F24" s="104" t="s">
        <v>41</v>
      </c>
      <c r="G24" s="108" t="s">
        <v>56</v>
      </c>
      <c r="H24" s="108" t="s">
        <v>57</v>
      </c>
      <c r="I24" s="116" t="s">
        <v>506</v>
      </c>
    </row>
    <row r="25" spans="2:9" x14ac:dyDescent="0.25">
      <c r="B25" s="104" t="s">
        <v>845</v>
      </c>
      <c r="C25" s="104"/>
      <c r="D25" s="104" t="s">
        <v>848</v>
      </c>
      <c r="E25" s="111">
        <f>'Project Data - Step 1'!D47</f>
        <v>40</v>
      </c>
      <c r="F25" s="104" t="s">
        <v>60</v>
      </c>
      <c r="G25" s="108" t="s">
        <v>56</v>
      </c>
      <c r="H25" s="108" t="s">
        <v>59</v>
      </c>
      <c r="I25" s="116" t="s">
        <v>506</v>
      </c>
    </row>
    <row r="26" spans="2:9" x14ac:dyDescent="0.25">
      <c r="B26" s="104" t="s">
        <v>845</v>
      </c>
      <c r="C26" s="104"/>
      <c r="D26" s="104" t="s">
        <v>849</v>
      </c>
      <c r="E26" s="112">
        <f>'Project Data - Step 1'!D49</f>
        <v>20</v>
      </c>
      <c r="F26" s="104" t="s">
        <v>60</v>
      </c>
      <c r="G26" s="113" t="s">
        <v>56</v>
      </c>
      <c r="H26" s="118" t="s">
        <v>62</v>
      </c>
      <c r="I26" s="116" t="s">
        <v>506</v>
      </c>
    </row>
    <row r="27" spans="2:9" x14ac:dyDescent="0.25">
      <c r="B27" s="107" t="s">
        <v>850</v>
      </c>
      <c r="C27" s="107"/>
      <c r="D27" s="107" t="s">
        <v>851</v>
      </c>
      <c r="E27" s="111">
        <f>'Project Data - Step 1'!D50</f>
        <v>10</v>
      </c>
      <c r="F27" s="107" t="s">
        <v>60</v>
      </c>
      <c r="G27" s="108" t="s">
        <v>56</v>
      </c>
      <c r="H27" s="108" t="s">
        <v>63</v>
      </c>
      <c r="I27" s="109"/>
    </row>
    <row r="28" spans="2:9" x14ac:dyDescent="0.25">
      <c r="B28" s="107" t="s">
        <v>850</v>
      </c>
      <c r="C28" s="107"/>
      <c r="D28" s="107" t="s">
        <v>852</v>
      </c>
      <c r="E28" s="112">
        <f>'Project Data - Step 1'!D51</f>
        <v>3</v>
      </c>
      <c r="F28" s="107" t="s">
        <v>60</v>
      </c>
      <c r="G28" s="113" t="s">
        <v>56</v>
      </c>
      <c r="H28" s="113" t="s">
        <v>64</v>
      </c>
      <c r="I28" s="109"/>
    </row>
    <row r="29" spans="2:9" x14ac:dyDescent="0.25">
      <c r="B29" s="104" t="s">
        <v>853</v>
      </c>
      <c r="C29" s="104"/>
      <c r="D29" s="104" t="s">
        <v>854</v>
      </c>
      <c r="E29" s="119">
        <v>44</v>
      </c>
      <c r="F29" s="104" t="s">
        <v>488</v>
      </c>
      <c r="G29" s="120" t="s">
        <v>855</v>
      </c>
      <c r="H29" s="120" t="s">
        <v>230</v>
      </c>
      <c r="I29" s="116"/>
    </row>
    <row r="30" spans="2:9" x14ac:dyDescent="0.25">
      <c r="B30" s="104" t="s">
        <v>853</v>
      </c>
      <c r="C30" s="104"/>
      <c r="D30" s="104" t="s">
        <v>856</v>
      </c>
      <c r="E30" s="119">
        <v>183</v>
      </c>
      <c r="F30" s="104" t="s">
        <v>488</v>
      </c>
      <c r="G30" s="120" t="s">
        <v>855</v>
      </c>
      <c r="H30" s="120" t="s">
        <v>231</v>
      </c>
      <c r="I30" s="116"/>
    </row>
    <row r="31" spans="2:9" x14ac:dyDescent="0.25">
      <c r="B31" s="104" t="s">
        <v>853</v>
      </c>
      <c r="C31" s="104"/>
      <c r="D31" s="104" t="s">
        <v>857</v>
      </c>
      <c r="E31" s="119">
        <v>44</v>
      </c>
      <c r="F31" s="104" t="s">
        <v>488</v>
      </c>
      <c r="G31" s="120" t="s">
        <v>855</v>
      </c>
      <c r="H31" s="120" t="s">
        <v>232</v>
      </c>
      <c r="I31" s="116"/>
    </row>
    <row r="32" spans="2:9" x14ac:dyDescent="0.25">
      <c r="B32" s="104" t="s">
        <v>853</v>
      </c>
      <c r="C32" s="104"/>
      <c r="D32" s="104" t="s">
        <v>858</v>
      </c>
      <c r="E32" s="119">
        <v>316</v>
      </c>
      <c r="F32" s="104" t="s">
        <v>488</v>
      </c>
      <c r="G32" s="120" t="s">
        <v>855</v>
      </c>
      <c r="H32" s="120" t="s">
        <v>233</v>
      </c>
      <c r="I32" s="116"/>
    </row>
    <row r="33" spans="2:9" x14ac:dyDescent="0.25">
      <c r="B33" s="104" t="s">
        <v>853</v>
      </c>
      <c r="C33" s="104"/>
      <c r="D33" s="104" t="s">
        <v>859</v>
      </c>
      <c r="E33" s="119">
        <v>58</v>
      </c>
      <c r="F33" s="104" t="s">
        <v>488</v>
      </c>
      <c r="G33" s="120" t="s">
        <v>855</v>
      </c>
      <c r="H33" s="120" t="s">
        <v>234</v>
      </c>
      <c r="I33" s="116"/>
    </row>
    <row r="34" spans="2:9" x14ac:dyDescent="0.25">
      <c r="B34" s="104" t="s">
        <v>853</v>
      </c>
      <c r="C34" s="104"/>
      <c r="D34" s="104" t="s">
        <v>860</v>
      </c>
      <c r="E34" s="115">
        <v>2.5000000000000001E-2</v>
      </c>
      <c r="F34" s="104" t="s">
        <v>177</v>
      </c>
      <c r="G34" s="104"/>
      <c r="H34" s="104"/>
      <c r="I34" s="116"/>
    </row>
    <row r="35" spans="2:9" x14ac:dyDescent="0.25">
      <c r="B35" s="104" t="s">
        <v>853</v>
      </c>
      <c r="C35" s="104"/>
      <c r="D35" s="104" t="s">
        <v>861</v>
      </c>
      <c r="E35" s="115">
        <v>0.4</v>
      </c>
      <c r="F35" s="104"/>
      <c r="G35" s="104"/>
      <c r="H35" s="104"/>
      <c r="I35" s="116"/>
    </row>
    <row r="36" spans="2:9" x14ac:dyDescent="0.25">
      <c r="B36" s="104" t="s">
        <v>853</v>
      </c>
      <c r="C36" s="104"/>
      <c r="D36" s="104" t="s">
        <v>862</v>
      </c>
      <c r="E36" s="115">
        <v>80</v>
      </c>
      <c r="F36" s="104" t="s">
        <v>863</v>
      </c>
      <c r="G36" s="104"/>
      <c r="H36" s="104"/>
      <c r="I36" s="116"/>
    </row>
    <row r="37" spans="2:9" x14ac:dyDescent="0.25">
      <c r="B37" s="104" t="s">
        <v>853</v>
      </c>
      <c r="C37" s="104"/>
      <c r="D37" s="104" t="s">
        <v>864</v>
      </c>
      <c r="E37" s="115">
        <v>150</v>
      </c>
      <c r="F37" s="104" t="s">
        <v>865</v>
      </c>
      <c r="G37" s="104"/>
      <c r="H37" s="104"/>
      <c r="I37" s="116"/>
    </row>
    <row r="38" spans="2:9" x14ac:dyDescent="0.25">
      <c r="B38" s="104" t="s">
        <v>853</v>
      </c>
      <c r="C38" s="104"/>
      <c r="D38" s="104" t="s">
        <v>866</v>
      </c>
      <c r="E38" s="115">
        <v>25</v>
      </c>
      <c r="F38" s="104" t="s">
        <v>488</v>
      </c>
      <c r="G38" s="104"/>
      <c r="H38" s="104"/>
      <c r="I38" s="116"/>
    </row>
    <row r="39" spans="2:9" x14ac:dyDescent="0.25">
      <c r="B39" s="104" t="s">
        <v>853</v>
      </c>
      <c r="C39" s="104"/>
      <c r="D39" s="104" t="s">
        <v>867</v>
      </c>
      <c r="E39" s="115">
        <v>0</v>
      </c>
      <c r="F39" s="104" t="s">
        <v>488</v>
      </c>
      <c r="G39" s="104"/>
      <c r="H39" s="104"/>
      <c r="I39" s="116"/>
    </row>
    <row r="40" spans="2:9" x14ac:dyDescent="0.25">
      <c r="B40" s="107" t="s">
        <v>868</v>
      </c>
      <c r="C40" s="107"/>
      <c r="D40" s="107" t="s">
        <v>869</v>
      </c>
      <c r="E40" s="111">
        <f>'Project Data - Step 1'!D32</f>
        <v>215</v>
      </c>
      <c r="F40" s="107" t="s">
        <v>41</v>
      </c>
      <c r="G40" s="108" t="s">
        <v>36</v>
      </c>
      <c r="H40" s="108" t="s">
        <v>778</v>
      </c>
      <c r="I40" s="109" t="s">
        <v>506</v>
      </c>
    </row>
    <row r="41" spans="2:9" x14ac:dyDescent="0.25">
      <c r="B41" s="107" t="s">
        <v>868</v>
      </c>
      <c r="C41" s="107"/>
      <c r="D41" s="107" t="s">
        <v>870</v>
      </c>
      <c r="E41" s="111">
        <f>'Project Data - Step 1'!D33</f>
        <v>132</v>
      </c>
      <c r="F41" s="107" t="s">
        <v>41</v>
      </c>
      <c r="G41" s="108" t="s">
        <v>36</v>
      </c>
      <c r="H41" s="108" t="s">
        <v>779</v>
      </c>
      <c r="I41" s="109" t="s">
        <v>506</v>
      </c>
    </row>
    <row r="42" spans="2:9" x14ac:dyDescent="0.25">
      <c r="B42" s="107" t="s">
        <v>868</v>
      </c>
      <c r="C42" s="107"/>
      <c r="D42" s="107" t="s">
        <v>871</v>
      </c>
      <c r="E42" s="111">
        <f>'Project Data - Step 1'!D34</f>
        <v>11</v>
      </c>
      <c r="F42" s="107" t="s">
        <v>44</v>
      </c>
      <c r="G42" s="108" t="s">
        <v>36</v>
      </c>
      <c r="H42" s="108" t="s">
        <v>780</v>
      </c>
      <c r="I42" s="109" t="s">
        <v>506</v>
      </c>
    </row>
    <row r="43" spans="2:9" x14ac:dyDescent="0.25">
      <c r="B43" s="107" t="s">
        <v>868</v>
      </c>
      <c r="C43" s="107"/>
      <c r="D43" s="107" t="s">
        <v>872</v>
      </c>
      <c r="E43" s="111">
        <f>'Project Data - Step 1'!D31</f>
        <v>12</v>
      </c>
      <c r="F43" s="107" t="s">
        <v>28</v>
      </c>
      <c r="G43" s="108" t="s">
        <v>36</v>
      </c>
      <c r="H43" s="108" t="s">
        <v>781</v>
      </c>
      <c r="I43" s="109" t="s">
        <v>506</v>
      </c>
    </row>
    <row r="44" spans="2:9" x14ac:dyDescent="0.25">
      <c r="B44" s="107" t="s">
        <v>868</v>
      </c>
      <c r="C44" s="107" t="s">
        <v>873</v>
      </c>
      <c r="D44" s="107" t="s">
        <v>874</v>
      </c>
      <c r="E44" s="112">
        <f>'Project Data - Step 1'!D35</f>
        <v>54</v>
      </c>
      <c r="F44" s="107" t="s">
        <v>46</v>
      </c>
      <c r="G44" s="113" t="s">
        <v>36</v>
      </c>
      <c r="H44" s="113" t="s">
        <v>782</v>
      </c>
      <c r="I44" s="109" t="s">
        <v>506</v>
      </c>
    </row>
    <row r="45" spans="2:9" x14ac:dyDescent="0.25">
      <c r="B45" s="107" t="s">
        <v>868</v>
      </c>
      <c r="C45" s="107" t="s">
        <v>873</v>
      </c>
      <c r="D45" s="107" t="s">
        <v>875</v>
      </c>
      <c r="E45" s="112">
        <f>'Project Data - Step 1'!D36</f>
        <v>385</v>
      </c>
      <c r="F45" s="107" t="s">
        <v>48</v>
      </c>
      <c r="G45" s="113" t="s">
        <v>36</v>
      </c>
      <c r="H45" s="113" t="s">
        <v>783</v>
      </c>
      <c r="I45" s="109" t="s">
        <v>506</v>
      </c>
    </row>
    <row r="46" spans="2:9" x14ac:dyDescent="0.25">
      <c r="B46" s="107" t="s">
        <v>868</v>
      </c>
      <c r="C46" s="107" t="s">
        <v>876</v>
      </c>
      <c r="D46" s="107" t="s">
        <v>874</v>
      </c>
      <c r="E46" s="112">
        <f>'Project Data - Step 1'!D38</f>
        <v>604</v>
      </c>
      <c r="F46" s="107" t="s">
        <v>46</v>
      </c>
      <c r="G46" s="113" t="s">
        <v>36</v>
      </c>
      <c r="H46" s="113" t="s">
        <v>785</v>
      </c>
      <c r="I46" s="109" t="s">
        <v>506</v>
      </c>
    </row>
    <row r="47" spans="2:9" x14ac:dyDescent="0.25">
      <c r="B47" s="107" t="s">
        <v>868</v>
      </c>
      <c r="C47" s="107" t="s">
        <v>876</v>
      </c>
      <c r="D47" s="107" t="s">
        <v>875</v>
      </c>
      <c r="E47" s="112">
        <f>'Project Data - Step 1'!D39</f>
        <v>203</v>
      </c>
      <c r="F47" s="107" t="s">
        <v>48</v>
      </c>
      <c r="G47" s="113" t="s">
        <v>36</v>
      </c>
      <c r="H47" s="113" t="s">
        <v>786</v>
      </c>
      <c r="I47" s="109" t="s">
        <v>506</v>
      </c>
    </row>
    <row r="48" spans="2:9" x14ac:dyDescent="0.25">
      <c r="B48" s="107" t="s">
        <v>868</v>
      </c>
      <c r="C48" s="107" t="s">
        <v>877</v>
      </c>
      <c r="D48" s="107" t="s">
        <v>874</v>
      </c>
      <c r="E48" s="112">
        <f>'Project Data - Step 1'!D40</f>
        <v>399</v>
      </c>
      <c r="F48" s="107" t="s">
        <v>46</v>
      </c>
      <c r="G48" s="113" t="s">
        <v>36</v>
      </c>
      <c r="H48" s="113" t="s">
        <v>787</v>
      </c>
      <c r="I48" s="109" t="s">
        <v>506</v>
      </c>
    </row>
    <row r="49" spans="2:9" x14ac:dyDescent="0.25">
      <c r="B49" s="107" t="s">
        <v>868</v>
      </c>
      <c r="C49" s="107" t="s">
        <v>877</v>
      </c>
      <c r="D49" s="107" t="s">
        <v>875</v>
      </c>
      <c r="E49" s="112">
        <f>'Project Data - Step 1'!D41</f>
        <v>50.24</v>
      </c>
      <c r="F49" s="107" t="s">
        <v>48</v>
      </c>
      <c r="G49" s="113" t="s">
        <v>36</v>
      </c>
      <c r="H49" s="113" t="s">
        <v>788</v>
      </c>
      <c r="I49" s="109" t="s">
        <v>506</v>
      </c>
    </row>
    <row r="50" spans="2:9" x14ac:dyDescent="0.25">
      <c r="B50" s="107" t="s">
        <v>868</v>
      </c>
      <c r="C50" s="107" t="s">
        <v>877</v>
      </c>
      <c r="D50" s="107" t="s">
        <v>878</v>
      </c>
      <c r="E50" s="112">
        <f>'Project Data - Step 1'!D42</f>
        <v>132</v>
      </c>
      <c r="F50" s="107" t="s">
        <v>41</v>
      </c>
      <c r="G50" s="113" t="s">
        <v>36</v>
      </c>
      <c r="H50" s="113" t="s">
        <v>789</v>
      </c>
      <c r="I50" s="109" t="s">
        <v>506</v>
      </c>
    </row>
    <row r="51" spans="2:9" x14ac:dyDescent="0.25">
      <c r="B51" s="107" t="s">
        <v>868</v>
      </c>
      <c r="C51" s="107" t="s">
        <v>877</v>
      </c>
      <c r="D51" s="107" t="s">
        <v>879</v>
      </c>
      <c r="E51" s="112">
        <f>'Project Data - Step 1'!D43</f>
        <v>2</v>
      </c>
      <c r="F51" s="107"/>
      <c r="G51" s="113" t="s">
        <v>36</v>
      </c>
      <c r="H51" s="113" t="s">
        <v>880</v>
      </c>
      <c r="I51" s="109" t="s">
        <v>506</v>
      </c>
    </row>
    <row r="52" spans="2:9" x14ac:dyDescent="0.25">
      <c r="B52" s="104" t="s">
        <v>881</v>
      </c>
      <c r="C52" s="104"/>
      <c r="D52" s="104" t="s">
        <v>882</v>
      </c>
      <c r="E52" s="112">
        <f>'Project Data - Step 1'!D88</f>
        <v>0</v>
      </c>
      <c r="F52" s="104"/>
      <c r="G52" s="113" t="s">
        <v>75</v>
      </c>
      <c r="H52" s="118" t="s">
        <v>103</v>
      </c>
      <c r="I52" s="116"/>
    </row>
    <row r="53" spans="2:9" x14ac:dyDescent="0.25">
      <c r="B53" s="104" t="s">
        <v>881</v>
      </c>
      <c r="C53" s="104"/>
      <c r="D53" s="104" t="s">
        <v>883</v>
      </c>
      <c r="E53" s="112">
        <v>0.5</v>
      </c>
      <c r="F53" s="104" t="s">
        <v>60</v>
      </c>
      <c r="G53" s="113"/>
      <c r="H53" s="118"/>
      <c r="I53" s="116"/>
    </row>
    <row r="54" spans="2:9" x14ac:dyDescent="0.25">
      <c r="B54" s="104" t="s">
        <v>881</v>
      </c>
      <c r="C54" s="104" t="s">
        <v>884</v>
      </c>
      <c r="D54" s="104" t="s">
        <v>885</v>
      </c>
      <c r="E54" s="111" t="str">
        <f>'Project Data - Step 1'!D70</f>
        <v>XLPE 185mm 66kV</v>
      </c>
      <c r="F54" s="104"/>
      <c r="G54" s="108" t="s">
        <v>75</v>
      </c>
      <c r="H54" s="108" t="s">
        <v>98</v>
      </c>
      <c r="I54" s="116" t="s">
        <v>506</v>
      </c>
    </row>
    <row r="55" spans="2:9" x14ac:dyDescent="0.25">
      <c r="B55" s="104" t="s">
        <v>881</v>
      </c>
      <c r="C55" s="104" t="s">
        <v>884</v>
      </c>
      <c r="D55" s="104" t="s">
        <v>886</v>
      </c>
      <c r="E55" s="112">
        <f>'Project Data - Step 1'!D71</f>
        <v>0.128</v>
      </c>
      <c r="F55" s="104"/>
      <c r="G55" s="113" t="s">
        <v>75</v>
      </c>
      <c r="H55" s="113"/>
      <c r="I55" s="116" t="s">
        <v>506</v>
      </c>
    </row>
    <row r="56" spans="2:9" x14ac:dyDescent="0.25">
      <c r="B56" s="104" t="s">
        <v>881</v>
      </c>
      <c r="C56" s="104" t="s">
        <v>884</v>
      </c>
      <c r="D56" s="104" t="s">
        <v>887</v>
      </c>
      <c r="E56" s="112">
        <f>'Project Data - Step 1'!D72</f>
        <v>163</v>
      </c>
      <c r="F56" s="104"/>
      <c r="G56" s="113" t="s">
        <v>75</v>
      </c>
      <c r="H56" s="113"/>
      <c r="I56" s="116" t="s">
        <v>506</v>
      </c>
    </row>
    <row r="57" spans="2:9" x14ac:dyDescent="0.25">
      <c r="B57" s="104" t="s">
        <v>881</v>
      </c>
      <c r="C57" s="104" t="s">
        <v>884</v>
      </c>
      <c r="D57" s="104" t="s">
        <v>888</v>
      </c>
      <c r="E57" s="112">
        <f>'Project Data - Step 1'!D73</f>
        <v>185</v>
      </c>
      <c r="F57" s="104"/>
      <c r="G57" s="113" t="s">
        <v>75</v>
      </c>
      <c r="H57" s="113"/>
      <c r="I57" s="116" t="s">
        <v>506</v>
      </c>
    </row>
    <row r="58" spans="2:9" x14ac:dyDescent="0.25">
      <c r="B58" s="104" t="s">
        <v>881</v>
      </c>
      <c r="C58" s="104" t="s">
        <v>884</v>
      </c>
      <c r="D58" s="104" t="s">
        <v>889</v>
      </c>
      <c r="E58" s="112">
        <f>'Project Data - Step 1'!D74</f>
        <v>445</v>
      </c>
      <c r="F58" s="104"/>
      <c r="G58" s="113" t="s">
        <v>75</v>
      </c>
      <c r="H58" s="113"/>
      <c r="I58" s="116" t="s">
        <v>506</v>
      </c>
    </row>
    <row r="59" spans="2:9" x14ac:dyDescent="0.25">
      <c r="B59" s="104" t="s">
        <v>881</v>
      </c>
      <c r="C59" s="104" t="s">
        <v>884</v>
      </c>
      <c r="D59" s="104" t="s">
        <v>890</v>
      </c>
      <c r="E59" s="112">
        <f>'Project Data - Step 1'!D75</f>
        <v>0.443</v>
      </c>
      <c r="F59" s="104"/>
      <c r="G59" s="113" t="s">
        <v>75</v>
      </c>
      <c r="H59" s="113"/>
      <c r="I59" s="116" t="s">
        <v>506</v>
      </c>
    </row>
    <row r="60" spans="2:9" x14ac:dyDescent="0.25">
      <c r="B60" s="104" t="s">
        <v>881</v>
      </c>
      <c r="C60" s="104" t="s">
        <v>884</v>
      </c>
      <c r="D60" s="104" t="s">
        <v>891</v>
      </c>
      <c r="E60" s="112">
        <f>'Project Data - Step 1'!D76</f>
        <v>26.1</v>
      </c>
      <c r="F60" s="104"/>
      <c r="G60" s="113" t="s">
        <v>75</v>
      </c>
      <c r="H60" s="113"/>
      <c r="I60" s="116" t="s">
        <v>506</v>
      </c>
    </row>
    <row r="61" spans="2:9" x14ac:dyDescent="0.25">
      <c r="B61" s="104" t="s">
        <v>881</v>
      </c>
      <c r="C61" s="104" t="s">
        <v>884</v>
      </c>
      <c r="D61" s="104" t="s">
        <v>892</v>
      </c>
      <c r="E61" s="112">
        <f>'Project Data - Step 1'!D77</f>
        <v>66</v>
      </c>
      <c r="F61" s="104"/>
      <c r="G61" s="113" t="s">
        <v>75</v>
      </c>
      <c r="H61" s="113"/>
      <c r="I61" s="116" t="s">
        <v>506</v>
      </c>
    </row>
    <row r="62" spans="2:9" x14ac:dyDescent="0.25">
      <c r="B62" s="104" t="s">
        <v>881</v>
      </c>
      <c r="C62" s="104" t="s">
        <v>884</v>
      </c>
      <c r="D62" s="104" t="s">
        <v>806</v>
      </c>
      <c r="E62" s="111">
        <f>'Project Data - Step 1'!D78</f>
        <v>200000</v>
      </c>
      <c r="F62" s="104"/>
      <c r="G62" s="108" t="s">
        <v>75</v>
      </c>
      <c r="H62" s="108"/>
      <c r="I62" s="116" t="s">
        <v>506</v>
      </c>
    </row>
    <row r="63" spans="2:9" x14ac:dyDescent="0.25">
      <c r="B63" s="104" t="s">
        <v>881</v>
      </c>
      <c r="C63" s="104" t="s">
        <v>893</v>
      </c>
      <c r="D63" s="104" t="s">
        <v>885</v>
      </c>
      <c r="E63" s="111" t="str">
        <f>'Project Data - Step 1'!D79</f>
        <v>None</v>
      </c>
      <c r="F63" s="104"/>
      <c r="G63" s="108" t="s">
        <v>75</v>
      </c>
      <c r="H63" s="108"/>
      <c r="I63" s="116"/>
    </row>
    <row r="64" spans="2:9" x14ac:dyDescent="0.25">
      <c r="B64" s="104" t="s">
        <v>881</v>
      </c>
      <c r="C64" s="104" t="s">
        <v>893</v>
      </c>
      <c r="D64" s="104" t="s">
        <v>886</v>
      </c>
      <c r="E64" s="112" t="str">
        <f>'Project Data - Step 1'!D80</f>
        <v>-</v>
      </c>
      <c r="F64" s="104"/>
      <c r="G64" s="113" t="s">
        <v>75</v>
      </c>
      <c r="H64" s="113"/>
      <c r="I64" s="116"/>
    </row>
    <row r="65" spans="2:9" x14ac:dyDescent="0.25">
      <c r="B65" s="104" t="s">
        <v>881</v>
      </c>
      <c r="C65" s="104" t="s">
        <v>893</v>
      </c>
      <c r="D65" s="104" t="s">
        <v>887</v>
      </c>
      <c r="E65" s="112" t="str">
        <f>'Project Data - Step 1'!D81</f>
        <v>-</v>
      </c>
      <c r="F65" s="104"/>
      <c r="G65" s="113" t="s">
        <v>75</v>
      </c>
      <c r="H65" s="113"/>
      <c r="I65" s="116"/>
    </row>
    <row r="66" spans="2:9" x14ac:dyDescent="0.25">
      <c r="B66" s="104" t="s">
        <v>881</v>
      </c>
      <c r="C66" s="104" t="s">
        <v>893</v>
      </c>
      <c r="D66" s="104" t="s">
        <v>888</v>
      </c>
      <c r="E66" s="112" t="str">
        <f>'Project Data - Step 1'!D82</f>
        <v>-</v>
      </c>
      <c r="F66" s="104"/>
      <c r="G66" s="113" t="s">
        <v>75</v>
      </c>
      <c r="H66" s="113"/>
      <c r="I66" s="116"/>
    </row>
    <row r="67" spans="2:9" x14ac:dyDescent="0.25">
      <c r="B67" s="104" t="s">
        <v>881</v>
      </c>
      <c r="C67" s="104" t="s">
        <v>893</v>
      </c>
      <c r="D67" s="104" t="s">
        <v>889</v>
      </c>
      <c r="E67" s="112" t="str">
        <f>'Project Data - Step 1'!D83</f>
        <v>-</v>
      </c>
      <c r="F67" s="104"/>
      <c r="G67" s="113" t="s">
        <v>75</v>
      </c>
      <c r="H67" s="113"/>
      <c r="I67" s="116"/>
    </row>
    <row r="68" spans="2:9" x14ac:dyDescent="0.25">
      <c r="B68" s="104" t="s">
        <v>881</v>
      </c>
      <c r="C68" s="104" t="s">
        <v>893</v>
      </c>
      <c r="D68" s="104" t="s">
        <v>890</v>
      </c>
      <c r="E68" s="112" t="str">
        <f>'Project Data - Step 1'!D84</f>
        <v>-</v>
      </c>
      <c r="F68" s="104"/>
      <c r="G68" s="113" t="s">
        <v>75</v>
      </c>
      <c r="H68" s="113"/>
      <c r="I68" s="116"/>
    </row>
    <row r="69" spans="2:9" x14ac:dyDescent="0.25">
      <c r="B69" s="104" t="s">
        <v>881</v>
      </c>
      <c r="C69" s="104" t="s">
        <v>893</v>
      </c>
      <c r="D69" s="104" t="s">
        <v>891</v>
      </c>
      <c r="E69" s="112" t="str">
        <f>'Project Data - Step 1'!D85</f>
        <v>-</v>
      </c>
      <c r="F69" s="104"/>
      <c r="G69" s="113" t="s">
        <v>75</v>
      </c>
      <c r="H69" s="113"/>
      <c r="I69" s="116"/>
    </row>
    <row r="70" spans="2:9" x14ac:dyDescent="0.25">
      <c r="B70" s="104" t="s">
        <v>881</v>
      </c>
      <c r="C70" s="104" t="s">
        <v>893</v>
      </c>
      <c r="D70" s="104" t="s">
        <v>892</v>
      </c>
      <c r="E70" s="112" t="str">
        <f>'Project Data - Step 1'!D86</f>
        <v>-</v>
      </c>
      <c r="F70" s="104"/>
      <c r="G70" s="113" t="s">
        <v>75</v>
      </c>
      <c r="H70" s="113"/>
      <c r="I70" s="116"/>
    </row>
    <row r="71" spans="2:9" x14ac:dyDescent="0.25">
      <c r="B71" s="104" t="s">
        <v>881</v>
      </c>
      <c r="C71" s="104" t="s">
        <v>893</v>
      </c>
      <c r="D71" s="104" t="s">
        <v>806</v>
      </c>
      <c r="E71" s="111" t="str">
        <f>'Project Data - Step 1'!D87</f>
        <v>-</v>
      </c>
      <c r="F71" s="104"/>
      <c r="G71" s="108" t="s">
        <v>75</v>
      </c>
      <c r="H71" s="108"/>
      <c r="I71" s="116"/>
    </row>
    <row r="72" spans="2:9" x14ac:dyDescent="0.25">
      <c r="B72" s="104" t="s">
        <v>881</v>
      </c>
      <c r="C72" s="104"/>
      <c r="D72" s="104" t="s">
        <v>894</v>
      </c>
      <c r="E72" s="115"/>
      <c r="F72" s="104" t="s">
        <v>41</v>
      </c>
      <c r="G72" s="104"/>
      <c r="H72" s="104"/>
      <c r="I72" s="116"/>
    </row>
    <row r="73" spans="2:9" x14ac:dyDescent="0.25">
      <c r="B73" s="107" t="s">
        <v>895</v>
      </c>
      <c r="C73" s="107"/>
      <c r="D73" s="107" t="s">
        <v>896</v>
      </c>
      <c r="E73" s="117">
        <v>10</v>
      </c>
      <c r="F73" s="107" t="s">
        <v>41</v>
      </c>
      <c r="G73" s="107"/>
      <c r="H73" s="107"/>
      <c r="I73" s="109"/>
    </row>
    <row r="74" spans="2:9" x14ac:dyDescent="0.25">
      <c r="B74" s="107" t="s">
        <v>895</v>
      </c>
      <c r="C74" s="107"/>
      <c r="D74" s="107" t="s">
        <v>897</v>
      </c>
      <c r="E74" s="117">
        <v>1.2250000000000001</v>
      </c>
      <c r="F74" s="107" t="s">
        <v>898</v>
      </c>
      <c r="G74" s="107"/>
      <c r="H74" s="107"/>
      <c r="I74" s="109"/>
    </row>
    <row r="75" spans="2:9" x14ac:dyDescent="0.25">
      <c r="B75" s="107" t="s">
        <v>895</v>
      </c>
      <c r="C75" s="107"/>
      <c r="D75" s="107" t="s">
        <v>899</v>
      </c>
      <c r="E75" s="117">
        <v>3.375</v>
      </c>
      <c r="F75" s="107"/>
      <c r="G75" s="107"/>
      <c r="H75" s="107"/>
      <c r="I75" s="109"/>
    </row>
    <row r="76" spans="2:9" x14ac:dyDescent="0.25">
      <c r="B76" s="107" t="s">
        <v>895</v>
      </c>
      <c r="C76" s="107"/>
      <c r="D76" s="107" t="s">
        <v>900</v>
      </c>
      <c r="E76" s="117">
        <v>1.1000000000000001</v>
      </c>
      <c r="F76" s="107"/>
      <c r="G76" s="107"/>
      <c r="H76" s="107"/>
      <c r="I76" s="109"/>
    </row>
    <row r="77" spans="2:9" x14ac:dyDescent="0.25">
      <c r="B77" s="107" t="s">
        <v>895</v>
      </c>
      <c r="C77" s="107"/>
      <c r="D77" s="107" t="s">
        <v>901</v>
      </c>
      <c r="E77" s="117">
        <v>7860</v>
      </c>
      <c r="F77" s="107" t="s">
        <v>898</v>
      </c>
      <c r="G77" s="107"/>
      <c r="H77" s="107"/>
      <c r="I77" s="109"/>
    </row>
    <row r="78" spans="2:9" x14ac:dyDescent="0.25">
      <c r="B78" s="107" t="s">
        <v>895</v>
      </c>
      <c r="C78" s="107"/>
      <c r="D78" s="107" t="s">
        <v>902</v>
      </c>
      <c r="E78" s="117">
        <v>200000000000</v>
      </c>
      <c r="F78" s="107" t="s">
        <v>903</v>
      </c>
      <c r="G78" s="107"/>
      <c r="H78" s="107"/>
      <c r="I78" s="109"/>
    </row>
    <row r="79" spans="2:9" x14ac:dyDescent="0.25">
      <c r="B79" s="107" t="s">
        <v>895</v>
      </c>
      <c r="C79" s="107"/>
      <c r="D79" s="107" t="s">
        <v>904</v>
      </c>
      <c r="E79" s="117">
        <v>3000</v>
      </c>
      <c r="F79" s="107" t="s">
        <v>905</v>
      </c>
      <c r="G79" s="107"/>
      <c r="H79" s="107"/>
      <c r="I79" s="109"/>
    </row>
    <row r="80" spans="2:9" x14ac:dyDescent="0.25">
      <c r="B80" s="107" t="s">
        <v>895</v>
      </c>
      <c r="C80" s="107"/>
      <c r="D80" s="107" t="s">
        <v>906</v>
      </c>
      <c r="E80" s="117">
        <v>0</v>
      </c>
      <c r="F80" s="107" t="s">
        <v>41</v>
      </c>
      <c r="G80" s="107"/>
      <c r="H80" s="107"/>
      <c r="I80" s="109"/>
    </row>
    <row r="81" spans="2:9" x14ac:dyDescent="0.25">
      <c r="B81" s="107" t="s">
        <v>895</v>
      </c>
      <c r="C81" s="107"/>
      <c r="D81" s="107" t="s">
        <v>907</v>
      </c>
      <c r="E81" s="117">
        <v>4000000</v>
      </c>
      <c r="F81" s="107" t="s">
        <v>908</v>
      </c>
      <c r="G81" s="107"/>
      <c r="H81" s="107"/>
      <c r="I81" s="109"/>
    </row>
    <row r="82" spans="2:9" x14ac:dyDescent="0.25">
      <c r="B82" s="107" t="s">
        <v>895</v>
      </c>
      <c r="C82" s="107"/>
      <c r="D82" s="107" t="s">
        <v>909</v>
      </c>
      <c r="E82" s="117">
        <v>3000</v>
      </c>
      <c r="F82" s="107" t="s">
        <v>905</v>
      </c>
      <c r="G82" s="107"/>
      <c r="H82" s="107"/>
      <c r="I82" s="109"/>
    </row>
    <row r="83" spans="2:9" x14ac:dyDescent="0.25">
      <c r="B83" s="107" t="s">
        <v>895</v>
      </c>
      <c r="C83" s="107"/>
      <c r="D83" s="107" t="s">
        <v>910</v>
      </c>
      <c r="E83" s="117">
        <v>7860</v>
      </c>
      <c r="F83" s="107" t="s">
        <v>898</v>
      </c>
      <c r="G83" s="107"/>
      <c r="H83" s="107"/>
      <c r="I83" s="109"/>
    </row>
    <row r="84" spans="2:9" x14ac:dyDescent="0.25">
      <c r="B84" s="107" t="s">
        <v>895</v>
      </c>
      <c r="C84" s="107"/>
      <c r="D84" s="107" t="s">
        <v>911</v>
      </c>
      <c r="E84" s="117">
        <v>25</v>
      </c>
      <c r="F84" s="107" t="s">
        <v>41</v>
      </c>
      <c r="G84" s="107"/>
      <c r="H84" s="107"/>
      <c r="I84" s="109"/>
    </row>
    <row r="85" spans="2:9" x14ac:dyDescent="0.25">
      <c r="B85" s="107" t="s">
        <v>895</v>
      </c>
      <c r="C85" s="107"/>
      <c r="D85" s="107" t="s">
        <v>912</v>
      </c>
      <c r="E85" s="117">
        <v>340.2</v>
      </c>
      <c r="F85" s="107" t="s">
        <v>41</v>
      </c>
      <c r="G85" s="107"/>
      <c r="H85" s="107"/>
      <c r="I85" s="109"/>
    </row>
    <row r="86" spans="2:9" x14ac:dyDescent="0.25">
      <c r="B86" s="107" t="s">
        <v>895</v>
      </c>
      <c r="C86" s="107"/>
      <c r="D86" s="107" t="s">
        <v>913</v>
      </c>
      <c r="E86" s="117">
        <v>2</v>
      </c>
      <c r="F86" s="107"/>
      <c r="G86" s="107"/>
      <c r="H86" s="107"/>
      <c r="I86" s="109"/>
    </row>
    <row r="87" spans="2:9" x14ac:dyDescent="0.25">
      <c r="B87" s="107" t="s">
        <v>895</v>
      </c>
      <c r="C87" s="107"/>
      <c r="D87" s="107" t="s">
        <v>914</v>
      </c>
      <c r="E87" s="117">
        <v>355000000</v>
      </c>
      <c r="F87" s="107" t="s">
        <v>903</v>
      </c>
      <c r="G87" s="107"/>
      <c r="H87" s="107"/>
      <c r="I87" s="109"/>
    </row>
    <row r="88" spans="2:9" x14ac:dyDescent="0.25">
      <c r="B88" s="104" t="s">
        <v>915</v>
      </c>
      <c r="C88" s="104"/>
      <c r="D88" s="104" t="s">
        <v>916</v>
      </c>
      <c r="E88" s="131">
        <f>'Project Data - Step 1'!D57</f>
        <v>40</v>
      </c>
      <c r="F88" s="104" t="s">
        <v>905</v>
      </c>
      <c r="G88" s="113" t="s">
        <v>917</v>
      </c>
      <c r="H88" s="113" t="s">
        <v>73</v>
      </c>
      <c r="I88" s="116" t="s">
        <v>506</v>
      </c>
    </row>
    <row r="89" spans="2:9" x14ac:dyDescent="0.25">
      <c r="B89" s="104" t="s">
        <v>915</v>
      </c>
      <c r="C89" s="104"/>
      <c r="D89" s="104" t="s">
        <v>918</v>
      </c>
      <c r="E89" s="115">
        <v>2600</v>
      </c>
      <c r="F89" s="104" t="s">
        <v>898</v>
      </c>
      <c r="G89" s="104"/>
      <c r="H89" s="104"/>
      <c r="I89" s="116"/>
    </row>
    <row r="90" spans="2:9" x14ac:dyDescent="0.25">
      <c r="B90" s="104" t="s">
        <v>915</v>
      </c>
      <c r="C90" s="104"/>
      <c r="D90" s="104" t="s">
        <v>919</v>
      </c>
      <c r="E90" s="115">
        <v>1.3</v>
      </c>
      <c r="F90" s="104"/>
      <c r="G90" s="104"/>
      <c r="H90" s="104"/>
      <c r="I90" s="116"/>
    </row>
    <row r="91" spans="2:9" x14ac:dyDescent="0.25">
      <c r="B91" s="104" t="s">
        <v>915</v>
      </c>
      <c r="C91" s="104"/>
      <c r="D91" s="104" t="s">
        <v>920</v>
      </c>
      <c r="E91" s="115">
        <v>1</v>
      </c>
      <c r="F91" s="104" t="s">
        <v>41</v>
      </c>
      <c r="G91" s="104"/>
      <c r="H91" s="104"/>
      <c r="I91" s="116"/>
    </row>
    <row r="92" spans="2:9" x14ac:dyDescent="0.25">
      <c r="B92" s="104" t="s">
        <v>915</v>
      </c>
      <c r="C92" s="104"/>
      <c r="D92" s="104" t="s">
        <v>921</v>
      </c>
      <c r="E92" s="115">
        <v>33.5</v>
      </c>
      <c r="F92" s="104"/>
      <c r="G92" s="104"/>
      <c r="H92" s="104"/>
      <c r="I92" s="116"/>
    </row>
    <row r="93" spans="2:9" x14ac:dyDescent="0.25">
      <c r="B93" s="107" t="s">
        <v>922</v>
      </c>
      <c r="C93" s="107"/>
      <c r="D93" s="107" t="s">
        <v>923</v>
      </c>
      <c r="E93" s="117">
        <v>6250</v>
      </c>
      <c r="F93" s="107" t="s">
        <v>74</v>
      </c>
      <c r="G93" s="107"/>
      <c r="H93" s="107"/>
      <c r="I93" s="109"/>
    </row>
    <row r="94" spans="2:9" x14ac:dyDescent="0.25">
      <c r="B94" s="107" t="s">
        <v>922</v>
      </c>
      <c r="C94" s="107"/>
      <c r="D94" s="107" t="s">
        <v>924</v>
      </c>
      <c r="E94" s="117">
        <v>7250</v>
      </c>
      <c r="F94" s="107" t="s">
        <v>74</v>
      </c>
      <c r="G94" s="107"/>
      <c r="H94" s="107"/>
      <c r="I94" s="109"/>
    </row>
    <row r="95" spans="2:9" x14ac:dyDescent="0.25">
      <c r="B95" s="107" t="s">
        <v>922</v>
      </c>
      <c r="C95" s="107"/>
      <c r="D95" s="107" t="s">
        <v>925</v>
      </c>
      <c r="E95" s="117">
        <v>3120</v>
      </c>
      <c r="F95" s="107" t="s">
        <v>74</v>
      </c>
      <c r="G95" s="107"/>
      <c r="H95" s="107"/>
      <c r="I95" s="109"/>
    </row>
    <row r="96" spans="2:9" x14ac:dyDescent="0.25">
      <c r="B96" s="107" t="s">
        <v>922</v>
      </c>
      <c r="C96" s="107"/>
      <c r="D96" s="107" t="s">
        <v>926</v>
      </c>
      <c r="E96" s="117">
        <v>6</v>
      </c>
      <c r="F96" s="107" t="s">
        <v>927</v>
      </c>
      <c r="G96" s="107"/>
      <c r="H96" s="107"/>
      <c r="I96" s="109"/>
    </row>
    <row r="97" spans="2:9" x14ac:dyDescent="0.25">
      <c r="B97" s="107" t="s">
        <v>922</v>
      </c>
      <c r="C97" s="107"/>
      <c r="D97" s="107" t="s">
        <v>928</v>
      </c>
      <c r="E97" s="117">
        <v>6250</v>
      </c>
      <c r="F97" s="107" t="s">
        <v>74</v>
      </c>
      <c r="G97" s="107"/>
      <c r="H97" s="107"/>
      <c r="I97" s="109"/>
    </row>
    <row r="98" spans="2:9" x14ac:dyDescent="0.25">
      <c r="B98" s="104" t="s">
        <v>929</v>
      </c>
      <c r="C98" s="104"/>
      <c r="D98" s="104" t="s">
        <v>930</v>
      </c>
      <c r="E98" s="115">
        <v>100</v>
      </c>
      <c r="F98" s="104" t="s">
        <v>74</v>
      </c>
      <c r="G98" s="104"/>
      <c r="H98" s="104"/>
      <c r="I98" s="116"/>
    </row>
    <row r="99" spans="2:9" x14ac:dyDescent="0.25">
      <c r="B99" s="104" t="s">
        <v>929</v>
      </c>
      <c r="C99" s="104"/>
      <c r="D99" s="104" t="s">
        <v>924</v>
      </c>
      <c r="E99" s="115">
        <v>7250</v>
      </c>
      <c r="F99" s="104" t="s">
        <v>74</v>
      </c>
      <c r="G99" s="104"/>
      <c r="H99" s="104"/>
      <c r="I99" s="116"/>
    </row>
    <row r="100" spans="2:9" x14ac:dyDescent="0.25">
      <c r="B100" s="104" t="s">
        <v>929</v>
      </c>
      <c r="C100" s="104"/>
      <c r="D100" s="104" t="s">
        <v>925</v>
      </c>
      <c r="E100" s="115">
        <v>3120</v>
      </c>
      <c r="F100" s="104" t="s">
        <v>74</v>
      </c>
      <c r="G100" s="104"/>
      <c r="H100" s="104"/>
      <c r="I100" s="116"/>
    </row>
    <row r="101" spans="2:9" x14ac:dyDescent="0.25">
      <c r="B101" s="104" t="s">
        <v>929</v>
      </c>
      <c r="C101" s="104"/>
      <c r="D101" s="104" t="s">
        <v>931</v>
      </c>
      <c r="E101" s="115">
        <v>4220</v>
      </c>
      <c r="F101" s="104" t="s">
        <v>74</v>
      </c>
      <c r="G101" s="104"/>
      <c r="H101" s="104"/>
      <c r="I101" s="116"/>
    </row>
    <row r="102" spans="2:9" x14ac:dyDescent="0.25">
      <c r="B102" s="104" t="s">
        <v>929</v>
      </c>
      <c r="C102" s="104"/>
      <c r="D102" s="104" t="s">
        <v>926</v>
      </c>
      <c r="E102" s="115">
        <v>6</v>
      </c>
      <c r="F102" s="104" t="s">
        <v>927</v>
      </c>
      <c r="G102" s="104"/>
      <c r="H102" s="104"/>
      <c r="I102" s="116"/>
    </row>
    <row r="103" spans="2:9" x14ac:dyDescent="0.25">
      <c r="B103" s="107" t="s">
        <v>932</v>
      </c>
      <c r="C103" s="107"/>
      <c r="D103" s="107" t="s">
        <v>933</v>
      </c>
      <c r="E103" s="110" t="str">
        <f>'Project Data - Step 1'!D55</f>
        <v>Drag Embedment</v>
      </c>
      <c r="F103" s="107"/>
      <c r="G103" s="108" t="s">
        <v>917</v>
      </c>
      <c r="H103" s="108" t="s">
        <v>70</v>
      </c>
      <c r="I103" s="109"/>
    </row>
    <row r="104" spans="2:9" x14ac:dyDescent="0.25">
      <c r="B104" s="107" t="s">
        <v>932</v>
      </c>
      <c r="C104" s="107"/>
      <c r="D104" s="107" t="s">
        <v>934</v>
      </c>
      <c r="E104" s="117">
        <v>0.5</v>
      </c>
      <c r="F104" s="107" t="s">
        <v>60</v>
      </c>
      <c r="G104" s="229"/>
      <c r="H104" s="229"/>
      <c r="I104" s="109"/>
    </row>
    <row r="105" spans="2:9" x14ac:dyDescent="0.25">
      <c r="B105" s="107" t="s">
        <v>932</v>
      </c>
      <c r="C105" s="107"/>
      <c r="D105" s="107" t="s">
        <v>935</v>
      </c>
      <c r="E105" s="111">
        <f>'Project Data - Step 1'!D56</f>
        <v>4</v>
      </c>
      <c r="F105" s="107"/>
      <c r="G105" s="108" t="s">
        <v>917</v>
      </c>
      <c r="H105" s="108" t="s">
        <v>72</v>
      </c>
      <c r="I105" s="109"/>
    </row>
    <row r="106" spans="2:9" x14ac:dyDescent="0.25">
      <c r="B106" s="104" t="s">
        <v>936</v>
      </c>
      <c r="C106" s="104" t="s">
        <v>95</v>
      </c>
      <c r="D106" s="104" t="s">
        <v>885</v>
      </c>
      <c r="E106" s="111" t="str">
        <f>'Project Data - Step 1'!D59</f>
        <v>XLPE 1000m 220kV</v>
      </c>
      <c r="F106" s="104"/>
      <c r="G106" s="108" t="s">
        <v>75</v>
      </c>
      <c r="H106" s="108" t="s">
        <v>76</v>
      </c>
      <c r="I106" s="116" t="s">
        <v>506</v>
      </c>
    </row>
    <row r="107" spans="2:9" x14ac:dyDescent="0.25">
      <c r="B107" s="104" t="s">
        <v>936</v>
      </c>
      <c r="C107" s="104" t="s">
        <v>95</v>
      </c>
      <c r="D107" s="104" t="s">
        <v>886</v>
      </c>
      <c r="E107" s="112">
        <f>'Project Data - Step 1'!D60</f>
        <v>0.03</v>
      </c>
      <c r="F107" s="104"/>
      <c r="G107" s="113" t="s">
        <v>75</v>
      </c>
      <c r="H107" s="113"/>
      <c r="I107" s="116" t="s">
        <v>506</v>
      </c>
    </row>
    <row r="108" spans="2:9" x14ac:dyDescent="0.25">
      <c r="B108" s="104" t="s">
        <v>936</v>
      </c>
      <c r="C108" s="104" t="s">
        <v>95</v>
      </c>
      <c r="D108" s="104" t="s">
        <v>887</v>
      </c>
      <c r="E108" s="112">
        <f>'Project Data - Step 1'!D61</f>
        <v>300</v>
      </c>
      <c r="F108" s="104"/>
      <c r="G108" s="113" t="s">
        <v>75</v>
      </c>
      <c r="H108" s="113"/>
      <c r="I108" s="116" t="s">
        <v>506</v>
      </c>
    </row>
    <row r="109" spans="2:9" x14ac:dyDescent="0.25">
      <c r="B109" s="104" t="s">
        <v>936</v>
      </c>
      <c r="C109" s="104" t="s">
        <v>95</v>
      </c>
      <c r="D109" s="104" t="s">
        <v>888</v>
      </c>
      <c r="E109" s="112">
        <f>'Project Data - Step 1'!D62</f>
        <v>1000</v>
      </c>
      <c r="F109" s="104"/>
      <c r="G109" s="113" t="s">
        <v>75</v>
      </c>
      <c r="H109" s="113"/>
      <c r="I109" s="116" t="s">
        <v>506</v>
      </c>
    </row>
    <row r="110" spans="2:9" x14ac:dyDescent="0.25">
      <c r="B110" s="104" t="s">
        <v>936</v>
      </c>
      <c r="C110" s="104" t="s">
        <v>95</v>
      </c>
      <c r="D110" s="104" t="s">
        <v>889</v>
      </c>
      <c r="E110" s="112">
        <f>'Project Data - Step 1'!D63</f>
        <v>900</v>
      </c>
      <c r="F110" s="104"/>
      <c r="G110" s="113" t="s">
        <v>75</v>
      </c>
      <c r="H110" s="113"/>
      <c r="I110" s="116" t="s">
        <v>506</v>
      </c>
    </row>
    <row r="111" spans="2:9" x14ac:dyDescent="0.25">
      <c r="B111" s="104" t="s">
        <v>936</v>
      </c>
      <c r="C111" s="104" t="s">
        <v>95</v>
      </c>
      <c r="D111" s="104" t="s">
        <v>890</v>
      </c>
      <c r="E111" s="112">
        <f>'Project Data - Step 1'!D64</f>
        <v>0.35</v>
      </c>
      <c r="F111" s="104"/>
      <c r="G111" s="113" t="s">
        <v>75</v>
      </c>
      <c r="H111" s="113"/>
      <c r="I111" s="116" t="s">
        <v>506</v>
      </c>
    </row>
    <row r="112" spans="2:9" x14ac:dyDescent="0.25">
      <c r="B112" s="104" t="s">
        <v>936</v>
      </c>
      <c r="C112" s="104" t="s">
        <v>95</v>
      </c>
      <c r="D112" s="104" t="s">
        <v>891</v>
      </c>
      <c r="E112" s="112">
        <f>'Project Data - Step 1'!D65</f>
        <v>90</v>
      </c>
      <c r="F112" s="104"/>
      <c r="G112" s="113" t="s">
        <v>75</v>
      </c>
      <c r="H112" s="113"/>
      <c r="I112" s="116" t="s">
        <v>506</v>
      </c>
    </row>
    <row r="113" spans="2:9" x14ac:dyDescent="0.25">
      <c r="B113" s="104" t="s">
        <v>936</v>
      </c>
      <c r="C113" s="104" t="s">
        <v>95</v>
      </c>
      <c r="D113" s="104" t="s">
        <v>892</v>
      </c>
      <c r="E113" s="112">
        <f>'Project Data - Step 1'!D66</f>
        <v>220</v>
      </c>
      <c r="F113" s="104"/>
      <c r="G113" s="113" t="s">
        <v>75</v>
      </c>
      <c r="H113" s="113"/>
      <c r="I113" s="116" t="s">
        <v>506</v>
      </c>
    </row>
    <row r="114" spans="2:9" x14ac:dyDescent="0.25">
      <c r="B114" s="104" t="s">
        <v>936</v>
      </c>
      <c r="C114" s="104" t="s">
        <v>95</v>
      </c>
      <c r="D114" s="104" t="s">
        <v>806</v>
      </c>
      <c r="E114" s="111">
        <f>'Project Data - Step 1'!D67</f>
        <v>850000</v>
      </c>
      <c r="F114" s="104"/>
      <c r="G114" s="113" t="s">
        <v>75</v>
      </c>
      <c r="H114" s="113"/>
      <c r="I114" s="116" t="s">
        <v>506</v>
      </c>
    </row>
    <row r="115" spans="2:9" x14ac:dyDescent="0.25">
      <c r="B115" s="104" t="s">
        <v>936</v>
      </c>
      <c r="C115" s="104"/>
      <c r="D115" s="104" t="s">
        <v>937</v>
      </c>
      <c r="E115" s="111">
        <f>'Project Data - Step 1'!D68</f>
        <v>0</v>
      </c>
      <c r="F115" s="104" t="s">
        <v>95</v>
      </c>
      <c r="G115" s="108" t="s">
        <v>75</v>
      </c>
      <c r="H115" s="108" t="s">
        <v>813</v>
      </c>
      <c r="I115" s="116"/>
    </row>
    <row r="116" spans="2:9" x14ac:dyDescent="0.25">
      <c r="B116" s="104" t="s">
        <v>936</v>
      </c>
      <c r="C116" s="104"/>
      <c r="D116" s="104" t="s">
        <v>938</v>
      </c>
      <c r="E116" s="112">
        <f>'Project Data - Step 1'!D69</f>
        <v>0</v>
      </c>
      <c r="F116" s="104"/>
      <c r="G116" s="113" t="s">
        <v>75</v>
      </c>
      <c r="H116" s="118" t="s">
        <v>96</v>
      </c>
      <c r="I116" s="116"/>
    </row>
    <row r="117" spans="2:9" x14ac:dyDescent="0.25">
      <c r="B117" s="104" t="s">
        <v>936</v>
      </c>
      <c r="C117" s="104"/>
      <c r="D117" s="104" t="s">
        <v>894</v>
      </c>
      <c r="E117" s="115"/>
      <c r="F117" s="104" t="s">
        <v>60</v>
      </c>
      <c r="G117" s="104"/>
      <c r="H117" s="104"/>
      <c r="I117" s="116"/>
    </row>
    <row r="118" spans="2:9" x14ac:dyDescent="0.25">
      <c r="B118" s="107" t="s">
        <v>939</v>
      </c>
      <c r="C118" s="107"/>
      <c r="D118" s="107" t="s">
        <v>940</v>
      </c>
      <c r="E118" s="119">
        <v>1000000</v>
      </c>
      <c r="F118" s="107" t="s">
        <v>941</v>
      </c>
      <c r="G118" s="120" t="s">
        <v>855</v>
      </c>
      <c r="H118" s="107"/>
      <c r="I118" s="109"/>
    </row>
    <row r="119" spans="2:9" x14ac:dyDescent="0.25">
      <c r="B119" s="107" t="s">
        <v>939</v>
      </c>
      <c r="C119" s="107"/>
      <c r="D119" s="107" t="s">
        <v>942</v>
      </c>
      <c r="E119" s="117">
        <v>12500</v>
      </c>
      <c r="F119" s="107" t="s">
        <v>863</v>
      </c>
      <c r="G119" s="107"/>
      <c r="H119" s="107"/>
      <c r="I119" s="109"/>
    </row>
    <row r="120" spans="2:9" x14ac:dyDescent="0.25">
      <c r="B120" s="107" t="s">
        <v>939</v>
      </c>
      <c r="C120" s="107"/>
      <c r="D120" s="107" t="s">
        <v>943</v>
      </c>
      <c r="E120" s="111">
        <f>'Project Data - Step 1'!D89</f>
        <v>1</v>
      </c>
      <c r="F120" s="107"/>
      <c r="G120" s="108" t="s">
        <v>75</v>
      </c>
      <c r="H120" s="108" t="s">
        <v>104</v>
      </c>
      <c r="I120" s="109" t="s">
        <v>506</v>
      </c>
    </row>
    <row r="121" spans="2:9" x14ac:dyDescent="0.25">
      <c r="B121" s="107" t="s">
        <v>939</v>
      </c>
      <c r="C121" s="107"/>
      <c r="D121" s="107" t="s">
        <v>944</v>
      </c>
      <c r="E121" s="131">
        <v>0</v>
      </c>
      <c r="F121" s="107" t="s">
        <v>74</v>
      </c>
      <c r="G121" s="107"/>
      <c r="H121" s="107"/>
      <c r="I121" s="109" t="s">
        <v>506</v>
      </c>
    </row>
    <row r="122" spans="2:9" x14ac:dyDescent="0.25">
      <c r="B122" s="107" t="s">
        <v>939</v>
      </c>
      <c r="C122" s="107"/>
      <c r="D122" s="107" t="s">
        <v>945</v>
      </c>
      <c r="E122" s="117">
        <v>3000</v>
      </c>
      <c r="F122" s="107" t="s">
        <v>74</v>
      </c>
      <c r="G122" s="107"/>
      <c r="H122" s="107"/>
      <c r="I122" s="109"/>
    </row>
    <row r="123" spans="2:9" x14ac:dyDescent="0.25">
      <c r="B123" s="107" t="s">
        <v>939</v>
      </c>
      <c r="C123" s="107"/>
      <c r="D123" s="107" t="s">
        <v>946</v>
      </c>
      <c r="E123" s="119">
        <v>3000000</v>
      </c>
      <c r="F123" s="107" t="s">
        <v>941</v>
      </c>
      <c r="G123" s="120" t="s">
        <v>855</v>
      </c>
      <c r="H123" s="107"/>
      <c r="I123" s="109"/>
    </row>
    <row r="124" spans="2:9" x14ac:dyDescent="0.25">
      <c r="B124" s="107" t="s">
        <v>939</v>
      </c>
      <c r="C124" s="107"/>
      <c r="D124" s="107" t="s">
        <v>947</v>
      </c>
      <c r="E124" s="117">
        <v>35000</v>
      </c>
      <c r="F124" s="107" t="s">
        <v>863</v>
      </c>
      <c r="G124" s="107"/>
      <c r="H124" s="107"/>
      <c r="I124" s="109"/>
    </row>
    <row r="125" spans="2:9" x14ac:dyDescent="0.25">
      <c r="B125" s="107" t="s">
        <v>939</v>
      </c>
      <c r="C125" s="107"/>
      <c r="D125" s="107" t="s">
        <v>948</v>
      </c>
      <c r="E125" s="117">
        <v>1450000</v>
      </c>
      <c r="F125" s="107" t="s">
        <v>74</v>
      </c>
      <c r="G125" s="107"/>
      <c r="H125" s="107"/>
      <c r="I125" s="109"/>
    </row>
    <row r="126" spans="2:9" x14ac:dyDescent="0.25">
      <c r="B126" s="107" t="s">
        <v>939</v>
      </c>
      <c r="C126" s="107"/>
      <c r="D126" s="107" t="s">
        <v>949</v>
      </c>
      <c r="E126" s="117">
        <v>7.4999999999999997E-2</v>
      </c>
      <c r="F126" s="107" t="s">
        <v>74</v>
      </c>
      <c r="G126" s="107"/>
      <c r="H126" s="107"/>
      <c r="I126" s="109"/>
    </row>
    <row r="127" spans="2:9" x14ac:dyDescent="0.25">
      <c r="B127" s="107" t="s">
        <v>939</v>
      </c>
      <c r="C127" s="107"/>
      <c r="D127" s="107" t="s">
        <v>950</v>
      </c>
      <c r="E127" s="117">
        <v>14500</v>
      </c>
      <c r="F127" s="107" t="s">
        <v>74</v>
      </c>
      <c r="G127" s="107"/>
      <c r="H127" s="107"/>
      <c r="I127" s="109"/>
    </row>
    <row r="128" spans="2:9" x14ac:dyDescent="0.25">
      <c r="B128" s="107" t="s">
        <v>939</v>
      </c>
      <c r="C128" s="107"/>
      <c r="D128" s="107" t="s">
        <v>951</v>
      </c>
      <c r="E128" s="119">
        <v>2000000</v>
      </c>
      <c r="F128" s="107" t="s">
        <v>941</v>
      </c>
      <c r="G128" s="120" t="s">
        <v>855</v>
      </c>
      <c r="H128" s="107"/>
      <c r="I128" s="109"/>
    </row>
    <row r="129" spans="2:9" x14ac:dyDescent="0.25">
      <c r="B129" s="104" t="s">
        <v>952</v>
      </c>
      <c r="C129" s="104"/>
      <c r="D129" s="104" t="s">
        <v>953</v>
      </c>
      <c r="E129" s="111">
        <f>'Project Data - Step 1'!D92</f>
        <v>2000000</v>
      </c>
      <c r="F129" s="104" t="s">
        <v>109</v>
      </c>
      <c r="G129" s="108" t="s">
        <v>105</v>
      </c>
      <c r="H129" s="108" t="s">
        <v>108</v>
      </c>
      <c r="I129" s="116"/>
    </row>
    <row r="130" spans="2:9" x14ac:dyDescent="0.25">
      <c r="B130" s="104" t="s">
        <v>952</v>
      </c>
      <c r="C130" s="104"/>
      <c r="D130" s="104" t="s">
        <v>885</v>
      </c>
      <c r="E130" s="111" t="str">
        <f>'Project Data - Step 1'!D91</f>
        <v>Port Name</v>
      </c>
      <c r="F130" s="104"/>
      <c r="G130" s="108" t="s">
        <v>105</v>
      </c>
      <c r="H130" s="108" t="s">
        <v>106</v>
      </c>
      <c r="I130" s="116"/>
    </row>
    <row r="131" spans="2:9" x14ac:dyDescent="0.25">
      <c r="B131" s="104" t="s">
        <v>952</v>
      </c>
      <c r="C131" s="104"/>
      <c r="D131" s="104" t="s">
        <v>954</v>
      </c>
      <c r="E131" s="133">
        <f>'Project Data - Step 1'!D93</f>
        <v>1</v>
      </c>
      <c r="F131" s="104"/>
      <c r="G131" s="113" t="s">
        <v>105</v>
      </c>
      <c r="H131" s="113" t="s">
        <v>110</v>
      </c>
      <c r="I131" s="116"/>
    </row>
    <row r="132" spans="2:9" x14ac:dyDescent="0.25">
      <c r="B132" s="104" t="s">
        <v>952</v>
      </c>
      <c r="C132" s="104"/>
      <c r="D132" s="104" t="s">
        <v>955</v>
      </c>
      <c r="E132" s="115" t="s">
        <v>956</v>
      </c>
      <c r="F132" s="104"/>
      <c r="G132" s="104"/>
      <c r="H132" s="104"/>
      <c r="I132" s="116"/>
    </row>
    <row r="133" spans="2:9" x14ac:dyDescent="0.25">
      <c r="B133" s="104" t="s">
        <v>952</v>
      </c>
      <c r="C133" s="104"/>
      <c r="D133" s="104" t="s">
        <v>957</v>
      </c>
      <c r="E133" s="115">
        <v>1</v>
      </c>
      <c r="F133" s="104"/>
      <c r="G133" s="104"/>
      <c r="H133" s="104"/>
      <c r="I133" s="116"/>
    </row>
    <row r="134" spans="2:9" x14ac:dyDescent="0.25">
      <c r="B134" s="104" t="s">
        <v>952</v>
      </c>
      <c r="C134" s="104"/>
      <c r="D134" s="104" t="s">
        <v>958</v>
      </c>
      <c r="E134" s="115" t="s">
        <v>956</v>
      </c>
      <c r="F134" s="104"/>
      <c r="G134" s="104"/>
      <c r="H134" s="104"/>
      <c r="I134" s="116"/>
    </row>
    <row r="135" spans="2:9" x14ac:dyDescent="0.25">
      <c r="B135" s="104" t="s">
        <v>952</v>
      </c>
      <c r="C135" s="104"/>
      <c r="D135" s="104" t="s">
        <v>959</v>
      </c>
      <c r="E135" s="115">
        <v>1</v>
      </c>
      <c r="F135" s="104"/>
      <c r="G135" s="104"/>
      <c r="H135" s="104"/>
      <c r="I135" s="116"/>
    </row>
    <row r="136" spans="2:9" x14ac:dyDescent="0.25">
      <c r="B136" s="107" t="s">
        <v>960</v>
      </c>
      <c r="C136" s="107"/>
      <c r="D136" s="107" t="s">
        <v>961</v>
      </c>
      <c r="E136" s="117">
        <v>0</v>
      </c>
      <c r="F136" s="107"/>
      <c r="G136" s="107"/>
      <c r="H136" s="107"/>
      <c r="I136" s="109"/>
    </row>
    <row r="137" spans="2:9" x14ac:dyDescent="0.25">
      <c r="B137" s="104" t="s">
        <v>962</v>
      </c>
      <c r="C137" s="104"/>
      <c r="D137" s="104" t="s">
        <v>963</v>
      </c>
      <c r="E137" s="115">
        <f>'Project Data - Step 1'!D110</f>
        <v>1</v>
      </c>
      <c r="F137" s="104"/>
      <c r="G137" s="104"/>
      <c r="H137" s="104"/>
      <c r="I137" s="116"/>
    </row>
    <row r="138" spans="2:9" x14ac:dyDescent="0.25">
      <c r="B138" s="104" t="s">
        <v>962</v>
      </c>
      <c r="C138" s="104"/>
      <c r="D138" s="104" t="s">
        <v>964</v>
      </c>
      <c r="E138" s="115">
        <f>'Project Data - Step 1'!D105</f>
        <v>1</v>
      </c>
      <c r="F138" s="104"/>
      <c r="G138" s="104"/>
      <c r="H138" s="104"/>
      <c r="I138" s="116" t="s">
        <v>506</v>
      </c>
    </row>
    <row r="139" spans="2:9" x14ac:dyDescent="0.25">
      <c r="B139" s="104" t="s">
        <v>962</v>
      </c>
      <c r="C139" s="104"/>
      <c r="D139" s="104" t="s">
        <v>965</v>
      </c>
      <c r="E139" s="115">
        <f>'Project Data - Step 1'!D108</f>
        <v>1</v>
      </c>
      <c r="F139" s="104"/>
      <c r="G139" s="104"/>
      <c r="H139" s="104"/>
      <c r="I139" s="116" t="s">
        <v>506</v>
      </c>
    </row>
    <row r="140" spans="2:9" x14ac:dyDescent="0.25">
      <c r="B140" s="107" t="s">
        <v>966</v>
      </c>
      <c r="C140" s="107" t="s">
        <v>967</v>
      </c>
      <c r="D140" s="107" t="s">
        <v>968</v>
      </c>
      <c r="E140" s="117">
        <v>168</v>
      </c>
      <c r="F140" s="107" t="s">
        <v>969</v>
      </c>
      <c r="G140" s="107"/>
      <c r="H140" s="107"/>
      <c r="I140" s="109"/>
    </row>
    <row r="141" spans="2:9" x14ac:dyDescent="0.25">
      <c r="B141" s="107" t="s">
        <v>966</v>
      </c>
      <c r="C141" s="107" t="s">
        <v>967</v>
      </c>
      <c r="D141" s="107" t="s">
        <v>926</v>
      </c>
      <c r="E141" s="117">
        <v>6</v>
      </c>
      <c r="F141" s="107" t="s">
        <v>927</v>
      </c>
      <c r="G141" s="107"/>
      <c r="H141" s="107"/>
      <c r="I141" s="109"/>
    </row>
    <row r="142" spans="2:9" x14ac:dyDescent="0.25">
      <c r="B142" s="104" t="s">
        <v>638</v>
      </c>
      <c r="C142" s="104"/>
      <c r="D142" s="104" t="s">
        <v>943</v>
      </c>
      <c r="E142" s="115">
        <f>'Project Data - Step 1'!D89</f>
        <v>1</v>
      </c>
      <c r="F142" s="104"/>
      <c r="G142" s="104"/>
      <c r="H142" s="104"/>
      <c r="I142" s="116"/>
    </row>
    <row r="143" spans="2:9" x14ac:dyDescent="0.25">
      <c r="B143" s="104" t="s">
        <v>638</v>
      </c>
      <c r="C143" s="104"/>
      <c r="D143" s="104" t="s">
        <v>961</v>
      </c>
      <c r="E143" s="115">
        <f>'Project Data - Step 1'!D115</f>
        <v>1</v>
      </c>
      <c r="F143" s="104"/>
      <c r="G143" s="104"/>
      <c r="H143" s="104"/>
      <c r="I143" s="116"/>
    </row>
    <row r="144" spans="2:9" x14ac:dyDescent="0.25">
      <c r="B144" s="107" t="s">
        <v>970</v>
      </c>
      <c r="C144" s="107" t="s">
        <v>971</v>
      </c>
      <c r="D144" s="107" t="s">
        <v>972</v>
      </c>
      <c r="E144" s="117">
        <v>100</v>
      </c>
      <c r="F144" s="107" t="s">
        <v>41</v>
      </c>
      <c r="G144" s="107"/>
      <c r="H144" s="107"/>
      <c r="I144" s="109" t="s">
        <v>506</v>
      </c>
    </row>
    <row r="145" spans="2:9" x14ac:dyDescent="0.25">
      <c r="B145" s="107" t="s">
        <v>970</v>
      </c>
      <c r="C145" s="107" t="s">
        <v>971</v>
      </c>
      <c r="D145" s="107" t="s">
        <v>973</v>
      </c>
      <c r="E145" s="117">
        <v>100</v>
      </c>
      <c r="F145" s="107" t="s">
        <v>41</v>
      </c>
      <c r="G145" s="107"/>
      <c r="H145" s="107"/>
      <c r="I145" s="109" t="s">
        <v>506</v>
      </c>
    </row>
    <row r="146" spans="2:9" x14ac:dyDescent="0.25">
      <c r="B146" s="107" t="s">
        <v>970</v>
      </c>
      <c r="C146" s="107" t="s">
        <v>971</v>
      </c>
      <c r="D146" s="107" t="s">
        <v>974</v>
      </c>
      <c r="E146" s="117">
        <v>1200</v>
      </c>
      <c r="F146" s="107" t="s">
        <v>46</v>
      </c>
      <c r="G146" s="107"/>
      <c r="H146" s="107"/>
      <c r="I146" s="109" t="s">
        <v>506</v>
      </c>
    </row>
    <row r="147" spans="2:9" x14ac:dyDescent="0.25">
      <c r="B147" s="107" t="s">
        <v>970</v>
      </c>
      <c r="C147" s="107" t="s">
        <v>971</v>
      </c>
      <c r="D147" s="107" t="s">
        <v>975</v>
      </c>
      <c r="E147" s="117">
        <v>15</v>
      </c>
      <c r="F147" s="107" t="s">
        <v>44</v>
      </c>
      <c r="G147" s="107"/>
      <c r="H147" s="107"/>
      <c r="I147" s="109" t="s">
        <v>506</v>
      </c>
    </row>
    <row r="148" spans="2:9" x14ac:dyDescent="0.25">
      <c r="B148" s="107" t="s">
        <v>970</v>
      </c>
      <c r="C148" s="107" t="s">
        <v>971</v>
      </c>
      <c r="D148" s="107" t="s">
        <v>976</v>
      </c>
      <c r="E148" s="117">
        <v>30</v>
      </c>
      <c r="F148" s="107" t="s">
        <v>41</v>
      </c>
      <c r="G148" s="107"/>
      <c r="H148" s="107"/>
      <c r="I148" s="109" t="s">
        <v>506</v>
      </c>
    </row>
    <row r="149" spans="2:9" x14ac:dyDescent="0.25">
      <c r="B149" s="107" t="s">
        <v>970</v>
      </c>
      <c r="C149" s="107" t="s">
        <v>977</v>
      </c>
      <c r="D149" s="107" t="s">
        <v>896</v>
      </c>
      <c r="E149" s="117">
        <v>10</v>
      </c>
      <c r="F149" s="107" t="s">
        <v>978</v>
      </c>
      <c r="G149" s="107"/>
      <c r="H149" s="107"/>
      <c r="I149" s="109" t="s">
        <v>506</v>
      </c>
    </row>
    <row r="150" spans="2:9" x14ac:dyDescent="0.25">
      <c r="B150" s="107" t="s">
        <v>970</v>
      </c>
      <c r="C150" s="107" t="s">
        <v>977</v>
      </c>
      <c r="D150" s="107" t="s">
        <v>979</v>
      </c>
      <c r="E150" s="117">
        <v>110</v>
      </c>
      <c r="F150" s="107" t="s">
        <v>41</v>
      </c>
      <c r="G150" s="107"/>
      <c r="H150" s="107"/>
      <c r="I150" s="109" t="s">
        <v>506</v>
      </c>
    </row>
    <row r="151" spans="2:9" x14ac:dyDescent="0.25">
      <c r="B151" s="107" t="s">
        <v>970</v>
      </c>
      <c r="C151" s="107" t="s">
        <v>977</v>
      </c>
      <c r="D151" s="107" t="s">
        <v>980</v>
      </c>
      <c r="E151" s="117">
        <v>5</v>
      </c>
      <c r="F151" s="107" t="s">
        <v>41</v>
      </c>
      <c r="G151" s="107"/>
      <c r="H151" s="107"/>
      <c r="I151" s="109" t="s">
        <v>506</v>
      </c>
    </row>
    <row r="152" spans="2:9" x14ac:dyDescent="0.25">
      <c r="B152" s="107" t="s">
        <v>970</v>
      </c>
      <c r="C152" s="107" t="s">
        <v>977</v>
      </c>
      <c r="D152" s="107" t="s">
        <v>981</v>
      </c>
      <c r="E152" s="117">
        <v>75</v>
      </c>
      <c r="F152" s="107" t="s">
        <v>41</v>
      </c>
      <c r="G152" s="107"/>
      <c r="H152" s="107"/>
      <c r="I152" s="109" t="s">
        <v>506</v>
      </c>
    </row>
    <row r="153" spans="2:9" x14ac:dyDescent="0.25">
      <c r="B153" s="107" t="s">
        <v>970</v>
      </c>
      <c r="C153" s="107" t="s">
        <v>977</v>
      </c>
      <c r="D153" s="107" t="s">
        <v>982</v>
      </c>
      <c r="E153" s="117">
        <v>85</v>
      </c>
      <c r="F153" s="107" t="s">
        <v>41</v>
      </c>
      <c r="G153" s="107"/>
      <c r="H153" s="107"/>
      <c r="I153" s="109" t="s">
        <v>506</v>
      </c>
    </row>
    <row r="154" spans="2:9" x14ac:dyDescent="0.25">
      <c r="B154" s="107" t="s">
        <v>970</v>
      </c>
      <c r="C154" s="107" t="s">
        <v>977</v>
      </c>
      <c r="D154" s="107" t="s">
        <v>983</v>
      </c>
      <c r="E154" s="117">
        <v>6</v>
      </c>
      <c r="F154" s="107"/>
      <c r="G154" s="107"/>
      <c r="H154" s="107"/>
      <c r="I154" s="109" t="s">
        <v>506</v>
      </c>
    </row>
    <row r="155" spans="2:9" x14ac:dyDescent="0.25">
      <c r="B155" s="107" t="s">
        <v>970</v>
      </c>
      <c r="C155" s="107" t="s">
        <v>977</v>
      </c>
      <c r="D155" s="107" t="s">
        <v>984</v>
      </c>
      <c r="E155" s="117">
        <v>1</v>
      </c>
      <c r="F155" s="107" t="s">
        <v>985</v>
      </c>
      <c r="G155" s="107"/>
      <c r="H155" s="107"/>
      <c r="I155" s="109" t="s">
        <v>506</v>
      </c>
    </row>
    <row r="156" spans="2:9" x14ac:dyDescent="0.25">
      <c r="B156" s="107" t="s">
        <v>970</v>
      </c>
      <c r="C156" s="107" t="s">
        <v>977</v>
      </c>
      <c r="D156" s="107" t="s">
        <v>986</v>
      </c>
      <c r="E156" s="117">
        <v>2.5</v>
      </c>
      <c r="F156" s="107" t="s">
        <v>985</v>
      </c>
      <c r="G156" s="107"/>
      <c r="H156" s="107"/>
      <c r="I156" s="109" t="s">
        <v>506</v>
      </c>
    </row>
    <row r="157" spans="2:9" x14ac:dyDescent="0.25">
      <c r="B157" s="107" t="s">
        <v>970</v>
      </c>
      <c r="C157" s="107" t="s">
        <v>987</v>
      </c>
      <c r="D157" s="107" t="s">
        <v>988</v>
      </c>
      <c r="E157" s="117">
        <v>8000</v>
      </c>
      <c r="F157" s="107" t="s">
        <v>46</v>
      </c>
      <c r="G157" s="107"/>
      <c r="H157" s="107"/>
      <c r="I157" s="109" t="s">
        <v>506</v>
      </c>
    </row>
    <row r="158" spans="2:9" x14ac:dyDescent="0.25">
      <c r="B158" s="107" t="s">
        <v>970</v>
      </c>
      <c r="C158" s="107" t="s">
        <v>987</v>
      </c>
      <c r="D158" s="107" t="s">
        <v>989</v>
      </c>
      <c r="E158" s="117">
        <v>15</v>
      </c>
      <c r="F158" s="107" t="s">
        <v>990</v>
      </c>
      <c r="G158" s="107"/>
      <c r="H158" s="107"/>
      <c r="I158" s="109" t="s">
        <v>506</v>
      </c>
    </row>
    <row r="159" spans="2:9" x14ac:dyDescent="0.25">
      <c r="B159" s="107" t="s">
        <v>970</v>
      </c>
      <c r="C159" s="107" t="s">
        <v>987</v>
      </c>
      <c r="D159" s="107" t="s">
        <v>991</v>
      </c>
      <c r="E159" s="117">
        <v>4000</v>
      </c>
      <c r="F159" s="107" t="s">
        <v>48</v>
      </c>
      <c r="G159" s="107"/>
      <c r="H159" s="107"/>
      <c r="I159" s="109" t="s">
        <v>506</v>
      </c>
    </row>
    <row r="160" spans="2:9" x14ac:dyDescent="0.25">
      <c r="B160" s="107" t="s">
        <v>970</v>
      </c>
      <c r="C160" s="107" t="s">
        <v>992</v>
      </c>
      <c r="D160" s="107" t="s">
        <v>993</v>
      </c>
      <c r="E160" s="117">
        <v>3</v>
      </c>
      <c r="F160" s="107" t="s">
        <v>41</v>
      </c>
      <c r="G160" s="107"/>
      <c r="H160" s="107"/>
      <c r="I160" s="109" t="s">
        <v>506</v>
      </c>
    </row>
    <row r="161" spans="2:9" x14ac:dyDescent="0.25">
      <c r="B161" s="107" t="s">
        <v>970</v>
      </c>
      <c r="C161" s="107" t="s">
        <v>992</v>
      </c>
      <c r="D161" s="107" t="s">
        <v>975</v>
      </c>
      <c r="E161" s="117">
        <v>20</v>
      </c>
      <c r="F161" s="107" t="s">
        <v>44</v>
      </c>
      <c r="G161" s="107"/>
      <c r="H161" s="107"/>
      <c r="I161" s="109" t="s">
        <v>506</v>
      </c>
    </row>
    <row r="162" spans="2:9" x14ac:dyDescent="0.25">
      <c r="B162" s="107" t="s">
        <v>970</v>
      </c>
      <c r="C162" s="107" t="s">
        <v>992</v>
      </c>
      <c r="D162" s="107" t="s">
        <v>994</v>
      </c>
      <c r="E162" s="117">
        <v>10</v>
      </c>
      <c r="F162" s="107" t="s">
        <v>995</v>
      </c>
      <c r="G162" s="107"/>
      <c r="H162" s="107"/>
      <c r="I162" s="109" t="s">
        <v>506</v>
      </c>
    </row>
    <row r="163" spans="2:9" x14ac:dyDescent="0.25">
      <c r="B163" s="107" t="s">
        <v>970</v>
      </c>
      <c r="C163" s="107" t="s">
        <v>996</v>
      </c>
      <c r="D163" s="107" t="s">
        <v>997</v>
      </c>
      <c r="E163" s="117">
        <v>50</v>
      </c>
      <c r="F163" s="107" t="s">
        <v>41</v>
      </c>
      <c r="G163" s="107"/>
      <c r="H163" s="107"/>
      <c r="I163" s="109" t="s">
        <v>506</v>
      </c>
    </row>
    <row r="164" spans="2:9" x14ac:dyDescent="0.25">
      <c r="B164" s="107" t="s">
        <v>970</v>
      </c>
      <c r="C164" s="107" t="s">
        <v>996</v>
      </c>
      <c r="D164" s="107" t="s">
        <v>998</v>
      </c>
      <c r="E164" s="117">
        <f>'Project Data - Step 1'!D97</f>
        <v>180000</v>
      </c>
      <c r="F164" s="107" t="s">
        <v>999</v>
      </c>
      <c r="G164" s="107"/>
      <c r="H164" s="107"/>
      <c r="I164" s="109" t="s">
        <v>506</v>
      </c>
    </row>
    <row r="165" spans="2:9" x14ac:dyDescent="0.25">
      <c r="B165" s="107" t="s">
        <v>970</v>
      </c>
      <c r="C165" s="107" t="s">
        <v>996</v>
      </c>
      <c r="D165" s="107" t="s">
        <v>1000</v>
      </c>
      <c r="E165" s="117">
        <v>6</v>
      </c>
      <c r="F165" s="107" t="s">
        <v>41</v>
      </c>
      <c r="G165" s="107"/>
      <c r="H165" s="107"/>
      <c r="I165" s="109" t="s">
        <v>506</v>
      </c>
    </row>
    <row r="166" spans="2:9" x14ac:dyDescent="0.25">
      <c r="B166" s="107" t="s">
        <v>970</v>
      </c>
      <c r="C166" s="107" t="s">
        <v>996</v>
      </c>
      <c r="D166" s="107" t="s">
        <v>1001</v>
      </c>
      <c r="E166" s="117">
        <v>5</v>
      </c>
      <c r="F166" s="107" t="s">
        <v>41</v>
      </c>
      <c r="G166" s="107"/>
      <c r="H166" s="107"/>
      <c r="I166" s="109" t="s">
        <v>506</v>
      </c>
    </row>
    <row r="167" spans="2:9" x14ac:dyDescent="0.25">
      <c r="B167" s="107" t="s">
        <v>970</v>
      </c>
      <c r="C167" s="107" t="s">
        <v>996</v>
      </c>
      <c r="D167" s="107" t="s">
        <v>1002</v>
      </c>
      <c r="E167" s="117">
        <v>150</v>
      </c>
      <c r="F167" s="107" t="s">
        <v>41</v>
      </c>
      <c r="G167" s="107"/>
      <c r="H167" s="107"/>
      <c r="I167" s="109" t="s">
        <v>506</v>
      </c>
    </row>
    <row r="168" spans="2:9" x14ac:dyDescent="0.25">
      <c r="B168" s="107" t="s">
        <v>970</v>
      </c>
      <c r="C168" s="107" t="s">
        <v>996</v>
      </c>
      <c r="D168" s="107" t="s">
        <v>1003</v>
      </c>
      <c r="E168" s="117">
        <v>7</v>
      </c>
      <c r="F168" s="107" t="s">
        <v>1004</v>
      </c>
      <c r="G168" s="107"/>
      <c r="H168" s="107"/>
      <c r="I168" s="109" t="s">
        <v>506</v>
      </c>
    </row>
    <row r="169" spans="2:9" x14ac:dyDescent="0.25">
      <c r="B169" s="107" t="s">
        <v>970</v>
      </c>
      <c r="C169" s="107" t="s">
        <v>996</v>
      </c>
      <c r="D169" s="107" t="s">
        <v>1005</v>
      </c>
      <c r="E169" s="117">
        <v>1</v>
      </c>
      <c r="F169" s="107"/>
      <c r="G169" s="107"/>
      <c r="H169" s="107"/>
      <c r="I169" s="109" t="s">
        <v>506</v>
      </c>
    </row>
    <row r="170" spans="2:9" x14ac:dyDescent="0.25">
      <c r="B170" s="104" t="s">
        <v>1006</v>
      </c>
      <c r="C170" s="104" t="s">
        <v>971</v>
      </c>
      <c r="D170" s="104" t="s">
        <v>974</v>
      </c>
      <c r="E170" s="115">
        <v>500</v>
      </c>
      <c r="F170" s="104" t="s">
        <v>46</v>
      </c>
      <c r="G170" s="104"/>
      <c r="H170" s="104"/>
      <c r="I170" s="116" t="s">
        <v>506</v>
      </c>
    </row>
    <row r="171" spans="2:9" x14ac:dyDescent="0.25">
      <c r="B171" s="104" t="s">
        <v>1006</v>
      </c>
      <c r="C171" s="104" t="s">
        <v>971</v>
      </c>
      <c r="D171" s="104" t="s">
        <v>976</v>
      </c>
      <c r="E171" s="115">
        <v>15</v>
      </c>
      <c r="F171" s="104" t="s">
        <v>41</v>
      </c>
      <c r="G171" s="104"/>
      <c r="H171" s="104"/>
      <c r="I171" s="116" t="s">
        <v>506</v>
      </c>
    </row>
    <row r="172" spans="2:9" x14ac:dyDescent="0.25">
      <c r="B172" s="104" t="s">
        <v>1006</v>
      </c>
      <c r="C172" s="104" t="s">
        <v>977</v>
      </c>
      <c r="D172" s="104" t="s">
        <v>896</v>
      </c>
      <c r="E172" s="115">
        <v>10</v>
      </c>
      <c r="F172" s="104" t="s">
        <v>41</v>
      </c>
      <c r="G172" s="104"/>
      <c r="H172" s="104"/>
      <c r="I172" s="116" t="s">
        <v>506</v>
      </c>
    </row>
    <row r="173" spans="2:9" x14ac:dyDescent="0.25">
      <c r="B173" s="104" t="s">
        <v>1006</v>
      </c>
      <c r="C173" s="104" t="s">
        <v>977</v>
      </c>
      <c r="D173" s="104" t="s">
        <v>979</v>
      </c>
      <c r="E173" s="115">
        <v>85</v>
      </c>
      <c r="F173" s="104" t="s">
        <v>41</v>
      </c>
      <c r="G173" s="104"/>
      <c r="H173" s="104"/>
      <c r="I173" s="116" t="s">
        <v>506</v>
      </c>
    </row>
    <row r="174" spans="2:9" x14ac:dyDescent="0.25">
      <c r="B174" s="104" t="s">
        <v>1006</v>
      </c>
      <c r="C174" s="104" t="s">
        <v>977</v>
      </c>
      <c r="D174" s="104" t="s">
        <v>980</v>
      </c>
      <c r="E174" s="115">
        <v>5</v>
      </c>
      <c r="F174" s="104" t="s">
        <v>41</v>
      </c>
      <c r="G174" s="104"/>
      <c r="H174" s="104"/>
      <c r="I174" s="116" t="s">
        <v>506</v>
      </c>
    </row>
    <row r="175" spans="2:9" x14ac:dyDescent="0.25">
      <c r="B175" s="104" t="s">
        <v>1006</v>
      </c>
      <c r="C175" s="104" t="s">
        <v>977</v>
      </c>
      <c r="D175" s="104" t="s">
        <v>981</v>
      </c>
      <c r="E175" s="115">
        <v>40</v>
      </c>
      <c r="F175" s="104" t="s">
        <v>41</v>
      </c>
      <c r="G175" s="104"/>
      <c r="H175" s="104"/>
      <c r="I175" s="116" t="s">
        <v>506</v>
      </c>
    </row>
    <row r="176" spans="2:9" x14ac:dyDescent="0.25">
      <c r="B176" s="104" t="s">
        <v>1006</v>
      </c>
      <c r="C176" s="104" t="s">
        <v>977</v>
      </c>
      <c r="D176" s="104" t="s">
        <v>982</v>
      </c>
      <c r="E176" s="115">
        <v>60</v>
      </c>
      <c r="F176" s="104" t="s">
        <v>41</v>
      </c>
      <c r="G176" s="104"/>
      <c r="H176" s="104"/>
      <c r="I176" s="116" t="s">
        <v>506</v>
      </c>
    </row>
    <row r="177" spans="2:9" x14ac:dyDescent="0.25">
      <c r="B177" s="104" t="s">
        <v>1006</v>
      </c>
      <c r="C177" s="104" t="s">
        <v>977</v>
      </c>
      <c r="D177" s="104" t="s">
        <v>983</v>
      </c>
      <c r="E177" s="115">
        <v>4</v>
      </c>
      <c r="F177" s="104"/>
      <c r="G177" s="104"/>
      <c r="H177" s="104"/>
      <c r="I177" s="116" t="s">
        <v>506</v>
      </c>
    </row>
    <row r="178" spans="2:9" x14ac:dyDescent="0.25">
      <c r="B178" s="104" t="s">
        <v>1006</v>
      </c>
      <c r="C178" s="104" t="s">
        <v>977</v>
      </c>
      <c r="D178" s="104" t="s">
        <v>984</v>
      </c>
      <c r="E178" s="115">
        <v>0.5</v>
      </c>
      <c r="F178" s="104" t="s">
        <v>985</v>
      </c>
      <c r="G178" s="104"/>
      <c r="H178" s="104"/>
      <c r="I178" s="116" t="s">
        <v>506</v>
      </c>
    </row>
    <row r="179" spans="2:9" x14ac:dyDescent="0.25">
      <c r="B179" s="104" t="s">
        <v>1006</v>
      </c>
      <c r="C179" s="104" t="s">
        <v>977</v>
      </c>
      <c r="D179" s="104" t="s">
        <v>986</v>
      </c>
      <c r="E179" s="115">
        <v>0.5</v>
      </c>
      <c r="F179" s="104" t="s">
        <v>985</v>
      </c>
      <c r="G179" s="104"/>
      <c r="H179" s="104"/>
      <c r="I179" s="116" t="s">
        <v>506</v>
      </c>
    </row>
    <row r="180" spans="2:9" x14ac:dyDescent="0.25">
      <c r="B180" s="104" t="s">
        <v>1006</v>
      </c>
      <c r="C180" s="104" t="s">
        <v>987</v>
      </c>
      <c r="D180" s="104" t="s">
        <v>988</v>
      </c>
      <c r="E180" s="115">
        <v>1200</v>
      </c>
      <c r="F180" s="104" t="s">
        <v>46</v>
      </c>
      <c r="G180" s="104"/>
      <c r="H180" s="104"/>
      <c r="I180" s="116" t="s">
        <v>506</v>
      </c>
    </row>
    <row r="181" spans="2:9" x14ac:dyDescent="0.25">
      <c r="B181" s="104" t="s">
        <v>1006</v>
      </c>
      <c r="C181" s="104" t="s">
        <v>987</v>
      </c>
      <c r="D181" s="104" t="s">
        <v>989</v>
      </c>
      <c r="E181" s="115">
        <v>8</v>
      </c>
      <c r="F181" s="104" t="s">
        <v>990</v>
      </c>
      <c r="G181" s="104"/>
      <c r="H181" s="104"/>
      <c r="I181" s="116" t="s">
        <v>506</v>
      </c>
    </row>
    <row r="182" spans="2:9" x14ac:dyDescent="0.25">
      <c r="B182" s="104" t="s">
        <v>1006</v>
      </c>
      <c r="C182" s="104" t="s">
        <v>987</v>
      </c>
      <c r="D182" s="104" t="s">
        <v>991</v>
      </c>
      <c r="E182" s="115">
        <v>1000</v>
      </c>
      <c r="F182" s="104" t="s">
        <v>48</v>
      </c>
      <c r="G182" s="104"/>
      <c r="H182" s="104"/>
      <c r="I182" s="116" t="s">
        <v>506</v>
      </c>
    </row>
    <row r="183" spans="2:9" x14ac:dyDescent="0.25">
      <c r="B183" s="104" t="s">
        <v>1006</v>
      </c>
      <c r="C183" s="104" t="s">
        <v>992</v>
      </c>
      <c r="D183" s="104" t="s">
        <v>993</v>
      </c>
      <c r="E183" s="115">
        <v>2.5</v>
      </c>
      <c r="F183" s="104" t="s">
        <v>41</v>
      </c>
      <c r="G183" s="104"/>
      <c r="H183" s="104"/>
      <c r="I183" s="116" t="s">
        <v>506</v>
      </c>
    </row>
    <row r="184" spans="2:9" x14ac:dyDescent="0.25">
      <c r="B184" s="104" t="s">
        <v>1006</v>
      </c>
      <c r="C184" s="104" t="s">
        <v>992</v>
      </c>
      <c r="D184" s="104" t="s">
        <v>975</v>
      </c>
      <c r="E184" s="115">
        <v>20</v>
      </c>
      <c r="F184" s="104" t="s">
        <v>44</v>
      </c>
      <c r="G184" s="104"/>
      <c r="H184" s="104"/>
      <c r="I184" s="116" t="s">
        <v>506</v>
      </c>
    </row>
    <row r="185" spans="2:9" x14ac:dyDescent="0.25">
      <c r="B185" s="104" t="s">
        <v>1006</v>
      </c>
      <c r="C185" s="104" t="s">
        <v>992</v>
      </c>
      <c r="D185" s="104" t="s">
        <v>994</v>
      </c>
      <c r="E185" s="115">
        <v>6</v>
      </c>
      <c r="F185" s="104" t="s">
        <v>995</v>
      </c>
      <c r="G185" s="104"/>
      <c r="H185" s="104"/>
      <c r="I185" s="116" t="s">
        <v>506</v>
      </c>
    </row>
    <row r="186" spans="2:9" x14ac:dyDescent="0.25">
      <c r="B186" s="104" t="s">
        <v>1006</v>
      </c>
      <c r="C186" s="104" t="s">
        <v>996</v>
      </c>
      <c r="D186" s="104" t="s">
        <v>997</v>
      </c>
      <c r="E186" s="115">
        <v>35</v>
      </c>
      <c r="F186" s="104" t="s">
        <v>41</v>
      </c>
      <c r="G186" s="104"/>
      <c r="H186" s="104"/>
      <c r="I186" s="116" t="s">
        <v>506</v>
      </c>
    </row>
    <row r="187" spans="2:9" x14ac:dyDescent="0.25">
      <c r="B187" s="104" t="s">
        <v>1006</v>
      </c>
      <c r="C187" s="104" t="s">
        <v>996</v>
      </c>
      <c r="D187" s="104" t="s">
        <v>998</v>
      </c>
      <c r="E187" s="115">
        <f>'Project Data - Step 1'!D100</f>
        <v>75000</v>
      </c>
      <c r="F187" s="104" t="s">
        <v>999</v>
      </c>
      <c r="G187" s="104"/>
      <c r="H187" s="104"/>
      <c r="I187" s="116" t="s">
        <v>506</v>
      </c>
    </row>
    <row r="188" spans="2:9" x14ac:dyDescent="0.25">
      <c r="B188" s="104" t="s">
        <v>1006</v>
      </c>
      <c r="C188" s="104" t="s">
        <v>996</v>
      </c>
      <c r="D188" s="104" t="s">
        <v>1000</v>
      </c>
      <c r="E188" s="115">
        <v>5</v>
      </c>
      <c r="F188" s="104" t="s">
        <v>41</v>
      </c>
      <c r="G188" s="104"/>
      <c r="H188" s="104"/>
      <c r="I188" s="116" t="s">
        <v>506</v>
      </c>
    </row>
    <row r="189" spans="2:9" x14ac:dyDescent="0.25">
      <c r="B189" s="104" t="s">
        <v>1006</v>
      </c>
      <c r="C189" s="104" t="s">
        <v>996</v>
      </c>
      <c r="D189" s="104" t="s">
        <v>1001</v>
      </c>
      <c r="E189" s="115">
        <v>4</v>
      </c>
      <c r="F189" s="104" t="s">
        <v>41</v>
      </c>
      <c r="G189" s="104"/>
      <c r="H189" s="104"/>
      <c r="I189" s="116" t="s">
        <v>506</v>
      </c>
    </row>
    <row r="190" spans="2:9" x14ac:dyDescent="0.25">
      <c r="B190" s="104" t="s">
        <v>1006</v>
      </c>
      <c r="C190" s="104" t="s">
        <v>996</v>
      </c>
      <c r="D190" s="104" t="s">
        <v>1002</v>
      </c>
      <c r="E190" s="115">
        <v>60</v>
      </c>
      <c r="F190" s="104" t="s">
        <v>41</v>
      </c>
      <c r="G190" s="104"/>
      <c r="H190" s="104"/>
      <c r="I190" s="116" t="s">
        <v>506</v>
      </c>
    </row>
    <row r="191" spans="2:9" x14ac:dyDescent="0.25">
      <c r="B191" s="107" t="s">
        <v>1007</v>
      </c>
      <c r="C191" s="107" t="s">
        <v>992</v>
      </c>
      <c r="D191" s="107" t="s">
        <v>993</v>
      </c>
      <c r="E191" s="117">
        <v>3</v>
      </c>
      <c r="F191" s="107" t="s">
        <v>41</v>
      </c>
      <c r="G191" s="107"/>
      <c r="H191" s="107"/>
      <c r="I191" s="109" t="s">
        <v>506</v>
      </c>
    </row>
    <row r="192" spans="2:9" x14ac:dyDescent="0.25">
      <c r="B192" s="107" t="s">
        <v>1007</v>
      </c>
      <c r="C192" s="107" t="s">
        <v>992</v>
      </c>
      <c r="D192" s="107" t="s">
        <v>975</v>
      </c>
      <c r="E192" s="117">
        <v>20</v>
      </c>
      <c r="F192" s="107" t="s">
        <v>44</v>
      </c>
      <c r="G192" s="107"/>
      <c r="H192" s="107"/>
      <c r="I192" s="109" t="s">
        <v>506</v>
      </c>
    </row>
    <row r="193" spans="2:9" x14ac:dyDescent="0.25">
      <c r="B193" s="107" t="s">
        <v>1007</v>
      </c>
      <c r="C193" s="107" t="s">
        <v>992</v>
      </c>
      <c r="D193" s="107" t="s">
        <v>994</v>
      </c>
      <c r="E193" s="117">
        <v>10</v>
      </c>
      <c r="F193" s="107" t="s">
        <v>995</v>
      </c>
      <c r="G193" s="107"/>
      <c r="H193" s="107"/>
      <c r="I193" s="109" t="s">
        <v>506</v>
      </c>
    </row>
    <row r="194" spans="2:9" x14ac:dyDescent="0.25">
      <c r="B194" s="107" t="s">
        <v>1007</v>
      </c>
      <c r="C194" s="107" t="s">
        <v>996</v>
      </c>
      <c r="D194" s="107" t="s">
        <v>998</v>
      </c>
      <c r="E194" s="117">
        <f>'Project Data - Step 1'!D106</f>
        <v>100000</v>
      </c>
      <c r="F194" s="107" t="s">
        <v>999</v>
      </c>
      <c r="G194" s="107"/>
      <c r="H194" s="107"/>
      <c r="I194" s="109" t="s">
        <v>506</v>
      </c>
    </row>
    <row r="195" spans="2:9" x14ac:dyDescent="0.25">
      <c r="B195" s="107" t="s">
        <v>1007</v>
      </c>
      <c r="C195" s="107" t="s">
        <v>996</v>
      </c>
      <c r="D195" s="107" t="s">
        <v>1002</v>
      </c>
      <c r="E195" s="117">
        <v>150</v>
      </c>
      <c r="F195" s="107" t="s">
        <v>41</v>
      </c>
      <c r="G195" s="107"/>
      <c r="H195" s="107"/>
      <c r="I195" s="109" t="s">
        <v>506</v>
      </c>
    </row>
    <row r="196" spans="2:9" x14ac:dyDescent="0.25">
      <c r="B196" s="107" t="s">
        <v>1007</v>
      </c>
      <c r="C196" s="107" t="s">
        <v>996</v>
      </c>
      <c r="D196" s="107" t="s">
        <v>1003</v>
      </c>
      <c r="E196" s="117">
        <v>7</v>
      </c>
      <c r="F196" s="107" t="s">
        <v>1004</v>
      </c>
      <c r="G196" s="107"/>
      <c r="H196" s="107"/>
      <c r="I196" s="109" t="s">
        <v>506</v>
      </c>
    </row>
    <row r="197" spans="2:9" x14ac:dyDescent="0.25">
      <c r="B197" s="107" t="s">
        <v>1007</v>
      </c>
      <c r="C197" s="107" t="s">
        <v>996</v>
      </c>
      <c r="D197" s="107" t="s">
        <v>1005</v>
      </c>
      <c r="E197" s="117">
        <v>1</v>
      </c>
      <c r="F197" s="107"/>
      <c r="G197" s="107"/>
      <c r="H197" s="107"/>
      <c r="I197" s="109" t="s">
        <v>506</v>
      </c>
    </row>
    <row r="198" spans="2:9" x14ac:dyDescent="0.25">
      <c r="B198" s="107" t="s">
        <v>1007</v>
      </c>
      <c r="C198" s="107" t="s">
        <v>987</v>
      </c>
      <c r="D198" s="107" t="s">
        <v>988</v>
      </c>
      <c r="E198" s="117">
        <v>5000</v>
      </c>
      <c r="F198" s="107" t="s">
        <v>46</v>
      </c>
      <c r="G198" s="107"/>
      <c r="H198" s="107"/>
      <c r="I198" s="109" t="s">
        <v>506</v>
      </c>
    </row>
    <row r="199" spans="2:9" x14ac:dyDescent="0.25">
      <c r="B199" s="107" t="s">
        <v>1007</v>
      </c>
      <c r="C199" s="107" t="s">
        <v>987</v>
      </c>
      <c r="D199" s="107" t="s">
        <v>989</v>
      </c>
      <c r="E199" s="117">
        <v>8</v>
      </c>
      <c r="F199" s="107" t="s">
        <v>990</v>
      </c>
      <c r="G199" s="107"/>
      <c r="H199" s="107"/>
      <c r="I199" s="109" t="s">
        <v>506</v>
      </c>
    </row>
    <row r="200" spans="2:9" x14ac:dyDescent="0.25">
      <c r="B200" s="107" t="s">
        <v>1007</v>
      </c>
      <c r="C200" s="107" t="s">
        <v>987</v>
      </c>
      <c r="D200" s="107" t="s">
        <v>991</v>
      </c>
      <c r="E200" s="117">
        <v>1000</v>
      </c>
      <c r="F200" s="107" t="s">
        <v>48</v>
      </c>
      <c r="G200" s="107"/>
      <c r="H200" s="107"/>
      <c r="I200" s="109" t="s">
        <v>506</v>
      </c>
    </row>
    <row r="201" spans="2:9" x14ac:dyDescent="0.25">
      <c r="B201" s="104" t="s">
        <v>1008</v>
      </c>
      <c r="C201" s="104" t="s">
        <v>992</v>
      </c>
      <c r="D201" s="104" t="s">
        <v>993</v>
      </c>
      <c r="E201" s="115">
        <v>2.5</v>
      </c>
      <c r="F201" s="104" t="s">
        <v>41</v>
      </c>
      <c r="G201" s="104"/>
      <c r="H201" s="104"/>
      <c r="I201" s="116" t="s">
        <v>506</v>
      </c>
    </row>
    <row r="202" spans="2:9" x14ac:dyDescent="0.25">
      <c r="B202" s="104" t="s">
        <v>1008</v>
      </c>
      <c r="C202" s="104" t="s">
        <v>992</v>
      </c>
      <c r="D202" s="104" t="s">
        <v>975</v>
      </c>
      <c r="E202" s="115">
        <v>20</v>
      </c>
      <c r="F202" s="104" t="s">
        <v>44</v>
      </c>
      <c r="G202" s="104"/>
      <c r="H202" s="104"/>
      <c r="I202" s="116" t="s">
        <v>506</v>
      </c>
    </row>
    <row r="203" spans="2:9" x14ac:dyDescent="0.25">
      <c r="B203" s="104" t="s">
        <v>1008</v>
      </c>
      <c r="C203" s="104" t="s">
        <v>992</v>
      </c>
      <c r="D203" s="104" t="s">
        <v>994</v>
      </c>
      <c r="E203" s="115">
        <v>6</v>
      </c>
      <c r="F203" s="104" t="s">
        <v>995</v>
      </c>
      <c r="G203" s="104"/>
      <c r="H203" s="104"/>
      <c r="I203" s="116" t="s">
        <v>506</v>
      </c>
    </row>
    <row r="204" spans="2:9" x14ac:dyDescent="0.25">
      <c r="B204" s="104" t="s">
        <v>1008</v>
      </c>
      <c r="C204" s="104" t="s">
        <v>996</v>
      </c>
      <c r="D204" s="104" t="s">
        <v>997</v>
      </c>
      <c r="E204" s="115">
        <v>35</v>
      </c>
      <c r="F204" s="104" t="s">
        <v>41</v>
      </c>
      <c r="G204" s="104"/>
      <c r="H204" s="104"/>
      <c r="I204" s="116" t="s">
        <v>506</v>
      </c>
    </row>
    <row r="205" spans="2:9" x14ac:dyDescent="0.25">
      <c r="B205" s="104" t="s">
        <v>1008</v>
      </c>
      <c r="C205" s="104" t="s">
        <v>996</v>
      </c>
      <c r="D205" s="104" t="s">
        <v>998</v>
      </c>
      <c r="E205" s="115">
        <f>'Project Data - Step 1'!D109</f>
        <v>30000</v>
      </c>
      <c r="F205" s="104" t="s">
        <v>999</v>
      </c>
      <c r="G205" s="104"/>
      <c r="H205" s="104"/>
      <c r="I205" s="116" t="s">
        <v>506</v>
      </c>
    </row>
    <row r="206" spans="2:9" x14ac:dyDescent="0.25">
      <c r="B206" s="104" t="s">
        <v>1008</v>
      </c>
      <c r="C206" s="104" t="s">
        <v>996</v>
      </c>
      <c r="D206" s="104" t="s">
        <v>1000</v>
      </c>
      <c r="E206" s="115">
        <v>5</v>
      </c>
      <c r="F206" s="104" t="s">
        <v>41</v>
      </c>
      <c r="G206" s="104"/>
      <c r="H206" s="104"/>
      <c r="I206" s="116" t="s">
        <v>506</v>
      </c>
    </row>
    <row r="207" spans="2:9" x14ac:dyDescent="0.25">
      <c r="B207" s="104" t="s">
        <v>1008</v>
      </c>
      <c r="C207" s="104" t="s">
        <v>996</v>
      </c>
      <c r="D207" s="104" t="s">
        <v>1001</v>
      </c>
      <c r="E207" s="115">
        <v>4</v>
      </c>
      <c r="F207" s="104" t="s">
        <v>41</v>
      </c>
      <c r="G207" s="104"/>
      <c r="H207" s="104"/>
      <c r="I207" s="116" t="s">
        <v>506</v>
      </c>
    </row>
    <row r="208" spans="2:9" x14ac:dyDescent="0.25">
      <c r="B208" s="104" t="s">
        <v>1008</v>
      </c>
      <c r="C208" s="104" t="s">
        <v>996</v>
      </c>
      <c r="D208" s="104" t="s">
        <v>1002</v>
      </c>
      <c r="E208" s="115">
        <v>60</v>
      </c>
      <c r="F208" s="104" t="s">
        <v>41</v>
      </c>
      <c r="G208" s="104"/>
      <c r="H208" s="104"/>
      <c r="I208" s="116" t="s">
        <v>506</v>
      </c>
    </row>
    <row r="209" spans="2:9" x14ac:dyDescent="0.25">
      <c r="B209" s="107" t="s">
        <v>1009</v>
      </c>
      <c r="C209" s="107" t="s">
        <v>992</v>
      </c>
      <c r="D209" s="107" t="s">
        <v>993</v>
      </c>
      <c r="E209" s="117">
        <v>2</v>
      </c>
      <c r="F209" s="107" t="s">
        <v>41</v>
      </c>
      <c r="G209" s="107"/>
      <c r="H209" s="107"/>
      <c r="I209" s="109" t="s">
        <v>506</v>
      </c>
    </row>
    <row r="210" spans="2:9" x14ac:dyDescent="0.25">
      <c r="B210" s="107" t="s">
        <v>1009</v>
      </c>
      <c r="C210" s="107" t="s">
        <v>992</v>
      </c>
      <c r="D210" s="107" t="s">
        <v>975</v>
      </c>
      <c r="E210" s="117">
        <v>25</v>
      </c>
      <c r="F210" s="107" t="s">
        <v>44</v>
      </c>
      <c r="G210" s="107"/>
      <c r="H210" s="107"/>
      <c r="I210" s="109" t="s">
        <v>506</v>
      </c>
    </row>
    <row r="211" spans="2:9" x14ac:dyDescent="0.25">
      <c r="B211" s="107" t="s">
        <v>1009</v>
      </c>
      <c r="C211" s="107" t="s">
        <v>992</v>
      </c>
      <c r="D211" s="107" t="s">
        <v>994</v>
      </c>
      <c r="E211" s="117">
        <v>11.5</v>
      </c>
      <c r="F211" s="107" t="s">
        <v>927</v>
      </c>
      <c r="G211" s="107"/>
      <c r="H211" s="107"/>
      <c r="I211" s="109" t="s">
        <v>506</v>
      </c>
    </row>
    <row r="212" spans="2:9" x14ac:dyDescent="0.25">
      <c r="B212" s="107" t="s">
        <v>1009</v>
      </c>
      <c r="C212" s="107" t="s">
        <v>996</v>
      </c>
      <c r="D212" s="107" t="s">
        <v>997</v>
      </c>
      <c r="E212" s="117">
        <v>30</v>
      </c>
      <c r="F212" s="107" t="s">
        <v>41</v>
      </c>
      <c r="G212" s="107"/>
      <c r="H212" s="107"/>
      <c r="I212" s="109" t="s">
        <v>506</v>
      </c>
    </row>
    <row r="213" spans="2:9" x14ac:dyDescent="0.25">
      <c r="B213" s="107" t="s">
        <v>1009</v>
      </c>
      <c r="C213" s="107" t="s">
        <v>996</v>
      </c>
      <c r="D213" s="107" t="s">
        <v>998</v>
      </c>
      <c r="E213" s="117">
        <f>'Project Data - Step 1'!D119</f>
        <v>120000</v>
      </c>
      <c r="F213" s="107" t="s">
        <v>999</v>
      </c>
      <c r="G213" s="107"/>
      <c r="H213" s="107"/>
      <c r="I213" s="109" t="s">
        <v>506</v>
      </c>
    </row>
    <row r="214" spans="2:9" x14ac:dyDescent="0.25">
      <c r="B214" s="107" t="s">
        <v>1009</v>
      </c>
      <c r="C214" s="107" t="s">
        <v>996</v>
      </c>
      <c r="D214" s="107" t="s">
        <v>1001</v>
      </c>
      <c r="E214" s="117">
        <v>4.8</v>
      </c>
      <c r="F214" s="107" t="s">
        <v>41</v>
      </c>
      <c r="G214" s="107"/>
      <c r="H214" s="107"/>
      <c r="I214" s="109" t="s">
        <v>506</v>
      </c>
    </row>
    <row r="215" spans="2:9" x14ac:dyDescent="0.25">
      <c r="B215" s="107" t="s">
        <v>1009</v>
      </c>
      <c r="C215" s="107" t="s">
        <v>996</v>
      </c>
      <c r="D215" s="107" t="s">
        <v>1002</v>
      </c>
      <c r="E215" s="117">
        <v>99</v>
      </c>
      <c r="F215" s="107" t="s">
        <v>41</v>
      </c>
      <c r="G215" s="107"/>
      <c r="H215" s="107"/>
      <c r="I215" s="109" t="s">
        <v>506</v>
      </c>
    </row>
    <row r="216" spans="2:9" x14ac:dyDescent="0.25">
      <c r="B216" s="107" t="s">
        <v>1009</v>
      </c>
      <c r="C216" s="107" t="s">
        <v>1010</v>
      </c>
      <c r="D216" s="107" t="s">
        <v>1011</v>
      </c>
      <c r="E216" s="117">
        <v>4000</v>
      </c>
      <c r="F216" s="107" t="s">
        <v>46</v>
      </c>
      <c r="G216" s="107"/>
      <c r="H216" s="107"/>
      <c r="I216" s="109" t="s">
        <v>506</v>
      </c>
    </row>
    <row r="217" spans="2:9" x14ac:dyDescent="0.25">
      <c r="B217" s="107" t="s">
        <v>1009</v>
      </c>
      <c r="C217" s="107"/>
      <c r="D217" s="107" t="s">
        <v>1012</v>
      </c>
      <c r="E217" s="117">
        <v>0.3</v>
      </c>
      <c r="F217" s="107" t="s">
        <v>927</v>
      </c>
      <c r="G217" s="107"/>
      <c r="H217" s="107"/>
      <c r="I217" s="109" t="s">
        <v>506</v>
      </c>
    </row>
    <row r="218" spans="2:9" x14ac:dyDescent="0.25">
      <c r="B218" s="107" t="s">
        <v>1009</v>
      </c>
      <c r="C218" s="107"/>
      <c r="D218" s="107" t="s">
        <v>1013</v>
      </c>
      <c r="E218" s="117">
        <v>1</v>
      </c>
      <c r="F218" s="107" t="s">
        <v>927</v>
      </c>
      <c r="G218" s="107"/>
      <c r="H218" s="107"/>
      <c r="I218" s="109" t="s">
        <v>506</v>
      </c>
    </row>
    <row r="219" spans="2:9" x14ac:dyDescent="0.25">
      <c r="B219" s="107" t="s">
        <v>1009</v>
      </c>
      <c r="C219" s="107"/>
      <c r="D219" s="107" t="s">
        <v>1014</v>
      </c>
      <c r="E219" s="117">
        <v>0.5</v>
      </c>
      <c r="F219" s="107" t="s">
        <v>927</v>
      </c>
      <c r="G219" s="107"/>
      <c r="H219" s="107"/>
      <c r="I219" s="109" t="s">
        <v>506</v>
      </c>
    </row>
    <row r="220" spans="2:9" x14ac:dyDescent="0.25">
      <c r="B220" s="107" t="s">
        <v>1009</v>
      </c>
      <c r="C220" s="107"/>
      <c r="D220" s="107" t="s">
        <v>1015</v>
      </c>
      <c r="E220" s="117">
        <v>1</v>
      </c>
      <c r="F220" s="107" t="s">
        <v>927</v>
      </c>
      <c r="G220" s="107"/>
      <c r="H220" s="107"/>
      <c r="I220" s="109" t="s">
        <v>506</v>
      </c>
    </row>
    <row r="221" spans="2:9" x14ac:dyDescent="0.25">
      <c r="B221" s="107" t="s">
        <v>1009</v>
      </c>
      <c r="C221" s="107"/>
      <c r="D221" s="107" t="s">
        <v>1016</v>
      </c>
      <c r="E221" s="117">
        <v>6</v>
      </c>
      <c r="F221" s="107" t="s">
        <v>1017</v>
      </c>
      <c r="G221" s="107"/>
      <c r="H221" s="107"/>
      <c r="I221" s="109" t="s">
        <v>506</v>
      </c>
    </row>
    <row r="222" spans="2:9" x14ac:dyDescent="0.25">
      <c r="B222" s="107" t="s">
        <v>1009</v>
      </c>
      <c r="C222" s="107"/>
      <c r="D222" s="107" t="s">
        <v>1018</v>
      </c>
      <c r="E222" s="117">
        <v>1</v>
      </c>
      <c r="F222" s="107" t="s">
        <v>1017</v>
      </c>
      <c r="G222" s="107"/>
      <c r="H222" s="107"/>
      <c r="I222" s="109" t="s">
        <v>506</v>
      </c>
    </row>
    <row r="223" spans="2:9" x14ac:dyDescent="0.25">
      <c r="B223" s="107" t="s">
        <v>1009</v>
      </c>
      <c r="C223" s="107"/>
      <c r="D223" s="107" t="s">
        <v>1019</v>
      </c>
      <c r="E223" s="117">
        <v>1</v>
      </c>
      <c r="F223" s="107" t="s">
        <v>1017</v>
      </c>
      <c r="G223" s="107"/>
      <c r="H223" s="107"/>
      <c r="I223" s="109" t="s">
        <v>506</v>
      </c>
    </row>
    <row r="224" spans="2:9" x14ac:dyDescent="0.25">
      <c r="B224" s="107" t="s">
        <v>1009</v>
      </c>
      <c r="C224" s="107"/>
      <c r="D224" s="107" t="s">
        <v>1020</v>
      </c>
      <c r="E224" s="117">
        <v>5.5</v>
      </c>
      <c r="F224" s="107" t="s">
        <v>1017</v>
      </c>
      <c r="G224" s="107"/>
      <c r="H224" s="107"/>
      <c r="I224" s="109" t="s">
        <v>506</v>
      </c>
    </row>
    <row r="225" spans="2:9" x14ac:dyDescent="0.25">
      <c r="B225" s="107" t="s">
        <v>1009</v>
      </c>
      <c r="C225" s="107"/>
      <c r="D225" s="107" t="s">
        <v>1021</v>
      </c>
      <c r="E225" s="117">
        <v>5.5</v>
      </c>
      <c r="F225" s="107" t="s">
        <v>1017</v>
      </c>
      <c r="G225" s="107"/>
      <c r="H225" s="107"/>
      <c r="I225" s="109" t="s">
        <v>506</v>
      </c>
    </row>
    <row r="226" spans="2:9" x14ac:dyDescent="0.25">
      <c r="B226" s="107" t="s">
        <v>1009</v>
      </c>
      <c r="C226" s="107"/>
      <c r="D226" s="107" t="s">
        <v>1022</v>
      </c>
      <c r="E226" s="117">
        <v>48</v>
      </c>
      <c r="F226" s="107" t="s">
        <v>1017</v>
      </c>
      <c r="G226" s="107"/>
      <c r="H226" s="107"/>
      <c r="I226" s="109" t="s">
        <v>506</v>
      </c>
    </row>
    <row r="227" spans="2:9" x14ac:dyDescent="0.25">
      <c r="B227" s="107" t="s">
        <v>1009</v>
      </c>
      <c r="C227" s="107"/>
      <c r="D227" s="107" t="s">
        <v>1023</v>
      </c>
      <c r="E227" s="117">
        <v>0.5</v>
      </c>
      <c r="F227" s="107" t="s">
        <v>1017</v>
      </c>
      <c r="G227" s="107"/>
      <c r="H227" s="107"/>
      <c r="I227" s="109" t="s">
        <v>506</v>
      </c>
    </row>
    <row r="228" spans="2:9" x14ac:dyDescent="0.25">
      <c r="B228" s="104" t="s">
        <v>1024</v>
      </c>
      <c r="C228" s="104"/>
      <c r="D228" s="104" t="s">
        <v>1025</v>
      </c>
      <c r="E228" s="115">
        <v>48</v>
      </c>
      <c r="F228" s="104" t="s">
        <v>1017</v>
      </c>
      <c r="G228" s="104"/>
      <c r="H228" s="104"/>
      <c r="I228" s="116" t="s">
        <v>506</v>
      </c>
    </row>
    <row r="229" spans="2:9" x14ac:dyDescent="0.25">
      <c r="B229" s="104" t="s">
        <v>1024</v>
      </c>
      <c r="C229" s="104"/>
      <c r="D229" s="104" t="s">
        <v>1026</v>
      </c>
      <c r="E229" s="115">
        <v>0.1</v>
      </c>
      <c r="F229" s="104" t="s">
        <v>927</v>
      </c>
      <c r="G229" s="104"/>
      <c r="H229" s="104"/>
      <c r="I229" s="116" t="s">
        <v>506</v>
      </c>
    </row>
    <row r="230" spans="2:9" x14ac:dyDescent="0.25">
      <c r="B230" s="104" t="s">
        <v>1024</v>
      </c>
      <c r="C230" s="104"/>
      <c r="D230" s="104" t="s">
        <v>1027</v>
      </c>
      <c r="E230" s="115">
        <v>5</v>
      </c>
      <c r="F230" s="104" t="s">
        <v>927</v>
      </c>
      <c r="G230" s="104"/>
      <c r="H230" s="104"/>
      <c r="I230" s="116" t="s">
        <v>506</v>
      </c>
    </row>
    <row r="231" spans="2:9" x14ac:dyDescent="0.25">
      <c r="B231" s="104" t="s">
        <v>1024</v>
      </c>
      <c r="C231" s="104"/>
      <c r="D231" s="104" t="s">
        <v>1028</v>
      </c>
      <c r="E231" s="115">
        <v>5</v>
      </c>
      <c r="F231" s="104" t="s">
        <v>927</v>
      </c>
      <c r="G231" s="104"/>
      <c r="H231" s="104"/>
      <c r="I231" s="116" t="s">
        <v>506</v>
      </c>
    </row>
    <row r="232" spans="2:9" x14ac:dyDescent="0.25">
      <c r="B232" s="104" t="s">
        <v>1024</v>
      </c>
      <c r="C232" s="104" t="s">
        <v>992</v>
      </c>
      <c r="D232" s="104" t="s">
        <v>993</v>
      </c>
      <c r="E232" s="115">
        <v>2</v>
      </c>
      <c r="F232" s="104" t="s">
        <v>41</v>
      </c>
      <c r="G232" s="104"/>
      <c r="H232" s="104"/>
      <c r="I232" s="116" t="s">
        <v>506</v>
      </c>
    </row>
    <row r="233" spans="2:9" x14ac:dyDescent="0.25">
      <c r="B233" s="104" t="s">
        <v>1024</v>
      </c>
      <c r="C233" s="104" t="s">
        <v>992</v>
      </c>
      <c r="D233" s="104" t="s">
        <v>975</v>
      </c>
      <c r="E233" s="115">
        <v>25</v>
      </c>
      <c r="F233" s="104" t="s">
        <v>44</v>
      </c>
      <c r="G233" s="104"/>
      <c r="H233" s="104"/>
      <c r="I233" s="116" t="s">
        <v>506</v>
      </c>
    </row>
    <row r="234" spans="2:9" x14ac:dyDescent="0.25">
      <c r="B234" s="104" t="s">
        <v>1024</v>
      </c>
      <c r="C234" s="104" t="s">
        <v>992</v>
      </c>
      <c r="D234" s="104" t="s">
        <v>994</v>
      </c>
      <c r="E234" s="115">
        <v>11.5</v>
      </c>
      <c r="F234" s="104" t="s">
        <v>927</v>
      </c>
      <c r="G234" s="104"/>
      <c r="H234" s="104"/>
      <c r="I234" s="116" t="s">
        <v>506</v>
      </c>
    </row>
    <row r="235" spans="2:9" x14ac:dyDescent="0.25">
      <c r="B235" s="104" t="s">
        <v>1024</v>
      </c>
      <c r="C235" s="104" t="s">
        <v>996</v>
      </c>
      <c r="D235" s="104" t="s">
        <v>997</v>
      </c>
      <c r="E235" s="115">
        <v>30</v>
      </c>
      <c r="F235" s="104" t="s">
        <v>41</v>
      </c>
      <c r="G235" s="104"/>
      <c r="H235" s="104"/>
      <c r="I235" s="116" t="s">
        <v>506</v>
      </c>
    </row>
    <row r="236" spans="2:9" x14ac:dyDescent="0.25">
      <c r="B236" s="104" t="s">
        <v>1024</v>
      </c>
      <c r="C236" s="104" t="s">
        <v>996</v>
      </c>
      <c r="D236" s="104" t="s">
        <v>998</v>
      </c>
      <c r="E236" s="115">
        <f>'Project Data - Step 1'!D122</f>
        <v>120000</v>
      </c>
      <c r="F236" s="104" t="s">
        <v>999</v>
      </c>
      <c r="G236" s="104"/>
      <c r="H236" s="104"/>
      <c r="I236" s="116" t="s">
        <v>506</v>
      </c>
    </row>
    <row r="237" spans="2:9" x14ac:dyDescent="0.25">
      <c r="B237" s="104" t="s">
        <v>1024</v>
      </c>
      <c r="C237" s="104" t="s">
        <v>996</v>
      </c>
      <c r="D237" s="104" t="s">
        <v>1001</v>
      </c>
      <c r="E237" s="115">
        <v>4.8</v>
      </c>
      <c r="F237" s="104" t="s">
        <v>41</v>
      </c>
      <c r="G237" s="104"/>
      <c r="H237" s="104"/>
      <c r="I237" s="116" t="s">
        <v>506</v>
      </c>
    </row>
    <row r="238" spans="2:9" x14ac:dyDescent="0.25">
      <c r="B238" s="104" t="s">
        <v>1024</v>
      </c>
      <c r="C238" s="104" t="s">
        <v>996</v>
      </c>
      <c r="D238" s="104" t="s">
        <v>1002</v>
      </c>
      <c r="E238" s="115">
        <v>99</v>
      </c>
      <c r="F238" s="104" t="s">
        <v>41</v>
      </c>
      <c r="G238" s="104"/>
      <c r="H238" s="104"/>
      <c r="I238" s="116" t="s">
        <v>506</v>
      </c>
    </row>
    <row r="239" spans="2:9" x14ac:dyDescent="0.25">
      <c r="B239" s="104" t="s">
        <v>1024</v>
      </c>
      <c r="C239" s="104" t="s">
        <v>1010</v>
      </c>
      <c r="D239" s="104" t="s">
        <v>1011</v>
      </c>
      <c r="E239" s="115">
        <v>4000</v>
      </c>
      <c r="F239" s="104" t="s">
        <v>46</v>
      </c>
      <c r="G239" s="104"/>
      <c r="H239" s="104"/>
      <c r="I239" s="116" t="s">
        <v>506</v>
      </c>
    </row>
    <row r="240" spans="2:9" x14ac:dyDescent="0.25">
      <c r="B240" s="104" t="s">
        <v>1024</v>
      </c>
      <c r="C240" s="104"/>
      <c r="D240" s="104" t="s">
        <v>1012</v>
      </c>
      <c r="E240" s="115">
        <v>0.3</v>
      </c>
      <c r="F240" s="104" t="s">
        <v>927</v>
      </c>
      <c r="G240" s="104"/>
      <c r="H240" s="104"/>
      <c r="I240" s="116" t="s">
        <v>506</v>
      </c>
    </row>
    <row r="241" spans="2:9" x14ac:dyDescent="0.25">
      <c r="B241" s="104" t="s">
        <v>1024</v>
      </c>
      <c r="C241" s="104"/>
      <c r="D241" s="104" t="s">
        <v>1013</v>
      </c>
      <c r="E241" s="115">
        <v>1</v>
      </c>
      <c r="F241" s="104" t="s">
        <v>927</v>
      </c>
      <c r="G241" s="104"/>
      <c r="H241" s="104"/>
      <c r="I241" s="116" t="s">
        <v>506</v>
      </c>
    </row>
    <row r="242" spans="2:9" x14ac:dyDescent="0.25">
      <c r="B242" s="104" t="s">
        <v>1024</v>
      </c>
      <c r="C242" s="104"/>
      <c r="D242" s="104" t="s">
        <v>1014</v>
      </c>
      <c r="E242" s="115">
        <v>0.5</v>
      </c>
      <c r="F242" s="104" t="s">
        <v>927</v>
      </c>
      <c r="G242" s="104"/>
      <c r="H242" s="104"/>
      <c r="I242" s="116" t="s">
        <v>506</v>
      </c>
    </row>
    <row r="243" spans="2:9" x14ac:dyDescent="0.25">
      <c r="B243" s="104" t="s">
        <v>1024</v>
      </c>
      <c r="C243" s="104"/>
      <c r="D243" s="104" t="s">
        <v>1015</v>
      </c>
      <c r="E243" s="115">
        <v>1</v>
      </c>
      <c r="F243" s="104" t="s">
        <v>927</v>
      </c>
      <c r="G243" s="104"/>
      <c r="H243" s="104"/>
      <c r="I243" s="116" t="s">
        <v>506</v>
      </c>
    </row>
    <row r="244" spans="2:9" x14ac:dyDescent="0.25">
      <c r="B244" s="104" t="s">
        <v>1024</v>
      </c>
      <c r="C244" s="104"/>
      <c r="D244" s="104" t="s">
        <v>1016</v>
      </c>
      <c r="E244" s="115">
        <v>6</v>
      </c>
      <c r="F244" s="104" t="s">
        <v>1017</v>
      </c>
      <c r="G244" s="104"/>
      <c r="H244" s="104"/>
      <c r="I244" s="116" t="s">
        <v>506</v>
      </c>
    </row>
    <row r="245" spans="2:9" x14ac:dyDescent="0.25">
      <c r="B245" s="104" t="s">
        <v>1024</v>
      </c>
      <c r="C245" s="104"/>
      <c r="D245" s="104" t="s">
        <v>1018</v>
      </c>
      <c r="E245" s="115">
        <v>1</v>
      </c>
      <c r="F245" s="104" t="s">
        <v>1017</v>
      </c>
      <c r="G245" s="104"/>
      <c r="H245" s="104"/>
      <c r="I245" s="116" t="s">
        <v>506</v>
      </c>
    </row>
    <row r="246" spans="2:9" x14ac:dyDescent="0.25">
      <c r="B246" s="104" t="s">
        <v>1024</v>
      </c>
      <c r="C246" s="104"/>
      <c r="D246" s="104" t="s">
        <v>1019</v>
      </c>
      <c r="E246" s="115">
        <v>1</v>
      </c>
      <c r="F246" s="104" t="s">
        <v>1017</v>
      </c>
      <c r="G246" s="104"/>
      <c r="H246" s="104"/>
      <c r="I246" s="116" t="s">
        <v>506</v>
      </c>
    </row>
    <row r="247" spans="2:9" x14ac:dyDescent="0.25">
      <c r="B247" s="104" t="s">
        <v>1024</v>
      </c>
      <c r="C247" s="104"/>
      <c r="D247" s="104" t="s">
        <v>1020</v>
      </c>
      <c r="E247" s="115">
        <v>5.5</v>
      </c>
      <c r="F247" s="104" t="s">
        <v>1017</v>
      </c>
      <c r="G247" s="104"/>
      <c r="H247" s="104"/>
      <c r="I247" s="116" t="s">
        <v>506</v>
      </c>
    </row>
    <row r="248" spans="2:9" x14ac:dyDescent="0.25">
      <c r="B248" s="104" t="s">
        <v>1024</v>
      </c>
      <c r="C248" s="104"/>
      <c r="D248" s="104" t="s">
        <v>1021</v>
      </c>
      <c r="E248" s="115">
        <v>5.5</v>
      </c>
      <c r="F248" s="104" t="s">
        <v>1017</v>
      </c>
      <c r="G248" s="104"/>
      <c r="H248" s="104"/>
      <c r="I248" s="116" t="s">
        <v>506</v>
      </c>
    </row>
    <row r="249" spans="2:9" x14ac:dyDescent="0.25">
      <c r="B249" s="104" t="s">
        <v>1024</v>
      </c>
      <c r="C249" s="104"/>
      <c r="D249" s="104" t="s">
        <v>1022</v>
      </c>
      <c r="E249" s="115">
        <v>48</v>
      </c>
      <c r="F249" s="104" t="s">
        <v>1017</v>
      </c>
      <c r="G249" s="104"/>
      <c r="H249" s="104"/>
      <c r="I249" s="116" t="s">
        <v>506</v>
      </c>
    </row>
    <row r="250" spans="2:9" x14ac:dyDescent="0.25">
      <c r="B250" s="104" t="s">
        <v>1024</v>
      </c>
      <c r="C250" s="104"/>
      <c r="D250" s="104" t="s">
        <v>1023</v>
      </c>
      <c r="E250" s="115">
        <v>0.5</v>
      </c>
      <c r="F250" s="104" t="s">
        <v>1017</v>
      </c>
      <c r="G250" s="104"/>
      <c r="H250" s="104"/>
      <c r="I250" s="116" t="s">
        <v>506</v>
      </c>
    </row>
    <row r="251" spans="2:9" x14ac:dyDescent="0.25">
      <c r="B251" s="107" t="s">
        <v>1029</v>
      </c>
      <c r="C251" s="107" t="s">
        <v>971</v>
      </c>
      <c r="D251" s="107" t="s">
        <v>972</v>
      </c>
      <c r="E251" s="117">
        <v>100</v>
      </c>
      <c r="F251" s="107" t="s">
        <v>41</v>
      </c>
      <c r="G251" s="107"/>
      <c r="H251" s="107"/>
      <c r="I251" s="109"/>
    </row>
    <row r="252" spans="2:9" x14ac:dyDescent="0.25">
      <c r="B252" s="107" t="s">
        <v>1029</v>
      </c>
      <c r="C252" s="107" t="s">
        <v>971</v>
      </c>
      <c r="D252" s="107" t="s">
        <v>973</v>
      </c>
      <c r="E252" s="117">
        <v>72</v>
      </c>
      <c r="F252" s="107" t="s">
        <v>41</v>
      </c>
      <c r="G252" s="107"/>
      <c r="H252" s="107"/>
      <c r="I252" s="109"/>
    </row>
    <row r="253" spans="2:9" x14ac:dyDescent="0.25">
      <c r="B253" s="107" t="s">
        <v>1029</v>
      </c>
      <c r="C253" s="107" t="s">
        <v>971</v>
      </c>
      <c r="D253" s="107" t="s">
        <v>974</v>
      </c>
      <c r="E253" s="117">
        <v>5500</v>
      </c>
      <c r="F253" s="107" t="s">
        <v>46</v>
      </c>
      <c r="G253" s="107"/>
      <c r="H253" s="107"/>
      <c r="I253" s="109"/>
    </row>
    <row r="254" spans="2:9" x14ac:dyDescent="0.25">
      <c r="B254" s="107" t="s">
        <v>1029</v>
      </c>
      <c r="C254" s="107" t="s">
        <v>971</v>
      </c>
      <c r="D254" s="107" t="s">
        <v>975</v>
      </c>
      <c r="E254" s="117">
        <v>15</v>
      </c>
      <c r="F254" s="107" t="s">
        <v>44</v>
      </c>
      <c r="G254" s="107"/>
      <c r="H254" s="107"/>
      <c r="I254" s="109"/>
    </row>
    <row r="255" spans="2:9" x14ac:dyDescent="0.25">
      <c r="B255" s="107" t="s">
        <v>1029</v>
      </c>
      <c r="C255" s="107" t="s">
        <v>971</v>
      </c>
      <c r="D255" s="107" t="s">
        <v>976</v>
      </c>
      <c r="E255" s="117">
        <v>30</v>
      </c>
      <c r="F255" s="107" t="s">
        <v>41</v>
      </c>
      <c r="G255" s="107"/>
      <c r="H255" s="107"/>
      <c r="I255" s="109"/>
    </row>
    <row r="256" spans="2:9" x14ac:dyDescent="0.25">
      <c r="B256" s="107" t="s">
        <v>1029</v>
      </c>
      <c r="C256" s="107" t="s">
        <v>977</v>
      </c>
      <c r="D256" s="107" t="s">
        <v>896</v>
      </c>
      <c r="E256" s="117">
        <v>10</v>
      </c>
      <c r="F256" s="107" t="s">
        <v>41</v>
      </c>
      <c r="G256" s="107"/>
      <c r="H256" s="107"/>
      <c r="I256" s="109"/>
    </row>
    <row r="257" spans="2:9" x14ac:dyDescent="0.25">
      <c r="B257" s="107" t="s">
        <v>1029</v>
      </c>
      <c r="C257" s="107" t="s">
        <v>977</v>
      </c>
      <c r="D257" s="107" t="s">
        <v>979</v>
      </c>
      <c r="E257" s="117">
        <v>110</v>
      </c>
      <c r="F257" s="107" t="s">
        <v>41</v>
      </c>
      <c r="G257" s="107"/>
      <c r="H257" s="107"/>
      <c r="I257" s="109"/>
    </row>
    <row r="258" spans="2:9" x14ac:dyDescent="0.25">
      <c r="B258" s="107" t="s">
        <v>1029</v>
      </c>
      <c r="C258" s="107" t="s">
        <v>977</v>
      </c>
      <c r="D258" s="107" t="s">
        <v>980</v>
      </c>
      <c r="E258" s="117">
        <v>5</v>
      </c>
      <c r="F258" s="107" t="s">
        <v>41</v>
      </c>
      <c r="G258" s="107"/>
      <c r="H258" s="107"/>
      <c r="I258" s="109"/>
    </row>
    <row r="259" spans="2:9" x14ac:dyDescent="0.25">
      <c r="B259" s="107" t="s">
        <v>1029</v>
      </c>
      <c r="C259" s="107" t="s">
        <v>977</v>
      </c>
      <c r="D259" s="107" t="s">
        <v>981</v>
      </c>
      <c r="E259" s="117">
        <v>75</v>
      </c>
      <c r="F259" s="107" t="s">
        <v>41</v>
      </c>
      <c r="G259" s="107"/>
      <c r="H259" s="107"/>
      <c r="I259" s="109"/>
    </row>
    <row r="260" spans="2:9" x14ac:dyDescent="0.25">
      <c r="B260" s="107" t="s">
        <v>1029</v>
      </c>
      <c r="C260" s="107" t="s">
        <v>977</v>
      </c>
      <c r="D260" s="107" t="s">
        <v>982</v>
      </c>
      <c r="E260" s="117">
        <v>85</v>
      </c>
      <c r="F260" s="107" t="s">
        <v>41</v>
      </c>
      <c r="G260" s="107"/>
      <c r="H260" s="107"/>
      <c r="I260" s="109"/>
    </row>
    <row r="261" spans="2:9" x14ac:dyDescent="0.25">
      <c r="B261" s="107" t="s">
        <v>1029</v>
      </c>
      <c r="C261" s="107" t="s">
        <v>977</v>
      </c>
      <c r="D261" s="107" t="s">
        <v>983</v>
      </c>
      <c r="E261" s="117">
        <v>6</v>
      </c>
      <c r="F261" s="107"/>
      <c r="G261" s="107"/>
      <c r="H261" s="107"/>
      <c r="I261" s="109"/>
    </row>
    <row r="262" spans="2:9" x14ac:dyDescent="0.25">
      <c r="B262" s="107" t="s">
        <v>1029</v>
      </c>
      <c r="C262" s="107" t="s">
        <v>977</v>
      </c>
      <c r="D262" s="107" t="s">
        <v>984</v>
      </c>
      <c r="E262" s="117">
        <v>0.5</v>
      </c>
      <c r="F262" s="107" t="s">
        <v>985</v>
      </c>
      <c r="G262" s="107"/>
      <c r="H262" s="107"/>
      <c r="I262" s="109"/>
    </row>
    <row r="263" spans="2:9" x14ac:dyDescent="0.25">
      <c r="B263" s="107" t="s">
        <v>1029</v>
      </c>
      <c r="C263" s="107" t="s">
        <v>977</v>
      </c>
      <c r="D263" s="107" t="s">
        <v>986</v>
      </c>
      <c r="E263" s="117">
        <v>0.5</v>
      </c>
      <c r="F263" s="107" t="s">
        <v>985</v>
      </c>
      <c r="G263" s="107"/>
      <c r="H263" s="107"/>
      <c r="I263" s="109"/>
    </row>
    <row r="264" spans="2:9" x14ac:dyDescent="0.25">
      <c r="B264" s="107" t="s">
        <v>1029</v>
      </c>
      <c r="C264" s="107" t="s">
        <v>987</v>
      </c>
      <c r="D264" s="107" t="s">
        <v>988</v>
      </c>
      <c r="E264" s="117">
        <v>8000</v>
      </c>
      <c r="F264" s="107" t="s">
        <v>46</v>
      </c>
      <c r="G264" s="107"/>
      <c r="H264" s="107"/>
      <c r="I264" s="109"/>
    </row>
    <row r="265" spans="2:9" x14ac:dyDescent="0.25">
      <c r="B265" s="107" t="s">
        <v>1029</v>
      </c>
      <c r="C265" s="107" t="s">
        <v>987</v>
      </c>
      <c r="D265" s="107" t="s">
        <v>989</v>
      </c>
      <c r="E265" s="117">
        <v>15</v>
      </c>
      <c r="F265" s="107" t="s">
        <v>990</v>
      </c>
      <c r="G265" s="107"/>
      <c r="H265" s="107"/>
      <c r="I265" s="109"/>
    </row>
    <row r="266" spans="2:9" x14ac:dyDescent="0.25">
      <c r="B266" s="107" t="s">
        <v>1029</v>
      </c>
      <c r="C266" s="107" t="s">
        <v>987</v>
      </c>
      <c r="D266" s="107" t="s">
        <v>991</v>
      </c>
      <c r="E266" s="117">
        <v>4000</v>
      </c>
      <c r="F266" s="107" t="s">
        <v>48</v>
      </c>
      <c r="G266" s="107"/>
      <c r="H266" s="107"/>
      <c r="I266" s="109"/>
    </row>
    <row r="267" spans="2:9" x14ac:dyDescent="0.25">
      <c r="B267" s="107" t="s">
        <v>1029</v>
      </c>
      <c r="C267" s="107" t="s">
        <v>992</v>
      </c>
      <c r="D267" s="107" t="s">
        <v>993</v>
      </c>
      <c r="E267" s="117">
        <v>2.5</v>
      </c>
      <c r="F267" s="107" t="s">
        <v>41</v>
      </c>
      <c r="G267" s="107"/>
      <c r="H267" s="107"/>
      <c r="I267" s="109"/>
    </row>
    <row r="268" spans="2:9" x14ac:dyDescent="0.25">
      <c r="B268" s="107" t="s">
        <v>1029</v>
      </c>
      <c r="C268" s="107" t="s">
        <v>992</v>
      </c>
      <c r="D268" s="107" t="s">
        <v>975</v>
      </c>
      <c r="E268" s="117">
        <v>20</v>
      </c>
      <c r="F268" s="107" t="s">
        <v>44</v>
      </c>
      <c r="G268" s="107"/>
      <c r="H268" s="107"/>
      <c r="I268" s="109"/>
    </row>
    <row r="269" spans="2:9" x14ac:dyDescent="0.25">
      <c r="B269" s="107" t="s">
        <v>1029</v>
      </c>
      <c r="C269" s="107" t="s">
        <v>992</v>
      </c>
      <c r="D269" s="107" t="s">
        <v>994</v>
      </c>
      <c r="E269" s="117">
        <v>7</v>
      </c>
      <c r="F269" s="107" t="s">
        <v>995</v>
      </c>
      <c r="G269" s="107"/>
      <c r="H269" s="107"/>
      <c r="I269" s="109"/>
    </row>
    <row r="270" spans="2:9" x14ac:dyDescent="0.25">
      <c r="B270" s="107" t="s">
        <v>1029</v>
      </c>
      <c r="C270" s="107" t="s">
        <v>996</v>
      </c>
      <c r="D270" s="107" t="s">
        <v>998</v>
      </c>
      <c r="E270" s="117">
        <f>'Project Data - Step 1'!D113</f>
        <v>500000</v>
      </c>
      <c r="F270" s="107" t="s">
        <v>999</v>
      </c>
      <c r="G270" s="107"/>
      <c r="H270" s="107"/>
      <c r="I270" s="109"/>
    </row>
    <row r="271" spans="2:9" x14ac:dyDescent="0.25">
      <c r="B271" s="107" t="s">
        <v>1029</v>
      </c>
      <c r="C271" s="107" t="s">
        <v>996</v>
      </c>
      <c r="D271" s="107" t="s">
        <v>1000</v>
      </c>
      <c r="E271" s="117">
        <v>4.5</v>
      </c>
      <c r="F271" s="107" t="s">
        <v>41</v>
      </c>
      <c r="G271" s="107"/>
      <c r="H271" s="107"/>
      <c r="I271" s="109"/>
    </row>
    <row r="272" spans="2:9" x14ac:dyDescent="0.25">
      <c r="B272" s="107" t="s">
        <v>1029</v>
      </c>
      <c r="C272" s="107" t="s">
        <v>996</v>
      </c>
      <c r="D272" s="107" t="s">
        <v>1002</v>
      </c>
      <c r="E272" s="117">
        <v>102.75</v>
      </c>
      <c r="F272" s="107" t="s">
        <v>41</v>
      </c>
      <c r="G272" s="107"/>
      <c r="H272" s="107"/>
      <c r="I272" s="109"/>
    </row>
    <row r="273" spans="2:9" x14ac:dyDescent="0.25">
      <c r="B273" s="104" t="s">
        <v>1030</v>
      </c>
      <c r="C273" s="104" t="s">
        <v>971</v>
      </c>
      <c r="D273" s="104" t="s">
        <v>974</v>
      </c>
      <c r="E273" s="115">
        <v>500</v>
      </c>
      <c r="F273" s="104" t="s">
        <v>46</v>
      </c>
      <c r="G273" s="104"/>
      <c r="H273" s="104"/>
      <c r="I273" s="116"/>
    </row>
    <row r="274" spans="2:9" x14ac:dyDescent="0.25">
      <c r="B274" s="104" t="s">
        <v>1030</v>
      </c>
      <c r="C274" s="104" t="s">
        <v>971</v>
      </c>
      <c r="D274" s="104" t="s">
        <v>976</v>
      </c>
      <c r="E274" s="115">
        <v>15</v>
      </c>
      <c r="F274" s="104" t="s">
        <v>41</v>
      </c>
      <c r="G274" s="104"/>
      <c r="H274" s="104"/>
      <c r="I274" s="116"/>
    </row>
    <row r="275" spans="2:9" x14ac:dyDescent="0.25">
      <c r="B275" s="104" t="s">
        <v>1030</v>
      </c>
      <c r="C275" s="104" t="s">
        <v>977</v>
      </c>
      <c r="D275" s="104" t="s">
        <v>896</v>
      </c>
      <c r="E275" s="115">
        <v>10</v>
      </c>
      <c r="F275" s="104" t="s">
        <v>41</v>
      </c>
      <c r="G275" s="104"/>
      <c r="H275" s="104"/>
      <c r="I275" s="116"/>
    </row>
    <row r="276" spans="2:9" x14ac:dyDescent="0.25">
      <c r="B276" s="104" t="s">
        <v>1030</v>
      </c>
      <c r="C276" s="104" t="s">
        <v>977</v>
      </c>
      <c r="D276" s="104" t="s">
        <v>979</v>
      </c>
      <c r="E276" s="115">
        <v>85</v>
      </c>
      <c r="F276" s="104" t="s">
        <v>41</v>
      </c>
      <c r="G276" s="104"/>
      <c r="H276" s="104"/>
      <c r="I276" s="116"/>
    </row>
    <row r="277" spans="2:9" x14ac:dyDescent="0.25">
      <c r="B277" s="104" t="s">
        <v>1030</v>
      </c>
      <c r="C277" s="104" t="s">
        <v>977</v>
      </c>
      <c r="D277" s="104" t="s">
        <v>980</v>
      </c>
      <c r="E277" s="115">
        <v>5</v>
      </c>
      <c r="F277" s="104" t="s">
        <v>41</v>
      </c>
      <c r="G277" s="104"/>
      <c r="H277" s="104"/>
      <c r="I277" s="116"/>
    </row>
    <row r="278" spans="2:9" x14ac:dyDescent="0.25">
      <c r="B278" s="104" t="s">
        <v>1030</v>
      </c>
      <c r="C278" s="104" t="s">
        <v>977</v>
      </c>
      <c r="D278" s="104" t="s">
        <v>981</v>
      </c>
      <c r="E278" s="115">
        <v>40</v>
      </c>
      <c r="F278" s="104" t="s">
        <v>41</v>
      </c>
      <c r="G278" s="104"/>
      <c r="H278" s="104"/>
      <c r="I278" s="116"/>
    </row>
    <row r="279" spans="2:9" x14ac:dyDescent="0.25">
      <c r="B279" s="104" t="s">
        <v>1030</v>
      </c>
      <c r="C279" s="104" t="s">
        <v>977</v>
      </c>
      <c r="D279" s="104" t="s">
        <v>982</v>
      </c>
      <c r="E279" s="115">
        <v>60</v>
      </c>
      <c r="F279" s="104" t="s">
        <v>41</v>
      </c>
      <c r="G279" s="104"/>
      <c r="H279" s="104"/>
      <c r="I279" s="116"/>
    </row>
    <row r="280" spans="2:9" x14ac:dyDescent="0.25">
      <c r="B280" s="104" t="s">
        <v>1030</v>
      </c>
      <c r="C280" s="104" t="s">
        <v>977</v>
      </c>
      <c r="D280" s="104" t="s">
        <v>983</v>
      </c>
      <c r="E280" s="115">
        <v>4</v>
      </c>
      <c r="F280" s="104"/>
      <c r="G280" s="104"/>
      <c r="H280" s="104"/>
      <c r="I280" s="116"/>
    </row>
    <row r="281" spans="2:9" x14ac:dyDescent="0.25">
      <c r="B281" s="104" t="s">
        <v>1030</v>
      </c>
      <c r="C281" s="104" t="s">
        <v>977</v>
      </c>
      <c r="D281" s="104" t="s">
        <v>984</v>
      </c>
      <c r="E281" s="115">
        <v>0.5</v>
      </c>
      <c r="F281" s="104" t="s">
        <v>985</v>
      </c>
      <c r="G281" s="104"/>
      <c r="H281" s="104"/>
      <c r="I281" s="116"/>
    </row>
    <row r="282" spans="2:9" x14ac:dyDescent="0.25">
      <c r="B282" s="104" t="s">
        <v>1030</v>
      </c>
      <c r="C282" s="104" t="s">
        <v>977</v>
      </c>
      <c r="D282" s="104" t="s">
        <v>986</v>
      </c>
      <c r="E282" s="115">
        <v>0.5</v>
      </c>
      <c r="F282" s="104" t="s">
        <v>985</v>
      </c>
      <c r="G282" s="104"/>
      <c r="H282" s="104"/>
      <c r="I282" s="116"/>
    </row>
    <row r="283" spans="2:9" x14ac:dyDescent="0.25">
      <c r="B283" s="104" t="s">
        <v>1030</v>
      </c>
      <c r="C283" s="104" t="s">
        <v>987</v>
      </c>
      <c r="D283" s="104" t="s">
        <v>988</v>
      </c>
      <c r="E283" s="115">
        <v>8000</v>
      </c>
      <c r="F283" s="104" t="s">
        <v>46</v>
      </c>
      <c r="G283" s="104"/>
      <c r="H283" s="104"/>
      <c r="I283" s="116"/>
    </row>
    <row r="284" spans="2:9" x14ac:dyDescent="0.25">
      <c r="B284" s="104" t="s">
        <v>1030</v>
      </c>
      <c r="C284" s="104" t="s">
        <v>987</v>
      </c>
      <c r="D284" s="104" t="s">
        <v>989</v>
      </c>
      <c r="E284" s="115">
        <v>8</v>
      </c>
      <c r="F284" s="104" t="s">
        <v>990</v>
      </c>
      <c r="G284" s="104"/>
      <c r="H284" s="104"/>
      <c r="I284" s="116"/>
    </row>
    <row r="285" spans="2:9" x14ac:dyDescent="0.25">
      <c r="B285" s="104" t="s">
        <v>1030</v>
      </c>
      <c r="C285" s="104" t="s">
        <v>987</v>
      </c>
      <c r="D285" s="104" t="s">
        <v>991</v>
      </c>
      <c r="E285" s="115">
        <v>1000</v>
      </c>
      <c r="F285" s="104" t="s">
        <v>48</v>
      </c>
      <c r="G285" s="104"/>
      <c r="H285" s="104"/>
      <c r="I285" s="116"/>
    </row>
    <row r="286" spans="2:9" x14ac:dyDescent="0.25">
      <c r="B286" s="104" t="s">
        <v>1030</v>
      </c>
      <c r="C286" s="104" t="s">
        <v>992</v>
      </c>
      <c r="D286" s="104" t="s">
        <v>993</v>
      </c>
      <c r="E286" s="115">
        <v>2.5</v>
      </c>
      <c r="F286" s="104" t="s">
        <v>41</v>
      </c>
      <c r="G286" s="104"/>
      <c r="H286" s="104"/>
      <c r="I286" s="116"/>
    </row>
    <row r="287" spans="2:9" x14ac:dyDescent="0.25">
      <c r="B287" s="104" t="s">
        <v>1030</v>
      </c>
      <c r="C287" s="104" t="s">
        <v>992</v>
      </c>
      <c r="D287" s="104" t="s">
        <v>975</v>
      </c>
      <c r="E287" s="115">
        <v>20</v>
      </c>
      <c r="F287" s="104" t="s">
        <v>44</v>
      </c>
      <c r="G287" s="104"/>
      <c r="H287" s="104"/>
      <c r="I287" s="116"/>
    </row>
    <row r="288" spans="2:9" x14ac:dyDescent="0.25">
      <c r="B288" s="104" t="s">
        <v>1030</v>
      </c>
      <c r="C288" s="104" t="s">
        <v>992</v>
      </c>
      <c r="D288" s="104" t="s">
        <v>994</v>
      </c>
      <c r="E288" s="115">
        <v>6</v>
      </c>
      <c r="F288" s="104" t="s">
        <v>995</v>
      </c>
      <c r="G288" s="104"/>
      <c r="H288" s="104"/>
      <c r="I288" s="116"/>
    </row>
    <row r="289" spans="2:9" x14ac:dyDescent="0.25">
      <c r="B289" s="104" t="s">
        <v>1030</v>
      </c>
      <c r="C289" s="104" t="s">
        <v>996</v>
      </c>
      <c r="D289" s="104" t="s">
        <v>997</v>
      </c>
      <c r="E289" s="115">
        <v>35</v>
      </c>
      <c r="F289" s="104" t="s">
        <v>41</v>
      </c>
      <c r="G289" s="104"/>
      <c r="H289" s="104"/>
      <c r="I289" s="116"/>
    </row>
    <row r="290" spans="2:9" x14ac:dyDescent="0.25">
      <c r="B290" s="104" t="s">
        <v>1030</v>
      </c>
      <c r="C290" s="104" t="s">
        <v>996</v>
      </c>
      <c r="D290" s="104" t="s">
        <v>998</v>
      </c>
      <c r="E290" s="115">
        <f>'Project Data - Step 1'!D116</f>
        <v>120000</v>
      </c>
      <c r="F290" s="104" t="s">
        <v>999</v>
      </c>
      <c r="G290" s="104"/>
      <c r="H290" s="104"/>
      <c r="I290" s="116"/>
    </row>
    <row r="291" spans="2:9" x14ac:dyDescent="0.25">
      <c r="B291" s="104" t="s">
        <v>1030</v>
      </c>
      <c r="C291" s="104" t="s">
        <v>996</v>
      </c>
      <c r="D291" s="104" t="s">
        <v>1000</v>
      </c>
      <c r="E291" s="115">
        <v>5</v>
      </c>
      <c r="F291" s="104" t="s">
        <v>41</v>
      </c>
      <c r="G291" s="104"/>
      <c r="H291" s="104"/>
      <c r="I291" s="116"/>
    </row>
    <row r="292" spans="2:9" x14ac:dyDescent="0.25">
      <c r="B292" s="104" t="s">
        <v>1030</v>
      </c>
      <c r="C292" s="104" t="s">
        <v>996</v>
      </c>
      <c r="D292" s="104" t="s">
        <v>1001</v>
      </c>
      <c r="E292" s="115">
        <v>4</v>
      </c>
      <c r="F292" s="104" t="s">
        <v>41</v>
      </c>
      <c r="G292" s="104"/>
      <c r="H292" s="104"/>
      <c r="I292" s="116"/>
    </row>
    <row r="293" spans="2:9" x14ac:dyDescent="0.25">
      <c r="B293" s="104" t="s">
        <v>1030</v>
      </c>
      <c r="C293" s="104" t="s">
        <v>996</v>
      </c>
      <c r="D293" s="104" t="s">
        <v>1002</v>
      </c>
      <c r="E293" s="115">
        <v>60</v>
      </c>
      <c r="F293" s="104" t="s">
        <v>41</v>
      </c>
      <c r="G293" s="104"/>
      <c r="H293" s="104"/>
      <c r="I293" s="116"/>
    </row>
    <row r="294" spans="2:9" x14ac:dyDescent="0.25">
      <c r="B294" s="107" t="s">
        <v>1031</v>
      </c>
      <c r="C294" s="107" t="s">
        <v>987</v>
      </c>
      <c r="D294" s="107" t="s">
        <v>988</v>
      </c>
      <c r="E294" s="117">
        <v>6000</v>
      </c>
      <c r="F294" s="107" t="s">
        <v>46</v>
      </c>
      <c r="G294" s="107"/>
      <c r="H294" s="107"/>
      <c r="I294" s="109"/>
    </row>
    <row r="295" spans="2:9" x14ac:dyDescent="0.25">
      <c r="B295" s="107" t="s">
        <v>1031</v>
      </c>
      <c r="C295" s="107" t="s">
        <v>987</v>
      </c>
      <c r="D295" s="107" t="s">
        <v>989</v>
      </c>
      <c r="E295" s="117">
        <v>8</v>
      </c>
      <c r="F295" s="107" t="s">
        <v>990</v>
      </c>
      <c r="G295" s="107"/>
      <c r="H295" s="107"/>
      <c r="I295" s="109"/>
    </row>
    <row r="296" spans="2:9" x14ac:dyDescent="0.25">
      <c r="B296" s="107" t="s">
        <v>1031</v>
      </c>
      <c r="C296" s="107" t="s">
        <v>987</v>
      </c>
      <c r="D296" s="107" t="s">
        <v>991</v>
      </c>
      <c r="E296" s="117">
        <v>600</v>
      </c>
      <c r="F296" s="107" t="s">
        <v>48</v>
      </c>
      <c r="G296" s="107"/>
      <c r="H296" s="107"/>
      <c r="I296" s="109"/>
    </row>
    <row r="297" spans="2:9" x14ac:dyDescent="0.25">
      <c r="B297" s="107" t="s">
        <v>1031</v>
      </c>
      <c r="C297" s="107" t="s">
        <v>992</v>
      </c>
      <c r="D297" s="107" t="s">
        <v>993</v>
      </c>
      <c r="E297" s="117">
        <v>2</v>
      </c>
      <c r="F297" s="107" t="s">
        <v>41</v>
      </c>
      <c r="G297" s="107"/>
      <c r="H297" s="107"/>
      <c r="I297" s="109"/>
    </row>
    <row r="298" spans="2:9" x14ac:dyDescent="0.25">
      <c r="B298" s="107" t="s">
        <v>1031</v>
      </c>
      <c r="C298" s="107" t="s">
        <v>992</v>
      </c>
      <c r="D298" s="107" t="s">
        <v>975</v>
      </c>
      <c r="E298" s="117">
        <v>20</v>
      </c>
      <c r="F298" s="107" t="s">
        <v>44</v>
      </c>
      <c r="G298" s="107"/>
      <c r="H298" s="107"/>
      <c r="I298" s="109"/>
    </row>
    <row r="299" spans="2:9" x14ac:dyDescent="0.25">
      <c r="B299" s="107" t="s">
        <v>1031</v>
      </c>
      <c r="C299" s="107" t="s">
        <v>992</v>
      </c>
      <c r="D299" s="107" t="s">
        <v>994</v>
      </c>
      <c r="E299" s="117">
        <v>6</v>
      </c>
      <c r="F299" s="107" t="s">
        <v>927</v>
      </c>
      <c r="G299" s="107"/>
      <c r="H299" s="107"/>
      <c r="I299" s="109"/>
    </row>
    <row r="300" spans="2:9" x14ac:dyDescent="0.25">
      <c r="B300" s="107" t="s">
        <v>1031</v>
      </c>
      <c r="C300" s="107" t="s">
        <v>996</v>
      </c>
      <c r="D300" s="107" t="s">
        <v>997</v>
      </c>
      <c r="E300" s="117">
        <v>35</v>
      </c>
      <c r="F300" s="107" t="s">
        <v>41</v>
      </c>
      <c r="G300" s="107"/>
      <c r="H300" s="107"/>
      <c r="I300" s="109"/>
    </row>
    <row r="301" spans="2:9" x14ac:dyDescent="0.25">
      <c r="B301" s="107" t="s">
        <v>1031</v>
      </c>
      <c r="C301" s="107" t="s">
        <v>996</v>
      </c>
      <c r="D301" s="107" t="s">
        <v>998</v>
      </c>
      <c r="E301" s="117">
        <f>'Project Data - Step 1'!D103</f>
        <v>120000</v>
      </c>
      <c r="F301" s="107" t="s">
        <v>1032</v>
      </c>
      <c r="G301" s="107"/>
      <c r="H301" s="107"/>
      <c r="I301" s="109"/>
    </row>
    <row r="302" spans="2:9" x14ac:dyDescent="0.25">
      <c r="B302" s="107" t="s">
        <v>1031</v>
      </c>
      <c r="C302" s="107" t="s">
        <v>996</v>
      </c>
      <c r="D302" s="107" t="s">
        <v>1000</v>
      </c>
      <c r="E302" s="117">
        <v>5</v>
      </c>
      <c r="F302" s="107" t="s">
        <v>41</v>
      </c>
      <c r="G302" s="107"/>
      <c r="H302" s="107"/>
      <c r="I302" s="109"/>
    </row>
    <row r="303" spans="2:9" x14ac:dyDescent="0.25">
      <c r="B303" s="107" t="s">
        <v>1031</v>
      </c>
      <c r="C303" s="107" t="s">
        <v>996</v>
      </c>
      <c r="D303" s="107" t="s">
        <v>1001</v>
      </c>
      <c r="E303" s="117">
        <v>4</v>
      </c>
      <c r="F303" s="107" t="s">
        <v>41</v>
      </c>
      <c r="G303" s="107"/>
      <c r="H303" s="107"/>
      <c r="I303" s="109"/>
    </row>
    <row r="304" spans="2:9" x14ac:dyDescent="0.25">
      <c r="B304" s="107" t="s">
        <v>1031</v>
      </c>
      <c r="C304" s="107" t="s">
        <v>996</v>
      </c>
      <c r="D304" s="107" t="s">
        <v>1002</v>
      </c>
      <c r="E304" s="117">
        <v>60</v>
      </c>
      <c r="F304" s="107" t="s">
        <v>41</v>
      </c>
      <c r="G304" s="107"/>
      <c r="H304" s="107"/>
      <c r="I304" s="109"/>
    </row>
    <row r="305" spans="2:9" x14ac:dyDescent="0.25">
      <c r="B305" s="104" t="s">
        <v>1033</v>
      </c>
      <c r="C305" s="104" t="s">
        <v>971</v>
      </c>
      <c r="D305" s="104" t="s">
        <v>974</v>
      </c>
      <c r="E305" s="115">
        <v>500</v>
      </c>
      <c r="F305" s="104" t="s">
        <v>46</v>
      </c>
      <c r="G305" s="104"/>
      <c r="H305" s="104"/>
      <c r="I305" s="116"/>
    </row>
    <row r="306" spans="2:9" x14ac:dyDescent="0.25">
      <c r="B306" s="104" t="s">
        <v>1033</v>
      </c>
      <c r="C306" s="104" t="s">
        <v>971</v>
      </c>
      <c r="D306" s="104" t="s">
        <v>976</v>
      </c>
      <c r="E306" s="115">
        <v>15</v>
      </c>
      <c r="F306" s="104" t="s">
        <v>41</v>
      </c>
      <c r="G306" s="104"/>
      <c r="H306" s="104"/>
      <c r="I306" s="116"/>
    </row>
    <row r="307" spans="2:9" x14ac:dyDescent="0.25">
      <c r="B307" s="104" t="s">
        <v>1033</v>
      </c>
      <c r="C307" s="104" t="s">
        <v>1034</v>
      </c>
      <c r="D307" s="104" t="s">
        <v>1035</v>
      </c>
      <c r="E307" s="115">
        <v>2</v>
      </c>
      <c r="F307" s="104"/>
      <c r="G307" s="104"/>
      <c r="H307" s="104"/>
      <c r="I307" s="116"/>
    </row>
    <row r="308" spans="2:9" x14ac:dyDescent="0.25">
      <c r="B308" s="104" t="s">
        <v>1033</v>
      </c>
      <c r="C308" s="104" t="s">
        <v>987</v>
      </c>
      <c r="D308" s="104" t="s">
        <v>988</v>
      </c>
      <c r="E308" s="115">
        <v>8000</v>
      </c>
      <c r="F308" s="104" t="s">
        <v>46</v>
      </c>
      <c r="G308" s="104"/>
      <c r="H308" s="104"/>
      <c r="I308" s="116"/>
    </row>
    <row r="309" spans="2:9" x14ac:dyDescent="0.25">
      <c r="B309" s="104" t="s">
        <v>1033</v>
      </c>
      <c r="C309" s="104" t="s">
        <v>987</v>
      </c>
      <c r="D309" s="104" t="s">
        <v>989</v>
      </c>
      <c r="E309" s="115">
        <v>8</v>
      </c>
      <c r="F309" s="104" t="s">
        <v>990</v>
      </c>
      <c r="G309" s="104"/>
      <c r="H309" s="104"/>
      <c r="I309" s="116"/>
    </row>
    <row r="310" spans="2:9" x14ac:dyDescent="0.25">
      <c r="B310" s="104" t="s">
        <v>1033</v>
      </c>
      <c r="C310" s="104" t="s">
        <v>987</v>
      </c>
      <c r="D310" s="104" t="s">
        <v>991</v>
      </c>
      <c r="E310" s="115">
        <v>1000</v>
      </c>
      <c r="F310" s="104" t="s">
        <v>48</v>
      </c>
      <c r="G310" s="104"/>
      <c r="H310" s="104"/>
      <c r="I310" s="116"/>
    </row>
    <row r="311" spans="2:9" x14ac:dyDescent="0.25">
      <c r="B311" s="104" t="s">
        <v>1033</v>
      </c>
      <c r="C311" s="104" t="s">
        <v>992</v>
      </c>
      <c r="D311" s="104" t="s">
        <v>993</v>
      </c>
      <c r="E311" s="115">
        <v>2.5</v>
      </c>
      <c r="F311" s="104" t="s">
        <v>41</v>
      </c>
      <c r="G311" s="104"/>
      <c r="H311" s="104"/>
      <c r="I311" s="116"/>
    </row>
    <row r="312" spans="2:9" x14ac:dyDescent="0.25">
      <c r="B312" s="104" t="s">
        <v>1033</v>
      </c>
      <c r="C312" s="104" t="s">
        <v>992</v>
      </c>
      <c r="D312" s="104" t="s">
        <v>975</v>
      </c>
      <c r="E312" s="115">
        <v>20</v>
      </c>
      <c r="F312" s="104" t="s">
        <v>44</v>
      </c>
      <c r="G312" s="104"/>
      <c r="H312" s="104"/>
      <c r="I312" s="116"/>
    </row>
    <row r="313" spans="2:9" x14ac:dyDescent="0.25">
      <c r="B313" s="104" t="s">
        <v>1033</v>
      </c>
      <c r="C313" s="104" t="s">
        <v>992</v>
      </c>
      <c r="D313" s="104" t="s">
        <v>994</v>
      </c>
      <c r="E313" s="115">
        <v>6</v>
      </c>
      <c r="F313" s="104" t="s">
        <v>995</v>
      </c>
      <c r="G313" s="104"/>
      <c r="H313" s="104"/>
      <c r="I313" s="116"/>
    </row>
    <row r="314" spans="2:9" x14ac:dyDescent="0.25">
      <c r="B314" s="104" t="s">
        <v>1033</v>
      </c>
      <c r="C314" s="104" t="s">
        <v>996</v>
      </c>
      <c r="D314" s="104" t="s">
        <v>997</v>
      </c>
      <c r="E314" s="115">
        <v>35</v>
      </c>
      <c r="F314" s="104" t="s">
        <v>41</v>
      </c>
      <c r="G314" s="104"/>
      <c r="H314" s="104"/>
      <c r="I314" s="116"/>
    </row>
    <row r="315" spans="2:9" x14ac:dyDescent="0.25">
      <c r="B315" s="104" t="s">
        <v>1033</v>
      </c>
      <c r="C315" s="104" t="s">
        <v>996</v>
      </c>
      <c r="D315" s="104" t="s">
        <v>998</v>
      </c>
      <c r="E315" s="115">
        <f>'Project Data - Step 1'!D116</f>
        <v>120000</v>
      </c>
      <c r="F315" s="104" t="s">
        <v>999</v>
      </c>
      <c r="G315" s="104"/>
      <c r="H315" s="104"/>
      <c r="I315" s="116"/>
    </row>
    <row r="316" spans="2:9" x14ac:dyDescent="0.25">
      <c r="B316" s="104" t="s">
        <v>1033</v>
      </c>
      <c r="C316" s="104" t="s">
        <v>996</v>
      </c>
      <c r="D316" s="104" t="s">
        <v>1000</v>
      </c>
      <c r="E316" s="115">
        <v>5</v>
      </c>
      <c r="F316" s="104" t="s">
        <v>41</v>
      </c>
      <c r="G316" s="104"/>
      <c r="H316" s="104"/>
      <c r="I316" s="116"/>
    </row>
    <row r="317" spans="2:9" x14ac:dyDescent="0.25">
      <c r="B317" s="104" t="s">
        <v>1033</v>
      </c>
      <c r="C317" s="104" t="s">
        <v>996</v>
      </c>
      <c r="D317" s="104" t="s">
        <v>1001</v>
      </c>
      <c r="E317" s="115">
        <v>4</v>
      </c>
      <c r="F317" s="104" t="s">
        <v>41</v>
      </c>
      <c r="G317" s="104"/>
      <c r="H317" s="104"/>
      <c r="I317" s="116"/>
    </row>
    <row r="318" spans="2:9" x14ac:dyDescent="0.25">
      <c r="B318" s="104" t="s">
        <v>1033</v>
      </c>
      <c r="C318" s="104" t="s">
        <v>996</v>
      </c>
      <c r="D318" s="104" t="s">
        <v>1002</v>
      </c>
      <c r="E318" s="115">
        <v>60</v>
      </c>
      <c r="F318" s="104" t="s">
        <v>41</v>
      </c>
      <c r="G318" s="104"/>
      <c r="H318" s="104"/>
      <c r="I318" s="116"/>
    </row>
    <row r="319" spans="2:9" x14ac:dyDescent="0.25">
      <c r="B319" s="107" t="s">
        <v>1036</v>
      </c>
      <c r="C319" s="107" t="s">
        <v>971</v>
      </c>
      <c r="D319" s="107" t="s">
        <v>972</v>
      </c>
      <c r="E319" s="117">
        <v>100</v>
      </c>
      <c r="F319" s="107" t="s">
        <v>41</v>
      </c>
      <c r="G319" s="107"/>
      <c r="H319" s="107"/>
      <c r="I319" s="109"/>
    </row>
    <row r="320" spans="2:9" x14ac:dyDescent="0.25">
      <c r="B320" s="107" t="s">
        <v>1036</v>
      </c>
      <c r="C320" s="107" t="s">
        <v>971</v>
      </c>
      <c r="D320" s="107" t="s">
        <v>973</v>
      </c>
      <c r="E320" s="117">
        <v>72</v>
      </c>
      <c r="F320" s="107" t="s">
        <v>41</v>
      </c>
      <c r="G320" s="107"/>
      <c r="H320" s="107"/>
      <c r="I320" s="109"/>
    </row>
    <row r="321" spans="2:9" x14ac:dyDescent="0.25">
      <c r="B321" s="107" t="s">
        <v>1036</v>
      </c>
      <c r="C321" s="107" t="s">
        <v>971</v>
      </c>
      <c r="D321" s="107" t="s">
        <v>974</v>
      </c>
      <c r="E321" s="117">
        <v>5500</v>
      </c>
      <c r="F321" s="107" t="s">
        <v>46</v>
      </c>
      <c r="G321" s="107"/>
      <c r="H321" s="107"/>
      <c r="I321" s="109"/>
    </row>
    <row r="322" spans="2:9" x14ac:dyDescent="0.25">
      <c r="B322" s="107" t="s">
        <v>1036</v>
      </c>
      <c r="C322" s="107" t="s">
        <v>971</v>
      </c>
      <c r="D322" s="107" t="s">
        <v>975</v>
      </c>
      <c r="E322" s="117">
        <v>15</v>
      </c>
      <c r="F322" s="107" t="s">
        <v>44</v>
      </c>
      <c r="G322" s="107"/>
      <c r="H322" s="107"/>
      <c r="I322" s="109"/>
    </row>
    <row r="323" spans="2:9" x14ac:dyDescent="0.25">
      <c r="B323" s="107" t="s">
        <v>1036</v>
      </c>
      <c r="C323" s="107" t="s">
        <v>971</v>
      </c>
      <c r="D323" s="107" t="s">
        <v>976</v>
      </c>
      <c r="E323" s="117">
        <v>30</v>
      </c>
      <c r="F323" s="107" t="s">
        <v>41</v>
      </c>
      <c r="G323" s="107"/>
      <c r="H323" s="107"/>
      <c r="I323" s="109"/>
    </row>
    <row r="324" spans="2:9" x14ac:dyDescent="0.25">
      <c r="B324" s="107" t="s">
        <v>1036</v>
      </c>
      <c r="C324" s="107" t="s">
        <v>1034</v>
      </c>
      <c r="D324" s="107" t="s">
        <v>1035</v>
      </c>
      <c r="E324" s="117">
        <v>2</v>
      </c>
      <c r="F324" s="107"/>
      <c r="G324" s="107"/>
      <c r="H324" s="107"/>
      <c r="I324" s="109"/>
    </row>
    <row r="325" spans="2:9" x14ac:dyDescent="0.25">
      <c r="B325" s="107" t="s">
        <v>1036</v>
      </c>
      <c r="C325" s="107" t="s">
        <v>987</v>
      </c>
      <c r="D325" s="107" t="s">
        <v>988</v>
      </c>
      <c r="E325" s="117">
        <v>8000</v>
      </c>
      <c r="F325" s="107" t="s">
        <v>46</v>
      </c>
      <c r="G325" s="107"/>
      <c r="H325" s="107"/>
      <c r="I325" s="109"/>
    </row>
    <row r="326" spans="2:9" x14ac:dyDescent="0.25">
      <c r="B326" s="107" t="s">
        <v>1036</v>
      </c>
      <c r="C326" s="107" t="s">
        <v>987</v>
      </c>
      <c r="D326" s="107" t="s">
        <v>989</v>
      </c>
      <c r="E326" s="117">
        <v>15</v>
      </c>
      <c r="F326" s="107" t="s">
        <v>990</v>
      </c>
      <c r="G326" s="107"/>
      <c r="H326" s="107"/>
      <c r="I326" s="109"/>
    </row>
    <row r="327" spans="2:9" x14ac:dyDescent="0.25">
      <c r="B327" s="107" t="s">
        <v>1036</v>
      </c>
      <c r="C327" s="107" t="s">
        <v>987</v>
      </c>
      <c r="D327" s="107" t="s">
        <v>991</v>
      </c>
      <c r="E327" s="117">
        <v>4000</v>
      </c>
      <c r="F327" s="107" t="s">
        <v>48</v>
      </c>
      <c r="G327" s="107"/>
      <c r="H327" s="107"/>
      <c r="I327" s="109"/>
    </row>
    <row r="328" spans="2:9" x14ac:dyDescent="0.25">
      <c r="B328" s="107" t="s">
        <v>1036</v>
      </c>
      <c r="C328" s="107" t="s">
        <v>992</v>
      </c>
      <c r="D328" s="107" t="s">
        <v>993</v>
      </c>
      <c r="E328" s="117">
        <v>2.5</v>
      </c>
      <c r="F328" s="107" t="s">
        <v>41</v>
      </c>
      <c r="G328" s="107"/>
      <c r="H328" s="107"/>
      <c r="I328" s="109"/>
    </row>
    <row r="329" spans="2:9" x14ac:dyDescent="0.25">
      <c r="B329" s="107" t="s">
        <v>1036</v>
      </c>
      <c r="C329" s="107" t="s">
        <v>992</v>
      </c>
      <c r="D329" s="107" t="s">
        <v>975</v>
      </c>
      <c r="E329" s="117">
        <v>20</v>
      </c>
      <c r="F329" s="107" t="s">
        <v>44</v>
      </c>
      <c r="G329" s="107"/>
      <c r="H329" s="107"/>
      <c r="I329" s="109"/>
    </row>
    <row r="330" spans="2:9" x14ac:dyDescent="0.25">
      <c r="B330" s="107" t="s">
        <v>1036</v>
      </c>
      <c r="C330" s="107" t="s">
        <v>992</v>
      </c>
      <c r="D330" s="107" t="s">
        <v>994</v>
      </c>
      <c r="E330" s="117">
        <v>7</v>
      </c>
      <c r="F330" s="107" t="s">
        <v>995</v>
      </c>
      <c r="G330" s="107"/>
      <c r="H330" s="107"/>
      <c r="I330" s="109"/>
    </row>
    <row r="331" spans="2:9" x14ac:dyDescent="0.25">
      <c r="B331" s="107" t="s">
        <v>1036</v>
      </c>
      <c r="C331" s="107" t="s">
        <v>996</v>
      </c>
      <c r="D331" s="107" t="s">
        <v>998</v>
      </c>
      <c r="E331" s="117">
        <f>'Project Data - Step 1'!D113</f>
        <v>500000</v>
      </c>
      <c r="F331" s="107" t="s">
        <v>999</v>
      </c>
      <c r="G331" s="107"/>
      <c r="H331" s="107"/>
      <c r="I331" s="109"/>
    </row>
    <row r="332" spans="2:9" x14ac:dyDescent="0.25">
      <c r="B332" s="107" t="s">
        <v>1036</v>
      </c>
      <c r="C332" s="107" t="s">
        <v>996</v>
      </c>
      <c r="D332" s="107" t="s">
        <v>1000</v>
      </c>
      <c r="E332" s="117">
        <v>4.5</v>
      </c>
      <c r="F332" s="107" t="s">
        <v>41</v>
      </c>
      <c r="G332" s="107"/>
      <c r="H332" s="107"/>
      <c r="I332" s="109"/>
    </row>
    <row r="333" spans="2:9" x14ac:dyDescent="0.25">
      <c r="B333" s="107" t="s">
        <v>1036</v>
      </c>
      <c r="C333" s="107" t="s">
        <v>996</v>
      </c>
      <c r="D333" s="107" t="s">
        <v>1002</v>
      </c>
      <c r="E333" s="117">
        <v>102.75</v>
      </c>
      <c r="F333" s="107" t="s">
        <v>41</v>
      </c>
      <c r="G333" s="107"/>
      <c r="H333" s="107"/>
      <c r="I333" s="109"/>
    </row>
    <row r="334" spans="2:9" x14ac:dyDescent="0.25">
      <c r="B334" s="104" t="s">
        <v>1037</v>
      </c>
      <c r="C334" s="104"/>
      <c r="D334" s="104" t="s">
        <v>1025</v>
      </c>
      <c r="E334" s="115">
        <v>48</v>
      </c>
      <c r="F334" s="104" t="s">
        <v>1017</v>
      </c>
      <c r="G334" s="104"/>
      <c r="H334" s="104"/>
      <c r="I334" s="116" t="s">
        <v>506</v>
      </c>
    </row>
    <row r="335" spans="2:9" x14ac:dyDescent="0.25">
      <c r="B335" s="104" t="s">
        <v>1037</v>
      </c>
      <c r="C335" s="104"/>
      <c r="D335" s="104" t="s">
        <v>1026</v>
      </c>
      <c r="E335" s="115">
        <v>0.1</v>
      </c>
      <c r="F335" s="104" t="s">
        <v>927</v>
      </c>
      <c r="G335" s="104"/>
      <c r="H335" s="104"/>
      <c r="I335" s="116" t="s">
        <v>506</v>
      </c>
    </row>
    <row r="336" spans="2:9" x14ac:dyDescent="0.25">
      <c r="B336" s="104" t="s">
        <v>1037</v>
      </c>
      <c r="C336" s="104"/>
      <c r="D336" s="104" t="s">
        <v>1027</v>
      </c>
      <c r="E336" s="115">
        <v>5</v>
      </c>
      <c r="F336" s="104" t="s">
        <v>927</v>
      </c>
      <c r="G336" s="104"/>
      <c r="H336" s="104"/>
      <c r="I336" s="116" t="s">
        <v>506</v>
      </c>
    </row>
    <row r="337" spans="2:9" x14ac:dyDescent="0.25">
      <c r="B337" s="104" t="s">
        <v>1037</v>
      </c>
      <c r="C337" s="104"/>
      <c r="D337" s="104" t="s">
        <v>1028</v>
      </c>
      <c r="E337" s="115">
        <v>5</v>
      </c>
      <c r="F337" s="104" t="s">
        <v>927</v>
      </c>
      <c r="G337" s="104"/>
      <c r="H337" s="104"/>
      <c r="I337" s="116" t="s">
        <v>506</v>
      </c>
    </row>
    <row r="338" spans="2:9" x14ac:dyDescent="0.25">
      <c r="B338" s="104" t="s">
        <v>1037</v>
      </c>
      <c r="C338" s="104" t="s">
        <v>992</v>
      </c>
      <c r="D338" s="104" t="s">
        <v>993</v>
      </c>
      <c r="E338" s="115">
        <v>2</v>
      </c>
      <c r="F338" s="104" t="s">
        <v>41</v>
      </c>
      <c r="G338" s="104"/>
      <c r="H338" s="104"/>
      <c r="I338" s="116" t="s">
        <v>506</v>
      </c>
    </row>
    <row r="339" spans="2:9" x14ac:dyDescent="0.25">
      <c r="B339" s="104" t="s">
        <v>1037</v>
      </c>
      <c r="C339" s="104" t="s">
        <v>992</v>
      </c>
      <c r="D339" s="104" t="s">
        <v>975</v>
      </c>
      <c r="E339" s="115">
        <v>25</v>
      </c>
      <c r="F339" s="104" t="s">
        <v>44</v>
      </c>
      <c r="G339" s="104"/>
      <c r="H339" s="104"/>
      <c r="I339" s="116" t="s">
        <v>506</v>
      </c>
    </row>
    <row r="340" spans="2:9" x14ac:dyDescent="0.25">
      <c r="B340" s="104" t="s">
        <v>1037</v>
      </c>
      <c r="C340" s="104" t="s">
        <v>992</v>
      </c>
      <c r="D340" s="104" t="s">
        <v>994</v>
      </c>
      <c r="E340" s="115">
        <v>11.5</v>
      </c>
      <c r="F340" s="104" t="s">
        <v>927</v>
      </c>
      <c r="G340" s="104"/>
      <c r="H340" s="104"/>
      <c r="I340" s="116" t="s">
        <v>506</v>
      </c>
    </row>
    <row r="341" spans="2:9" x14ac:dyDescent="0.25">
      <c r="B341" s="104" t="s">
        <v>1037</v>
      </c>
      <c r="C341" s="104" t="s">
        <v>996</v>
      </c>
      <c r="D341" s="104" t="s">
        <v>997</v>
      </c>
      <c r="E341" s="115">
        <v>30</v>
      </c>
      <c r="F341" s="104" t="s">
        <v>41</v>
      </c>
      <c r="G341" s="104"/>
      <c r="H341" s="104"/>
      <c r="I341" s="116" t="s">
        <v>506</v>
      </c>
    </row>
    <row r="342" spans="2:9" x14ac:dyDescent="0.25">
      <c r="B342" s="104" t="s">
        <v>1037</v>
      </c>
      <c r="C342" s="104" t="s">
        <v>996</v>
      </c>
      <c r="D342" s="104" t="s">
        <v>998</v>
      </c>
      <c r="E342" s="115">
        <f>'Project Data - Step 1'!D122</f>
        <v>120000</v>
      </c>
      <c r="F342" s="104" t="s">
        <v>999</v>
      </c>
      <c r="G342" s="104"/>
      <c r="H342" s="104"/>
      <c r="I342" s="116" t="s">
        <v>506</v>
      </c>
    </row>
    <row r="343" spans="2:9" x14ac:dyDescent="0.25">
      <c r="B343" s="104" t="s">
        <v>1037</v>
      </c>
      <c r="C343" s="104" t="s">
        <v>996</v>
      </c>
      <c r="D343" s="104" t="s">
        <v>1001</v>
      </c>
      <c r="E343" s="115">
        <v>4.8</v>
      </c>
      <c r="F343" s="104" t="s">
        <v>41</v>
      </c>
      <c r="G343" s="104"/>
      <c r="H343" s="104"/>
      <c r="I343" s="116" t="s">
        <v>506</v>
      </c>
    </row>
    <row r="344" spans="2:9" x14ac:dyDescent="0.25">
      <c r="B344" s="104" t="s">
        <v>1037</v>
      </c>
      <c r="C344" s="104" t="s">
        <v>996</v>
      </c>
      <c r="D344" s="104" t="s">
        <v>1002</v>
      </c>
      <c r="E344" s="115">
        <v>99</v>
      </c>
      <c r="F344" s="104" t="s">
        <v>41</v>
      </c>
      <c r="G344" s="104"/>
      <c r="H344" s="104"/>
      <c r="I344" s="116" t="s">
        <v>506</v>
      </c>
    </row>
    <row r="345" spans="2:9" x14ac:dyDescent="0.25">
      <c r="B345" s="104" t="s">
        <v>1037</v>
      </c>
      <c r="C345" s="104" t="s">
        <v>1010</v>
      </c>
      <c r="D345" s="104" t="s">
        <v>1011</v>
      </c>
      <c r="E345" s="115">
        <v>4000</v>
      </c>
      <c r="F345" s="104" t="s">
        <v>46</v>
      </c>
      <c r="G345" s="104"/>
      <c r="H345" s="104"/>
      <c r="I345" s="116" t="s">
        <v>506</v>
      </c>
    </row>
    <row r="346" spans="2:9" x14ac:dyDescent="0.25">
      <c r="B346" s="104" t="s">
        <v>1037</v>
      </c>
      <c r="C346" s="104"/>
      <c r="D346" s="104" t="s">
        <v>1012</v>
      </c>
      <c r="E346" s="115">
        <v>0.3</v>
      </c>
      <c r="F346" s="104" t="s">
        <v>927</v>
      </c>
      <c r="G346" s="104"/>
      <c r="H346" s="104"/>
      <c r="I346" s="116" t="s">
        <v>506</v>
      </c>
    </row>
    <row r="347" spans="2:9" x14ac:dyDescent="0.25">
      <c r="B347" s="104" t="s">
        <v>1037</v>
      </c>
      <c r="C347" s="104"/>
      <c r="D347" s="104" t="s">
        <v>1013</v>
      </c>
      <c r="E347" s="115">
        <v>1</v>
      </c>
      <c r="F347" s="104" t="s">
        <v>927</v>
      </c>
      <c r="G347" s="104"/>
      <c r="H347" s="104"/>
      <c r="I347" s="116" t="s">
        <v>506</v>
      </c>
    </row>
    <row r="348" spans="2:9" x14ac:dyDescent="0.25">
      <c r="B348" s="104" t="s">
        <v>1037</v>
      </c>
      <c r="C348" s="104"/>
      <c r="D348" s="104" t="s">
        <v>1014</v>
      </c>
      <c r="E348" s="115">
        <v>0.5</v>
      </c>
      <c r="F348" s="104" t="s">
        <v>927</v>
      </c>
      <c r="G348" s="104"/>
      <c r="H348" s="104"/>
      <c r="I348" s="116" t="s">
        <v>506</v>
      </c>
    </row>
    <row r="349" spans="2:9" x14ac:dyDescent="0.25">
      <c r="B349" s="104" t="s">
        <v>1037</v>
      </c>
      <c r="C349" s="104"/>
      <c r="D349" s="104" t="s">
        <v>1015</v>
      </c>
      <c r="E349" s="115">
        <v>1</v>
      </c>
      <c r="F349" s="104" t="s">
        <v>927</v>
      </c>
      <c r="G349" s="104"/>
      <c r="H349" s="104"/>
      <c r="I349" s="116" t="s">
        <v>506</v>
      </c>
    </row>
    <row r="350" spans="2:9" x14ac:dyDescent="0.25">
      <c r="B350" s="104" t="s">
        <v>1037</v>
      </c>
      <c r="C350" s="104"/>
      <c r="D350" s="104" t="s">
        <v>1016</v>
      </c>
      <c r="E350" s="115">
        <v>6</v>
      </c>
      <c r="F350" s="104" t="s">
        <v>1017</v>
      </c>
      <c r="G350" s="104"/>
      <c r="H350" s="104"/>
      <c r="I350" s="116" t="s">
        <v>506</v>
      </c>
    </row>
    <row r="351" spans="2:9" x14ac:dyDescent="0.25">
      <c r="B351" s="104" t="s">
        <v>1037</v>
      </c>
      <c r="C351" s="104"/>
      <c r="D351" s="104" t="s">
        <v>1018</v>
      </c>
      <c r="E351" s="115">
        <v>1</v>
      </c>
      <c r="F351" s="104" t="s">
        <v>1017</v>
      </c>
      <c r="G351" s="104"/>
      <c r="H351" s="104"/>
      <c r="I351" s="116" t="s">
        <v>506</v>
      </c>
    </row>
    <row r="352" spans="2:9" x14ac:dyDescent="0.25">
      <c r="B352" s="104" t="s">
        <v>1037</v>
      </c>
      <c r="C352" s="104"/>
      <c r="D352" s="104" t="s">
        <v>1019</v>
      </c>
      <c r="E352" s="115">
        <v>1</v>
      </c>
      <c r="F352" s="104" t="s">
        <v>1017</v>
      </c>
      <c r="G352" s="104"/>
      <c r="H352" s="104"/>
      <c r="I352" s="116" t="s">
        <v>506</v>
      </c>
    </row>
    <row r="353" spans="2:9" x14ac:dyDescent="0.25">
      <c r="B353" s="104" t="s">
        <v>1037</v>
      </c>
      <c r="C353" s="104"/>
      <c r="D353" s="104" t="s">
        <v>1020</v>
      </c>
      <c r="E353" s="115">
        <v>5.5</v>
      </c>
      <c r="F353" s="104" t="s">
        <v>1017</v>
      </c>
      <c r="G353" s="104"/>
      <c r="H353" s="104"/>
      <c r="I353" s="116" t="s">
        <v>506</v>
      </c>
    </row>
    <row r="354" spans="2:9" x14ac:dyDescent="0.25">
      <c r="B354" s="104" t="s">
        <v>1037</v>
      </c>
      <c r="C354" s="104"/>
      <c r="D354" s="104" t="s">
        <v>1021</v>
      </c>
      <c r="E354" s="115">
        <v>5.5</v>
      </c>
      <c r="F354" s="104" t="s">
        <v>1017</v>
      </c>
      <c r="G354" s="104"/>
      <c r="H354" s="104"/>
      <c r="I354" s="116" t="s">
        <v>506</v>
      </c>
    </row>
    <row r="355" spans="2:9" x14ac:dyDescent="0.25">
      <c r="B355" s="104" t="s">
        <v>1037</v>
      </c>
      <c r="C355" s="104"/>
      <c r="D355" s="104" t="s">
        <v>1022</v>
      </c>
      <c r="E355" s="115">
        <v>48</v>
      </c>
      <c r="F355" s="104" t="s">
        <v>1017</v>
      </c>
      <c r="G355" s="104"/>
      <c r="H355" s="104"/>
      <c r="I355" s="116" t="s">
        <v>506</v>
      </c>
    </row>
    <row r="356" spans="2:9" x14ac:dyDescent="0.25">
      <c r="B356" s="104" t="s">
        <v>1037</v>
      </c>
      <c r="C356" s="104"/>
      <c r="D356" s="104" t="s">
        <v>1023</v>
      </c>
      <c r="E356" s="115">
        <v>0.5</v>
      </c>
      <c r="F356" s="104" t="s">
        <v>1017</v>
      </c>
      <c r="G356" s="104"/>
      <c r="H356" s="104"/>
      <c r="I356" s="116" t="s">
        <v>506</v>
      </c>
    </row>
  </sheetData>
  <sheetProtection algorithmName="SHA-512" hashValue="UqPhdBg1hvysmsJ4zqwhw5dHKmPyH+Y0QNPtUgDjZh1RPHSqpvGQRuEz8eOgK/j2My3R1f4mNnkYAkSiUBMcWQ==" saltValue="5LoXndxpZsFE7GPAL4cXfw==" spinCount="100000" sheet="1" objects="1" scenarios="1"/>
  <autoFilter ref="B16:I333" xr:uid="{A8ABF846-E901-BC4D-B682-DF9F480D5065}"/>
  <mergeCells count="2">
    <mergeCell ref="B5:K5"/>
    <mergeCell ref="B8:K8"/>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E514-D628-440D-9AFA-98BAB39A41A7}">
  <sheetPr codeName="Sheet16">
    <tabColor theme="0" tint="-0.249977111117893"/>
  </sheetPr>
  <dimension ref="A1:G12"/>
  <sheetViews>
    <sheetView workbookViewId="0">
      <selection activeCell="K51" sqref="K51"/>
    </sheetView>
  </sheetViews>
  <sheetFormatPr defaultColWidth="8.85546875" defaultRowHeight="15" x14ac:dyDescent="0.25"/>
  <cols>
    <col min="1" max="1" width="50.28515625" customWidth="1"/>
    <col min="2" max="2" width="18.28515625" customWidth="1"/>
    <col min="3" max="3" width="14.140625" customWidth="1"/>
    <col min="4" max="4" width="14.7109375" customWidth="1"/>
    <col min="5" max="5" width="21" customWidth="1"/>
    <col min="6" max="6" width="16.42578125" customWidth="1"/>
    <col min="7" max="7" width="17.42578125" customWidth="1"/>
  </cols>
  <sheetData>
    <row r="1" spans="1:7" x14ac:dyDescent="0.25">
      <c r="A1" t="s">
        <v>1038</v>
      </c>
    </row>
    <row r="2" spans="1:7" x14ac:dyDescent="0.25">
      <c r="G2" t="s">
        <v>1039</v>
      </c>
    </row>
    <row r="3" spans="1:7" x14ac:dyDescent="0.25">
      <c r="B3" t="s">
        <v>1040</v>
      </c>
      <c r="C3" t="s">
        <v>1041</v>
      </c>
      <c r="D3" t="s">
        <v>1042</v>
      </c>
      <c r="E3" t="s">
        <v>1043</v>
      </c>
      <c r="F3" t="s">
        <v>1042</v>
      </c>
      <c r="G3" t="s">
        <v>1044</v>
      </c>
    </row>
    <row r="4" spans="1:7" x14ac:dyDescent="0.25">
      <c r="A4" t="s">
        <v>669</v>
      </c>
      <c r="B4">
        <v>6.6</v>
      </c>
      <c r="C4">
        <v>1.1140000000000001</v>
      </c>
      <c r="D4">
        <f>B4*C4</f>
        <v>7.3524000000000003</v>
      </c>
      <c r="E4">
        <v>1.0900000000000001</v>
      </c>
      <c r="F4">
        <f>D4*E4</f>
        <v>8.0141160000000013</v>
      </c>
      <c r="G4">
        <f>F4*1000000</f>
        <v>8014116.0000000009</v>
      </c>
    </row>
    <row r="5" spans="1:7" x14ac:dyDescent="0.25">
      <c r="A5" t="s">
        <v>1045</v>
      </c>
      <c r="B5">
        <v>19.600000000000001</v>
      </c>
      <c r="C5">
        <v>1.1140000000000001</v>
      </c>
      <c r="D5">
        <f t="shared" ref="D5:D12" si="0">B5*C5</f>
        <v>21.834400000000002</v>
      </c>
      <c r="E5">
        <v>1.0900000000000001</v>
      </c>
      <c r="F5">
        <f t="shared" ref="F5:F12" si="1">D5*E5</f>
        <v>23.799496000000005</v>
      </c>
      <c r="G5">
        <f t="shared" ref="G5:G12" si="2">F5*1000000</f>
        <v>23799496.000000004</v>
      </c>
    </row>
    <row r="6" spans="1:7" x14ac:dyDescent="0.25">
      <c r="A6" t="s">
        <v>154</v>
      </c>
      <c r="B6">
        <v>40.799999999999997</v>
      </c>
      <c r="C6">
        <v>1.1140000000000001</v>
      </c>
      <c r="D6">
        <f t="shared" si="0"/>
        <v>45.4512</v>
      </c>
      <c r="E6">
        <v>1.0900000000000001</v>
      </c>
      <c r="F6">
        <f t="shared" si="1"/>
        <v>49.541808000000003</v>
      </c>
      <c r="G6">
        <f t="shared" si="2"/>
        <v>49541808</v>
      </c>
    </row>
    <row r="7" spans="1:7" x14ac:dyDescent="0.25">
      <c r="A7" t="s">
        <v>1046</v>
      </c>
      <c r="B7">
        <v>0.5</v>
      </c>
      <c r="C7">
        <v>1.1140000000000001</v>
      </c>
      <c r="D7">
        <f t="shared" si="0"/>
        <v>0.55700000000000005</v>
      </c>
      <c r="E7">
        <v>1.0900000000000001</v>
      </c>
      <c r="F7">
        <f t="shared" si="1"/>
        <v>0.60713000000000006</v>
      </c>
      <c r="G7">
        <f t="shared" si="2"/>
        <v>607130.00000000012</v>
      </c>
    </row>
    <row r="8" spans="1:7" x14ac:dyDescent="0.25">
      <c r="A8" t="s">
        <v>158</v>
      </c>
      <c r="B8">
        <v>2.8</v>
      </c>
      <c r="C8">
        <v>1.1140000000000001</v>
      </c>
      <c r="D8">
        <f t="shared" si="0"/>
        <v>3.1192000000000002</v>
      </c>
      <c r="E8">
        <v>1.0900000000000001</v>
      </c>
      <c r="F8">
        <f t="shared" si="1"/>
        <v>3.3999280000000005</v>
      </c>
      <c r="G8">
        <f t="shared" si="2"/>
        <v>3399928.0000000005</v>
      </c>
    </row>
    <row r="9" spans="1:7" x14ac:dyDescent="0.25">
      <c r="A9" t="s">
        <v>1047</v>
      </c>
      <c r="B9">
        <v>1.3</v>
      </c>
      <c r="C9">
        <v>1.1140000000000001</v>
      </c>
      <c r="D9">
        <f t="shared" si="0"/>
        <v>1.4482000000000002</v>
      </c>
      <c r="E9">
        <v>1.0900000000000001</v>
      </c>
      <c r="F9">
        <f t="shared" si="1"/>
        <v>1.5785380000000002</v>
      </c>
      <c r="G9">
        <f t="shared" si="2"/>
        <v>1578538.0000000002</v>
      </c>
    </row>
    <row r="10" spans="1:7" x14ac:dyDescent="0.25">
      <c r="A10" t="s">
        <v>160</v>
      </c>
      <c r="B10">
        <v>0.5</v>
      </c>
      <c r="C10">
        <v>1.1140000000000001</v>
      </c>
      <c r="D10">
        <f t="shared" si="0"/>
        <v>0.55700000000000005</v>
      </c>
      <c r="E10">
        <v>1.0900000000000001</v>
      </c>
      <c r="F10">
        <f t="shared" si="1"/>
        <v>0.60713000000000006</v>
      </c>
      <c r="G10">
        <f t="shared" si="2"/>
        <v>607130.00000000012</v>
      </c>
    </row>
    <row r="11" spans="1:7" x14ac:dyDescent="0.25">
      <c r="A11" t="s">
        <v>162</v>
      </c>
      <c r="B11">
        <v>21</v>
      </c>
      <c r="C11">
        <v>1.1140000000000001</v>
      </c>
      <c r="D11">
        <f t="shared" si="0"/>
        <v>23.394000000000002</v>
      </c>
      <c r="E11">
        <v>1.0900000000000001</v>
      </c>
      <c r="F11">
        <f t="shared" si="1"/>
        <v>25.499460000000003</v>
      </c>
      <c r="G11">
        <f t="shared" si="2"/>
        <v>25499460.000000004</v>
      </c>
    </row>
    <row r="12" spans="1:7" x14ac:dyDescent="0.25">
      <c r="A12" t="s">
        <v>241</v>
      </c>
      <c r="B12">
        <v>4.8</v>
      </c>
      <c r="C12">
        <v>1.1140000000000001</v>
      </c>
      <c r="D12">
        <f t="shared" si="0"/>
        <v>5.3472</v>
      </c>
      <c r="E12">
        <v>1.0900000000000001</v>
      </c>
      <c r="F12">
        <f t="shared" si="1"/>
        <v>5.8284480000000007</v>
      </c>
      <c r="G12">
        <f t="shared" si="2"/>
        <v>5828448.0000000009</v>
      </c>
    </row>
  </sheetData>
  <sheetProtection algorithmName="SHA-512" hashValue="tYLjnp522wThfc2AX0tr10sWYrGK8PdLeiPCVDZNHUgUrvObA0VUqXoq0W2z56WHIkBu56CT3+aSp6OyaFkXtg==" saltValue="C+nC6wI6EoFChnHJTXz0D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687CC-0BD0-D04E-A882-A3CAE4038B06}">
  <sheetPr codeName="Sheet14"/>
  <dimension ref="A1:B17"/>
  <sheetViews>
    <sheetView workbookViewId="0">
      <selection activeCell="B3" sqref="B3"/>
    </sheetView>
  </sheetViews>
  <sheetFormatPr defaultColWidth="8.85546875" defaultRowHeight="15.75" x14ac:dyDescent="0.25"/>
  <cols>
    <col min="1" max="1" width="14.7109375" style="325" customWidth="1"/>
    <col min="2" max="2" width="9.140625" style="325" customWidth="1"/>
    <col min="3" max="16384" width="8.85546875" style="325"/>
  </cols>
  <sheetData>
    <row r="1" spans="1:2" x14ac:dyDescent="0.25">
      <c r="A1" s="325" t="s">
        <v>1048</v>
      </c>
      <c r="B1" s="325" t="s">
        <v>1049</v>
      </c>
    </row>
    <row r="2" spans="1:2" x14ac:dyDescent="0.25">
      <c r="A2" s="325" t="s">
        <v>1050</v>
      </c>
      <c r="B2" s="325" t="s">
        <v>1051</v>
      </c>
    </row>
    <row r="3" spans="1:2" x14ac:dyDescent="0.25">
      <c r="A3" s="325" t="s">
        <v>1052</v>
      </c>
    </row>
    <row r="4" spans="1:2" x14ac:dyDescent="0.25">
      <c r="A4" s="325" t="s">
        <v>1053</v>
      </c>
    </row>
    <row r="5" spans="1:2" x14ac:dyDescent="0.25">
      <c r="A5" s="325" t="s">
        <v>1054</v>
      </c>
    </row>
    <row r="6" spans="1:2" x14ac:dyDescent="0.25">
      <c r="A6" s="325" t="s">
        <v>1055</v>
      </c>
    </row>
    <row r="7" spans="1:2" x14ac:dyDescent="0.25">
      <c r="A7" s="325" t="s">
        <v>1056</v>
      </c>
      <c r="B7" s="325" t="b">
        <v>0</v>
      </c>
    </row>
    <row r="8" spans="1:2" x14ac:dyDescent="0.25">
      <c r="A8" s="325" t="s">
        <v>1057</v>
      </c>
      <c r="B8" s="325" t="b">
        <v>0</v>
      </c>
    </row>
    <row r="9" spans="1:2" x14ac:dyDescent="0.25">
      <c r="A9" s="325" t="s">
        <v>1058</v>
      </c>
      <c r="B9" s="325" t="b">
        <v>0</v>
      </c>
    </row>
    <row r="13" spans="1:2" x14ac:dyDescent="0.25">
      <c r="A13" s="326" t="s">
        <v>1059</v>
      </c>
    </row>
    <row r="14" spans="1:2" x14ac:dyDescent="0.25">
      <c r="A14" s="325" t="s">
        <v>1060</v>
      </c>
    </row>
    <row r="15" spans="1:2" x14ac:dyDescent="0.25">
      <c r="A15" s="325" t="s">
        <v>1061</v>
      </c>
    </row>
    <row r="16" spans="1:2" x14ac:dyDescent="0.25">
      <c r="A16" s="325" t="s">
        <v>1062</v>
      </c>
    </row>
    <row r="17" spans="1:1" x14ac:dyDescent="0.25">
      <c r="A17" s="325" t="s">
        <v>1063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B99BA14A6D7742BC9CD5470BDB9813" ma:contentTypeVersion="12" ma:contentTypeDescription="Create a new document." ma:contentTypeScope="" ma:versionID="52a7f7106ca08941cdd5dad7d3a41c0b">
  <xsd:schema xmlns:xsd="http://www.w3.org/2001/XMLSchema" xmlns:xs="http://www.w3.org/2001/XMLSchema" xmlns:p="http://schemas.microsoft.com/office/2006/metadata/properties" xmlns:ns2="228e38ad-35c4-498a-a9fb-ccc6d4b6c7b9" xmlns:ns3="02241189-311e-4e32-8fc2-d904dc1567af" targetNamespace="http://schemas.microsoft.com/office/2006/metadata/properties" ma:root="true" ma:fieldsID="03773613e5857e09a32501476bce2451" ns2:_="" ns3:_="">
    <xsd:import namespace="228e38ad-35c4-498a-a9fb-ccc6d4b6c7b9"/>
    <xsd:import namespace="02241189-311e-4e32-8fc2-d904dc1567a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8e38ad-35c4-498a-a9fb-ccc6d4b6c7b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2241189-311e-4e32-8fc2-d904dc1567a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02241189-311e-4e32-8fc2-d904dc1567af">
      <UserInfo>
        <DisplayName>Hammond, Rob</DisplayName>
        <AccountId>38</AccountId>
        <AccountType/>
      </UserInfo>
      <UserInfo>
        <DisplayName>Keyser, David</DisplayName>
        <AccountId>6</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B468AA9-A865-43A7-B49F-5E1C7D366F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8e38ad-35c4-498a-a9fb-ccc6d4b6c7b9"/>
    <ds:schemaRef ds:uri="02241189-311e-4e32-8fc2-d904dc1567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41B1882-A521-47DB-B8C2-6E63274ABB71}">
  <ds:schemaRefs>
    <ds:schemaRef ds:uri="02241189-311e-4e32-8fc2-d904dc1567af"/>
    <ds:schemaRef ds:uri="http://purl.org/dc/terms/"/>
    <ds:schemaRef ds:uri="http://schemas.openxmlformats.org/package/2006/metadata/core-properties"/>
    <ds:schemaRef ds:uri="228e38ad-35c4-498a-a9fb-ccc6d4b6c7b9"/>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6C5EAA38-1379-4959-A45E-570B5DAAD5A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8</vt:i4>
      </vt:variant>
    </vt:vector>
  </HeadingPairs>
  <TitlesOfParts>
    <vt:vector size="26" baseType="lpstr">
      <vt:lpstr>Start</vt:lpstr>
      <vt:lpstr>Project Data - Step 1</vt:lpstr>
      <vt:lpstr>Project Costs - Step 2</vt:lpstr>
      <vt:lpstr>Local Share - Step 3</vt:lpstr>
      <vt:lpstr>Model Scenario - Step 4</vt:lpstr>
      <vt:lpstr>Economic Impact Results</vt:lpstr>
      <vt:lpstr>User Add-In Location</vt:lpstr>
      <vt:lpstr>Optional Turbine Subcomponents</vt:lpstr>
      <vt:lpstr>General-Calculations</vt:lpstr>
      <vt:lpstr>Multiplier-Calculations</vt:lpstr>
      <vt:lpstr>Installation Process Times</vt:lpstr>
      <vt:lpstr>Default Local</vt:lpstr>
      <vt:lpstr>Multipliers</vt:lpstr>
      <vt:lpstr>Deflators</vt:lpstr>
      <vt:lpstr>Project Data - JEDI Inputs</vt:lpstr>
      <vt:lpstr>Project Data - ORBIT Inputs</vt:lpstr>
      <vt:lpstr>O&amp;M Costs</vt:lpstr>
      <vt:lpstr>xlwings.conf</vt:lpstr>
      <vt:lpstr>Anchor</vt:lpstr>
      <vt:lpstr>cmadjust</vt:lpstr>
      <vt:lpstr>cost_to_mult_adjust</vt:lpstr>
      <vt:lpstr>mcadjust</vt:lpstr>
      <vt:lpstr>mult_to_cost_adjust</vt:lpstr>
      <vt:lpstr>nothing</vt:lpstr>
      <vt:lpstr>proxy_region</vt:lpstr>
      <vt:lpstr>state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Stefek, Jeremy</dc:creator>
  <cp:keywords/>
  <dc:description/>
  <cp:lastModifiedBy>Stefek, Jeremy</cp:lastModifiedBy>
  <cp:revision/>
  <dcterms:created xsi:type="dcterms:W3CDTF">2020-10-14T17:36:10Z</dcterms:created>
  <dcterms:modified xsi:type="dcterms:W3CDTF">2022-09-20T16:48:19Z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0x0101001FB99BA14A6D7742BC9CD5470BDB9813</vt:lpwstr>
  </property>
</Properties>
</file>