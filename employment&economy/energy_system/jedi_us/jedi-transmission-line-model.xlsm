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FD3" lockStructure="1"/>
  <bookViews>
    <workbookView xWindow="-15" yWindow="-15" windowWidth="11295" windowHeight="8130" tabRatio="393" activeTab="1"/>
  </bookViews>
  <sheets>
    <sheet name="About JEDI" sheetId="15" r:id="rId1"/>
    <sheet name="Start" sheetId="1" r:id="rId2"/>
    <sheet name="FAQ" sheetId="14" r:id="rId3"/>
    <sheet name="ProjectData" sheetId="2" r:id="rId4"/>
    <sheet name="SummaryResults" sheetId="11" r:id="rId5"/>
    <sheet name="User Add-in Location" sheetId="13" r:id="rId6"/>
    <sheet name="DefaultData" sheetId="12" r:id="rId7"/>
    <sheet name="Calculations" sheetId="6" r:id="rId8"/>
    <sheet name="Deflators" sheetId="9" r:id="rId9"/>
    <sheet name="Household Exp" sheetId="10" state="hidden" r:id="rId10"/>
    <sheet name="Multipliers" sheetId="8" state="hidden" r:id="rId11"/>
    <sheet name="Line Config Data" sheetId="16" r:id="rId12"/>
    <sheet name="Transformer Data" sheetId="17" r:id="rId13"/>
    <sheet name="Terrain and Pop Multipliers" sheetId="18" r:id="rId14"/>
    <sheet name="Wage Data" sheetId="19" r:id="rId15"/>
  </sheets>
  <definedNames>
    <definedName name="_ftn1" localSheetId="2">FAQ!#REF!</definedName>
    <definedName name="_ftnref1" localSheetId="2">FAQ!#REF!</definedName>
    <definedName name="Analysis">ProjectData!$V$23:$V$24</definedName>
    <definedName name="Circuits">'Line Config Data'!$D$38:$D$39</definedName>
    <definedName name="Detailed_Project_Data_Costs">Calculations!$AB$3:$AE$137</definedName>
    <definedName name="Detailed_Wind_Plant_Project_Data_Costs">SummaryResults!$A$51:$D$151</definedName>
    <definedName name="GridSysVoltage">'Transformer Data'!$L$15:$L$19</definedName>
    <definedName name="GridVoltage">ProjectData!$T$827:$T$833</definedName>
    <definedName name="LineVoltages">ProjectData!$Q$827:$Q$833</definedName>
    <definedName name="Location">ProjectData!$P$827:$P$880</definedName>
    <definedName name="MoneyValue">ProjectData!$S$827:$S$835</definedName>
    <definedName name="Other_Parameters">ProjectData!$A$127</definedName>
    <definedName name="PopDensity">'Terrain and Pop Multipliers'!$B$18:$B$19</definedName>
    <definedName name="PopulationDensity">'Terrain and Pop Multipliers'!$B$18:$B$20</definedName>
    <definedName name="_xlnm.Print_Area" localSheetId="7">Calculations!$AB$3:$AE$133</definedName>
    <definedName name="_xlnm.Print_Area" localSheetId="3">ProjectData!$B$18</definedName>
    <definedName name="_xlnm.Print_Area" localSheetId="4">SummaryResults!$BB$1:$BE$49</definedName>
    <definedName name="Print_Results">SummaryResults!$A$1:$D$49</definedName>
    <definedName name="Project_Cost_Data">ProjectData!$A$52</definedName>
    <definedName name="Project_Data">ProjectData!$A$1</definedName>
    <definedName name="ProjectConstCostData">ProjectData!$A$52:$C$108</definedName>
    <definedName name="ProjectData">ProjectData!$A$1</definedName>
    <definedName name="ProjectOandMData">ProjectData!$A$109:$C$145</definedName>
    <definedName name="Summary_Impacts">SummaryResults!$A$1:$D$49</definedName>
    <definedName name="Summary_Results">SummaryResults!$A$1</definedName>
    <definedName name="Terrain">'Terrain and Pop Multipliers'!$B$10:$B$13</definedName>
    <definedName name="Voltage">ProjectData!$V$827:$V$833</definedName>
    <definedName name="Wind_Plant_Annual_OandM_Costs">ProjectData!$A$109</definedName>
    <definedName name="Wind_Plant_Annual_Operating_and_Maintenance_Costs">ProjectData!$B$112</definedName>
    <definedName name="Year">ProjectData!$B$18</definedName>
    <definedName name="Years">ProjectData!$R$827:$R$862</definedName>
    <definedName name="YesNo">ProjectData!$S$47:$S$48</definedName>
  </definedNames>
  <calcPr calcId="144525" iterate="1" iterateCount="1000" iterateDelta="10000" calcOnSave="0" concurrentCalc="0"/>
  <customWorkbookViews>
    <customWorkbookView name="start" guid="{55B80D82-F000-11D6-8735-C8E5A357943D}" maximized="1" windowWidth="796" windowHeight="464" activeSheetId="1"/>
  </customWorkbookViews>
</workbook>
</file>

<file path=xl/calcChain.xml><?xml version="1.0" encoding="utf-8"?>
<calcChain xmlns="http://schemas.openxmlformats.org/spreadsheetml/2006/main">
  <c r="D52" i="9" l="1"/>
  <c r="D51" i="9"/>
  <c r="F8" i="9"/>
  <c r="F7" i="9"/>
  <c r="E154" i="2"/>
  <c r="E153" i="2"/>
  <c r="B154" i="2"/>
  <c r="B153" i="2"/>
  <c r="E151" i="2"/>
  <c r="E150" i="2"/>
  <c r="E149" i="2"/>
  <c r="B151" i="2"/>
  <c r="B150" i="2"/>
  <c r="B149" i="2"/>
  <c r="E146" i="2"/>
  <c r="E145" i="2"/>
  <c r="AI119" i="12"/>
  <c r="C105" i="12"/>
  <c r="B146" i="2"/>
  <c r="B142" i="2"/>
  <c r="B141" i="2"/>
  <c r="B106" i="2"/>
  <c r="B107" i="2"/>
  <c r="B143" i="2"/>
  <c r="B140" i="2"/>
  <c r="B144" i="2"/>
  <c r="B145" i="2"/>
  <c r="B138" i="2"/>
  <c r="B137" i="2"/>
  <c r="E136" i="2"/>
  <c r="E135" i="2"/>
  <c r="B135" i="2"/>
  <c r="E130" i="2"/>
  <c r="B132" i="2"/>
  <c r="B131" i="2"/>
  <c r="B130" i="2"/>
  <c r="F124" i="2"/>
  <c r="B124" i="2"/>
  <c r="B123" i="2"/>
  <c r="F120" i="2"/>
  <c r="F119" i="2"/>
  <c r="F118" i="2"/>
  <c r="C118" i="2"/>
  <c r="C119" i="2"/>
  <c r="C120" i="2"/>
  <c r="C121" i="2"/>
  <c r="F115" i="2"/>
  <c r="F114" i="2"/>
  <c r="F113" i="2"/>
  <c r="F112" i="2"/>
  <c r="D115" i="2"/>
  <c r="D114" i="2"/>
  <c r="D113" i="2"/>
  <c r="D112" i="2"/>
  <c r="C102" i="2"/>
  <c r="F102" i="2"/>
  <c r="F101" i="2"/>
  <c r="F100" i="2"/>
  <c r="F99" i="2"/>
  <c r="B101" i="2"/>
  <c r="B100" i="2"/>
  <c r="B99" i="2"/>
  <c r="F96" i="2"/>
  <c r="F95" i="2"/>
  <c r="C96" i="2"/>
  <c r="C95" i="2"/>
  <c r="F92" i="2"/>
  <c r="F91" i="2"/>
  <c r="C92" i="2"/>
  <c r="C91" i="2"/>
  <c r="F85" i="2"/>
  <c r="F84" i="2"/>
  <c r="F83" i="2"/>
  <c r="F82" i="2"/>
  <c r="F81" i="2"/>
  <c r="C85" i="2"/>
  <c r="C84" i="2"/>
  <c r="C83" i="2"/>
  <c r="C82" i="2"/>
  <c r="C81" i="2"/>
  <c r="F78" i="2"/>
  <c r="F77" i="2"/>
  <c r="F76" i="2"/>
  <c r="F75" i="2"/>
  <c r="F74" i="2"/>
  <c r="C78" i="2"/>
  <c r="C77" i="2"/>
  <c r="C76" i="2"/>
  <c r="C75" i="2"/>
  <c r="C74" i="2"/>
  <c r="F68" i="2"/>
  <c r="F67" i="2"/>
  <c r="C68" i="2"/>
  <c r="C67" i="2"/>
  <c r="F64" i="2"/>
  <c r="F63" i="2"/>
  <c r="F62" i="2"/>
  <c r="C64" i="2"/>
  <c r="C63" i="2"/>
  <c r="C62" i="2"/>
  <c r="F58" i="2"/>
  <c r="F57" i="2"/>
  <c r="F56" i="2"/>
  <c r="F55" i="2"/>
  <c r="C58" i="2"/>
  <c r="C57" i="2"/>
  <c r="C56" i="2"/>
  <c r="C55" i="2"/>
  <c r="C45" i="2"/>
  <c r="B45" i="2"/>
  <c r="C43" i="2"/>
  <c r="C44" i="2"/>
  <c r="B43" i="2"/>
  <c r="B44" i="2"/>
  <c r="B37" i="2"/>
  <c r="B35" i="2"/>
  <c r="B31" i="2"/>
  <c r="B30" i="2"/>
  <c r="AH76" i="12"/>
  <c r="D76" i="12"/>
  <c r="AH77" i="12"/>
  <c r="D77" i="12"/>
  <c r="AH78" i="12"/>
  <c r="D78" i="12"/>
  <c r="AH73" i="12"/>
  <c r="D73" i="12"/>
  <c r="AH72" i="12"/>
  <c r="D72" i="12"/>
  <c r="AH71" i="12"/>
  <c r="D71" i="12"/>
  <c r="AH70" i="12"/>
  <c r="D70" i="12"/>
  <c r="AH33" i="12"/>
  <c r="D33" i="12"/>
  <c r="B74" i="2"/>
  <c r="AH34" i="12"/>
  <c r="D34" i="12"/>
  <c r="B75" i="2"/>
  <c r="AH35" i="12"/>
  <c r="D35" i="12"/>
  <c r="B76" i="2"/>
  <c r="AH37" i="12"/>
  <c r="D37" i="12"/>
  <c r="B78" i="2"/>
  <c r="O6" i="17"/>
  <c r="O7" i="17"/>
  <c r="L2" i="17"/>
  <c r="O8" i="17"/>
  <c r="O9" i="17"/>
  <c r="O10" i="17"/>
  <c r="O11" i="17"/>
  <c r="O12" i="17"/>
  <c r="M6" i="17"/>
  <c r="M7" i="17"/>
  <c r="M8" i="17"/>
  <c r="M9" i="17"/>
  <c r="M10" i="17"/>
  <c r="M11" i="17"/>
  <c r="M12" i="17"/>
  <c r="P12" i="17"/>
  <c r="D36" i="12"/>
  <c r="B77" i="2"/>
  <c r="B79" i="2"/>
  <c r="AH7" i="12"/>
  <c r="AH22" i="12"/>
  <c r="D22" i="12"/>
  <c r="AH13" i="12"/>
  <c r="B62" i="2"/>
  <c r="AH23" i="12"/>
  <c r="D23" i="12"/>
  <c r="B63" i="2"/>
  <c r="AH24" i="12"/>
  <c r="D24" i="12"/>
  <c r="B64" i="2"/>
  <c r="B65" i="2"/>
  <c r="AH60" i="12"/>
  <c r="D60" i="12"/>
  <c r="AH9" i="12"/>
  <c r="AH8" i="12"/>
  <c r="AH10" i="12"/>
  <c r="AK14" i="12"/>
  <c r="AH14" i="12"/>
  <c r="AH59" i="12"/>
  <c r="D59" i="12"/>
  <c r="C59" i="12"/>
  <c r="AH58" i="12"/>
  <c r="D58" i="12"/>
  <c r="C58" i="12"/>
  <c r="AH57" i="12"/>
  <c r="D57" i="12"/>
  <c r="C57" i="12"/>
  <c r="AH54" i="12"/>
  <c r="D54" i="12"/>
  <c r="AH53" i="12"/>
  <c r="D53" i="12"/>
  <c r="AH50" i="12"/>
  <c r="D50" i="12"/>
  <c r="AH49" i="12"/>
  <c r="D49" i="12"/>
  <c r="AH44" i="12"/>
  <c r="D44" i="12"/>
  <c r="AH43" i="12"/>
  <c r="D43" i="12"/>
  <c r="AH42" i="12"/>
  <c r="D42" i="12"/>
  <c r="AH41" i="12"/>
  <c r="D41" i="12"/>
  <c r="AH40" i="12"/>
  <c r="D40" i="12"/>
  <c r="AH28" i="12"/>
  <c r="D28" i="12"/>
  <c r="AH27" i="12"/>
  <c r="D27" i="12"/>
  <c r="D45" i="16"/>
  <c r="AH18" i="12"/>
  <c r="D18" i="12"/>
  <c r="AH17" i="12"/>
  <c r="D17" i="12"/>
  <c r="E42" i="16"/>
  <c r="C41" i="2"/>
  <c r="C16" i="12"/>
  <c r="D16" i="12"/>
  <c r="AH15" i="12"/>
  <c r="D15" i="12"/>
  <c r="D42" i="16"/>
  <c r="P213" i="8"/>
  <c r="E4" i="9"/>
  <c r="E5" i="9"/>
  <c r="G86" i="6"/>
  <c r="B113" i="2"/>
  <c r="D117" i="6"/>
  <c r="E117" i="6"/>
  <c r="G117" i="6"/>
  <c r="D189" i="6"/>
  <c r="B120" i="2"/>
  <c r="D124" i="6"/>
  <c r="E124" i="6"/>
  <c r="G124" i="6"/>
  <c r="D192" i="6"/>
  <c r="B102" i="2"/>
  <c r="B103" i="2"/>
  <c r="B95" i="2"/>
  <c r="B96" i="2"/>
  <c r="B97" i="2"/>
  <c r="B91" i="2"/>
  <c r="B92" i="2"/>
  <c r="B93" i="2"/>
  <c r="B104" i="2"/>
  <c r="B81" i="2"/>
  <c r="B82" i="2"/>
  <c r="B83" i="2"/>
  <c r="B84" i="2"/>
  <c r="B85" i="2"/>
  <c r="B86" i="2"/>
  <c r="B87" i="2"/>
  <c r="B67" i="2"/>
  <c r="B68" i="2"/>
  <c r="B69" i="2"/>
  <c r="B55" i="2"/>
  <c r="B56" i="2"/>
  <c r="B57" i="2"/>
  <c r="B58" i="2"/>
  <c r="B59" i="2"/>
  <c r="B70" i="2"/>
  <c r="B105" i="2"/>
  <c r="D257" i="6"/>
  <c r="D258" i="6"/>
  <c r="D259" i="6"/>
  <c r="D260" i="6"/>
  <c r="D261" i="6"/>
  <c r="D262" i="6"/>
  <c r="D263" i="6"/>
  <c r="D264" i="6"/>
  <c r="D265" i="6"/>
  <c r="D266" i="6"/>
  <c r="D267" i="6"/>
  <c r="D268" i="6"/>
  <c r="D269" i="6"/>
  <c r="D270" i="6"/>
  <c r="D271" i="6"/>
  <c r="D272" i="6"/>
  <c r="D273" i="6"/>
  <c r="D274" i="6"/>
  <c r="D275" i="6"/>
  <c r="D276" i="6"/>
  <c r="D277" i="6"/>
  <c r="D278" i="6"/>
  <c r="D279" i="6"/>
  <c r="D280" i="6"/>
  <c r="D281" i="6"/>
  <c r="D282" i="6"/>
  <c r="D283" i="6"/>
  <c r="D284" i="6"/>
  <c r="D285" i="6"/>
  <c r="D286" i="6"/>
  <c r="D287" i="6"/>
  <c r="D288" i="6"/>
  <c r="D289" i="6"/>
  <c r="D290" i="6"/>
  <c r="D291" i="6"/>
  <c r="D292" i="6"/>
  <c r="D293" i="6"/>
  <c r="D294" i="6"/>
  <c r="D295" i="6"/>
  <c r="D296" i="6"/>
  <c r="D297" i="6"/>
  <c r="D298" i="6"/>
  <c r="E130" i="6"/>
  <c r="H130" i="6"/>
  <c r="B134" i="2"/>
  <c r="B136" i="2"/>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E132" i="6"/>
  <c r="H132" i="6"/>
  <c r="B112" i="2"/>
  <c r="D111" i="6"/>
  <c r="E111" i="6"/>
  <c r="G111" i="6"/>
  <c r="G159" i="6"/>
  <c r="L61" i="6"/>
  <c r="F161" i="6"/>
  <c r="G161" i="6"/>
  <c r="B114" i="2"/>
  <c r="D118" i="6"/>
  <c r="E118" i="6"/>
  <c r="G118" i="6"/>
  <c r="D196" i="6"/>
  <c r="D133" i="6"/>
  <c r="E133" i="6"/>
  <c r="G133" i="6"/>
  <c r="C82" i="12"/>
  <c r="D128" i="6"/>
  <c r="E128" i="6"/>
  <c r="G128" i="6"/>
  <c r="B115" i="2"/>
  <c r="D127" i="6"/>
  <c r="F123" i="2"/>
  <c r="E127" i="6"/>
  <c r="G127" i="6"/>
  <c r="D199" i="6"/>
  <c r="D143" i="6"/>
  <c r="G143" i="6"/>
  <c r="H143" i="6"/>
  <c r="X143" i="6"/>
  <c r="X189" i="6"/>
  <c r="P214" i="8"/>
  <c r="D144" i="6"/>
  <c r="G144" i="6"/>
  <c r="H144" i="6"/>
  <c r="X144" i="6"/>
  <c r="X190" i="6"/>
  <c r="P215" i="8"/>
  <c r="D145" i="6"/>
  <c r="G145" i="6"/>
  <c r="H145" i="6"/>
  <c r="X145" i="6"/>
  <c r="X191" i="6"/>
  <c r="P216" i="8"/>
  <c r="D146" i="6"/>
  <c r="G146" i="6"/>
  <c r="H146" i="6"/>
  <c r="X146" i="6"/>
  <c r="X192" i="6"/>
  <c r="P217" i="8"/>
  <c r="D147" i="6"/>
  <c r="G147" i="6"/>
  <c r="H147" i="6"/>
  <c r="X147" i="6"/>
  <c r="X193" i="6"/>
  <c r="P218" i="8"/>
  <c r="D148" i="6"/>
  <c r="G148" i="6"/>
  <c r="H148" i="6"/>
  <c r="X148" i="6"/>
  <c r="X194" i="6"/>
  <c r="P219" i="8"/>
  <c r="D149" i="6"/>
  <c r="G149" i="6"/>
  <c r="H149" i="6"/>
  <c r="X149" i="6"/>
  <c r="X195" i="6"/>
  <c r="P220" i="8"/>
  <c r="D150" i="6"/>
  <c r="G150" i="6"/>
  <c r="H150" i="6"/>
  <c r="X150" i="6"/>
  <c r="X196" i="6"/>
  <c r="P221" i="8"/>
  <c r="D151" i="6"/>
  <c r="G151" i="6"/>
  <c r="H151" i="6"/>
  <c r="X151" i="6"/>
  <c r="X197" i="6"/>
  <c r="P222" i="8"/>
  <c r="D152" i="6"/>
  <c r="G152" i="6"/>
  <c r="H152" i="6"/>
  <c r="X152" i="6"/>
  <c r="X198" i="6"/>
  <c r="P223" i="8"/>
  <c r="D153" i="6"/>
  <c r="G153" i="6"/>
  <c r="H153" i="6"/>
  <c r="X153" i="6"/>
  <c r="X199" i="6"/>
  <c r="P224" i="8"/>
  <c r="D154" i="6"/>
  <c r="G154" i="6"/>
  <c r="H154" i="6"/>
  <c r="X154" i="6"/>
  <c r="X200" i="6"/>
  <c r="P225" i="8"/>
  <c r="D155" i="6"/>
  <c r="G155" i="6"/>
  <c r="H155" i="6"/>
  <c r="X155" i="6"/>
  <c r="X201" i="6"/>
  <c r="U213" i="8"/>
  <c r="D168"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E131" i="6"/>
  <c r="H131" i="6"/>
  <c r="E168" i="6"/>
  <c r="L60" i="6"/>
  <c r="F160" i="6"/>
  <c r="G160" i="6"/>
  <c r="G162" i="6"/>
  <c r="F168" i="6"/>
  <c r="H168" i="6"/>
  <c r="U214" i="8"/>
  <c r="D169" i="6"/>
  <c r="E169" i="6"/>
  <c r="F169" i="6"/>
  <c r="H169" i="6"/>
  <c r="U215" i="8"/>
  <c r="D170" i="6"/>
  <c r="E170" i="6"/>
  <c r="F170" i="6"/>
  <c r="H170" i="6"/>
  <c r="U216" i="8"/>
  <c r="D171" i="6"/>
  <c r="E171" i="6"/>
  <c r="F171" i="6"/>
  <c r="H171" i="6"/>
  <c r="U217" i="8"/>
  <c r="D172" i="6"/>
  <c r="E172" i="6"/>
  <c r="F172" i="6"/>
  <c r="H172" i="6"/>
  <c r="U218" i="8"/>
  <c r="D173" i="6"/>
  <c r="E173" i="6"/>
  <c r="F173" i="6"/>
  <c r="H173" i="6"/>
  <c r="U219" i="8"/>
  <c r="D174" i="6"/>
  <c r="E174" i="6"/>
  <c r="F174" i="6"/>
  <c r="H174" i="6"/>
  <c r="U220" i="8"/>
  <c r="D175" i="6"/>
  <c r="E175" i="6"/>
  <c r="F175" i="6"/>
  <c r="H175" i="6"/>
  <c r="U221" i="8"/>
  <c r="D176" i="6"/>
  <c r="E176" i="6"/>
  <c r="F176" i="6"/>
  <c r="H176" i="6"/>
  <c r="U222" i="8"/>
  <c r="D177" i="6"/>
  <c r="E177" i="6"/>
  <c r="F177" i="6"/>
  <c r="H177" i="6"/>
  <c r="U223" i="8"/>
  <c r="D178" i="6"/>
  <c r="E178" i="6"/>
  <c r="F178" i="6"/>
  <c r="H178" i="6"/>
  <c r="U224" i="8"/>
  <c r="D179" i="6"/>
  <c r="E179" i="6"/>
  <c r="F179" i="6"/>
  <c r="H179" i="6"/>
  <c r="U225" i="8"/>
  <c r="D180" i="6"/>
  <c r="E180" i="6"/>
  <c r="F180" i="6"/>
  <c r="H180" i="6"/>
  <c r="U226" i="8"/>
  <c r="D181" i="6"/>
  <c r="E181" i="6"/>
  <c r="F181" i="6"/>
  <c r="H181" i="6"/>
  <c r="H182" i="6"/>
  <c r="X182" i="6"/>
  <c r="X203" i="6"/>
  <c r="X204" i="6"/>
  <c r="G107" i="6"/>
  <c r="X205" i="6"/>
  <c r="Q213" i="8"/>
  <c r="Y143" i="6"/>
  <c r="Y168" i="6"/>
  <c r="Y189" i="6"/>
  <c r="Q214" i="8"/>
  <c r="Y144" i="6"/>
  <c r="Y169" i="6"/>
  <c r="Y190" i="6"/>
  <c r="Q215" i="8"/>
  <c r="Y145" i="6"/>
  <c r="Y170" i="6"/>
  <c r="Y191" i="6"/>
  <c r="Q216" i="8"/>
  <c r="Y146" i="6"/>
  <c r="Y171" i="6"/>
  <c r="Y192" i="6"/>
  <c r="Q217" i="8"/>
  <c r="Y147" i="6"/>
  <c r="Y172" i="6"/>
  <c r="Y193" i="6"/>
  <c r="Q218" i="8"/>
  <c r="Y148" i="6"/>
  <c r="Y173" i="6"/>
  <c r="Y194" i="6"/>
  <c r="Q219" i="8"/>
  <c r="Y149" i="6"/>
  <c r="Y174" i="6"/>
  <c r="Y195" i="6"/>
  <c r="Q220" i="8"/>
  <c r="Y150" i="6"/>
  <c r="Y175" i="6"/>
  <c r="Y196" i="6"/>
  <c r="Q221" i="8"/>
  <c r="Y151" i="6"/>
  <c r="Y176" i="6"/>
  <c r="Y197" i="6"/>
  <c r="Q222" i="8"/>
  <c r="Y152" i="6"/>
  <c r="Y177" i="6"/>
  <c r="Y198" i="6"/>
  <c r="Q223" i="8"/>
  <c r="Y153" i="6"/>
  <c r="Y178" i="6"/>
  <c r="Y199" i="6"/>
  <c r="Q224" i="8"/>
  <c r="Y154" i="6"/>
  <c r="Y179" i="6"/>
  <c r="Y200" i="6"/>
  <c r="Q225" i="8"/>
  <c r="Y155" i="6"/>
  <c r="Y180" i="6"/>
  <c r="Y201" i="6"/>
  <c r="Q226" i="8"/>
  <c r="D156" i="6"/>
  <c r="G156" i="6"/>
  <c r="H156" i="6"/>
  <c r="Y156" i="6"/>
  <c r="Y181" i="6"/>
  <c r="Y202" i="6"/>
  <c r="Y204" i="6"/>
  <c r="Y205" i="6"/>
  <c r="X184" i="6"/>
  <c r="AK97" i="6"/>
  <c r="AK98" i="6"/>
  <c r="R213" i="8"/>
  <c r="Z143" i="6"/>
  <c r="Z168" i="6"/>
  <c r="Z189" i="6"/>
  <c r="R214" i="8"/>
  <c r="Z144" i="6"/>
  <c r="Z169" i="6"/>
  <c r="Z190" i="6"/>
  <c r="R215" i="8"/>
  <c r="Z145" i="6"/>
  <c r="Z170" i="6"/>
  <c r="Z191" i="6"/>
  <c r="R216" i="8"/>
  <c r="Z146" i="6"/>
  <c r="Z171" i="6"/>
  <c r="Z192" i="6"/>
  <c r="R217" i="8"/>
  <c r="Z147" i="6"/>
  <c r="Z172" i="6"/>
  <c r="Z193" i="6"/>
  <c r="R218" i="8"/>
  <c r="Z148" i="6"/>
  <c r="Z173" i="6"/>
  <c r="Z194" i="6"/>
  <c r="R219" i="8"/>
  <c r="Z149" i="6"/>
  <c r="Z174" i="6"/>
  <c r="Z195" i="6"/>
  <c r="R220" i="8"/>
  <c r="Z150" i="6"/>
  <c r="Z175" i="6"/>
  <c r="Z196" i="6"/>
  <c r="R221" i="8"/>
  <c r="Z151" i="6"/>
  <c r="Z176" i="6"/>
  <c r="Z197" i="6"/>
  <c r="R222" i="8"/>
  <c r="Z152" i="6"/>
  <c r="Z177" i="6"/>
  <c r="Z198" i="6"/>
  <c r="R223" i="8"/>
  <c r="Z153" i="6"/>
  <c r="Z178" i="6"/>
  <c r="Z199" i="6"/>
  <c r="R224" i="8"/>
  <c r="Z154" i="6"/>
  <c r="Z179" i="6"/>
  <c r="Z200" i="6"/>
  <c r="R225" i="8"/>
  <c r="Z155" i="6"/>
  <c r="Z180" i="6"/>
  <c r="Z201" i="6"/>
  <c r="R226" i="8"/>
  <c r="Z156" i="6"/>
  <c r="Z181" i="6"/>
  <c r="Z202" i="6"/>
  <c r="Z204" i="6"/>
  <c r="Z205" i="6"/>
  <c r="AK99" i="6"/>
  <c r="AK100" i="6"/>
  <c r="E45" i="11"/>
  <c r="BF45" i="11"/>
  <c r="E44" i="11"/>
  <c r="BF44" i="11"/>
  <c r="E43" i="11"/>
  <c r="BF43" i="11"/>
  <c r="E42" i="11"/>
  <c r="BF42" i="11"/>
  <c r="C14" i="11"/>
  <c r="E41" i="11"/>
  <c r="BF41" i="11"/>
  <c r="BF40" i="11"/>
  <c r="BF39" i="11"/>
  <c r="D19" i="6"/>
  <c r="E19" i="6"/>
  <c r="G19" i="6"/>
  <c r="D20" i="6"/>
  <c r="E20" i="6"/>
  <c r="G20" i="6"/>
  <c r="H20" i="6"/>
  <c r="D32" i="6"/>
  <c r="E32" i="6"/>
  <c r="G32" i="6"/>
  <c r="D33" i="6"/>
  <c r="E33" i="6"/>
  <c r="G33" i="6"/>
  <c r="D34" i="6"/>
  <c r="E34" i="6"/>
  <c r="G34" i="6"/>
  <c r="D35" i="6"/>
  <c r="E35" i="6"/>
  <c r="G35" i="6"/>
  <c r="D36" i="6"/>
  <c r="E36" i="6"/>
  <c r="G36" i="6"/>
  <c r="H36" i="6"/>
  <c r="E188" i="6"/>
  <c r="D14" i="6"/>
  <c r="E14" i="6"/>
  <c r="G14" i="6"/>
  <c r="E189" i="6"/>
  <c r="D15" i="6"/>
  <c r="E15" i="6"/>
  <c r="G15" i="6"/>
  <c r="E190" i="6"/>
  <c r="D25" i="6"/>
  <c r="E25" i="6"/>
  <c r="G25" i="6"/>
  <c r="D26" i="6"/>
  <c r="E26" i="6"/>
  <c r="G26" i="6"/>
  <c r="D27" i="6"/>
  <c r="E27" i="6"/>
  <c r="G27" i="6"/>
  <c r="D29" i="6"/>
  <c r="E29" i="6"/>
  <c r="G29" i="6"/>
  <c r="D16" i="6"/>
  <c r="E16" i="6"/>
  <c r="G16" i="6"/>
  <c r="D28" i="6"/>
  <c r="E28" i="6"/>
  <c r="G28" i="6"/>
  <c r="E192" i="6"/>
  <c r="D52" i="6"/>
  <c r="E52" i="6"/>
  <c r="G52" i="6"/>
  <c r="E196" i="6"/>
  <c r="D7" i="6"/>
  <c r="E7" i="6"/>
  <c r="G7" i="6"/>
  <c r="D51" i="6"/>
  <c r="E51" i="6"/>
  <c r="G51" i="6"/>
  <c r="E197" i="6"/>
  <c r="D9" i="6"/>
  <c r="E9" i="6"/>
  <c r="G9" i="6"/>
  <c r="D10" i="6"/>
  <c r="E10" i="6"/>
  <c r="G10" i="6"/>
  <c r="D41" i="6"/>
  <c r="E41" i="6"/>
  <c r="G41" i="6"/>
  <c r="D42" i="6"/>
  <c r="E42" i="6"/>
  <c r="G42" i="6"/>
  <c r="D45" i="6"/>
  <c r="E45" i="6"/>
  <c r="G45" i="6"/>
  <c r="D46" i="6"/>
  <c r="E46" i="6"/>
  <c r="G46" i="6"/>
  <c r="D49" i="6"/>
  <c r="E49" i="6"/>
  <c r="G49" i="6"/>
  <c r="E198" i="6"/>
  <c r="D56" i="6"/>
  <c r="E56" i="6"/>
  <c r="G56" i="6"/>
  <c r="D50" i="6"/>
  <c r="E50" i="6"/>
  <c r="G50" i="6"/>
  <c r="E199" i="6"/>
  <c r="D90" i="6"/>
  <c r="F90" i="6"/>
  <c r="G90" i="6"/>
  <c r="W90" i="6"/>
  <c r="D91" i="6"/>
  <c r="F91" i="6"/>
  <c r="G91" i="6"/>
  <c r="W91" i="6"/>
  <c r="D92" i="6"/>
  <c r="F92" i="6"/>
  <c r="G92" i="6"/>
  <c r="W92" i="6"/>
  <c r="D93" i="6"/>
  <c r="F93" i="6"/>
  <c r="G93" i="6"/>
  <c r="W93" i="6"/>
  <c r="D94" i="6"/>
  <c r="F94" i="6"/>
  <c r="G94" i="6"/>
  <c r="W94" i="6"/>
  <c r="D95" i="6"/>
  <c r="F95" i="6"/>
  <c r="G95" i="6"/>
  <c r="W95" i="6"/>
  <c r="D96" i="6"/>
  <c r="F96" i="6"/>
  <c r="G96" i="6"/>
  <c r="W96" i="6"/>
  <c r="D97" i="6"/>
  <c r="F97" i="6"/>
  <c r="G97" i="6"/>
  <c r="W97" i="6"/>
  <c r="D98" i="6"/>
  <c r="F98" i="6"/>
  <c r="G98" i="6"/>
  <c r="W98" i="6"/>
  <c r="D99" i="6"/>
  <c r="F99" i="6"/>
  <c r="G99" i="6"/>
  <c r="W99" i="6"/>
  <c r="D100" i="6"/>
  <c r="F100" i="6"/>
  <c r="G100" i="6"/>
  <c r="W100" i="6"/>
  <c r="D101" i="6"/>
  <c r="F101" i="6"/>
  <c r="G101" i="6"/>
  <c r="W101" i="6"/>
  <c r="D102" i="6"/>
  <c r="F102" i="6"/>
  <c r="G102" i="6"/>
  <c r="W102" i="6"/>
  <c r="D103" i="6"/>
  <c r="F103" i="6"/>
  <c r="G103" i="6"/>
  <c r="W103" i="6"/>
  <c r="W104" i="6"/>
  <c r="W107" i="6"/>
  <c r="AK93" i="6"/>
  <c r="U90" i="6"/>
  <c r="U91" i="6"/>
  <c r="H92" i="6"/>
  <c r="H93" i="6"/>
  <c r="U92" i="6"/>
  <c r="U93" i="6"/>
  <c r="U94" i="6"/>
  <c r="U95" i="6"/>
  <c r="U96" i="6"/>
  <c r="U97" i="6"/>
  <c r="U98" i="6"/>
  <c r="U99" i="6"/>
  <c r="U100" i="6"/>
  <c r="U101" i="6"/>
  <c r="U102" i="6"/>
  <c r="U104" i="6"/>
  <c r="U84" i="6"/>
  <c r="U82" i="6"/>
  <c r="U83" i="6"/>
  <c r="V90" i="6"/>
  <c r="V91" i="6"/>
  <c r="V92" i="6"/>
  <c r="V93" i="6"/>
  <c r="V94" i="6"/>
  <c r="V95" i="6"/>
  <c r="V96" i="6"/>
  <c r="V97" i="6"/>
  <c r="V98" i="6"/>
  <c r="V99" i="6"/>
  <c r="V100" i="6"/>
  <c r="V101" i="6"/>
  <c r="V102" i="6"/>
  <c r="V103" i="6"/>
  <c r="V104" i="6"/>
  <c r="V107" i="6"/>
  <c r="AK92" i="6"/>
  <c r="AK89" i="6"/>
  <c r="AK90" i="6"/>
  <c r="AK91" i="6"/>
  <c r="AK94" i="6"/>
  <c r="E37" i="11"/>
  <c r="BF37" i="11"/>
  <c r="E36" i="11"/>
  <c r="BF36" i="11"/>
  <c r="E35" i="11"/>
  <c r="BF35" i="11"/>
  <c r="E34" i="11"/>
  <c r="BF34" i="11"/>
  <c r="E30" i="11"/>
  <c r="BF30" i="11"/>
  <c r="X202" i="6"/>
  <c r="D86" i="6"/>
  <c r="P160" i="6"/>
  <c r="T160" i="6"/>
  <c r="X160" i="6"/>
  <c r="P226" i="8"/>
  <c r="S226" i="8"/>
  <c r="S225" i="8"/>
  <c r="S224" i="8"/>
  <c r="S223" i="8"/>
  <c r="S222" i="8"/>
  <c r="S221" i="8"/>
  <c r="S220" i="8"/>
  <c r="S219" i="8"/>
  <c r="S218" i="8"/>
  <c r="S217" i="8"/>
  <c r="S216" i="8"/>
  <c r="S215" i="8"/>
  <c r="S214" i="8"/>
  <c r="S213" i="8"/>
  <c r="L213" i="8"/>
  <c r="AF205" i="8"/>
  <c r="AE205" i="8"/>
  <c r="AF204" i="8"/>
  <c r="AE204" i="8"/>
  <c r="AF203" i="8"/>
  <c r="AE203" i="8"/>
  <c r="AF202" i="8"/>
  <c r="AE202" i="8"/>
  <c r="AF201" i="8"/>
  <c r="AE201" i="8"/>
  <c r="AF200" i="8"/>
  <c r="AE200" i="8"/>
  <c r="AF199" i="8"/>
  <c r="AE199" i="8"/>
  <c r="AF198" i="8"/>
  <c r="AE198" i="8"/>
  <c r="AF197" i="8"/>
  <c r="AE197" i="8"/>
  <c r="AF196" i="8"/>
  <c r="AE196" i="8"/>
  <c r="AF195" i="8"/>
  <c r="AE195" i="8"/>
  <c r="AF194" i="8"/>
  <c r="AE194" i="8"/>
  <c r="AF193" i="8"/>
  <c r="AE193" i="8"/>
  <c r="AF192" i="8"/>
  <c r="AE192" i="8"/>
  <c r="AF188" i="8"/>
  <c r="AE188" i="8"/>
  <c r="AF187" i="8"/>
  <c r="AE187" i="8"/>
  <c r="AF186" i="8"/>
  <c r="AE186" i="8"/>
  <c r="AF185" i="8"/>
  <c r="AE185" i="8"/>
  <c r="AF184" i="8"/>
  <c r="AE184" i="8"/>
  <c r="AF183" i="8"/>
  <c r="AE183" i="8"/>
  <c r="AF182" i="8"/>
  <c r="AE182" i="8"/>
  <c r="AF181" i="8"/>
  <c r="AE181" i="8"/>
  <c r="AF180" i="8"/>
  <c r="AE180" i="8"/>
  <c r="AF179" i="8"/>
  <c r="AE179" i="8"/>
  <c r="AF178" i="8"/>
  <c r="AE178" i="8"/>
  <c r="AF177" i="8"/>
  <c r="AE177" i="8"/>
  <c r="AF176" i="8"/>
  <c r="AE176" i="8"/>
  <c r="AF175" i="8"/>
  <c r="AE175" i="8"/>
  <c r="AF171" i="8"/>
  <c r="AE171" i="8"/>
  <c r="AF170" i="8"/>
  <c r="AE170" i="8"/>
  <c r="AF169" i="8"/>
  <c r="AE169" i="8"/>
  <c r="AF168" i="8"/>
  <c r="AE168" i="8"/>
  <c r="AF167" i="8"/>
  <c r="AE167" i="8"/>
  <c r="AF166" i="8"/>
  <c r="AE166" i="8"/>
  <c r="AF165" i="8"/>
  <c r="AE165" i="8"/>
  <c r="AF164" i="8"/>
  <c r="AE164" i="8"/>
  <c r="AF163" i="8"/>
  <c r="AE163" i="8"/>
  <c r="AF162" i="8"/>
  <c r="AE162" i="8"/>
  <c r="AF161" i="8"/>
  <c r="AE161" i="8"/>
  <c r="AF160" i="8"/>
  <c r="AE160" i="8"/>
  <c r="AF159" i="8"/>
  <c r="AE159" i="8"/>
  <c r="AF158" i="8"/>
  <c r="AE158" i="8"/>
  <c r="AC146" i="2"/>
  <c r="AC145" i="2"/>
  <c r="Z37" i="2"/>
  <c r="Z35" i="2"/>
  <c r="Z31" i="2"/>
  <c r="Z30" i="2"/>
  <c r="Z124" i="2"/>
  <c r="Z101" i="2"/>
  <c r="Z100" i="2"/>
  <c r="Z99" i="2"/>
  <c r="BI7" i="11"/>
  <c r="B38" i="2"/>
  <c r="AC154" i="2"/>
  <c r="Z154" i="2"/>
  <c r="AC153" i="2"/>
  <c r="Z153" i="2"/>
  <c r="AC151" i="2"/>
  <c r="AC150" i="2"/>
  <c r="AC149" i="2"/>
  <c r="Z144" i="2"/>
  <c r="Z142" i="2"/>
  <c r="Z141" i="2"/>
  <c r="Z140" i="2"/>
  <c r="Z138" i="2"/>
  <c r="Z137" i="2"/>
  <c r="Z135" i="2"/>
  <c r="Z136" i="2"/>
  <c r="Z132" i="2"/>
  <c r="Z131" i="2"/>
  <c r="Z130" i="2"/>
  <c r="Z134" i="2"/>
  <c r="AD123" i="2"/>
  <c r="AA120" i="2"/>
  <c r="AA119" i="2"/>
  <c r="AA118" i="2"/>
  <c r="AB115" i="2"/>
  <c r="AB114" i="2"/>
  <c r="AB113" i="2"/>
  <c r="AB112" i="2"/>
  <c r="AB116" i="2"/>
  <c r="AD106" i="2"/>
  <c r="AA50" i="2"/>
  <c r="AE49" i="2"/>
  <c r="AA49" i="2"/>
  <c r="AE48" i="2"/>
  <c r="AA48" i="2"/>
  <c r="AA43" i="2"/>
  <c r="AA44" i="2"/>
  <c r="Z43" i="2"/>
  <c r="Z44" i="2"/>
  <c r="Z42" i="2"/>
  <c r="AA41" i="2"/>
  <c r="AA42" i="2"/>
  <c r="AA39" i="2"/>
  <c r="AA38" i="2"/>
  <c r="Z38" i="2"/>
  <c r="AA35" i="2"/>
  <c r="AA34" i="2"/>
  <c r="AA33" i="2"/>
  <c r="C10" i="11"/>
  <c r="C9" i="11"/>
  <c r="C8" i="11"/>
  <c r="AA121" i="2"/>
  <c r="AA122" i="2"/>
  <c r="AA125" i="2"/>
  <c r="BJ103" i="11"/>
  <c r="BJ102" i="11"/>
  <c r="BJ101" i="11"/>
  <c r="BJ100" i="11"/>
  <c r="BJ99" i="11"/>
  <c r="BJ98" i="11"/>
  <c r="BJ97" i="11"/>
  <c r="BJ96" i="11"/>
  <c r="BJ93" i="11"/>
  <c r="BJ91" i="11"/>
  <c r="BJ90" i="11"/>
  <c r="BJ89" i="11"/>
  <c r="BJ14" i="11"/>
  <c r="BJ77" i="11"/>
  <c r="BJ29" i="11"/>
  <c r="BH77" i="11"/>
  <c r="BH76" i="11"/>
  <c r="BH75" i="11"/>
  <c r="BH69" i="11"/>
  <c r="BH63" i="11"/>
  <c r="BH46" i="11"/>
  <c r="BH45" i="11"/>
  <c r="BH31" i="11"/>
  <c r="BH30" i="11"/>
  <c r="BH21" i="11"/>
  <c r="BH12" i="11"/>
  <c r="BB32" i="11"/>
  <c r="BB7" i="11"/>
  <c r="A59" i="11"/>
  <c r="BH20" i="11"/>
  <c r="A58" i="11"/>
  <c r="BH19" i="11"/>
  <c r="A57" i="11"/>
  <c r="BH18" i="11"/>
  <c r="A56" i="11"/>
  <c r="BH17" i="11"/>
  <c r="A55" i="11"/>
  <c r="BH16" i="11"/>
  <c r="A54" i="11"/>
  <c r="BH15" i="11"/>
  <c r="A53" i="11"/>
  <c r="BH14" i="11"/>
  <c r="F22" i="18"/>
  <c r="C24" i="18"/>
  <c r="AJ10" i="12"/>
  <c r="BB9" i="11"/>
  <c r="BD8" i="11"/>
  <c r="BB8" i="11"/>
  <c r="BB6" i="11"/>
  <c r="BB5" i="11"/>
  <c r="BB4" i="11"/>
  <c r="BI4" i="11"/>
  <c r="BH4" i="11"/>
  <c r="BI3" i="11"/>
  <c r="BH3" i="11"/>
  <c r="G36" i="19"/>
  <c r="G35" i="19"/>
  <c r="E68" i="6"/>
  <c r="G33" i="19"/>
  <c r="G31" i="19"/>
  <c r="C16" i="19"/>
  <c r="C17" i="19"/>
  <c r="C18" i="19"/>
  <c r="C19" i="19"/>
  <c r="C20" i="19"/>
  <c r="C21" i="19"/>
  <c r="C22" i="19"/>
  <c r="AF21" i="19"/>
  <c r="AE21" i="19"/>
  <c r="AF13" i="19"/>
  <c r="AE13" i="19"/>
  <c r="AF5" i="19"/>
  <c r="AE5" i="19"/>
  <c r="L15" i="19"/>
  <c r="BE23" i="19"/>
  <c r="BD23" i="19"/>
  <c r="BC23" i="19"/>
  <c r="BB23" i="19"/>
  <c r="BA23" i="19"/>
  <c r="AZ23" i="19"/>
  <c r="AY23" i="19"/>
  <c r="AX23" i="19"/>
  <c r="AW23" i="19"/>
  <c r="AV23" i="19"/>
  <c r="AU23" i="19"/>
  <c r="AT23" i="19"/>
  <c r="AS23" i="19"/>
  <c r="AR23" i="19"/>
  <c r="AQ23" i="19"/>
  <c r="AP23" i="19"/>
  <c r="AO23" i="19"/>
  <c r="AN23" i="19"/>
  <c r="AM23" i="19"/>
  <c r="AL23" i="19"/>
  <c r="AK23" i="19"/>
  <c r="AJ23" i="19"/>
  <c r="AI23" i="19"/>
  <c r="AH23" i="19"/>
  <c r="AG23" i="19"/>
  <c r="AF23" i="19"/>
  <c r="AE23" i="19"/>
  <c r="AD23" i="19"/>
  <c r="AC23" i="19"/>
  <c r="AB23" i="19"/>
  <c r="AA23" i="19"/>
  <c r="Z23" i="19"/>
  <c r="Y23" i="19"/>
  <c r="X23" i="19"/>
  <c r="W23" i="19"/>
  <c r="V23" i="19"/>
  <c r="U23" i="19"/>
  <c r="T23" i="19"/>
  <c r="S23" i="19"/>
  <c r="R23" i="19"/>
  <c r="Q23" i="19"/>
  <c r="P23" i="19"/>
  <c r="O23" i="19"/>
  <c r="N23" i="19"/>
  <c r="M23" i="19"/>
  <c r="L23" i="19"/>
  <c r="K23" i="19"/>
  <c r="J23" i="19"/>
  <c r="I23" i="19"/>
  <c r="H23" i="19"/>
  <c r="G23" i="19"/>
  <c r="F23" i="19"/>
  <c r="E23" i="19"/>
  <c r="D23" i="19"/>
  <c r="G30" i="19"/>
  <c r="C5" i="19"/>
  <c r="E69" i="6"/>
  <c r="Z150" i="2"/>
  <c r="Z149" i="2"/>
  <c r="C6" i="19"/>
  <c r="C7" i="19"/>
  <c r="C8" i="19"/>
  <c r="C9" i="19"/>
  <c r="G32" i="19"/>
  <c r="C10" i="19"/>
  <c r="C11" i="19"/>
  <c r="C12" i="19"/>
  <c r="C13" i="19"/>
  <c r="C14" i="19"/>
  <c r="C15" i="19"/>
  <c r="E70" i="6"/>
  <c r="Z151" i="2"/>
  <c r="C23" i="19"/>
  <c r="G34" i="19"/>
  <c r="AX18" i="10"/>
  <c r="E53" i="9"/>
  <c r="F53" i="9"/>
  <c r="G53" i="9"/>
  <c r="H53" i="9"/>
  <c r="I53" i="9"/>
  <c r="J53" i="9"/>
  <c r="K53" i="9"/>
  <c r="L53" i="9"/>
  <c r="M53" i="9"/>
  <c r="E3" i="13"/>
  <c r="E4" i="13"/>
  <c r="C7" i="11"/>
  <c r="BD7" i="11"/>
  <c r="C6" i="11"/>
  <c r="BD6" i="11"/>
  <c r="C4" i="11"/>
  <c r="BD4" i="11"/>
  <c r="A145" i="11"/>
  <c r="BH106" i="11"/>
  <c r="AB111" i="6"/>
  <c r="A152" i="11"/>
  <c r="BH113" i="11"/>
  <c r="Q79" i="6"/>
  <c r="O79" i="6"/>
  <c r="C88" i="11"/>
  <c r="BJ49" i="11"/>
  <c r="AB110" i="6"/>
  <c r="A151" i="11"/>
  <c r="BH112" i="11"/>
  <c r="AD11" i="6"/>
  <c r="S50" i="12"/>
  <c r="P50" i="12"/>
  <c r="M50" i="12"/>
  <c r="S49" i="12"/>
  <c r="P49" i="12"/>
  <c r="M49" i="12"/>
  <c r="S54" i="12"/>
  <c r="P54" i="12"/>
  <c r="M54" i="12"/>
  <c r="S53" i="12"/>
  <c r="P53" i="12"/>
  <c r="M53" i="12"/>
  <c r="G79" i="6"/>
  <c r="F79" i="6"/>
  <c r="D79" i="6"/>
  <c r="K79" i="6"/>
  <c r="G74" i="6"/>
  <c r="G73" i="6"/>
  <c r="G72" i="6"/>
  <c r="G71" i="6"/>
  <c r="G70" i="6"/>
  <c r="F70" i="6"/>
  <c r="A60" i="2"/>
  <c r="AD54" i="6"/>
  <c r="C54" i="6"/>
  <c r="AB54" i="6"/>
  <c r="A94" i="11"/>
  <c r="BH55" i="11"/>
  <c r="C48" i="6"/>
  <c r="AB48" i="6"/>
  <c r="C47" i="6"/>
  <c r="AB47" i="6"/>
  <c r="A88" i="11"/>
  <c r="BH49" i="11"/>
  <c r="C44" i="6"/>
  <c r="AB44" i="6"/>
  <c r="C43" i="6"/>
  <c r="AB43" i="6"/>
  <c r="C42" i="6"/>
  <c r="AB42" i="6"/>
  <c r="C40" i="6"/>
  <c r="AB40" i="6"/>
  <c r="C35" i="6"/>
  <c r="AB35" i="6"/>
  <c r="U106" i="2"/>
  <c r="A104" i="2"/>
  <c r="A98" i="2"/>
  <c r="A97" i="2"/>
  <c r="A94" i="2"/>
  <c r="A93" i="2"/>
  <c r="A90" i="2"/>
  <c r="N239" i="6"/>
  <c r="N238" i="6"/>
  <c r="N237" i="6"/>
  <c r="N236" i="6"/>
  <c r="N235" i="6"/>
  <c r="N234" i="6"/>
  <c r="N233" i="6"/>
  <c r="N232" i="6"/>
  <c r="N231" i="6"/>
  <c r="N230" i="6"/>
  <c r="N229" i="6"/>
  <c r="N228" i="6"/>
  <c r="N227" i="6"/>
  <c r="N226" i="6"/>
  <c r="N225" i="6"/>
  <c r="N224" i="6"/>
  <c r="N223" i="6"/>
  <c r="N222" i="6"/>
  <c r="N221" i="6"/>
  <c r="I239" i="6"/>
  <c r="I238" i="6"/>
  <c r="I237" i="6"/>
  <c r="I236" i="6"/>
  <c r="I235" i="6"/>
  <c r="I234" i="6"/>
  <c r="I233" i="6"/>
  <c r="I232" i="6"/>
  <c r="I231" i="6"/>
  <c r="I230" i="6"/>
  <c r="I229" i="6"/>
  <c r="I228" i="6"/>
  <c r="I227" i="6"/>
  <c r="I226" i="6"/>
  <c r="I225" i="6"/>
  <c r="I224" i="6"/>
  <c r="I223" i="6"/>
  <c r="I222" i="6"/>
  <c r="I221" i="6"/>
  <c r="E95" i="12"/>
  <c r="E94" i="12"/>
  <c r="E88" i="12"/>
  <c r="F78" i="12"/>
  <c r="F77" i="12"/>
  <c r="F76" i="12"/>
  <c r="F73" i="12"/>
  <c r="F72" i="12"/>
  <c r="F71" i="12"/>
  <c r="F70" i="12"/>
  <c r="F60" i="12"/>
  <c r="F59" i="12"/>
  <c r="F58" i="12"/>
  <c r="F57" i="12"/>
  <c r="F54" i="12"/>
  <c r="F53" i="12"/>
  <c r="F50" i="12"/>
  <c r="F49" i="12"/>
  <c r="F44" i="12"/>
  <c r="F43" i="12"/>
  <c r="F42" i="12"/>
  <c r="F41" i="12"/>
  <c r="F40" i="12"/>
  <c r="F37" i="12"/>
  <c r="F36" i="12"/>
  <c r="F35" i="12"/>
  <c r="F34" i="12"/>
  <c r="F33" i="12"/>
  <c r="F28" i="12"/>
  <c r="F27" i="12"/>
  <c r="F24" i="12"/>
  <c r="F23" i="12"/>
  <c r="F22" i="12"/>
  <c r="F18" i="12"/>
  <c r="F17" i="12"/>
  <c r="F16" i="12"/>
  <c r="F15" i="12"/>
  <c r="C34" i="2"/>
  <c r="C33" i="2"/>
  <c r="C16" i="2"/>
  <c r="C19" i="2"/>
  <c r="C35" i="2"/>
  <c r="AC130" i="2"/>
  <c r="AC135" i="2"/>
  <c r="AC136" i="2"/>
  <c r="E71" i="6"/>
  <c r="D70" i="6"/>
  <c r="K70" i="6"/>
  <c r="A84" i="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H6" i="12"/>
  <c r="AH5" i="12"/>
  <c r="AH4" i="12"/>
  <c r="C126" i="6"/>
  <c r="C123" i="6"/>
  <c r="C120" i="6"/>
  <c r="AB67" i="6"/>
  <c r="A107" i="11"/>
  <c r="BH68" i="11"/>
  <c r="C119" i="6"/>
  <c r="AB66" i="6"/>
  <c r="A106" i="11"/>
  <c r="BH67" i="11"/>
  <c r="C118" i="6"/>
  <c r="AB65" i="6"/>
  <c r="A105" i="11"/>
  <c r="BH66" i="11"/>
  <c r="C117" i="6"/>
  <c r="AB64" i="6"/>
  <c r="C50" i="6"/>
  <c r="C41" i="6"/>
  <c r="AB41" i="6"/>
  <c r="C46" i="6"/>
  <c r="C45" i="6"/>
  <c r="C33" i="6"/>
  <c r="AB33" i="6"/>
  <c r="A80" i="11"/>
  <c r="BH41" i="11"/>
  <c r="C27" i="6"/>
  <c r="AB27" i="6"/>
  <c r="A74" i="11"/>
  <c r="BH35" i="11"/>
  <c r="C26" i="6"/>
  <c r="AB26" i="6"/>
  <c r="A73" i="11"/>
  <c r="BH34" i="11"/>
  <c r="C25" i="6"/>
  <c r="AB25" i="6"/>
  <c r="A72" i="11"/>
  <c r="BH33" i="11"/>
  <c r="C12" i="6"/>
  <c r="AB12" i="6"/>
  <c r="C11" i="6"/>
  <c r="AB11" i="6"/>
  <c r="C10" i="6"/>
  <c r="AB10" i="6"/>
  <c r="C9" i="6"/>
  <c r="AB9" i="6"/>
  <c r="C8" i="6"/>
  <c r="AB8" i="6"/>
  <c r="C7" i="6"/>
  <c r="AB7" i="6"/>
  <c r="C6" i="6"/>
  <c r="AB6" i="6"/>
  <c r="A116" i="2"/>
  <c r="A115" i="2"/>
  <c r="A114" i="2"/>
  <c r="A113" i="2"/>
  <c r="A99" i="2"/>
  <c r="A96" i="2"/>
  <c r="A92" i="2"/>
  <c r="A95" i="2"/>
  <c r="A91" i="2"/>
  <c r="U19" i="2"/>
  <c r="E5" i="12"/>
  <c r="A119" i="2"/>
  <c r="H30" i="16"/>
  <c r="AI5" i="12"/>
  <c r="H29" i="16"/>
  <c r="AI4" i="12"/>
  <c r="E72" i="6"/>
  <c r="F71" i="6"/>
  <c r="D71" i="6"/>
  <c r="K71" i="6"/>
  <c r="A100" i="2"/>
  <c r="S58" i="12"/>
  <c r="P58" i="12"/>
  <c r="M58" i="12"/>
  <c r="Z45" i="2"/>
  <c r="AA45" i="2"/>
  <c r="E73" i="6"/>
  <c r="F72" i="6"/>
  <c r="D72" i="6"/>
  <c r="K72" i="6"/>
  <c r="U24" i="2"/>
  <c r="C24" i="2"/>
  <c r="B42" i="2"/>
  <c r="D39" i="16"/>
  <c r="D38" i="16"/>
  <c r="L19" i="17"/>
  <c r="L18" i="17"/>
  <c r="L17" i="17"/>
  <c r="L16" i="17"/>
  <c r="L15" i="17"/>
  <c r="K17" i="17"/>
  <c r="K18" i="17"/>
  <c r="K19" i="17"/>
  <c r="K16" i="17"/>
  <c r="B16" i="16"/>
  <c r="C17" i="2"/>
  <c r="E3" i="16"/>
  <c r="E13" i="16"/>
  <c r="E9" i="12"/>
  <c r="L1" i="17"/>
  <c r="A82" i="2"/>
  <c r="A76" i="2"/>
  <c r="A75" i="2"/>
  <c r="A74" i="2"/>
  <c r="A59" i="2"/>
  <c r="A58" i="2"/>
  <c r="A57" i="2"/>
  <c r="A56" i="2"/>
  <c r="A55" i="2"/>
  <c r="A54" i="2"/>
  <c r="B4" i="16"/>
  <c r="B5" i="16"/>
  <c r="B6" i="16"/>
  <c r="B7" i="16"/>
  <c r="B8" i="16"/>
  <c r="B9" i="16"/>
  <c r="B10" i="16"/>
  <c r="B11" i="16"/>
  <c r="B12" i="16"/>
  <c r="B13" i="16"/>
  <c r="B14" i="16"/>
  <c r="B15" i="16"/>
  <c r="C42" i="2"/>
  <c r="C48" i="2"/>
  <c r="AC111" i="6"/>
  <c r="B152" i="11"/>
  <c r="BI113" i="11"/>
  <c r="AD111" i="6"/>
  <c r="C152" i="11"/>
  <c r="BJ113" i="11"/>
  <c r="AC48" i="6"/>
  <c r="AD47" i="6"/>
  <c r="E74" i="6"/>
  <c r="F73" i="6"/>
  <c r="D73" i="6"/>
  <c r="K73" i="6"/>
  <c r="C39" i="2"/>
  <c r="C49" i="2"/>
  <c r="C38" i="2"/>
  <c r="E10" i="16"/>
  <c r="E12" i="16"/>
  <c r="BD9" i="11"/>
  <c r="N6" i="17"/>
  <c r="N7" i="17"/>
  <c r="N8" i="17"/>
  <c r="N9" i="17"/>
  <c r="N10" i="17"/>
  <c r="N11" i="17"/>
  <c r="S828" i="2"/>
  <c r="S829" i="2"/>
  <c r="S830" i="2"/>
  <c r="S831" i="2"/>
  <c r="S832" i="2"/>
  <c r="S833" i="2"/>
  <c r="S834" i="2"/>
  <c r="S835"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E1" i="6"/>
  <c r="F1" i="6"/>
  <c r="AC3" i="6"/>
  <c r="AD3" i="6"/>
  <c r="C5" i="6"/>
  <c r="AB5" i="6"/>
  <c r="C13" i="6"/>
  <c r="AB13" i="6"/>
  <c r="C14" i="6"/>
  <c r="AB14" i="6"/>
  <c r="C15" i="6"/>
  <c r="AB15" i="6"/>
  <c r="C16" i="6"/>
  <c r="AB16" i="6"/>
  <c r="C17" i="6"/>
  <c r="AB17" i="6"/>
  <c r="C18" i="6"/>
  <c r="AB18" i="6"/>
  <c r="C19" i="6"/>
  <c r="AB19" i="6"/>
  <c r="C20" i="6"/>
  <c r="AB20" i="6"/>
  <c r="C21" i="6"/>
  <c r="AB21" i="6"/>
  <c r="C22" i="6"/>
  <c r="AB22" i="6"/>
  <c r="C23" i="6"/>
  <c r="AB23" i="6"/>
  <c r="C24" i="6"/>
  <c r="AB24" i="6"/>
  <c r="A71" i="11"/>
  <c r="BH32" i="11"/>
  <c r="C28" i="6"/>
  <c r="AB28" i="6"/>
  <c r="A75" i="11"/>
  <c r="BH36" i="11"/>
  <c r="C29" i="6"/>
  <c r="AB29" i="6"/>
  <c r="C30" i="6"/>
  <c r="AB30" i="6"/>
  <c r="C31" i="6"/>
  <c r="AB31" i="6"/>
  <c r="C32" i="6"/>
  <c r="AB32" i="6"/>
  <c r="C34" i="6"/>
  <c r="AB34" i="6"/>
  <c r="C36" i="6"/>
  <c r="AB36" i="6"/>
  <c r="C37" i="6"/>
  <c r="AB37" i="6"/>
  <c r="C38" i="6"/>
  <c r="AB38" i="6"/>
  <c r="C39" i="6"/>
  <c r="AB39" i="6"/>
  <c r="AB45" i="6"/>
  <c r="AB46" i="6"/>
  <c r="C49" i="6"/>
  <c r="AB49" i="6"/>
  <c r="AB50" i="6"/>
  <c r="C51" i="6"/>
  <c r="AB51" i="6"/>
  <c r="C52" i="6"/>
  <c r="AB52" i="6"/>
  <c r="C53" i="6"/>
  <c r="AB53" i="6"/>
  <c r="AD53" i="6"/>
  <c r="C55" i="6"/>
  <c r="AB55" i="6"/>
  <c r="AD55" i="6"/>
  <c r="C56" i="6"/>
  <c r="AB56" i="6"/>
  <c r="C57" i="6"/>
  <c r="AB57" i="6"/>
  <c r="AD57" i="6"/>
  <c r="K62" i="6"/>
  <c r="AC62" i="6"/>
  <c r="AD62" i="6"/>
  <c r="G68" i="6"/>
  <c r="F68" i="6"/>
  <c r="D68" i="6"/>
  <c r="K68" i="6"/>
  <c r="G69" i="6"/>
  <c r="F69" i="6"/>
  <c r="D69" i="6"/>
  <c r="K69" i="6"/>
  <c r="G78" i="6"/>
  <c r="F78" i="6"/>
  <c r="D78" i="6"/>
  <c r="K78" i="6"/>
  <c r="AB77" i="6"/>
  <c r="AB78" i="6"/>
  <c r="AB79" i="6"/>
  <c r="AB80" i="6"/>
  <c r="AB81" i="6"/>
  <c r="AB85" i="6"/>
  <c r="AB86" i="6"/>
  <c r="AB87" i="6"/>
  <c r="AB88" i="6"/>
  <c r="AB89" i="6"/>
  <c r="AB90" i="6"/>
  <c r="AB91" i="6"/>
  <c r="AB92" i="6"/>
  <c r="AB93" i="6"/>
  <c r="AB94" i="6"/>
  <c r="AB95" i="6"/>
  <c r="AB96" i="6"/>
  <c r="AB97" i="6"/>
  <c r="G106" i="6"/>
  <c r="AB98" i="6"/>
  <c r="AB99" i="6"/>
  <c r="AB100" i="6"/>
  <c r="C109" i="6"/>
  <c r="AB60" i="6"/>
  <c r="AB101" i="6"/>
  <c r="C110" i="6"/>
  <c r="AB62" i="6"/>
  <c r="AB102" i="6"/>
  <c r="C111" i="6"/>
  <c r="AB63" i="6"/>
  <c r="AB103" i="6"/>
  <c r="C121" i="6"/>
  <c r="AB68" i="6"/>
  <c r="C122" i="6"/>
  <c r="AB69" i="6"/>
  <c r="AB106" i="6"/>
  <c r="AB70" i="6"/>
  <c r="AB107" i="6"/>
  <c r="C124" i="6"/>
  <c r="AB71" i="6"/>
  <c r="C125" i="6"/>
  <c r="AB72" i="6"/>
  <c r="AB73" i="6"/>
  <c r="AB109" i="6"/>
  <c r="C127" i="6"/>
  <c r="AB74" i="6"/>
  <c r="C128" i="6"/>
  <c r="AB75" i="6"/>
  <c r="C129" i="6"/>
  <c r="AB76" i="6"/>
  <c r="P140" i="6"/>
  <c r="H161" i="6"/>
  <c r="P183" i="6"/>
  <c r="L202" i="6"/>
  <c r="P202" i="6"/>
  <c r="W203" i="6"/>
  <c r="K205" i="6"/>
  <c r="J221" i="6"/>
  <c r="K221" i="6"/>
  <c r="O221" i="6"/>
  <c r="P221" i="6"/>
  <c r="J222" i="6"/>
  <c r="K222" i="6"/>
  <c r="O222" i="6"/>
  <c r="P222" i="6"/>
  <c r="J223" i="6"/>
  <c r="K223" i="6"/>
  <c r="O223" i="6"/>
  <c r="P223" i="6"/>
  <c r="J224" i="6"/>
  <c r="K224" i="6"/>
  <c r="O224" i="6"/>
  <c r="P224" i="6"/>
  <c r="J225" i="6"/>
  <c r="K225" i="6"/>
  <c r="O225" i="6"/>
  <c r="P225" i="6"/>
  <c r="J226" i="6"/>
  <c r="K226" i="6"/>
  <c r="O226" i="6"/>
  <c r="P226" i="6"/>
  <c r="J227" i="6"/>
  <c r="K227" i="6"/>
  <c r="O227" i="6"/>
  <c r="P227" i="6"/>
  <c r="J228" i="6"/>
  <c r="K228" i="6"/>
  <c r="O228" i="6"/>
  <c r="P228" i="6"/>
  <c r="J229" i="6"/>
  <c r="K229" i="6"/>
  <c r="O229" i="6"/>
  <c r="P229" i="6"/>
  <c r="J230" i="6"/>
  <c r="K230" i="6"/>
  <c r="O230" i="6"/>
  <c r="P230" i="6"/>
  <c r="J231" i="6"/>
  <c r="K231" i="6"/>
  <c r="O231" i="6"/>
  <c r="P231" i="6"/>
  <c r="J232" i="6"/>
  <c r="K232" i="6"/>
  <c r="O232" i="6"/>
  <c r="P232" i="6"/>
  <c r="J233" i="6"/>
  <c r="K233" i="6"/>
  <c r="O233" i="6"/>
  <c r="P233" i="6"/>
  <c r="J234" i="6"/>
  <c r="K234" i="6"/>
  <c r="O234" i="6"/>
  <c r="P234" i="6"/>
  <c r="J235" i="6"/>
  <c r="K235" i="6"/>
  <c r="O235" i="6"/>
  <c r="P235" i="6"/>
  <c r="J236" i="6"/>
  <c r="K236" i="6"/>
  <c r="O236" i="6"/>
  <c r="P236" i="6"/>
  <c r="J237" i="6"/>
  <c r="K237" i="6"/>
  <c r="O237" i="6"/>
  <c r="P237" i="6"/>
  <c r="J238" i="6"/>
  <c r="K238" i="6"/>
  <c r="O238" i="6"/>
  <c r="P238" i="6"/>
  <c r="J239" i="6"/>
  <c r="K239" i="6"/>
  <c r="O239" i="6"/>
  <c r="P239" i="6"/>
  <c r="C240" i="6"/>
  <c r="H240" i="6"/>
  <c r="I240" i="6"/>
  <c r="J240" i="6"/>
  <c r="K240" i="6"/>
  <c r="M240" i="6"/>
  <c r="N240" i="6"/>
  <c r="O240" i="6"/>
  <c r="P240" i="6"/>
  <c r="C241" i="6"/>
  <c r="H241" i="6"/>
  <c r="I241" i="6"/>
  <c r="J241" i="6"/>
  <c r="K241" i="6"/>
  <c r="M241" i="6"/>
  <c r="N241" i="6"/>
  <c r="O241" i="6"/>
  <c r="P241" i="6"/>
  <c r="C242" i="6"/>
  <c r="H242" i="6"/>
  <c r="I242" i="6"/>
  <c r="J242" i="6"/>
  <c r="K242" i="6"/>
  <c r="M242" i="6"/>
  <c r="N242" i="6"/>
  <c r="O242" i="6"/>
  <c r="P242" i="6"/>
  <c r="C243" i="6"/>
  <c r="H243" i="6"/>
  <c r="I243" i="6"/>
  <c r="J243" i="6"/>
  <c r="K243" i="6"/>
  <c r="M243" i="6"/>
  <c r="N243" i="6"/>
  <c r="O243" i="6"/>
  <c r="P243" i="6"/>
  <c r="C244" i="6"/>
  <c r="H244" i="6"/>
  <c r="I244" i="6"/>
  <c r="J244" i="6"/>
  <c r="K244" i="6"/>
  <c r="M244" i="6"/>
  <c r="N244" i="6"/>
  <c r="O244" i="6"/>
  <c r="P244" i="6"/>
  <c r="C245" i="6"/>
  <c r="H245" i="6"/>
  <c r="I245" i="6"/>
  <c r="J245" i="6"/>
  <c r="K245" i="6"/>
  <c r="M245" i="6"/>
  <c r="N245" i="6"/>
  <c r="O245" i="6"/>
  <c r="P245" i="6"/>
  <c r="C246" i="6"/>
  <c r="H246" i="6"/>
  <c r="I246" i="6"/>
  <c r="J246" i="6"/>
  <c r="K246" i="6"/>
  <c r="M246" i="6"/>
  <c r="N246" i="6"/>
  <c r="O246" i="6"/>
  <c r="P246" i="6"/>
  <c r="C247" i="6"/>
  <c r="H247" i="6"/>
  <c r="I247" i="6"/>
  <c r="J247" i="6"/>
  <c r="K247" i="6"/>
  <c r="M247" i="6"/>
  <c r="N247" i="6"/>
  <c r="O247" i="6"/>
  <c r="P247" i="6"/>
  <c r="C248" i="6"/>
  <c r="H248" i="6"/>
  <c r="I248" i="6"/>
  <c r="J248" i="6"/>
  <c r="K248" i="6"/>
  <c r="M248" i="6"/>
  <c r="N248" i="6"/>
  <c r="O248" i="6"/>
  <c r="P248" i="6"/>
  <c r="C249" i="6"/>
  <c r="H249" i="6"/>
  <c r="I249" i="6"/>
  <c r="J249" i="6"/>
  <c r="K249" i="6"/>
  <c r="M249" i="6"/>
  <c r="N249" i="6"/>
  <c r="O249" i="6"/>
  <c r="P249" i="6"/>
  <c r="C250" i="6"/>
  <c r="H250" i="6"/>
  <c r="I250" i="6"/>
  <c r="J250" i="6"/>
  <c r="K250" i="6"/>
  <c r="M250" i="6"/>
  <c r="N250" i="6"/>
  <c r="O250" i="6"/>
  <c r="P250" i="6"/>
  <c r="C286" i="6"/>
  <c r="H286" i="6"/>
  <c r="M286" i="6"/>
  <c r="C287" i="6"/>
  <c r="H287" i="6"/>
  <c r="M287" i="6"/>
  <c r="C288" i="6"/>
  <c r="H288" i="6"/>
  <c r="M288" i="6"/>
  <c r="C289" i="6"/>
  <c r="H289" i="6"/>
  <c r="M289" i="6"/>
  <c r="C290" i="6"/>
  <c r="H290" i="6"/>
  <c r="M290" i="6"/>
  <c r="C291" i="6"/>
  <c r="H291" i="6"/>
  <c r="M291" i="6"/>
  <c r="C292" i="6"/>
  <c r="H292" i="6"/>
  <c r="M292" i="6"/>
  <c r="C293" i="6"/>
  <c r="H293" i="6"/>
  <c r="M293" i="6"/>
  <c r="C294" i="6"/>
  <c r="H294" i="6"/>
  <c r="M294" i="6"/>
  <c r="C295" i="6"/>
  <c r="H295" i="6"/>
  <c r="M295" i="6"/>
  <c r="C296" i="6"/>
  <c r="H296" i="6"/>
  <c r="M296" i="6"/>
  <c r="C2" i="12"/>
  <c r="C5" i="12"/>
  <c r="AH11" i="12"/>
  <c r="L13" i="12"/>
  <c r="AI13" i="12"/>
  <c r="C25" i="18"/>
  <c r="AI6" i="12"/>
  <c r="AI14" i="12"/>
  <c r="AI15" i="12"/>
  <c r="J22" i="12"/>
  <c r="L22" i="12"/>
  <c r="M22" i="12"/>
  <c r="N22" i="12"/>
  <c r="O22" i="12"/>
  <c r="P22" i="12"/>
  <c r="Q22" i="12"/>
  <c r="R22" i="12"/>
  <c r="S22" i="12"/>
  <c r="T22" i="12"/>
  <c r="J23" i="12"/>
  <c r="L23" i="12"/>
  <c r="M23" i="12"/>
  <c r="N23" i="12"/>
  <c r="O23" i="12"/>
  <c r="P23" i="12"/>
  <c r="Q23" i="12"/>
  <c r="R23" i="12"/>
  <c r="S23" i="12"/>
  <c r="T23" i="12"/>
  <c r="L24" i="12"/>
  <c r="M24" i="12"/>
  <c r="N24" i="12"/>
  <c r="O24" i="12"/>
  <c r="P24" i="12"/>
  <c r="Q24" i="12"/>
  <c r="R24" i="12"/>
  <c r="S24" i="12"/>
  <c r="T24" i="12"/>
  <c r="L26" i="12"/>
  <c r="M26" i="12"/>
  <c r="N26" i="12"/>
  <c r="O26" i="12"/>
  <c r="P26" i="12"/>
  <c r="Q26" i="12"/>
  <c r="R26" i="12"/>
  <c r="S26" i="12"/>
  <c r="T26" i="12"/>
  <c r="L27" i="12"/>
  <c r="M27" i="12"/>
  <c r="N27" i="12"/>
  <c r="O27" i="12"/>
  <c r="P27" i="12"/>
  <c r="Q27" i="12"/>
  <c r="R27" i="12"/>
  <c r="S27" i="12"/>
  <c r="T27" i="12"/>
  <c r="L28" i="12"/>
  <c r="M28" i="12"/>
  <c r="N28" i="12"/>
  <c r="O28" i="12"/>
  <c r="P28" i="12"/>
  <c r="Q28" i="12"/>
  <c r="R28" i="12"/>
  <c r="S28" i="12"/>
  <c r="T28" i="12"/>
  <c r="L36" i="12"/>
  <c r="M36" i="12"/>
  <c r="N36" i="12"/>
  <c r="O36" i="12"/>
  <c r="P36" i="12"/>
  <c r="Q36" i="12"/>
  <c r="R36" i="12"/>
  <c r="S36" i="12"/>
  <c r="T36" i="12"/>
  <c r="L34" i="12"/>
  <c r="M34" i="12"/>
  <c r="N34" i="12"/>
  <c r="O34" i="12"/>
  <c r="P34" i="12"/>
  <c r="Q34" i="12"/>
  <c r="R34" i="12"/>
  <c r="S34" i="12"/>
  <c r="T34" i="12"/>
  <c r="L37" i="12"/>
  <c r="M37" i="12"/>
  <c r="N37" i="12"/>
  <c r="O37" i="12"/>
  <c r="P37" i="12"/>
  <c r="Q37" i="12"/>
  <c r="R37" i="12"/>
  <c r="S37" i="12"/>
  <c r="T37" i="12"/>
  <c r="L40" i="12"/>
  <c r="M40" i="12"/>
  <c r="N40" i="12"/>
  <c r="O40" i="12"/>
  <c r="P40" i="12"/>
  <c r="Q40" i="12"/>
  <c r="R40" i="12"/>
  <c r="S40" i="12"/>
  <c r="T40" i="12"/>
  <c r="L42" i="12"/>
  <c r="M42" i="12"/>
  <c r="N42" i="12"/>
  <c r="O42" i="12"/>
  <c r="P42" i="12"/>
  <c r="Q42" i="12"/>
  <c r="R42" i="12"/>
  <c r="S42" i="12"/>
  <c r="T42" i="12"/>
  <c r="L44" i="12"/>
  <c r="M44" i="12"/>
  <c r="N44" i="12"/>
  <c r="O44" i="12"/>
  <c r="P44" i="12"/>
  <c r="Q44" i="12"/>
  <c r="R44" i="12"/>
  <c r="S44" i="12"/>
  <c r="T44" i="12"/>
  <c r="L57" i="12"/>
  <c r="M57" i="12"/>
  <c r="N57" i="12"/>
  <c r="O57" i="12"/>
  <c r="P57" i="12"/>
  <c r="Q57" i="12"/>
  <c r="R57" i="12"/>
  <c r="S57" i="12"/>
  <c r="T57" i="12"/>
  <c r="L59" i="12"/>
  <c r="M59" i="12"/>
  <c r="N59" i="12"/>
  <c r="O59" i="12"/>
  <c r="P59" i="12"/>
  <c r="Q59" i="12"/>
  <c r="R59" i="12"/>
  <c r="S59" i="12"/>
  <c r="T59" i="12"/>
  <c r="L60" i="12"/>
  <c r="M60" i="12"/>
  <c r="N60" i="12"/>
  <c r="O60" i="12"/>
  <c r="P60" i="12"/>
  <c r="Q60" i="12"/>
  <c r="R60" i="12"/>
  <c r="S60" i="12"/>
  <c r="T60" i="12"/>
  <c r="C93" i="12"/>
  <c r="C95" i="12"/>
  <c r="AG99" i="12"/>
  <c r="AG100" i="12"/>
  <c r="AG101" i="12"/>
  <c r="AG102" i="12"/>
  <c r="AG103" i="12"/>
  <c r="AG104" i="12"/>
  <c r="AI104" i="12"/>
  <c r="AG105" i="12"/>
  <c r="AG106" i="12"/>
  <c r="AG107" i="12"/>
  <c r="AG108" i="12"/>
  <c r="Q109" i="12"/>
  <c r="AG109" i="12"/>
  <c r="J110" i="12"/>
  <c r="Q110" i="12"/>
  <c r="AG110" i="12"/>
  <c r="Q111" i="12"/>
  <c r="AG111" i="12"/>
  <c r="AI120" i="12"/>
  <c r="BJ111" i="12"/>
  <c r="BK111" i="12"/>
  <c r="K112" i="12"/>
  <c r="Q112" i="12"/>
  <c r="AG112" i="12"/>
  <c r="Q113" i="12"/>
  <c r="AG113" i="12"/>
  <c r="AI117" i="12"/>
  <c r="AI116" i="12"/>
  <c r="AK116" i="12"/>
  <c r="J114" i="12"/>
  <c r="K114" i="12"/>
  <c r="Q114" i="12"/>
  <c r="AG114" i="12"/>
  <c r="K115" i="12"/>
  <c r="Q115" i="12"/>
  <c r="Q116" i="12"/>
  <c r="Q117" i="12"/>
  <c r="K118" i="12"/>
  <c r="Q118" i="12"/>
  <c r="Q119" i="12"/>
  <c r="Q120" i="12"/>
  <c r="Q121" i="12"/>
  <c r="Q122" i="12"/>
  <c r="F4" i="9"/>
  <c r="I4" i="9"/>
  <c r="C55" i="9"/>
  <c r="AE4" i="10"/>
  <c r="AE5" i="10"/>
  <c r="AF5" i="10"/>
  <c r="AE6" i="10"/>
  <c r="AF6" i="10"/>
  <c r="AE7" i="10"/>
  <c r="AF7" i="10"/>
  <c r="AE8" i="10"/>
  <c r="AF8" i="10"/>
  <c r="AE9" i="10"/>
  <c r="AF9" i="10"/>
  <c r="AE10" i="10"/>
  <c r="AF10" i="10"/>
  <c r="AE11" i="10"/>
  <c r="AF11" i="10"/>
  <c r="AE12" i="10"/>
  <c r="AF12" i="10"/>
  <c r="AE13" i="10"/>
  <c r="AF13" i="10"/>
  <c r="AE14" i="10"/>
  <c r="AF14" i="10"/>
  <c r="AE15" i="10"/>
  <c r="AF15" i="10"/>
  <c r="AE16" i="10"/>
  <c r="AF16" i="10"/>
  <c r="AE17" i="10"/>
  <c r="AF17" i="10"/>
  <c r="D18" i="10"/>
  <c r="E18" i="10"/>
  <c r="F18" i="10"/>
  <c r="G18" i="10"/>
  <c r="H18" i="10"/>
  <c r="I18" i="10"/>
  <c r="J18" i="10"/>
  <c r="K18" i="10"/>
  <c r="L18" i="10"/>
  <c r="M18" i="10"/>
  <c r="N18" i="10"/>
  <c r="O18" i="10"/>
  <c r="P18" i="10"/>
  <c r="Q18" i="10"/>
  <c r="R18" i="10"/>
  <c r="S18" i="10"/>
  <c r="T18" i="10"/>
  <c r="U18" i="10"/>
  <c r="V18" i="10"/>
  <c r="W18" i="10"/>
  <c r="X18" i="10"/>
  <c r="Y18" i="10"/>
  <c r="Z18" i="10"/>
  <c r="AA18" i="10"/>
  <c r="AB18" i="10"/>
  <c r="AC18" i="10"/>
  <c r="AD18" i="10"/>
  <c r="AE18" i="10"/>
  <c r="AF18" i="10"/>
  <c r="AG18" i="10"/>
  <c r="AH18" i="10"/>
  <c r="AI18" i="10"/>
  <c r="AJ18" i="10"/>
  <c r="AK18" i="10"/>
  <c r="AL18" i="10"/>
  <c r="AM18" i="10"/>
  <c r="AN18" i="10"/>
  <c r="AO18" i="10"/>
  <c r="AP18" i="10"/>
  <c r="AQ18" i="10"/>
  <c r="AR18" i="10"/>
  <c r="AS18" i="10"/>
  <c r="AT18" i="10"/>
  <c r="AU18" i="10"/>
  <c r="AV18" i="10"/>
  <c r="AW18" i="10"/>
  <c r="AY18" i="10"/>
  <c r="AZ18" i="10"/>
  <c r="BA18" i="10"/>
  <c r="BB18" i="10"/>
  <c r="BC18" i="10"/>
  <c r="BD18" i="10"/>
  <c r="BE18" i="10"/>
  <c r="C20" i="10"/>
  <c r="AE5" i="8"/>
  <c r="AF5" i="8"/>
  <c r="AE6" i="8"/>
  <c r="AF6" i="8"/>
  <c r="AE7" i="8"/>
  <c r="AF7" i="8"/>
  <c r="AE8" i="8"/>
  <c r="AF8" i="8"/>
  <c r="AE9" i="8"/>
  <c r="AF9" i="8"/>
  <c r="AE10" i="8"/>
  <c r="AF10" i="8"/>
  <c r="AE11" i="8"/>
  <c r="AF11" i="8"/>
  <c r="AE12" i="8"/>
  <c r="AF12" i="8"/>
  <c r="AE13" i="8"/>
  <c r="AF13" i="8"/>
  <c r="AE14" i="8"/>
  <c r="AF14" i="8"/>
  <c r="AE15" i="8"/>
  <c r="AF15" i="8"/>
  <c r="AE16" i="8"/>
  <c r="AF16" i="8"/>
  <c r="AE17" i="8"/>
  <c r="AF17" i="8"/>
  <c r="AE18" i="8"/>
  <c r="AF18" i="8"/>
  <c r="AE22" i="8"/>
  <c r="AF22" i="8"/>
  <c r="AE23" i="8"/>
  <c r="AF23" i="8"/>
  <c r="AE24" i="8"/>
  <c r="AF24" i="8"/>
  <c r="AE25" i="8"/>
  <c r="AF25" i="8"/>
  <c r="AE26" i="8"/>
  <c r="AF26" i="8"/>
  <c r="AE27" i="8"/>
  <c r="AF27" i="8"/>
  <c r="AE28" i="8"/>
  <c r="AF28" i="8"/>
  <c r="AE29" i="8"/>
  <c r="AF29" i="8"/>
  <c r="AE30" i="8"/>
  <c r="AF30" i="8"/>
  <c r="AE31" i="8"/>
  <c r="AF31" i="8"/>
  <c r="AE32" i="8"/>
  <c r="AF32" i="8"/>
  <c r="AE33" i="8"/>
  <c r="AF33" i="8"/>
  <c r="AE34" i="8"/>
  <c r="AF34" i="8"/>
  <c r="AE35" i="8"/>
  <c r="AF35" i="8"/>
  <c r="AE39" i="8"/>
  <c r="AF39" i="8"/>
  <c r="AE40" i="8"/>
  <c r="AF40" i="8"/>
  <c r="AE41" i="8"/>
  <c r="AF41" i="8"/>
  <c r="AE42" i="8"/>
  <c r="AF42" i="8"/>
  <c r="AE43" i="8"/>
  <c r="AF43" i="8"/>
  <c r="AE44" i="8"/>
  <c r="AF44" i="8"/>
  <c r="AE45" i="8"/>
  <c r="AF45" i="8"/>
  <c r="AE46" i="8"/>
  <c r="AF46" i="8"/>
  <c r="AE47" i="8"/>
  <c r="AF47" i="8"/>
  <c r="AE48" i="8"/>
  <c r="AF48" i="8"/>
  <c r="AE49" i="8"/>
  <c r="AF49" i="8"/>
  <c r="AE50" i="8"/>
  <c r="AF50" i="8"/>
  <c r="AE51" i="8"/>
  <c r="AF51" i="8"/>
  <c r="AE52" i="8"/>
  <c r="AF52" i="8"/>
  <c r="AE56" i="8"/>
  <c r="AF56" i="8"/>
  <c r="AE57" i="8"/>
  <c r="AF57" i="8"/>
  <c r="AE58" i="8"/>
  <c r="AF58" i="8"/>
  <c r="AE59" i="8"/>
  <c r="AF59" i="8"/>
  <c r="AE60" i="8"/>
  <c r="AF60" i="8"/>
  <c r="AE61" i="8"/>
  <c r="AF61" i="8"/>
  <c r="AE62" i="8"/>
  <c r="AF62" i="8"/>
  <c r="AE63" i="8"/>
  <c r="AF63" i="8"/>
  <c r="AE64" i="8"/>
  <c r="AF64" i="8"/>
  <c r="AE65" i="8"/>
  <c r="AF65" i="8"/>
  <c r="AE66" i="8"/>
  <c r="AF66" i="8"/>
  <c r="AE67" i="8"/>
  <c r="AF67" i="8"/>
  <c r="AE68" i="8"/>
  <c r="AF68" i="8"/>
  <c r="AE69" i="8"/>
  <c r="AF69" i="8"/>
  <c r="AE73" i="8"/>
  <c r="AF73" i="8"/>
  <c r="AE74" i="8"/>
  <c r="AF74" i="8"/>
  <c r="AE75" i="8"/>
  <c r="AF75" i="8"/>
  <c r="AE76" i="8"/>
  <c r="AF76" i="8"/>
  <c r="AE77" i="8"/>
  <c r="AF77" i="8"/>
  <c r="AE78" i="8"/>
  <c r="AF78" i="8"/>
  <c r="AE79" i="8"/>
  <c r="AF79" i="8"/>
  <c r="AE80" i="8"/>
  <c r="AF80" i="8"/>
  <c r="AE81" i="8"/>
  <c r="AF81" i="8"/>
  <c r="AE82" i="8"/>
  <c r="AF82" i="8"/>
  <c r="AE83" i="8"/>
  <c r="AF83" i="8"/>
  <c r="AE84" i="8"/>
  <c r="AF84" i="8"/>
  <c r="AE85" i="8"/>
  <c r="AF85" i="8"/>
  <c r="AE86" i="8"/>
  <c r="AF86" i="8"/>
  <c r="AE90" i="8"/>
  <c r="AF90" i="8"/>
  <c r="AE91" i="8"/>
  <c r="AF91" i="8"/>
  <c r="AE92" i="8"/>
  <c r="AF92" i="8"/>
  <c r="AE93" i="8"/>
  <c r="AF93" i="8"/>
  <c r="AE94" i="8"/>
  <c r="AF94" i="8"/>
  <c r="AE95" i="8"/>
  <c r="AF95" i="8"/>
  <c r="AE96" i="8"/>
  <c r="AF96" i="8"/>
  <c r="AE97" i="8"/>
  <c r="AF97" i="8"/>
  <c r="AE98" i="8"/>
  <c r="AF98" i="8"/>
  <c r="AE99" i="8"/>
  <c r="AF99" i="8"/>
  <c r="AE100" i="8"/>
  <c r="AF100" i="8"/>
  <c r="AE101" i="8"/>
  <c r="AF101" i="8"/>
  <c r="AE102" i="8"/>
  <c r="AF102" i="8"/>
  <c r="AE103" i="8"/>
  <c r="AF103" i="8"/>
  <c r="AE107" i="8"/>
  <c r="AF107" i="8"/>
  <c r="AE108" i="8"/>
  <c r="AF108" i="8"/>
  <c r="AE109" i="8"/>
  <c r="AF109" i="8"/>
  <c r="AE110" i="8"/>
  <c r="AF110" i="8"/>
  <c r="AE111" i="8"/>
  <c r="AF111" i="8"/>
  <c r="AE112" i="8"/>
  <c r="AF112" i="8"/>
  <c r="AE113" i="8"/>
  <c r="AF113" i="8"/>
  <c r="AE114" i="8"/>
  <c r="AF114" i="8"/>
  <c r="AE115" i="8"/>
  <c r="AF115" i="8"/>
  <c r="AE116" i="8"/>
  <c r="AF116" i="8"/>
  <c r="AE117" i="8"/>
  <c r="AF117" i="8"/>
  <c r="AE118" i="8"/>
  <c r="AF118" i="8"/>
  <c r="AE119" i="8"/>
  <c r="AF119" i="8"/>
  <c r="AE120" i="8"/>
  <c r="AF120" i="8"/>
  <c r="AE124" i="8"/>
  <c r="AF124" i="8"/>
  <c r="AE125" i="8"/>
  <c r="AF125" i="8"/>
  <c r="AE126" i="8"/>
  <c r="AF126" i="8"/>
  <c r="AE127" i="8"/>
  <c r="AF127" i="8"/>
  <c r="AE128" i="8"/>
  <c r="AF128" i="8"/>
  <c r="AE129" i="8"/>
  <c r="AF129" i="8"/>
  <c r="AE130" i="8"/>
  <c r="AF130" i="8"/>
  <c r="AE131" i="8"/>
  <c r="AF131" i="8"/>
  <c r="AE132" i="8"/>
  <c r="AF132" i="8"/>
  <c r="AE133" i="8"/>
  <c r="AF133" i="8"/>
  <c r="AE134" i="8"/>
  <c r="AF134" i="8"/>
  <c r="AE135" i="8"/>
  <c r="AF135" i="8"/>
  <c r="AE136" i="8"/>
  <c r="AF136" i="8"/>
  <c r="AE137" i="8"/>
  <c r="AF137" i="8"/>
  <c r="AE141" i="8"/>
  <c r="AF141" i="8"/>
  <c r="AE142" i="8"/>
  <c r="AF142" i="8"/>
  <c r="AE143" i="8"/>
  <c r="AF143" i="8"/>
  <c r="AE144" i="8"/>
  <c r="AF144" i="8"/>
  <c r="AE145" i="8"/>
  <c r="AF145" i="8"/>
  <c r="AE146" i="8"/>
  <c r="AF146" i="8"/>
  <c r="AE147" i="8"/>
  <c r="AF147" i="8"/>
  <c r="AE148" i="8"/>
  <c r="AF148" i="8"/>
  <c r="AE149" i="8"/>
  <c r="AF149" i="8"/>
  <c r="AE150" i="8"/>
  <c r="AF150" i="8"/>
  <c r="AE151" i="8"/>
  <c r="AF151" i="8"/>
  <c r="AE152" i="8"/>
  <c r="AF152" i="8"/>
  <c r="AE153" i="8"/>
  <c r="AF153" i="8"/>
  <c r="AE154" i="8"/>
  <c r="AF154" i="8"/>
  <c r="C207" i="8"/>
  <c r="U15" i="2"/>
  <c r="C18" i="2"/>
  <c r="C50" i="2"/>
  <c r="A53" i="2"/>
  <c r="A61" i="2"/>
  <c r="A62" i="2"/>
  <c r="U62" i="2"/>
  <c r="A63" i="2"/>
  <c r="U63" i="2"/>
  <c r="A64" i="2"/>
  <c r="U64" i="2"/>
  <c r="A65" i="2"/>
  <c r="A66" i="2"/>
  <c r="A67" i="2"/>
  <c r="U67" i="2"/>
  <c r="A68" i="2"/>
  <c r="U68" i="2"/>
  <c r="A69" i="2"/>
  <c r="A70" i="2"/>
  <c r="A72" i="2"/>
  <c r="A73" i="2"/>
  <c r="A77" i="2"/>
  <c r="U77" i="2"/>
  <c r="A78" i="2"/>
  <c r="U78" i="2"/>
  <c r="A79" i="2"/>
  <c r="A80" i="2"/>
  <c r="A81" i="2"/>
  <c r="U81" i="2"/>
  <c r="A83" i="2"/>
  <c r="U83" i="2"/>
  <c r="A85" i="2"/>
  <c r="U85" i="2"/>
  <c r="A86" i="2"/>
  <c r="A87" i="2"/>
  <c r="A89" i="2"/>
  <c r="A101" i="2"/>
  <c r="A102" i="2"/>
  <c r="A103" i="2"/>
  <c r="A105" i="2"/>
  <c r="A109" i="2"/>
  <c r="A111" i="2"/>
  <c r="A112" i="2"/>
  <c r="U112" i="2"/>
  <c r="A117" i="2"/>
  <c r="A118" i="2"/>
  <c r="U118" i="2"/>
  <c r="A120" i="2"/>
  <c r="A121" i="2"/>
  <c r="A122" i="2"/>
  <c r="U123" i="2"/>
  <c r="A124" i="2"/>
  <c r="U124" i="2"/>
  <c r="A125" i="2"/>
  <c r="A127" i="2"/>
  <c r="A128" i="2"/>
  <c r="A129" i="2"/>
  <c r="A130" i="2"/>
  <c r="AD86" i="6"/>
  <c r="A131" i="2"/>
  <c r="AC87" i="6"/>
  <c r="A132" i="2"/>
  <c r="AC88" i="6"/>
  <c r="A133" i="2"/>
  <c r="A134" i="2"/>
  <c r="A135" i="2"/>
  <c r="AD92" i="6"/>
  <c r="A136" i="2"/>
  <c r="AD93" i="6"/>
  <c r="A137" i="2"/>
  <c r="AC94" i="6"/>
  <c r="A138" i="2"/>
  <c r="A139" i="2"/>
  <c r="AC97" i="6"/>
  <c r="A141" i="2"/>
  <c r="AC98" i="6"/>
  <c r="A142" i="2"/>
  <c r="AC99" i="6"/>
  <c r="A143" i="2"/>
  <c r="AC101" i="6"/>
  <c r="AD102" i="6"/>
  <c r="O68" i="6"/>
  <c r="AC106" i="6"/>
  <c r="Q68" i="6"/>
  <c r="AD106" i="6"/>
  <c r="C2" i="11"/>
  <c r="BB2" i="11"/>
  <c r="BD2" i="11"/>
  <c r="BH2" i="11"/>
  <c r="BI2" i="11"/>
  <c r="BK2" i="11"/>
  <c r="C3" i="11"/>
  <c r="BB3" i="11"/>
  <c r="BD3" i="11"/>
  <c r="BK3" i="11"/>
  <c r="D5" i="11"/>
  <c r="BB10" i="11"/>
  <c r="BH5" i="11"/>
  <c r="BI5" i="11"/>
  <c r="C11" i="11"/>
  <c r="BB11" i="11"/>
  <c r="BD11" i="11"/>
  <c r="BH6" i="11"/>
  <c r="BB12" i="11"/>
  <c r="BH7" i="11"/>
  <c r="BB13" i="11"/>
  <c r="BH8" i="11"/>
  <c r="BB14" i="11"/>
  <c r="BD14" i="11"/>
  <c r="BB46" i="11"/>
  <c r="BH9" i="11"/>
  <c r="BB15" i="11"/>
  <c r="BH10" i="11"/>
  <c r="BI10" i="11"/>
  <c r="BB16" i="11"/>
  <c r="BB17" i="11"/>
  <c r="BB18" i="11"/>
  <c r="BB19" i="11"/>
  <c r="BB20" i="11"/>
  <c r="BB21" i="11"/>
  <c r="BB22" i="11"/>
  <c r="BB23" i="11"/>
  <c r="BB24" i="11"/>
  <c r="BB25" i="11"/>
  <c r="C30" i="11"/>
  <c r="D30" i="11"/>
  <c r="BD30" i="11"/>
  <c r="BE30" i="11"/>
  <c r="BD39" i="11"/>
  <c r="BE39" i="11"/>
  <c r="BC40" i="11"/>
  <c r="BD40" i="11"/>
  <c r="BE40" i="11"/>
  <c r="C41" i="11"/>
  <c r="D41" i="11"/>
  <c r="BC41" i="11"/>
  <c r="BD41" i="11"/>
  <c r="BE41" i="11"/>
  <c r="AE45" i="11"/>
  <c r="A1" i="11"/>
  <c r="BB1" i="11"/>
  <c r="A46" i="11"/>
  <c r="B51" i="11"/>
  <c r="B53" i="11"/>
  <c r="BI14" i="11"/>
  <c r="A61" i="11"/>
  <c r="BH22" i="11"/>
  <c r="A62" i="11"/>
  <c r="BH23" i="11"/>
  <c r="A63" i="11"/>
  <c r="BH24" i="11"/>
  <c r="A64" i="11"/>
  <c r="BH25" i="11"/>
  <c r="A65" i="11"/>
  <c r="BH26" i="11"/>
  <c r="A66" i="11"/>
  <c r="BH27" i="11"/>
  <c r="A67" i="11"/>
  <c r="BH28" i="11"/>
  <c r="A68" i="11"/>
  <c r="BH29" i="11"/>
  <c r="A76" i="11"/>
  <c r="BH37" i="11"/>
  <c r="A77" i="11"/>
  <c r="BH38" i="11"/>
  <c r="A78" i="11"/>
  <c r="BH39" i="11"/>
  <c r="A79" i="11"/>
  <c r="BH40" i="11"/>
  <c r="A81" i="11"/>
  <c r="BH42" i="11"/>
  <c r="A82" i="11"/>
  <c r="BH43" i="11"/>
  <c r="A83" i="11"/>
  <c r="BH44" i="11"/>
  <c r="A86" i="11"/>
  <c r="BH47" i="11"/>
  <c r="A87" i="11"/>
  <c r="BH48" i="11"/>
  <c r="A89" i="11"/>
  <c r="BH50" i="11"/>
  <c r="A90" i="11"/>
  <c r="BH51" i="11"/>
  <c r="A91" i="11"/>
  <c r="BH52" i="11"/>
  <c r="A92" i="11"/>
  <c r="BH53" i="11"/>
  <c r="A93" i="11"/>
  <c r="BH54" i="11"/>
  <c r="A95" i="11"/>
  <c r="BH56" i="11"/>
  <c r="A96" i="11"/>
  <c r="BH57" i="11"/>
  <c r="A97" i="11"/>
  <c r="BH58" i="11"/>
  <c r="A100" i="11"/>
  <c r="BH61" i="11"/>
  <c r="B102" i="11"/>
  <c r="BI63" i="11"/>
  <c r="C102" i="11"/>
  <c r="BJ63" i="11"/>
  <c r="A103" i="11"/>
  <c r="BH64" i="11"/>
  <c r="A104" i="11"/>
  <c r="BH65" i="11"/>
  <c r="A109" i="11"/>
  <c r="BH70" i="11"/>
  <c r="A110" i="11"/>
  <c r="BH71" i="11"/>
  <c r="A111" i="11"/>
  <c r="BH72" i="11"/>
  <c r="A112" i="11"/>
  <c r="BH73" i="11"/>
  <c r="A113" i="11"/>
  <c r="BH74" i="11"/>
  <c r="A117" i="11"/>
  <c r="BH78" i="11"/>
  <c r="A118" i="11"/>
  <c r="BH79" i="11"/>
  <c r="A119" i="11"/>
  <c r="BH80" i="11"/>
  <c r="A120" i="11"/>
  <c r="BH81" i="11"/>
  <c r="A121" i="11"/>
  <c r="BH82" i="11"/>
  <c r="A123" i="11"/>
  <c r="BH84" i="11"/>
  <c r="C124" i="11"/>
  <c r="BJ85" i="11"/>
  <c r="A125" i="11"/>
  <c r="BH86" i="11"/>
  <c r="A126" i="11"/>
  <c r="BH87" i="11"/>
  <c r="A127" i="11"/>
  <c r="BH88" i="11"/>
  <c r="A128" i="11"/>
  <c r="BH89" i="11"/>
  <c r="A129" i="11"/>
  <c r="BH90" i="11"/>
  <c r="A130" i="11"/>
  <c r="BH91" i="11"/>
  <c r="A131" i="11"/>
  <c r="BH92" i="11"/>
  <c r="A132" i="11"/>
  <c r="BH93" i="11"/>
  <c r="A133" i="11"/>
  <c r="BH94" i="11"/>
  <c r="A134" i="11"/>
  <c r="BH95" i="11"/>
  <c r="C134" i="11"/>
  <c r="BJ95" i="11"/>
  <c r="A135" i="11"/>
  <c r="BH96" i="11"/>
  <c r="B135" i="11"/>
  <c r="BI96" i="11"/>
  <c r="A136" i="11"/>
  <c r="BH97" i="11"/>
  <c r="A137" i="11"/>
  <c r="BH98" i="11"/>
  <c r="A138" i="11"/>
  <c r="BH99" i="11"/>
  <c r="B138" i="11"/>
  <c r="BI99" i="11"/>
  <c r="A139" i="11"/>
  <c r="BH100" i="11"/>
  <c r="B139" i="11"/>
  <c r="BI100" i="11"/>
  <c r="A140" i="11"/>
  <c r="BH101" i="11"/>
  <c r="B140" i="11"/>
  <c r="BI101" i="11"/>
  <c r="A141" i="11"/>
  <c r="BH102" i="11"/>
  <c r="A142" i="11"/>
  <c r="BH103" i="11"/>
  <c r="B142" i="11"/>
  <c r="BI103" i="11"/>
  <c r="A143" i="11"/>
  <c r="BH104" i="11"/>
  <c r="C143" i="11"/>
  <c r="BJ104" i="11"/>
  <c r="A144" i="11"/>
  <c r="BH105" i="11"/>
  <c r="A146" i="11"/>
  <c r="BH107" i="11"/>
  <c r="B145" i="11"/>
  <c r="BI106" i="11"/>
  <c r="C145" i="11"/>
  <c r="BJ106" i="11"/>
  <c r="A147" i="11"/>
  <c r="BH108" i="11"/>
  <c r="A148" i="11"/>
  <c r="BH109" i="11"/>
  <c r="A149" i="11"/>
  <c r="BH110" i="11"/>
  <c r="A150" i="11"/>
  <c r="BH111" i="11"/>
  <c r="C5" i="13"/>
  <c r="C6" i="13"/>
  <c r="E9" i="13"/>
  <c r="AE3" i="10"/>
  <c r="F9" i="13"/>
  <c r="AF3" i="10"/>
  <c r="E24" i="13"/>
  <c r="F24" i="13"/>
  <c r="B26" i="13"/>
  <c r="C26" i="13"/>
  <c r="B43" i="13"/>
  <c r="C43" i="13"/>
  <c r="B60" i="13"/>
  <c r="C60" i="13"/>
  <c r="B77" i="13"/>
  <c r="C77" i="13"/>
  <c r="B94" i="13"/>
  <c r="C94" i="13"/>
  <c r="B111" i="13"/>
  <c r="C111" i="13"/>
  <c r="B128" i="13"/>
  <c r="C128" i="13"/>
  <c r="B145" i="13"/>
  <c r="C145" i="13"/>
  <c r="D5" i="12"/>
  <c r="AI105" i="12"/>
  <c r="C5" i="11"/>
  <c r="BD5" i="11"/>
  <c r="BI6" i="11"/>
  <c r="P68" i="6"/>
  <c r="N68" i="6"/>
  <c r="R68" i="6"/>
  <c r="J267" i="6"/>
  <c r="O267" i="6"/>
  <c r="J268" i="6"/>
  <c r="O268" i="6"/>
  <c r="J269" i="6"/>
  <c r="O269" i="6"/>
  <c r="J270" i="6"/>
  <c r="O270" i="6"/>
  <c r="J271" i="6"/>
  <c r="O271" i="6"/>
  <c r="J272" i="6"/>
  <c r="O272" i="6"/>
  <c r="J273" i="6"/>
  <c r="O273" i="6"/>
  <c r="J274" i="6"/>
  <c r="O274" i="6"/>
  <c r="J275" i="6"/>
  <c r="O275" i="6"/>
  <c r="J276" i="6"/>
  <c r="O276" i="6"/>
  <c r="J277" i="6"/>
  <c r="O277" i="6"/>
  <c r="J278" i="6"/>
  <c r="O278" i="6"/>
  <c r="J279" i="6"/>
  <c r="O279" i="6"/>
  <c r="J280" i="6"/>
  <c r="O280" i="6"/>
  <c r="J281" i="6"/>
  <c r="O281" i="6"/>
  <c r="J282" i="6"/>
  <c r="O282" i="6"/>
  <c r="J283" i="6"/>
  <c r="O283" i="6"/>
  <c r="J284" i="6"/>
  <c r="O284" i="6"/>
  <c r="J285" i="6"/>
  <c r="O285" i="6"/>
  <c r="J286" i="6"/>
  <c r="O286" i="6"/>
  <c r="J287" i="6"/>
  <c r="O287" i="6"/>
  <c r="J288" i="6"/>
  <c r="O288" i="6"/>
  <c r="J289" i="6"/>
  <c r="O289" i="6"/>
  <c r="J290" i="6"/>
  <c r="O290" i="6"/>
  <c r="J291" i="6"/>
  <c r="O291" i="6"/>
  <c r="J292" i="6"/>
  <c r="O292" i="6"/>
  <c r="F86" i="6"/>
  <c r="M87" i="6"/>
  <c r="AC91" i="6"/>
  <c r="C2" i="9"/>
  <c r="O296" i="6"/>
  <c r="J296" i="6"/>
  <c r="O295" i="6"/>
  <c r="J295" i="6"/>
  <c r="O294" i="6"/>
  <c r="J294" i="6"/>
  <c r="O293" i="6"/>
  <c r="J293" i="6"/>
  <c r="L62" i="6"/>
  <c r="B132" i="11"/>
  <c r="BI93" i="11"/>
  <c r="O140" i="6"/>
  <c r="H142" i="6"/>
  <c r="H167" i="6"/>
  <c r="AD56" i="6"/>
  <c r="C96" i="11"/>
  <c r="BJ57" i="11"/>
  <c r="AD75" i="6"/>
  <c r="C115" i="11"/>
  <c r="BJ76" i="11"/>
  <c r="AD124" i="2"/>
  <c r="E122" i="6"/>
  <c r="AD69" i="6"/>
  <c r="AD118" i="2"/>
  <c r="AD63" i="6"/>
  <c r="AD112" i="2"/>
  <c r="AD36" i="6"/>
  <c r="C82" i="11"/>
  <c r="BJ43" i="11"/>
  <c r="AD85" i="2"/>
  <c r="AD34" i="6"/>
  <c r="C81" i="11"/>
  <c r="BJ42" i="11"/>
  <c r="AD83" i="2"/>
  <c r="AD32" i="6"/>
  <c r="C79" i="11"/>
  <c r="BJ40" i="11"/>
  <c r="AD81" i="2"/>
  <c r="AD29" i="6"/>
  <c r="C76" i="11"/>
  <c r="BJ37" i="11"/>
  <c r="AD78" i="2"/>
  <c r="AD77" i="2"/>
  <c r="AD20" i="6"/>
  <c r="C67" i="11"/>
  <c r="BJ28" i="11"/>
  <c r="AD68" i="2"/>
  <c r="AD19" i="6"/>
  <c r="C66" i="11"/>
  <c r="BJ27" i="11"/>
  <c r="AD67" i="2"/>
  <c r="AD16" i="6"/>
  <c r="C63" i="11"/>
  <c r="BJ24" i="11"/>
  <c r="AD64" i="2"/>
  <c r="AD15" i="6"/>
  <c r="C62" i="11"/>
  <c r="BJ23" i="11"/>
  <c r="AD63" i="2"/>
  <c r="AD14" i="6"/>
  <c r="C61" i="11"/>
  <c r="BJ22" i="11"/>
  <c r="AD62" i="2"/>
  <c r="Z146" i="2"/>
  <c r="AC93" i="6"/>
  <c r="P136" i="2"/>
  <c r="AC92" i="6"/>
  <c r="P135" i="2"/>
  <c r="AC86" i="6"/>
  <c r="P130" i="2"/>
  <c r="AD28" i="6"/>
  <c r="U121" i="2"/>
  <c r="U116" i="2"/>
  <c r="U55" i="2"/>
  <c r="U56" i="2"/>
  <c r="U57" i="2"/>
  <c r="U58" i="2"/>
  <c r="U74" i="2"/>
  <c r="U75" i="2"/>
  <c r="U76" i="2"/>
  <c r="U84" i="2"/>
  <c r="U91" i="2"/>
  <c r="U92" i="2"/>
  <c r="U95" i="2"/>
  <c r="U96" i="2"/>
  <c r="U99" i="2"/>
  <c r="U100" i="2"/>
  <c r="U101" i="2"/>
  <c r="U102" i="2"/>
  <c r="U113" i="2"/>
  <c r="U114" i="2"/>
  <c r="U115" i="2"/>
  <c r="U119" i="2"/>
  <c r="U120" i="2"/>
  <c r="D213" i="8"/>
  <c r="E213" i="8"/>
  <c r="F213" i="8"/>
  <c r="H213" i="8"/>
  <c r="I213" i="8"/>
  <c r="J213" i="8"/>
  <c r="M213" i="8"/>
  <c r="N213" i="8"/>
  <c r="D214" i="8"/>
  <c r="E214" i="8"/>
  <c r="F214" i="8"/>
  <c r="H214" i="8"/>
  <c r="I214" i="8"/>
  <c r="J214" i="8"/>
  <c r="L214" i="8"/>
  <c r="M214" i="8"/>
  <c r="N214" i="8"/>
  <c r="D215" i="8"/>
  <c r="E215" i="8"/>
  <c r="F215" i="8"/>
  <c r="H215" i="8"/>
  <c r="I215" i="8"/>
  <c r="J215" i="8"/>
  <c r="L215" i="8"/>
  <c r="M215" i="8"/>
  <c r="N215" i="8"/>
  <c r="D216" i="8"/>
  <c r="E216" i="8"/>
  <c r="F216" i="8"/>
  <c r="H216" i="8"/>
  <c r="I216" i="8"/>
  <c r="J216" i="8"/>
  <c r="L216" i="8"/>
  <c r="M216" i="8"/>
  <c r="N216" i="8"/>
  <c r="D217" i="8"/>
  <c r="E217" i="8"/>
  <c r="F217" i="8"/>
  <c r="H217" i="8"/>
  <c r="I217" i="8"/>
  <c r="J217" i="8"/>
  <c r="L217" i="8"/>
  <c r="M217" i="8"/>
  <c r="N217" i="8"/>
  <c r="D218" i="8"/>
  <c r="E218" i="8"/>
  <c r="F218" i="8"/>
  <c r="H218" i="8"/>
  <c r="I218" i="8"/>
  <c r="J218" i="8"/>
  <c r="L218" i="8"/>
  <c r="M218" i="8"/>
  <c r="N218" i="8"/>
  <c r="D219" i="8"/>
  <c r="E219" i="8"/>
  <c r="F219" i="8"/>
  <c r="H219" i="8"/>
  <c r="I219" i="8"/>
  <c r="J219" i="8"/>
  <c r="L219" i="8"/>
  <c r="M219" i="8"/>
  <c r="N219" i="8"/>
  <c r="D220" i="8"/>
  <c r="E220" i="8"/>
  <c r="F220" i="8"/>
  <c r="H220" i="8"/>
  <c r="I220" i="8"/>
  <c r="J220" i="8"/>
  <c r="L220" i="8"/>
  <c r="M220" i="8"/>
  <c r="N220" i="8"/>
  <c r="D221" i="8"/>
  <c r="E221" i="8"/>
  <c r="F221" i="8"/>
  <c r="H221" i="8"/>
  <c r="I221" i="8"/>
  <c r="J221" i="8"/>
  <c r="L221" i="8"/>
  <c r="M221" i="8"/>
  <c r="N221" i="8"/>
  <c r="D222" i="8"/>
  <c r="E222" i="8"/>
  <c r="F222" i="8"/>
  <c r="H222" i="8"/>
  <c r="I222" i="8"/>
  <c r="J222" i="8"/>
  <c r="L222" i="8"/>
  <c r="M222" i="8"/>
  <c r="N222" i="8"/>
  <c r="D223" i="8"/>
  <c r="E223" i="8"/>
  <c r="F223" i="8"/>
  <c r="H223" i="8"/>
  <c r="I223" i="8"/>
  <c r="J223" i="8"/>
  <c r="L223" i="8"/>
  <c r="M223" i="8"/>
  <c r="N223" i="8"/>
  <c r="D224" i="8"/>
  <c r="E224" i="8"/>
  <c r="F224" i="8"/>
  <c r="H224" i="8"/>
  <c r="I224" i="8"/>
  <c r="J224" i="8"/>
  <c r="L224" i="8"/>
  <c r="M224" i="8"/>
  <c r="N224" i="8"/>
  <c r="D225" i="8"/>
  <c r="E225" i="8"/>
  <c r="F225" i="8"/>
  <c r="H225" i="8"/>
  <c r="I225" i="8"/>
  <c r="J225" i="8"/>
  <c r="L225" i="8"/>
  <c r="M225" i="8"/>
  <c r="N225" i="8"/>
  <c r="D226" i="8"/>
  <c r="E226" i="8"/>
  <c r="F226" i="8"/>
  <c r="H226" i="8"/>
  <c r="I226" i="8"/>
  <c r="J226" i="8"/>
  <c r="L226" i="8"/>
  <c r="M226" i="8"/>
  <c r="N226" i="8"/>
  <c r="O74" i="6"/>
  <c r="O73" i="6"/>
  <c r="O72" i="6"/>
  <c r="O71" i="6"/>
  <c r="O70" i="6"/>
  <c r="Q78" i="6"/>
  <c r="AD110" i="6"/>
  <c r="C151" i="11"/>
  <c r="BJ112" i="11"/>
  <c r="O78" i="6"/>
  <c r="AC110" i="6"/>
  <c r="B151" i="11"/>
  <c r="BI112" i="11"/>
  <c r="R50" i="12"/>
  <c r="T50" i="12"/>
  <c r="O50" i="12"/>
  <c r="Q50" i="12"/>
  <c r="L50" i="12"/>
  <c r="N50" i="12"/>
  <c r="R49" i="12"/>
  <c r="T49" i="12"/>
  <c r="O49" i="12"/>
  <c r="Q49" i="12"/>
  <c r="L49" i="12"/>
  <c r="N49" i="12"/>
  <c r="R54" i="12"/>
  <c r="T54" i="12"/>
  <c r="O54" i="12"/>
  <c r="Q54" i="12"/>
  <c r="L54" i="12"/>
  <c r="N54" i="12"/>
  <c r="R53" i="12"/>
  <c r="T53" i="12"/>
  <c r="O53" i="12"/>
  <c r="Q53" i="12"/>
  <c r="L53" i="12"/>
  <c r="N53" i="12"/>
  <c r="AD48" i="6"/>
  <c r="Q74" i="6"/>
  <c r="Q73" i="6"/>
  <c r="Q72" i="6"/>
  <c r="Q71" i="6"/>
  <c r="Q70" i="6"/>
  <c r="AD108" i="6"/>
  <c r="Q69" i="6"/>
  <c r="AD107" i="6"/>
  <c r="P74" i="6"/>
  <c r="N74" i="6"/>
  <c r="P73" i="6"/>
  <c r="N73" i="6"/>
  <c r="P72" i="6"/>
  <c r="N72" i="6"/>
  <c r="P71" i="6"/>
  <c r="N71" i="6"/>
  <c r="O69" i="6"/>
  <c r="F74" i="6"/>
  <c r="D74" i="6"/>
  <c r="K74" i="6"/>
  <c r="AD103" i="6"/>
  <c r="AD74" i="6"/>
  <c r="F106" i="2"/>
  <c r="AC95" i="6"/>
  <c r="P296" i="6"/>
  <c r="P295" i="6"/>
  <c r="P294" i="6"/>
  <c r="P293" i="6"/>
  <c r="P292" i="6"/>
  <c r="P291" i="6"/>
  <c r="P290" i="6"/>
  <c r="P289" i="6"/>
  <c r="P288" i="6"/>
  <c r="P287" i="6"/>
  <c r="P286" i="6"/>
  <c r="P285" i="6"/>
  <c r="P284" i="6"/>
  <c r="P283" i="6"/>
  <c r="P282" i="6"/>
  <c r="P281" i="6"/>
  <c r="P280" i="6"/>
  <c r="P279" i="6"/>
  <c r="P278" i="6"/>
  <c r="P277" i="6"/>
  <c r="P276" i="6"/>
  <c r="P275" i="6"/>
  <c r="P274" i="6"/>
  <c r="P273" i="6"/>
  <c r="P272" i="6"/>
  <c r="P271" i="6"/>
  <c r="P270" i="6"/>
  <c r="P269" i="6"/>
  <c r="P268" i="6"/>
  <c r="P267" i="6"/>
  <c r="K296" i="6"/>
  <c r="K295" i="6"/>
  <c r="K294" i="6"/>
  <c r="K293" i="6"/>
  <c r="K292" i="6"/>
  <c r="K291" i="6"/>
  <c r="K290" i="6"/>
  <c r="K289" i="6"/>
  <c r="K288" i="6"/>
  <c r="K287" i="6"/>
  <c r="K286" i="6"/>
  <c r="K285" i="6"/>
  <c r="K284" i="6"/>
  <c r="K283" i="6"/>
  <c r="K282" i="6"/>
  <c r="K281" i="6"/>
  <c r="K280" i="6"/>
  <c r="K279" i="6"/>
  <c r="K278" i="6"/>
  <c r="K277" i="6"/>
  <c r="K276" i="6"/>
  <c r="K275" i="6"/>
  <c r="K274" i="6"/>
  <c r="K273" i="6"/>
  <c r="K272" i="6"/>
  <c r="K271" i="6"/>
  <c r="K270" i="6"/>
  <c r="K269" i="6"/>
  <c r="K268" i="6"/>
  <c r="K267" i="6"/>
  <c r="C43" i="12"/>
  <c r="AI16" i="12"/>
  <c r="AH16" i="12"/>
  <c r="R58" i="12"/>
  <c r="T58" i="12"/>
  <c r="O58" i="12"/>
  <c r="Q58" i="12"/>
  <c r="L58" i="12"/>
  <c r="N58" i="12"/>
  <c r="C133" i="11"/>
  <c r="BJ94" i="11"/>
  <c r="B133" i="11"/>
  <c r="BI94" i="11"/>
  <c r="B129" i="11"/>
  <c r="BI90" i="11"/>
  <c r="B128" i="11"/>
  <c r="BI89" i="11"/>
  <c r="C127" i="11"/>
  <c r="BJ88" i="11"/>
  <c r="B127" i="11"/>
  <c r="BI88" i="11"/>
  <c r="C109" i="11"/>
  <c r="BJ70" i="11"/>
  <c r="C103" i="11"/>
  <c r="BJ64" i="11"/>
  <c r="AD80" i="6"/>
  <c r="AD79" i="6"/>
  <c r="AD78" i="6"/>
  <c r="AD77" i="6"/>
  <c r="C149" i="11"/>
  <c r="BJ110" i="11"/>
  <c r="C148" i="11"/>
  <c r="BJ109" i="11"/>
  <c r="C147" i="11"/>
  <c r="BJ108" i="11"/>
  <c r="B147" i="11"/>
  <c r="BI108" i="11"/>
  <c r="N12" i="17"/>
  <c r="U82" i="2"/>
  <c r="AD82" i="2"/>
  <c r="AD120" i="2"/>
  <c r="AD119" i="2"/>
  <c r="AD115" i="2"/>
  <c r="AD114" i="2"/>
  <c r="AD113" i="2"/>
  <c r="AD102" i="2"/>
  <c r="AD101" i="2"/>
  <c r="AD100" i="2"/>
  <c r="AD99" i="2"/>
  <c r="AD96" i="2"/>
  <c r="AD95" i="2"/>
  <c r="AD92" i="2"/>
  <c r="AD91" i="2"/>
  <c r="AD84" i="2"/>
  <c r="AD76" i="2"/>
  <c r="AD75" i="2"/>
  <c r="AD74" i="2"/>
  <c r="AD58" i="2"/>
  <c r="AD57" i="2"/>
  <c r="AD56" i="2"/>
  <c r="AD55" i="2"/>
  <c r="Z123" i="2"/>
  <c r="Z106" i="2"/>
  <c r="AA84" i="2"/>
  <c r="E123" i="6"/>
  <c r="AD70" i="6"/>
  <c r="C110" i="11"/>
  <c r="BJ71" i="11"/>
  <c r="E119" i="6"/>
  <c r="AD66" i="6"/>
  <c r="C106" i="11"/>
  <c r="BJ67" i="11"/>
  <c r="AD65" i="6"/>
  <c r="C105" i="11"/>
  <c r="BJ66" i="11"/>
  <c r="AD64" i="6"/>
  <c r="C104" i="11"/>
  <c r="BJ65" i="11"/>
  <c r="AD50" i="6"/>
  <c r="AD49" i="6"/>
  <c r="AD45" i="6"/>
  <c r="AD42" i="6"/>
  <c r="AD41" i="6"/>
  <c r="AD35" i="6"/>
  <c r="AD27" i="6"/>
  <c r="C74" i="11"/>
  <c r="BJ35" i="11"/>
  <c r="AD26" i="6"/>
  <c r="C73" i="11"/>
  <c r="BJ34" i="11"/>
  <c r="AD25" i="6"/>
  <c r="C72" i="11"/>
  <c r="BJ33" i="11"/>
  <c r="AD10" i="6"/>
  <c r="C58" i="11"/>
  <c r="BJ19" i="11"/>
  <c r="AD9" i="6"/>
  <c r="C57" i="11"/>
  <c r="BJ18" i="11"/>
  <c r="E8" i="6"/>
  <c r="AD8" i="6"/>
  <c r="C56" i="11"/>
  <c r="BJ17" i="11"/>
  <c r="AD7" i="6"/>
  <c r="C55" i="11"/>
  <c r="BJ16" i="11"/>
  <c r="E120" i="6"/>
  <c r="C75" i="11"/>
  <c r="BJ36" i="11"/>
  <c r="B134" i="11"/>
  <c r="BI95" i="11"/>
  <c r="AC103" i="6"/>
  <c r="P146" i="2"/>
  <c r="P124" i="2"/>
  <c r="AP14" i="12"/>
  <c r="AO14" i="12"/>
  <c r="AN14" i="12"/>
  <c r="AM14" i="12"/>
  <c r="AL14" i="12"/>
  <c r="AJ14" i="12"/>
  <c r="O226" i="8"/>
  <c r="K226" i="8"/>
  <c r="G226" i="8"/>
  <c r="O225" i="8"/>
  <c r="K225" i="8"/>
  <c r="G225" i="8"/>
  <c r="O224" i="8"/>
  <c r="K224" i="8"/>
  <c r="G224" i="8"/>
  <c r="O223" i="8"/>
  <c r="K223" i="8"/>
  <c r="G223" i="8"/>
  <c r="O222" i="8"/>
  <c r="K222" i="8"/>
  <c r="G222" i="8"/>
  <c r="O221" i="8"/>
  <c r="K221" i="8"/>
  <c r="G221" i="8"/>
  <c r="O220" i="8"/>
  <c r="K220" i="8"/>
  <c r="G220" i="8"/>
  <c r="O219" i="8"/>
  <c r="K219" i="8"/>
  <c r="G219" i="8"/>
  <c r="O218" i="8"/>
  <c r="K218" i="8"/>
  <c r="G218" i="8"/>
  <c r="O217" i="8"/>
  <c r="K217" i="8"/>
  <c r="G217" i="8"/>
  <c r="O216" i="8"/>
  <c r="K216" i="8"/>
  <c r="G216" i="8"/>
  <c r="O215" i="8"/>
  <c r="K215" i="8"/>
  <c r="G215" i="8"/>
  <c r="O214" i="8"/>
  <c r="K214" i="8"/>
  <c r="G214" i="8"/>
  <c r="O213" i="8"/>
  <c r="K213" i="8"/>
  <c r="G213" i="8"/>
  <c r="AD71" i="6"/>
  <c r="AD52" i="6"/>
  <c r="AD51" i="6"/>
  <c r="C90" i="11"/>
  <c r="BJ51" i="11"/>
  <c r="C89" i="11"/>
  <c r="BJ50" i="11"/>
  <c r="AD46" i="6"/>
  <c r="C86" i="11"/>
  <c r="BJ47" i="11"/>
  <c r="E125" i="6"/>
  <c r="AD72" i="6"/>
  <c r="C114" i="11"/>
  <c r="BJ75" i="11"/>
  <c r="P79" i="6"/>
  <c r="N79" i="6"/>
  <c r="R79" i="6"/>
  <c r="P78" i="6"/>
  <c r="N78" i="6"/>
  <c r="AC107" i="6"/>
  <c r="P69" i="6"/>
  <c r="N69" i="6"/>
  <c r="R69" i="6"/>
  <c r="P70" i="6"/>
  <c r="N70" i="6"/>
  <c r="AC108" i="6"/>
  <c r="R71" i="6"/>
  <c r="R72" i="6"/>
  <c r="R73" i="6"/>
  <c r="R74" i="6"/>
  <c r="C144" i="11"/>
  <c r="BJ105" i="11"/>
  <c r="B136" i="11"/>
  <c r="BI97" i="11"/>
  <c r="AI17" i="12"/>
  <c r="C117" i="11"/>
  <c r="BJ78" i="11"/>
  <c r="C118" i="11"/>
  <c r="BJ79" i="11"/>
  <c r="C119" i="11"/>
  <c r="BJ80" i="11"/>
  <c r="C120" i="11"/>
  <c r="BJ81" i="11"/>
  <c r="BD10" i="11"/>
  <c r="AD33" i="6"/>
  <c r="C80" i="11"/>
  <c r="BJ41" i="11"/>
  <c r="B144" i="11"/>
  <c r="BI105" i="11"/>
  <c r="AA77" i="2"/>
  <c r="P84" i="2"/>
  <c r="C87" i="11"/>
  <c r="BJ48" i="11"/>
  <c r="C91" i="11"/>
  <c r="BJ52" i="11"/>
  <c r="C92" i="11"/>
  <c r="BJ53" i="11"/>
  <c r="C111" i="11"/>
  <c r="BJ72" i="11"/>
  <c r="I73" i="6"/>
  <c r="R78" i="6"/>
  <c r="B149" i="11"/>
  <c r="BI110" i="11"/>
  <c r="R70" i="6"/>
  <c r="B148" i="11"/>
  <c r="BI109" i="11"/>
  <c r="AC35" i="6"/>
  <c r="H73" i="6"/>
  <c r="D84" i="2"/>
  <c r="C36" i="12"/>
  <c r="AI18" i="12"/>
  <c r="AA56" i="2"/>
  <c r="D8" i="6"/>
  <c r="AC8" i="6"/>
  <c r="B56" i="11"/>
  <c r="BI17" i="11"/>
  <c r="L73" i="6"/>
  <c r="AI19" i="12"/>
  <c r="AI20" i="12"/>
  <c r="AH19" i="12"/>
  <c r="AI21" i="12"/>
  <c r="AH20" i="12"/>
  <c r="AI22" i="12"/>
  <c r="AH21" i="12"/>
  <c r="AI23" i="12"/>
  <c r="AI24" i="12"/>
  <c r="AA63" i="2"/>
  <c r="AA62" i="2"/>
  <c r="AA58" i="2"/>
  <c r="AA57" i="2"/>
  <c r="AA55" i="2"/>
  <c r="AA59" i="2"/>
  <c r="C23" i="12"/>
  <c r="C22" i="12"/>
  <c r="C18" i="12"/>
  <c r="C17" i="12"/>
  <c r="C15" i="12"/>
  <c r="AC10" i="6"/>
  <c r="B58" i="11"/>
  <c r="BI19" i="11"/>
  <c r="AC9" i="6"/>
  <c r="B57" i="11"/>
  <c r="BI18" i="11"/>
  <c r="P63" i="2"/>
  <c r="D58" i="2"/>
  <c r="D57" i="2"/>
  <c r="D56" i="2"/>
  <c r="D19" i="12"/>
  <c r="C19" i="12"/>
  <c r="AI25" i="12"/>
  <c r="D25" i="12"/>
  <c r="P62" i="2"/>
  <c r="AA64" i="2"/>
  <c r="C59" i="2"/>
  <c r="AA65" i="2"/>
  <c r="C24" i="12"/>
  <c r="D63" i="2"/>
  <c r="G8" i="6"/>
  <c r="D55" i="2"/>
  <c r="D59" i="2"/>
  <c r="AH25" i="12"/>
  <c r="AI26" i="12"/>
  <c r="C25" i="12"/>
  <c r="P64" i="2"/>
  <c r="P65" i="2"/>
  <c r="D62" i="2"/>
  <c r="C65" i="2"/>
  <c r="AC15" i="6"/>
  <c r="D64" i="2"/>
  <c r="D65" i="2"/>
  <c r="AH26" i="12"/>
  <c r="AI27" i="12"/>
  <c r="B62" i="11"/>
  <c r="BI23" i="11"/>
  <c r="AC7" i="6"/>
  <c r="B55" i="11"/>
  <c r="BI16" i="11"/>
  <c r="D11" i="6"/>
  <c r="AC11" i="6"/>
  <c r="B59" i="11"/>
  <c r="BI20" i="11"/>
  <c r="G11" i="6"/>
  <c r="AC16" i="6"/>
  <c r="AI28" i="12"/>
  <c r="D17" i="6"/>
  <c r="AC17" i="6"/>
  <c r="AC14" i="6"/>
  <c r="AA67" i="2"/>
  <c r="C27" i="12"/>
  <c r="B63" i="11"/>
  <c r="BI24" i="11"/>
  <c r="AI29" i="12"/>
  <c r="B61" i="11"/>
  <c r="BI22" i="11"/>
  <c r="G17" i="6"/>
  <c r="B64" i="11"/>
  <c r="BI25" i="11"/>
  <c r="AA68" i="2"/>
  <c r="AA69" i="2"/>
  <c r="AA70" i="2"/>
  <c r="C28" i="12"/>
  <c r="I68" i="6"/>
  <c r="C29" i="12"/>
  <c r="D29" i="12"/>
  <c r="D30" i="12"/>
  <c r="D67" i="2"/>
  <c r="AH29" i="12"/>
  <c r="AI30" i="12"/>
  <c r="C30" i="12"/>
  <c r="I69" i="6"/>
  <c r="AH30" i="12"/>
  <c r="AI31" i="12"/>
  <c r="C69" i="2"/>
  <c r="C70" i="2"/>
  <c r="D68" i="2"/>
  <c r="D69" i="2"/>
  <c r="D70" i="2"/>
  <c r="D21" i="6"/>
  <c r="D22" i="6"/>
  <c r="H68" i="6"/>
  <c r="AC19" i="6"/>
  <c r="AH31" i="12"/>
  <c r="AI32" i="12"/>
  <c r="H69" i="6"/>
  <c r="L69" i="6"/>
  <c r="AC20" i="6"/>
  <c r="AC21" i="6"/>
  <c r="AC22" i="6"/>
  <c r="B67" i="11"/>
  <c r="BI28" i="11"/>
  <c r="AH32" i="12"/>
  <c r="AI33" i="12"/>
  <c r="B66" i="11"/>
  <c r="BI27" i="11"/>
  <c r="G21" i="6"/>
  <c r="G22" i="6"/>
  <c r="B68" i="11"/>
  <c r="BI29" i="11"/>
  <c r="B69" i="11"/>
  <c r="BI30" i="11"/>
  <c r="AI34" i="12"/>
  <c r="C33" i="12"/>
  <c r="AA74" i="2"/>
  <c r="P74" i="2"/>
  <c r="AI35" i="12"/>
  <c r="C34" i="12"/>
  <c r="AA75" i="2"/>
  <c r="P75" i="2"/>
  <c r="AI36" i="12"/>
  <c r="C35" i="12"/>
  <c r="AA76" i="2"/>
  <c r="D75" i="2"/>
  <c r="D74" i="2"/>
  <c r="P76" i="2"/>
  <c r="AI37" i="12"/>
  <c r="AH36" i="12"/>
  <c r="AC25" i="6"/>
  <c r="B72" i="11"/>
  <c r="BI33" i="11"/>
  <c r="AC26" i="6"/>
  <c r="B73" i="11"/>
  <c r="BI34" i="11"/>
  <c r="D76" i="2"/>
  <c r="P77" i="2"/>
  <c r="AI38" i="12"/>
  <c r="AA78" i="2"/>
  <c r="AA79" i="2"/>
  <c r="AC27" i="6"/>
  <c r="B74" i="11"/>
  <c r="BI35" i="11"/>
  <c r="C37" i="12"/>
  <c r="D38" i="12"/>
  <c r="AH38" i="12"/>
  <c r="AI39" i="12"/>
  <c r="P78" i="2"/>
  <c r="P79" i="2"/>
  <c r="P106" i="2"/>
  <c r="D77" i="2"/>
  <c r="C38" i="12"/>
  <c r="C64" i="12"/>
  <c r="D78" i="2"/>
  <c r="C79" i="2"/>
  <c r="D30" i="6"/>
  <c r="AC28" i="6"/>
  <c r="AC29" i="6"/>
  <c r="AH39" i="12"/>
  <c r="AI40" i="12"/>
  <c r="D79" i="2"/>
  <c r="B75" i="11"/>
  <c r="BI36" i="11"/>
  <c r="G30" i="6"/>
  <c r="AC30" i="6"/>
  <c r="AI41" i="12"/>
  <c r="B76" i="11"/>
  <c r="BI37" i="11"/>
  <c r="C40" i="12"/>
  <c r="AA81" i="2"/>
  <c r="D106" i="2"/>
  <c r="AC56" i="6"/>
  <c r="B77" i="11"/>
  <c r="BI38" i="11"/>
  <c r="AI42" i="12"/>
  <c r="AI43" i="12"/>
  <c r="AI44" i="12"/>
  <c r="AI45" i="12"/>
  <c r="AI46" i="12"/>
  <c r="AI47" i="12"/>
  <c r="AI48" i="12"/>
  <c r="AI49" i="12"/>
  <c r="AI50" i="12"/>
  <c r="C41" i="12"/>
  <c r="AA82" i="2"/>
  <c r="I70" i="6"/>
  <c r="P81" i="2"/>
  <c r="B96" i="11"/>
  <c r="BI57" i="11"/>
  <c r="D81" i="2"/>
  <c r="C42" i="12"/>
  <c r="AA83" i="2"/>
  <c r="AA91" i="2"/>
  <c r="I71" i="6"/>
  <c r="P82" i="2"/>
  <c r="C49" i="12"/>
  <c r="D82" i="2"/>
  <c r="D45" i="12"/>
  <c r="D46" i="12"/>
  <c r="AA85" i="2"/>
  <c r="AA92" i="2"/>
  <c r="AA86" i="2"/>
  <c r="AA87" i="2"/>
  <c r="AA93" i="2"/>
  <c r="C44" i="12"/>
  <c r="P92" i="2"/>
  <c r="I72" i="6"/>
  <c r="P83" i="2"/>
  <c r="H71" i="6"/>
  <c r="L71" i="6"/>
  <c r="AC33" i="6"/>
  <c r="B80" i="11"/>
  <c r="BI41" i="11"/>
  <c r="P91" i="2"/>
  <c r="C93" i="2"/>
  <c r="C50" i="12"/>
  <c r="C51" i="12"/>
  <c r="D51" i="12"/>
  <c r="L68" i="6"/>
  <c r="H70" i="6"/>
  <c r="L70" i="6"/>
  <c r="AC32" i="6"/>
  <c r="D83" i="2"/>
  <c r="AH45" i="12"/>
  <c r="C45" i="12"/>
  <c r="C46" i="12"/>
  <c r="C70" i="12"/>
  <c r="P85" i="2"/>
  <c r="D91" i="2"/>
  <c r="D92" i="2"/>
  <c r="AH46" i="12"/>
  <c r="C86" i="2"/>
  <c r="C87" i="2"/>
  <c r="D37" i="6"/>
  <c r="D38" i="6"/>
  <c r="B79" i="11"/>
  <c r="BI40" i="11"/>
  <c r="P86" i="2"/>
  <c r="AC42" i="6"/>
  <c r="G43" i="6"/>
  <c r="AC41" i="6"/>
  <c r="D43" i="6"/>
  <c r="AC43" i="6"/>
  <c r="D85" i="2"/>
  <c r="D86" i="2"/>
  <c r="D87" i="2"/>
  <c r="I74" i="6"/>
  <c r="D93" i="2"/>
  <c r="C71" i="12"/>
  <c r="P113" i="2"/>
  <c r="AC37" i="6"/>
  <c r="AC38" i="6"/>
  <c r="I76" i="6"/>
  <c r="H72" i="6"/>
  <c r="L72" i="6"/>
  <c r="AC34" i="6"/>
  <c r="AH47" i="12"/>
  <c r="H74" i="6"/>
  <c r="AC36" i="6"/>
  <c r="L74" i="6"/>
  <c r="L76" i="6"/>
  <c r="G37" i="6"/>
  <c r="G38" i="6"/>
  <c r="C72" i="12"/>
  <c r="P114" i="2"/>
  <c r="B82" i="11"/>
  <c r="BI43" i="11"/>
  <c r="B81" i="11"/>
  <c r="BI42" i="11"/>
  <c r="H76" i="6"/>
  <c r="B84" i="11"/>
  <c r="BI45" i="11"/>
  <c r="B83" i="11"/>
  <c r="BI44" i="11"/>
  <c r="C73" i="12"/>
  <c r="P115" i="2"/>
  <c r="AH75" i="12"/>
  <c r="AA95" i="2"/>
  <c r="C53" i="12"/>
  <c r="P95" i="2"/>
  <c r="C76" i="12"/>
  <c r="AA96" i="2"/>
  <c r="AA97" i="2"/>
  <c r="P96" i="2"/>
  <c r="C97" i="2"/>
  <c r="D95" i="2"/>
  <c r="D55" i="12"/>
  <c r="C54" i="12"/>
  <c r="C77" i="12"/>
  <c r="B119" i="2"/>
  <c r="C78" i="12"/>
  <c r="C79" i="12"/>
  <c r="D79" i="12"/>
  <c r="C55" i="12"/>
  <c r="AC45" i="6"/>
  <c r="D120" i="2"/>
  <c r="P120" i="2"/>
  <c r="P123" i="2"/>
  <c r="C81" i="12"/>
  <c r="D119" i="2"/>
  <c r="P119" i="2"/>
  <c r="B86" i="11"/>
  <c r="BI47" i="11"/>
  <c r="D47" i="6"/>
  <c r="AC47" i="6"/>
  <c r="B88" i="11"/>
  <c r="BI49" i="11"/>
  <c r="D96" i="2"/>
  <c r="D97" i="2"/>
  <c r="G47" i="6"/>
  <c r="AC46" i="6"/>
  <c r="P99" i="2"/>
  <c r="D99" i="2"/>
  <c r="P100" i="2"/>
  <c r="D100" i="2"/>
  <c r="B87" i="11"/>
  <c r="BI48" i="11"/>
  <c r="AC50" i="6"/>
  <c r="AA102" i="2"/>
  <c r="P102" i="2"/>
  <c r="C60" i="12"/>
  <c r="D61" i="12"/>
  <c r="AC49" i="6"/>
  <c r="B90" i="11"/>
  <c r="BI51" i="11"/>
  <c r="AH61" i="12"/>
  <c r="D102" i="2"/>
  <c r="Z143" i="2"/>
  <c r="Z145" i="2"/>
  <c r="D101" i="2"/>
  <c r="P101" i="2"/>
  <c r="C61" i="12"/>
  <c r="C62" i="12"/>
  <c r="C63" i="12"/>
  <c r="C65" i="12"/>
  <c r="Z48" i="2"/>
  <c r="D103" i="2"/>
  <c r="AH63" i="12"/>
  <c r="E219" i="6"/>
  <c r="J219" i="6"/>
  <c r="O219" i="6"/>
  <c r="E220" i="6"/>
  <c r="J220" i="6"/>
  <c r="O220" i="6"/>
  <c r="E221" i="6"/>
  <c r="E222" i="6"/>
  <c r="E223" i="6"/>
  <c r="E224" i="6"/>
  <c r="E225" i="6"/>
  <c r="E226" i="6"/>
  <c r="E227" i="6"/>
  <c r="E228" i="6"/>
  <c r="E229" i="6"/>
  <c r="E230" i="6"/>
  <c r="E231" i="6"/>
  <c r="E232" i="6"/>
  <c r="E233" i="6"/>
  <c r="E234" i="6"/>
  <c r="E235" i="6"/>
  <c r="E236" i="6"/>
  <c r="E237" i="6"/>
  <c r="E238" i="6"/>
  <c r="E239" i="6"/>
  <c r="E240" i="6"/>
  <c r="E241" i="6"/>
  <c r="E242" i="6"/>
  <c r="E243" i="6"/>
  <c r="E244" i="6"/>
  <c r="E245" i="6"/>
  <c r="E246" i="6"/>
  <c r="E247" i="6"/>
  <c r="E248" i="6"/>
  <c r="E249" i="6"/>
  <c r="E250" i="6"/>
  <c r="D65" i="12"/>
  <c r="C102" i="12"/>
  <c r="C104" i="12"/>
  <c r="D53" i="6"/>
  <c r="D54" i="6"/>
  <c r="D55" i="6"/>
  <c r="B89" i="11"/>
  <c r="BI50" i="11"/>
  <c r="D104" i="2"/>
  <c r="D105" i="2"/>
  <c r="D107" i="2"/>
  <c r="B48" i="2"/>
  <c r="C9" i="12"/>
  <c r="D9" i="12"/>
  <c r="AC54" i="6"/>
  <c r="B94" i="11"/>
  <c r="BI55" i="11"/>
  <c r="N220" i="6"/>
  <c r="P220" i="6"/>
  <c r="N219" i="6"/>
  <c r="P219" i="6"/>
  <c r="N218" i="6"/>
  <c r="N217" i="6"/>
  <c r="N216" i="6"/>
  <c r="N215" i="6"/>
  <c r="N214" i="6"/>
  <c r="N213" i="6"/>
  <c r="N212" i="6"/>
  <c r="N211" i="6"/>
  <c r="I220" i="6"/>
  <c r="K220" i="6"/>
  <c r="I219" i="6"/>
  <c r="K219" i="6"/>
  <c r="I218" i="6"/>
  <c r="I217" i="6"/>
  <c r="I216" i="6"/>
  <c r="I215" i="6"/>
  <c r="I214" i="6"/>
  <c r="I213" i="6"/>
  <c r="I212" i="6"/>
  <c r="I211" i="6"/>
  <c r="D250" i="6"/>
  <c r="F250" i="6"/>
  <c r="D249" i="6"/>
  <c r="F249" i="6"/>
  <c r="D248" i="6"/>
  <c r="F248" i="6"/>
  <c r="D247" i="6"/>
  <c r="F247" i="6"/>
  <c r="D246" i="6"/>
  <c r="F246" i="6"/>
  <c r="D245" i="6"/>
  <c r="F245" i="6"/>
  <c r="D244" i="6"/>
  <c r="F244" i="6"/>
  <c r="D243" i="6"/>
  <c r="F243" i="6"/>
  <c r="D242" i="6"/>
  <c r="F242" i="6"/>
  <c r="D241" i="6"/>
  <c r="F241" i="6"/>
  <c r="D240" i="6"/>
  <c r="F240" i="6"/>
  <c r="D239" i="6"/>
  <c r="F239" i="6"/>
  <c r="D238" i="6"/>
  <c r="F238" i="6"/>
  <c r="D237" i="6"/>
  <c r="F237" i="6"/>
  <c r="D236" i="6"/>
  <c r="F236" i="6"/>
  <c r="D235" i="6"/>
  <c r="F235" i="6"/>
  <c r="D234" i="6"/>
  <c r="F234" i="6"/>
  <c r="D233" i="6"/>
  <c r="F233" i="6"/>
  <c r="D232" i="6"/>
  <c r="F232" i="6"/>
  <c r="D231" i="6"/>
  <c r="F231" i="6"/>
  <c r="D230" i="6"/>
  <c r="F230" i="6"/>
  <c r="D229" i="6"/>
  <c r="F229" i="6"/>
  <c r="D228" i="6"/>
  <c r="F228" i="6"/>
  <c r="D227" i="6"/>
  <c r="F227" i="6"/>
  <c r="D226" i="6"/>
  <c r="F226" i="6"/>
  <c r="D225" i="6"/>
  <c r="F225" i="6"/>
  <c r="D224" i="6"/>
  <c r="F224" i="6"/>
  <c r="D223" i="6"/>
  <c r="F223" i="6"/>
  <c r="D222" i="6"/>
  <c r="F222" i="6"/>
  <c r="D221" i="6"/>
  <c r="F221" i="6"/>
  <c r="D220" i="6"/>
  <c r="F220" i="6"/>
  <c r="D219" i="6"/>
  <c r="F219" i="6"/>
  <c r="D218" i="6"/>
  <c r="D217" i="6"/>
  <c r="D216" i="6"/>
  <c r="D215" i="6"/>
  <c r="D214" i="6"/>
  <c r="D213" i="6"/>
  <c r="D212" i="6"/>
  <c r="D211" i="6"/>
  <c r="E211" i="6"/>
  <c r="J211" i="6"/>
  <c r="O211" i="6"/>
  <c r="E212" i="6"/>
  <c r="F212" i="6"/>
  <c r="J212" i="6"/>
  <c r="K212" i="6"/>
  <c r="O212" i="6"/>
  <c r="P212" i="6"/>
  <c r="E213" i="6"/>
  <c r="F213" i="6"/>
  <c r="J213" i="6"/>
  <c r="K213" i="6"/>
  <c r="O213" i="6"/>
  <c r="P213" i="6"/>
  <c r="E214" i="6"/>
  <c r="F214" i="6"/>
  <c r="J214" i="6"/>
  <c r="K214" i="6"/>
  <c r="O214" i="6"/>
  <c r="P214" i="6"/>
  <c r="E215" i="6"/>
  <c r="F215" i="6"/>
  <c r="J215" i="6"/>
  <c r="K215" i="6"/>
  <c r="O215" i="6"/>
  <c r="P215" i="6"/>
  <c r="E216" i="6"/>
  <c r="F216" i="6"/>
  <c r="J216" i="6"/>
  <c r="K216" i="6"/>
  <c r="O216" i="6"/>
  <c r="P216" i="6"/>
  <c r="E217" i="6"/>
  <c r="F217" i="6"/>
  <c r="J217" i="6"/>
  <c r="K217" i="6"/>
  <c r="O217" i="6"/>
  <c r="P217" i="6"/>
  <c r="E218" i="6"/>
  <c r="F218" i="6"/>
  <c r="J218" i="6"/>
  <c r="K218" i="6"/>
  <c r="O218" i="6"/>
  <c r="P218" i="6"/>
  <c r="N251" i="6"/>
  <c r="N252" i="6"/>
  <c r="I251" i="6"/>
  <c r="I252" i="6"/>
  <c r="D251" i="6"/>
  <c r="D252" i="6"/>
  <c r="AC51" i="6"/>
  <c r="P211" i="6"/>
  <c r="O251" i="6"/>
  <c r="K211" i="6"/>
  <c r="J251" i="6"/>
  <c r="F211" i="6"/>
  <c r="E251" i="6"/>
  <c r="AH64" i="12"/>
  <c r="AC52" i="6"/>
  <c r="AC53" i="6"/>
  <c r="G53" i="6"/>
  <c r="G54" i="6"/>
  <c r="G55" i="6"/>
  <c r="AC55" i="6"/>
  <c r="B93" i="11"/>
  <c r="BI54" i="11"/>
  <c r="B92" i="11"/>
  <c r="BI53" i="11"/>
  <c r="AH65" i="12"/>
  <c r="F251" i="6"/>
  <c r="E252" i="6"/>
  <c r="F252" i="6"/>
  <c r="C91" i="12"/>
  <c r="K251" i="6"/>
  <c r="J252" i="6"/>
  <c r="K252" i="6"/>
  <c r="P251" i="6"/>
  <c r="O252" i="6"/>
  <c r="P252" i="6"/>
  <c r="B91" i="11"/>
  <c r="BI52" i="11"/>
  <c r="G57" i="6"/>
  <c r="E200" i="6"/>
  <c r="E84" i="2"/>
  <c r="AH66" i="12"/>
  <c r="E91" i="2"/>
  <c r="E95" i="2"/>
  <c r="E92" i="2"/>
  <c r="E96" i="2"/>
  <c r="D57" i="6"/>
  <c r="E257" i="6"/>
  <c r="J257" i="6"/>
  <c r="O257" i="6"/>
  <c r="E258" i="6"/>
  <c r="F258" i="6"/>
  <c r="J258" i="6"/>
  <c r="K258" i="6"/>
  <c r="O258" i="6"/>
  <c r="P258" i="6"/>
  <c r="E259" i="6"/>
  <c r="F259" i="6"/>
  <c r="J259" i="6"/>
  <c r="K259" i="6"/>
  <c r="O259" i="6"/>
  <c r="P259" i="6"/>
  <c r="E260" i="6"/>
  <c r="F260" i="6"/>
  <c r="J260" i="6"/>
  <c r="K260" i="6"/>
  <c r="O260" i="6"/>
  <c r="P260" i="6"/>
  <c r="E261" i="6"/>
  <c r="F261" i="6"/>
  <c r="J261" i="6"/>
  <c r="K261" i="6"/>
  <c r="O261" i="6"/>
  <c r="P261" i="6"/>
  <c r="E262" i="6"/>
  <c r="F262" i="6"/>
  <c r="J262" i="6"/>
  <c r="K262" i="6"/>
  <c r="O262" i="6"/>
  <c r="P262" i="6"/>
  <c r="E263" i="6"/>
  <c r="F263" i="6"/>
  <c r="J263" i="6"/>
  <c r="K263" i="6"/>
  <c r="O263" i="6"/>
  <c r="P263" i="6"/>
  <c r="E264" i="6"/>
  <c r="F264" i="6"/>
  <c r="J264" i="6"/>
  <c r="K264" i="6"/>
  <c r="O264" i="6"/>
  <c r="P264" i="6"/>
  <c r="E265" i="6"/>
  <c r="F265" i="6"/>
  <c r="J265" i="6"/>
  <c r="K265" i="6"/>
  <c r="O265" i="6"/>
  <c r="P265" i="6"/>
  <c r="E266" i="6"/>
  <c r="F266" i="6"/>
  <c r="J266" i="6"/>
  <c r="K266" i="6"/>
  <c r="O266" i="6"/>
  <c r="P266" i="6"/>
  <c r="E267" i="6"/>
  <c r="F267" i="6"/>
  <c r="E268" i="6"/>
  <c r="F268" i="6"/>
  <c r="E269" i="6"/>
  <c r="F269" i="6"/>
  <c r="E270" i="6"/>
  <c r="F270" i="6"/>
  <c r="E271" i="6"/>
  <c r="F271" i="6"/>
  <c r="E272" i="6"/>
  <c r="F272" i="6"/>
  <c r="E273" i="6"/>
  <c r="F273" i="6"/>
  <c r="E274" i="6"/>
  <c r="F274" i="6"/>
  <c r="E275" i="6"/>
  <c r="F275" i="6"/>
  <c r="E276" i="6"/>
  <c r="F276" i="6"/>
  <c r="E277" i="6"/>
  <c r="F277" i="6"/>
  <c r="E278" i="6"/>
  <c r="F278" i="6"/>
  <c r="E279" i="6"/>
  <c r="F279" i="6"/>
  <c r="E280" i="6"/>
  <c r="F280" i="6"/>
  <c r="E281" i="6"/>
  <c r="F281" i="6"/>
  <c r="E282" i="6"/>
  <c r="F282" i="6"/>
  <c r="E283" i="6"/>
  <c r="F283" i="6"/>
  <c r="E284" i="6"/>
  <c r="F284" i="6"/>
  <c r="E285" i="6"/>
  <c r="F285" i="6"/>
  <c r="E286" i="6"/>
  <c r="F286" i="6"/>
  <c r="E287" i="6"/>
  <c r="F287" i="6"/>
  <c r="E288" i="6"/>
  <c r="F288" i="6"/>
  <c r="E289" i="6"/>
  <c r="F289" i="6"/>
  <c r="E290" i="6"/>
  <c r="F290" i="6"/>
  <c r="E291" i="6"/>
  <c r="F291" i="6"/>
  <c r="E292" i="6"/>
  <c r="F292" i="6"/>
  <c r="E293" i="6"/>
  <c r="F293" i="6"/>
  <c r="E294" i="6"/>
  <c r="F294" i="6"/>
  <c r="E295" i="6"/>
  <c r="F295" i="6"/>
  <c r="E296" i="6"/>
  <c r="F296" i="6"/>
  <c r="G48" i="2"/>
  <c r="E74" i="2"/>
  <c r="E75" i="2"/>
  <c r="E76" i="2"/>
  <c r="E82" i="2"/>
  <c r="E77" i="2"/>
  <c r="E68" i="2"/>
  <c r="E67" i="2"/>
  <c r="E69" i="2"/>
  <c r="E64" i="2"/>
  <c r="E63" i="2"/>
  <c r="E58" i="2"/>
  <c r="E57" i="2"/>
  <c r="E56" i="2"/>
  <c r="E55" i="2"/>
  <c r="E59" i="2"/>
  <c r="E62" i="2"/>
  <c r="E65" i="2"/>
  <c r="E106" i="2"/>
  <c r="E78" i="2"/>
  <c r="E81" i="2"/>
  <c r="E83" i="2"/>
  <c r="E85" i="2"/>
  <c r="E100" i="2"/>
  <c r="E99" i="2"/>
  <c r="E102" i="2"/>
  <c r="E101" i="2"/>
  <c r="B95" i="11"/>
  <c r="BI56" i="11"/>
  <c r="V84" i="6"/>
  <c r="E103" i="2"/>
  <c r="E79" i="2"/>
  <c r="D104" i="6"/>
  <c r="D124" i="2"/>
  <c r="E97" i="2"/>
  <c r="E93" i="2"/>
  <c r="E70" i="2"/>
  <c r="E86" i="2"/>
  <c r="AC100" i="6"/>
  <c r="P145" i="2"/>
  <c r="D123" i="6"/>
  <c r="P257" i="6"/>
  <c r="O297" i="6"/>
  <c r="K257" i="6"/>
  <c r="J297" i="6"/>
  <c r="F257" i="6"/>
  <c r="E297" i="6"/>
  <c r="AC57" i="6"/>
  <c r="C15" i="11"/>
  <c r="D119" i="6"/>
  <c r="J103" i="6"/>
  <c r="K103" i="6"/>
  <c r="L103" i="6"/>
  <c r="N103" i="6"/>
  <c r="O103" i="6"/>
  <c r="P103" i="6"/>
  <c r="R103" i="6"/>
  <c r="S103" i="6"/>
  <c r="T103" i="6"/>
  <c r="I102" i="6"/>
  <c r="J102" i="6"/>
  <c r="K102" i="6"/>
  <c r="L102" i="6"/>
  <c r="M102" i="6"/>
  <c r="N102" i="6"/>
  <c r="O102" i="6"/>
  <c r="P102" i="6"/>
  <c r="Q102" i="6"/>
  <c r="R102" i="6"/>
  <c r="S102" i="6"/>
  <c r="T102" i="6"/>
  <c r="I101" i="6"/>
  <c r="J101" i="6"/>
  <c r="K101" i="6"/>
  <c r="L101" i="6"/>
  <c r="M101" i="6"/>
  <c r="N101" i="6"/>
  <c r="O101" i="6"/>
  <c r="P101" i="6"/>
  <c r="Q101" i="6"/>
  <c r="R101" i="6"/>
  <c r="S101" i="6"/>
  <c r="T101" i="6"/>
  <c r="I100" i="6"/>
  <c r="J100" i="6"/>
  <c r="K100" i="6"/>
  <c r="L100" i="6"/>
  <c r="M100" i="6"/>
  <c r="N100" i="6"/>
  <c r="O100" i="6"/>
  <c r="P100" i="6"/>
  <c r="Q100" i="6"/>
  <c r="R100" i="6"/>
  <c r="S100" i="6"/>
  <c r="T100" i="6"/>
  <c r="I99" i="6"/>
  <c r="J99" i="6"/>
  <c r="K99" i="6"/>
  <c r="L99" i="6"/>
  <c r="M99" i="6"/>
  <c r="N99" i="6"/>
  <c r="O99" i="6"/>
  <c r="P99" i="6"/>
  <c r="Q99" i="6"/>
  <c r="R99" i="6"/>
  <c r="S99" i="6"/>
  <c r="T99" i="6"/>
  <c r="I98" i="6"/>
  <c r="J98" i="6"/>
  <c r="K98" i="6"/>
  <c r="L98" i="6"/>
  <c r="M98" i="6"/>
  <c r="N98" i="6"/>
  <c r="O98" i="6"/>
  <c r="P98" i="6"/>
  <c r="Q98" i="6"/>
  <c r="R98" i="6"/>
  <c r="S98" i="6"/>
  <c r="T98" i="6"/>
  <c r="I97" i="6"/>
  <c r="J97" i="6"/>
  <c r="K97" i="6"/>
  <c r="L97" i="6"/>
  <c r="M97" i="6"/>
  <c r="N97" i="6"/>
  <c r="O97" i="6"/>
  <c r="P97" i="6"/>
  <c r="Q97" i="6"/>
  <c r="R97" i="6"/>
  <c r="S97" i="6"/>
  <c r="T97" i="6"/>
  <c r="I96" i="6"/>
  <c r="J96" i="6"/>
  <c r="K96" i="6"/>
  <c r="L96" i="6"/>
  <c r="M96" i="6"/>
  <c r="N96" i="6"/>
  <c r="O96" i="6"/>
  <c r="P96" i="6"/>
  <c r="Q96" i="6"/>
  <c r="R96" i="6"/>
  <c r="S96" i="6"/>
  <c r="T96" i="6"/>
  <c r="I95" i="6"/>
  <c r="J95" i="6"/>
  <c r="K95" i="6"/>
  <c r="L95" i="6"/>
  <c r="M95" i="6"/>
  <c r="N95" i="6"/>
  <c r="O95" i="6"/>
  <c r="P95" i="6"/>
  <c r="Q95" i="6"/>
  <c r="R95" i="6"/>
  <c r="S95" i="6"/>
  <c r="T95" i="6"/>
  <c r="I94" i="6"/>
  <c r="J94" i="6"/>
  <c r="K94" i="6"/>
  <c r="L94" i="6"/>
  <c r="M94" i="6"/>
  <c r="N94" i="6"/>
  <c r="O94" i="6"/>
  <c r="P94" i="6"/>
  <c r="Q94" i="6"/>
  <c r="R94" i="6"/>
  <c r="S94" i="6"/>
  <c r="T94" i="6"/>
  <c r="I93" i="6"/>
  <c r="I84" i="6"/>
  <c r="J93" i="6"/>
  <c r="K93" i="6"/>
  <c r="L93" i="6"/>
  <c r="M93" i="6"/>
  <c r="M84" i="6"/>
  <c r="N93" i="6"/>
  <c r="N84" i="6"/>
  <c r="O93" i="6"/>
  <c r="P93" i="6"/>
  <c r="Q93" i="6"/>
  <c r="Q84" i="6"/>
  <c r="R93" i="6"/>
  <c r="R84" i="6"/>
  <c r="S93" i="6"/>
  <c r="T93" i="6"/>
  <c r="J92" i="6"/>
  <c r="K92" i="6"/>
  <c r="N92" i="6"/>
  <c r="O92" i="6"/>
  <c r="Q92" i="6"/>
  <c r="AJ89" i="6"/>
  <c r="R92" i="6"/>
  <c r="S92" i="6"/>
  <c r="T92" i="6"/>
  <c r="I91" i="6"/>
  <c r="J91" i="6"/>
  <c r="K91" i="6"/>
  <c r="L91" i="6"/>
  <c r="M91" i="6"/>
  <c r="N91" i="6"/>
  <c r="O91" i="6"/>
  <c r="P91" i="6"/>
  <c r="Q91" i="6"/>
  <c r="R91" i="6"/>
  <c r="S91" i="6"/>
  <c r="T91" i="6"/>
  <c r="AH67" i="12"/>
  <c r="F104" i="6"/>
  <c r="C16" i="11"/>
  <c r="BD16" i="11"/>
  <c r="X91" i="6"/>
  <c r="X92" i="6"/>
  <c r="X93" i="6"/>
  <c r="X94" i="6"/>
  <c r="X95" i="6"/>
  <c r="X96" i="6"/>
  <c r="X97" i="6"/>
  <c r="X98" i="6"/>
  <c r="X99" i="6"/>
  <c r="X100" i="6"/>
  <c r="X101" i="6"/>
  <c r="X102" i="6"/>
  <c r="X103" i="6"/>
  <c r="E104" i="2"/>
  <c r="G119" i="6"/>
  <c r="AC66" i="6"/>
  <c r="B106" i="11"/>
  <c r="BI67" i="11"/>
  <c r="AC65" i="6"/>
  <c r="B105" i="11"/>
  <c r="BI66" i="11"/>
  <c r="AC64" i="6"/>
  <c r="E87" i="2"/>
  <c r="I90" i="6"/>
  <c r="J90" i="6"/>
  <c r="J104" i="6"/>
  <c r="K90" i="6"/>
  <c r="M90" i="6"/>
  <c r="N90" i="6"/>
  <c r="N104" i="6"/>
  <c r="N107" i="6"/>
  <c r="O90" i="6"/>
  <c r="Q90" i="6"/>
  <c r="Q104" i="6"/>
  <c r="R90" i="6"/>
  <c r="R104" i="6"/>
  <c r="R107" i="6"/>
  <c r="S90" i="6"/>
  <c r="G104" i="6"/>
  <c r="AH68" i="12"/>
  <c r="D74" i="12"/>
  <c r="I92" i="6"/>
  <c r="AH89" i="6"/>
  <c r="M92" i="6"/>
  <c r="P92" i="6"/>
  <c r="L92" i="6"/>
  <c r="Q82" i="6"/>
  <c r="AJ90" i="6"/>
  <c r="AJ91" i="6"/>
  <c r="D34" i="11"/>
  <c r="BE34" i="11"/>
  <c r="M82" i="6"/>
  <c r="AI90" i="6"/>
  <c r="C33" i="11"/>
  <c r="BD33" i="11"/>
  <c r="I82" i="6"/>
  <c r="AH90" i="6"/>
  <c r="B33" i="11"/>
  <c r="BC33" i="11"/>
  <c r="C12" i="11"/>
  <c r="BD12" i="11"/>
  <c r="BD15" i="11"/>
  <c r="B97" i="11"/>
  <c r="BI58" i="11"/>
  <c r="F297" i="6"/>
  <c r="E298" i="6"/>
  <c r="F298" i="6"/>
  <c r="E182" i="6"/>
  <c r="K297" i="6"/>
  <c r="J298" i="6"/>
  <c r="K298" i="6"/>
  <c r="D131" i="6"/>
  <c r="P297" i="6"/>
  <c r="O298" i="6"/>
  <c r="P298" i="6"/>
  <c r="D132" i="6"/>
  <c r="G123" i="6"/>
  <c r="AC70" i="6"/>
  <c r="AC71" i="6"/>
  <c r="AC75" i="6"/>
  <c r="B115" i="11"/>
  <c r="BI76" i="11"/>
  <c r="AC102" i="6"/>
  <c r="B141" i="11"/>
  <c r="BI102" i="11"/>
  <c r="V82" i="6"/>
  <c r="U107" i="6"/>
  <c r="X90" i="6"/>
  <c r="X104" i="6"/>
  <c r="X107" i="6"/>
  <c r="E105" i="2"/>
  <c r="E107" i="2"/>
  <c r="C22" i="11"/>
  <c r="D182" i="6"/>
  <c r="M104" i="6"/>
  <c r="I104" i="6"/>
  <c r="BD22" i="11"/>
  <c r="AC80" i="6"/>
  <c r="B143" i="11"/>
  <c r="BI104" i="11"/>
  <c r="B111" i="11"/>
  <c r="BI72" i="11"/>
  <c r="B110" i="11"/>
  <c r="BI71" i="11"/>
  <c r="AC79" i="6"/>
  <c r="G132" i="6"/>
  <c r="AC78" i="6"/>
  <c r="G131" i="6"/>
  <c r="C24" i="11"/>
  <c r="BD24" i="11"/>
  <c r="AC89" i="6"/>
  <c r="B130" i="11"/>
  <c r="BI91" i="11"/>
  <c r="D130" i="6"/>
  <c r="BI8" i="11"/>
  <c r="N82" i="6"/>
  <c r="AI89" i="6"/>
  <c r="AH91" i="6"/>
  <c r="B34" i="11"/>
  <c r="BC34" i="11"/>
  <c r="B32" i="11"/>
  <c r="BC32" i="11"/>
  <c r="AH69" i="12"/>
  <c r="T90" i="6"/>
  <c r="T104" i="6"/>
  <c r="T107" i="6"/>
  <c r="S104" i="6"/>
  <c r="S107" i="6"/>
  <c r="AJ93" i="6"/>
  <c r="R82" i="6"/>
  <c r="Q83" i="6"/>
  <c r="AJ92" i="6"/>
  <c r="D35" i="11"/>
  <c r="BE35" i="11"/>
  <c r="Q107" i="6"/>
  <c r="P90" i="6"/>
  <c r="P104" i="6"/>
  <c r="P107" i="6"/>
  <c r="O104" i="6"/>
  <c r="O107" i="6"/>
  <c r="AI93" i="6"/>
  <c r="M83" i="6"/>
  <c r="AI92" i="6"/>
  <c r="C35" i="11"/>
  <c r="BD35" i="11"/>
  <c r="M107" i="6"/>
  <c r="L90" i="6"/>
  <c r="L104" i="6"/>
  <c r="K104" i="6"/>
  <c r="AH93" i="6"/>
  <c r="I83" i="6"/>
  <c r="AH92" i="6"/>
  <c r="B35" i="11"/>
  <c r="BC35" i="11"/>
  <c r="D116" i="2"/>
  <c r="P112" i="2"/>
  <c r="C74" i="12"/>
  <c r="C80" i="12"/>
  <c r="AH94" i="6"/>
  <c r="B37" i="11"/>
  <c r="B36" i="11"/>
  <c r="BC36" i="11"/>
  <c r="C36" i="11"/>
  <c r="BD36" i="11"/>
  <c r="AJ94" i="6"/>
  <c r="D37" i="11"/>
  <c r="BE37" i="11"/>
  <c r="D36" i="11"/>
  <c r="BE36" i="11"/>
  <c r="AI91" i="6"/>
  <c r="C34" i="11"/>
  <c r="BD34" i="11"/>
  <c r="C32" i="11"/>
  <c r="BD32" i="11"/>
  <c r="AC77" i="6"/>
  <c r="G130" i="6"/>
  <c r="B118" i="11"/>
  <c r="BI79" i="11"/>
  <c r="B119" i="11"/>
  <c r="BI80" i="11"/>
  <c r="C25" i="11"/>
  <c r="BD25" i="11"/>
  <c r="B120" i="11"/>
  <c r="BI81" i="11"/>
  <c r="C23" i="11"/>
  <c r="BD23" i="11"/>
  <c r="H135" i="6"/>
  <c r="B116" i="2"/>
  <c r="P116" i="2"/>
  <c r="I78" i="6"/>
  <c r="C83" i="12"/>
  <c r="E83" i="12"/>
  <c r="Z49" i="2"/>
  <c r="B117" i="11"/>
  <c r="BI78" i="11"/>
  <c r="D120" i="6"/>
  <c r="AC67" i="6"/>
  <c r="B107" i="11"/>
  <c r="BI68" i="11"/>
  <c r="AI94" i="6"/>
  <c r="C37" i="11"/>
  <c r="BD37" i="11"/>
  <c r="Z33" i="11"/>
  <c r="Z35" i="11"/>
  <c r="BC37" i="11"/>
  <c r="B49" i="2"/>
  <c r="B118" i="2"/>
  <c r="C122" i="2"/>
  <c r="AC63" i="6"/>
  <c r="D122" i="6"/>
  <c r="D125" i="6"/>
  <c r="D126" i="6"/>
  <c r="I79" i="6"/>
  <c r="P118" i="2"/>
  <c r="H78" i="6"/>
  <c r="G120" i="6"/>
  <c r="I80" i="6"/>
  <c r="D118" i="2"/>
  <c r="B121" i="2"/>
  <c r="P121" i="2"/>
  <c r="AC69" i="6"/>
  <c r="G122" i="6"/>
  <c r="G125" i="6"/>
  <c r="G126" i="6"/>
  <c r="B103" i="11"/>
  <c r="BI64" i="11"/>
  <c r="B104" i="11"/>
  <c r="BI65" i="11"/>
  <c r="L78" i="6"/>
  <c r="H79" i="6"/>
  <c r="D121" i="2"/>
  <c r="B122" i="2"/>
  <c r="D122" i="2"/>
  <c r="AC73" i="6"/>
  <c r="H159" i="6"/>
  <c r="B109" i="11"/>
  <c r="BI70" i="11"/>
  <c r="AH74" i="12"/>
  <c r="H80" i="6"/>
  <c r="D161" i="6"/>
  <c r="D164" i="6"/>
  <c r="L79" i="6"/>
  <c r="C125" i="2"/>
  <c r="AC72" i="6"/>
  <c r="B113" i="11"/>
  <c r="BI74" i="11"/>
  <c r="B112" i="11"/>
  <c r="BI73" i="11"/>
  <c r="M181" i="6"/>
  <c r="N181" i="6"/>
  <c r="O181" i="6"/>
  <c r="Q181" i="6"/>
  <c r="R181" i="6"/>
  <c r="S181" i="6"/>
  <c r="T181" i="6"/>
  <c r="T202" i="6"/>
  <c r="U181" i="6"/>
  <c r="V181" i="6"/>
  <c r="W181" i="6"/>
  <c r="M180" i="6"/>
  <c r="N180" i="6"/>
  <c r="O180" i="6"/>
  <c r="Q180" i="6"/>
  <c r="R180" i="6"/>
  <c r="S180" i="6"/>
  <c r="T180" i="6"/>
  <c r="U180" i="6"/>
  <c r="V180" i="6"/>
  <c r="W180" i="6"/>
  <c r="M179" i="6"/>
  <c r="N179" i="6"/>
  <c r="O179" i="6"/>
  <c r="Q179" i="6"/>
  <c r="R179" i="6"/>
  <c r="S179" i="6"/>
  <c r="T179" i="6"/>
  <c r="U179" i="6"/>
  <c r="V179" i="6"/>
  <c r="W179" i="6"/>
  <c r="M178" i="6"/>
  <c r="N178" i="6"/>
  <c r="O178" i="6"/>
  <c r="Q178" i="6"/>
  <c r="R178" i="6"/>
  <c r="S178" i="6"/>
  <c r="T178" i="6"/>
  <c r="U178" i="6"/>
  <c r="V178" i="6"/>
  <c r="W178" i="6"/>
  <c r="M177" i="6"/>
  <c r="N177" i="6"/>
  <c r="O177" i="6"/>
  <c r="Q177" i="6"/>
  <c r="R177" i="6"/>
  <c r="S177" i="6"/>
  <c r="T177" i="6"/>
  <c r="U177" i="6"/>
  <c r="V177" i="6"/>
  <c r="W177" i="6"/>
  <c r="M176" i="6"/>
  <c r="N176" i="6"/>
  <c r="O176" i="6"/>
  <c r="Q176" i="6"/>
  <c r="R176" i="6"/>
  <c r="S176" i="6"/>
  <c r="T176" i="6"/>
  <c r="U176" i="6"/>
  <c r="V176" i="6"/>
  <c r="W176" i="6"/>
  <c r="M175" i="6"/>
  <c r="N175" i="6"/>
  <c r="O175" i="6"/>
  <c r="Q175" i="6"/>
  <c r="R175" i="6"/>
  <c r="S175" i="6"/>
  <c r="T175" i="6"/>
  <c r="U175" i="6"/>
  <c r="V175" i="6"/>
  <c r="W175" i="6"/>
  <c r="M174" i="6"/>
  <c r="N174" i="6"/>
  <c r="O174" i="6"/>
  <c r="Q174" i="6"/>
  <c r="R174" i="6"/>
  <c r="S174" i="6"/>
  <c r="T174" i="6"/>
  <c r="U174" i="6"/>
  <c r="V174" i="6"/>
  <c r="W174" i="6"/>
  <c r="M173" i="6"/>
  <c r="N173" i="6"/>
  <c r="O173" i="6"/>
  <c r="Q173" i="6"/>
  <c r="R173" i="6"/>
  <c r="S173" i="6"/>
  <c r="T173" i="6"/>
  <c r="U173" i="6"/>
  <c r="V173" i="6"/>
  <c r="W173" i="6"/>
  <c r="M172" i="6"/>
  <c r="N172" i="6"/>
  <c r="O172" i="6"/>
  <c r="Q172" i="6"/>
  <c r="R172" i="6"/>
  <c r="S172" i="6"/>
  <c r="T172" i="6"/>
  <c r="U172" i="6"/>
  <c r="V172" i="6"/>
  <c r="W172" i="6"/>
  <c r="M171" i="6"/>
  <c r="N171" i="6"/>
  <c r="O171" i="6"/>
  <c r="Q171" i="6"/>
  <c r="R171" i="6"/>
  <c r="S171" i="6"/>
  <c r="T171" i="6"/>
  <c r="U171" i="6"/>
  <c r="V171" i="6"/>
  <c r="W171" i="6"/>
  <c r="M170" i="6"/>
  <c r="N170" i="6"/>
  <c r="O170" i="6"/>
  <c r="Q170" i="6"/>
  <c r="R170" i="6"/>
  <c r="S170" i="6"/>
  <c r="T170" i="6"/>
  <c r="U170" i="6"/>
  <c r="V170" i="6"/>
  <c r="W170" i="6"/>
  <c r="M169" i="6"/>
  <c r="N169" i="6"/>
  <c r="O169" i="6"/>
  <c r="Q169" i="6"/>
  <c r="R169" i="6"/>
  <c r="S169" i="6"/>
  <c r="T169" i="6"/>
  <c r="U169" i="6"/>
  <c r="V169" i="6"/>
  <c r="W169" i="6"/>
  <c r="F182" i="6"/>
  <c r="Y182" i="6"/>
  <c r="Y184" i="6"/>
  <c r="AA169" i="6"/>
  <c r="AA170" i="6"/>
  <c r="AA171" i="6"/>
  <c r="AA172" i="6"/>
  <c r="AA173" i="6"/>
  <c r="AA174" i="6"/>
  <c r="AA175" i="6"/>
  <c r="AA176" i="6"/>
  <c r="AA177" i="6"/>
  <c r="AA178" i="6"/>
  <c r="AA179" i="6"/>
  <c r="AA180" i="6"/>
  <c r="AA181" i="6"/>
  <c r="C21" i="11"/>
  <c r="BD21" i="11"/>
  <c r="M168" i="6"/>
  <c r="M182" i="6"/>
  <c r="N168" i="6"/>
  <c r="Q168" i="6"/>
  <c r="Q182" i="6"/>
  <c r="Q184" i="6"/>
  <c r="R168" i="6"/>
  <c r="T168" i="6"/>
  <c r="T182" i="6"/>
  <c r="T184" i="6"/>
  <c r="AJ97" i="6"/>
  <c r="U168" i="6"/>
  <c r="U182" i="6"/>
  <c r="U184" i="6"/>
  <c r="V168" i="6"/>
  <c r="P182" i="6"/>
  <c r="Z182" i="6"/>
  <c r="AA168" i="6"/>
  <c r="BI9" i="11"/>
  <c r="P184" i="6"/>
  <c r="AI97" i="6"/>
  <c r="P203" i="6"/>
  <c r="S203" i="6"/>
  <c r="W168" i="6"/>
  <c r="V182" i="6"/>
  <c r="D42" i="11"/>
  <c r="BE42" i="11"/>
  <c r="S168" i="6"/>
  <c r="R182" i="6"/>
  <c r="O168" i="6"/>
  <c r="N182" i="6"/>
  <c r="Z184" i="6"/>
  <c r="AA182" i="6"/>
  <c r="AA184" i="6"/>
  <c r="AA203" i="6"/>
  <c r="S182" i="6"/>
  <c r="S184" i="6"/>
  <c r="R184" i="6"/>
  <c r="W182" i="6"/>
  <c r="W184" i="6"/>
  <c r="V184" i="6"/>
  <c r="C42" i="11"/>
  <c r="BD42" i="11"/>
  <c r="D123" i="2"/>
  <c r="D125" i="2"/>
  <c r="B125" i="2"/>
  <c r="E123" i="2"/>
  <c r="E118" i="2"/>
  <c r="L143" i="6"/>
  <c r="L189" i="6"/>
  <c r="D200" i="6"/>
  <c r="G129" i="6"/>
  <c r="G134" i="6"/>
  <c r="G135" i="6"/>
  <c r="C19" i="11"/>
  <c r="BD19" i="11"/>
  <c r="AC74" i="6"/>
  <c r="B114" i="11"/>
  <c r="BI75" i="11"/>
  <c r="D135" i="6"/>
  <c r="D129" i="6"/>
  <c r="N143" i="6"/>
  <c r="V143" i="6"/>
  <c r="U143" i="6"/>
  <c r="T143" i="6"/>
  <c r="R143" i="6"/>
  <c r="Q143" i="6"/>
  <c r="P143" i="6"/>
  <c r="M143" i="6"/>
  <c r="E124" i="2"/>
  <c r="G49" i="2"/>
  <c r="E120" i="2"/>
  <c r="E119" i="2"/>
  <c r="E121" i="2"/>
  <c r="E113" i="2"/>
  <c r="E114" i="2"/>
  <c r="E115" i="2"/>
  <c r="E116" i="2"/>
  <c r="E112" i="2"/>
  <c r="X157" i="6"/>
  <c r="Y157" i="6"/>
  <c r="AA143" i="6"/>
  <c r="Z157" i="6"/>
  <c r="E122" i="2"/>
  <c r="E125" i="2"/>
  <c r="M189" i="6"/>
  <c r="M156" i="6"/>
  <c r="M202" i="6"/>
  <c r="Q156" i="6"/>
  <c r="Q202" i="6"/>
  <c r="U156" i="6"/>
  <c r="U202" i="6"/>
  <c r="N156" i="6"/>
  <c r="R156" i="6"/>
  <c r="V156" i="6"/>
  <c r="L155" i="6"/>
  <c r="L201" i="6"/>
  <c r="M155" i="6"/>
  <c r="M201" i="6"/>
  <c r="P155" i="6"/>
  <c r="P201" i="6"/>
  <c r="Q155" i="6"/>
  <c r="Q201" i="6"/>
  <c r="T155" i="6"/>
  <c r="T201" i="6"/>
  <c r="U155" i="6"/>
  <c r="U201" i="6"/>
  <c r="N155" i="6"/>
  <c r="R155" i="6"/>
  <c r="V155" i="6"/>
  <c r="L154" i="6"/>
  <c r="L200" i="6"/>
  <c r="M154" i="6"/>
  <c r="M200" i="6"/>
  <c r="P154" i="6"/>
  <c r="P200" i="6"/>
  <c r="Q154" i="6"/>
  <c r="Q200" i="6"/>
  <c r="T154" i="6"/>
  <c r="T200" i="6"/>
  <c r="U154" i="6"/>
  <c r="U200" i="6"/>
  <c r="N154" i="6"/>
  <c r="R154" i="6"/>
  <c r="V154" i="6"/>
  <c r="L153" i="6"/>
  <c r="L199" i="6"/>
  <c r="M153" i="6"/>
  <c r="M199" i="6"/>
  <c r="P153" i="6"/>
  <c r="P199" i="6"/>
  <c r="Q153" i="6"/>
  <c r="Q199" i="6"/>
  <c r="T153" i="6"/>
  <c r="T199" i="6"/>
  <c r="U153" i="6"/>
  <c r="U199" i="6"/>
  <c r="N153" i="6"/>
  <c r="R153" i="6"/>
  <c r="V153" i="6"/>
  <c r="L152" i="6"/>
  <c r="L198" i="6"/>
  <c r="M152" i="6"/>
  <c r="M198" i="6"/>
  <c r="P152" i="6"/>
  <c r="P198" i="6"/>
  <c r="Q152" i="6"/>
  <c r="Q198" i="6"/>
  <c r="T152" i="6"/>
  <c r="T198" i="6"/>
  <c r="U152" i="6"/>
  <c r="U198" i="6"/>
  <c r="N152" i="6"/>
  <c r="R152" i="6"/>
  <c r="V152" i="6"/>
  <c r="L151" i="6"/>
  <c r="L197" i="6"/>
  <c r="M151" i="6"/>
  <c r="M197" i="6"/>
  <c r="P151" i="6"/>
  <c r="P197" i="6"/>
  <c r="Q151" i="6"/>
  <c r="Q197" i="6"/>
  <c r="T151" i="6"/>
  <c r="T197" i="6"/>
  <c r="U151" i="6"/>
  <c r="U197" i="6"/>
  <c r="N151" i="6"/>
  <c r="R151" i="6"/>
  <c r="V151" i="6"/>
  <c r="L150" i="6"/>
  <c r="L196" i="6"/>
  <c r="M150" i="6"/>
  <c r="M196" i="6"/>
  <c r="P150" i="6"/>
  <c r="P196" i="6"/>
  <c r="Q150" i="6"/>
  <c r="Q196" i="6"/>
  <c r="T150" i="6"/>
  <c r="T196" i="6"/>
  <c r="U150" i="6"/>
  <c r="U196" i="6"/>
  <c r="N150" i="6"/>
  <c r="R150" i="6"/>
  <c r="V150" i="6"/>
  <c r="L149" i="6"/>
  <c r="L195" i="6"/>
  <c r="M149" i="6"/>
  <c r="M195" i="6"/>
  <c r="P149" i="6"/>
  <c r="P195" i="6"/>
  <c r="Q149" i="6"/>
  <c r="Q195" i="6"/>
  <c r="T149" i="6"/>
  <c r="T195" i="6"/>
  <c r="U149" i="6"/>
  <c r="U195" i="6"/>
  <c r="N149" i="6"/>
  <c r="R149" i="6"/>
  <c r="V149" i="6"/>
  <c r="L148" i="6"/>
  <c r="L194" i="6"/>
  <c r="M148" i="6"/>
  <c r="M194" i="6"/>
  <c r="P148" i="6"/>
  <c r="P194" i="6"/>
  <c r="Q148" i="6"/>
  <c r="Q194" i="6"/>
  <c r="T148" i="6"/>
  <c r="T194" i="6"/>
  <c r="U148" i="6"/>
  <c r="U194" i="6"/>
  <c r="N148" i="6"/>
  <c r="R148" i="6"/>
  <c r="V148" i="6"/>
  <c r="P189" i="6"/>
  <c r="Q189" i="6"/>
  <c r="S143" i="6"/>
  <c r="R189" i="6"/>
  <c r="T189" i="6"/>
  <c r="U189" i="6"/>
  <c r="W143" i="6"/>
  <c r="V189" i="6"/>
  <c r="M144" i="6"/>
  <c r="M190" i="6"/>
  <c r="P144" i="6"/>
  <c r="P190" i="6"/>
  <c r="Q144" i="6"/>
  <c r="Q190" i="6"/>
  <c r="T144" i="6"/>
  <c r="T190" i="6"/>
  <c r="U144" i="6"/>
  <c r="U190" i="6"/>
  <c r="R144" i="6"/>
  <c r="V144" i="6"/>
  <c r="L144" i="6"/>
  <c r="N144" i="6"/>
  <c r="O143" i="6"/>
  <c r="N189" i="6"/>
  <c r="D134" i="6"/>
  <c r="E135" i="6"/>
  <c r="C20" i="11"/>
  <c r="BD20" i="11"/>
  <c r="AC76" i="6"/>
  <c r="D136" i="6"/>
  <c r="E136" i="6"/>
  <c r="C18" i="11"/>
  <c r="L147" i="6"/>
  <c r="L193" i="6"/>
  <c r="M147" i="6"/>
  <c r="M193" i="6"/>
  <c r="P147" i="6"/>
  <c r="P193" i="6"/>
  <c r="Q147" i="6"/>
  <c r="Q193" i="6"/>
  <c r="T147" i="6"/>
  <c r="T193" i="6"/>
  <c r="U147" i="6"/>
  <c r="U193" i="6"/>
  <c r="N147" i="6"/>
  <c r="R147" i="6"/>
  <c r="V147" i="6"/>
  <c r="L146" i="6"/>
  <c r="L192" i="6"/>
  <c r="M146" i="6"/>
  <c r="M192" i="6"/>
  <c r="P146" i="6"/>
  <c r="P192" i="6"/>
  <c r="Q146" i="6"/>
  <c r="Q192" i="6"/>
  <c r="T146" i="6"/>
  <c r="T192" i="6"/>
  <c r="U146" i="6"/>
  <c r="U192" i="6"/>
  <c r="N146" i="6"/>
  <c r="R146" i="6"/>
  <c r="V146" i="6"/>
  <c r="L145" i="6"/>
  <c r="L191" i="6"/>
  <c r="M145" i="6"/>
  <c r="M191" i="6"/>
  <c r="P145" i="6"/>
  <c r="P191" i="6"/>
  <c r="Q145" i="6"/>
  <c r="Q191" i="6"/>
  <c r="T145" i="6"/>
  <c r="T191" i="6"/>
  <c r="U145" i="6"/>
  <c r="U191" i="6"/>
  <c r="N145" i="6"/>
  <c r="R145" i="6"/>
  <c r="V145" i="6"/>
  <c r="D157" i="6"/>
  <c r="G157" i="6"/>
  <c r="H157" i="6"/>
  <c r="Z162" i="6"/>
  <c r="Z161" i="6"/>
  <c r="AA189" i="6"/>
  <c r="Y162" i="6"/>
  <c r="Y161" i="6"/>
  <c r="X162" i="6"/>
  <c r="X161" i="6"/>
  <c r="AA191" i="6"/>
  <c r="AA145" i="6"/>
  <c r="AA192" i="6"/>
  <c r="AA146" i="6"/>
  <c r="AA193" i="6"/>
  <c r="AA147" i="6"/>
  <c r="AA190" i="6"/>
  <c r="AA144" i="6"/>
  <c r="AA148" i="6"/>
  <c r="AA149" i="6"/>
  <c r="AA150" i="6"/>
  <c r="AA151" i="6"/>
  <c r="AA152" i="6"/>
  <c r="AA153" i="6"/>
  <c r="AA154" i="6"/>
  <c r="AA155" i="6"/>
  <c r="AA156" i="6"/>
  <c r="AA157" i="6"/>
  <c r="AA194" i="6"/>
  <c r="AA195" i="6"/>
  <c r="AA196" i="6"/>
  <c r="AA197" i="6"/>
  <c r="AA198" i="6"/>
  <c r="AA199" i="6"/>
  <c r="AA200" i="6"/>
  <c r="AA201" i="6"/>
  <c r="AA202" i="6"/>
  <c r="W145" i="6"/>
  <c r="V191" i="6"/>
  <c r="W191" i="6"/>
  <c r="S145" i="6"/>
  <c r="R191" i="6"/>
  <c r="S191" i="6"/>
  <c r="O145" i="6"/>
  <c r="N191" i="6"/>
  <c r="O191" i="6"/>
  <c r="W146" i="6"/>
  <c r="V192" i="6"/>
  <c r="W192" i="6"/>
  <c r="S146" i="6"/>
  <c r="R192" i="6"/>
  <c r="S192" i="6"/>
  <c r="O146" i="6"/>
  <c r="N192" i="6"/>
  <c r="O192" i="6"/>
  <c r="W147" i="6"/>
  <c r="V193" i="6"/>
  <c r="W193" i="6"/>
  <c r="S147" i="6"/>
  <c r="R193" i="6"/>
  <c r="S193" i="6"/>
  <c r="O147" i="6"/>
  <c r="N193" i="6"/>
  <c r="O193" i="6"/>
  <c r="C13" i="11"/>
  <c r="BD13" i="11"/>
  <c r="BD18" i="11"/>
  <c r="C17" i="11"/>
  <c r="BD17" i="11"/>
  <c r="B116" i="11"/>
  <c r="BI77" i="11"/>
  <c r="AC81" i="6"/>
  <c r="B121" i="11"/>
  <c r="BI82" i="11"/>
  <c r="O189" i="6"/>
  <c r="N157" i="6"/>
  <c r="N161" i="6"/>
  <c r="N162" i="6"/>
  <c r="O144" i="6"/>
  <c r="N190" i="6"/>
  <c r="L190" i="6"/>
  <c r="L157" i="6"/>
  <c r="L161" i="6"/>
  <c r="W144" i="6"/>
  <c r="V190" i="6"/>
  <c r="W190" i="6"/>
  <c r="S144" i="6"/>
  <c r="R190" i="6"/>
  <c r="S190" i="6"/>
  <c r="V157" i="6"/>
  <c r="W189" i="6"/>
  <c r="U157" i="6"/>
  <c r="U204" i="6"/>
  <c r="U205" i="6"/>
  <c r="T157" i="6"/>
  <c r="T204" i="6"/>
  <c r="T205" i="6"/>
  <c r="AJ98" i="6"/>
  <c r="R157" i="6"/>
  <c r="S189" i="6"/>
  <c r="Q157" i="6"/>
  <c r="Q204" i="6"/>
  <c r="Q205" i="6"/>
  <c r="P157" i="6"/>
  <c r="P204" i="6"/>
  <c r="P205" i="6"/>
  <c r="AI98" i="6"/>
  <c r="W148" i="6"/>
  <c r="V194" i="6"/>
  <c r="W194" i="6"/>
  <c r="S148" i="6"/>
  <c r="R194" i="6"/>
  <c r="S194" i="6"/>
  <c r="O148" i="6"/>
  <c r="N194" i="6"/>
  <c r="O194" i="6"/>
  <c r="W149" i="6"/>
  <c r="V195" i="6"/>
  <c r="W195" i="6"/>
  <c r="S149" i="6"/>
  <c r="R195" i="6"/>
  <c r="S195" i="6"/>
  <c r="O149" i="6"/>
  <c r="N195" i="6"/>
  <c r="O195" i="6"/>
  <c r="W150" i="6"/>
  <c r="V196" i="6"/>
  <c r="W196" i="6"/>
  <c r="S150" i="6"/>
  <c r="R196" i="6"/>
  <c r="S196" i="6"/>
  <c r="O150" i="6"/>
  <c r="N196" i="6"/>
  <c r="O196" i="6"/>
  <c r="W151" i="6"/>
  <c r="V197" i="6"/>
  <c r="W197" i="6"/>
  <c r="S151" i="6"/>
  <c r="R197" i="6"/>
  <c r="S197" i="6"/>
  <c r="O151" i="6"/>
  <c r="N197" i="6"/>
  <c r="O197" i="6"/>
  <c r="W152" i="6"/>
  <c r="V198" i="6"/>
  <c r="W198" i="6"/>
  <c r="S152" i="6"/>
  <c r="R198" i="6"/>
  <c r="S198" i="6"/>
  <c r="O152" i="6"/>
  <c r="N198" i="6"/>
  <c r="O198" i="6"/>
  <c r="W153" i="6"/>
  <c r="V199" i="6"/>
  <c r="W199" i="6"/>
  <c r="S153" i="6"/>
  <c r="R199" i="6"/>
  <c r="S199" i="6"/>
  <c r="O153" i="6"/>
  <c r="N199" i="6"/>
  <c r="O199" i="6"/>
  <c r="W154" i="6"/>
  <c r="V200" i="6"/>
  <c r="W200" i="6"/>
  <c r="S154" i="6"/>
  <c r="R200" i="6"/>
  <c r="S200" i="6"/>
  <c r="O154" i="6"/>
  <c r="N200" i="6"/>
  <c r="O200" i="6"/>
  <c r="W155" i="6"/>
  <c r="V201" i="6"/>
  <c r="W201" i="6"/>
  <c r="S155" i="6"/>
  <c r="R201" i="6"/>
  <c r="S201" i="6"/>
  <c r="O155" i="6"/>
  <c r="N201" i="6"/>
  <c r="O201" i="6"/>
  <c r="W156" i="6"/>
  <c r="V202" i="6"/>
  <c r="W202" i="6"/>
  <c r="S156" i="6"/>
  <c r="R202" i="6"/>
  <c r="S202" i="6"/>
  <c r="O156" i="6"/>
  <c r="N202" i="6"/>
  <c r="O202" i="6"/>
  <c r="M204" i="6"/>
  <c r="M157" i="6"/>
  <c r="M161" i="6"/>
  <c r="M162" i="6"/>
  <c r="AA204" i="6"/>
  <c r="AA205" i="6"/>
  <c r="AA161" i="6"/>
  <c r="AA162" i="6"/>
  <c r="S157" i="6"/>
  <c r="W157" i="6"/>
  <c r="O157" i="6"/>
  <c r="O161" i="6"/>
  <c r="C43" i="11"/>
  <c r="BD43" i="11"/>
  <c r="P161" i="6"/>
  <c r="P162" i="6"/>
  <c r="Q161" i="6"/>
  <c r="Q162" i="6"/>
  <c r="S204" i="6"/>
  <c r="S205" i="6"/>
  <c r="R204" i="6"/>
  <c r="R205" i="6"/>
  <c r="AI99" i="6"/>
  <c r="C44" i="11"/>
  <c r="BD44" i="11"/>
  <c r="R161" i="6"/>
  <c r="S161" i="6"/>
  <c r="R162" i="6"/>
  <c r="S162" i="6"/>
  <c r="D43" i="11"/>
  <c r="BE43" i="11"/>
  <c r="T161" i="6"/>
  <c r="T162" i="6"/>
  <c r="U161" i="6"/>
  <c r="U162" i="6"/>
  <c r="W204" i="6"/>
  <c r="W205" i="6"/>
  <c r="V204" i="6"/>
  <c r="V205" i="6"/>
  <c r="AJ99" i="6"/>
  <c r="D44" i="11"/>
  <c r="BE44" i="11"/>
  <c r="V161" i="6"/>
  <c r="W161" i="6"/>
  <c r="V162" i="6"/>
  <c r="W162" i="6"/>
  <c r="L184" i="6"/>
  <c r="L182" i="6"/>
  <c r="O190" i="6"/>
  <c r="N204" i="6"/>
  <c r="AH99" i="6"/>
  <c r="B44" i="11"/>
  <c r="BC44" i="11"/>
  <c r="O182" i="6"/>
  <c r="O162" i="6"/>
  <c r="AH97" i="6"/>
  <c r="L203" i="6"/>
  <c r="L162" i="6"/>
  <c r="AJ100" i="6"/>
  <c r="D45" i="11"/>
  <c r="BE45" i="11"/>
  <c r="AI100" i="6"/>
  <c r="C45" i="11"/>
  <c r="BD45" i="11"/>
  <c r="O203" i="6"/>
  <c r="L204" i="6"/>
  <c r="B42" i="11"/>
  <c r="BC42" i="11"/>
  <c r="AH98" i="6"/>
  <c r="O204" i="6"/>
  <c r="B43" i="11"/>
  <c r="BC43" i="11"/>
  <c r="AH100" i="6"/>
  <c r="B45" i="11"/>
  <c r="BC45" i="11"/>
</calcChain>
</file>

<file path=xl/comments1.xml><?xml version="1.0" encoding="utf-8"?>
<comments xmlns="http://schemas.openxmlformats.org/spreadsheetml/2006/main">
  <authors>
    <author>Marshall Goldberg</author>
    <author xml:space="preserve"> </author>
    <author xml:space="preserve"> Marshall</author>
  </authors>
  <commentList>
    <comment ref="A16" authorId="0">
      <text>
        <r>
          <rPr>
            <b/>
            <sz val="8"/>
            <color indexed="81"/>
            <rFont val="Tahoma"/>
            <family val="2"/>
          </rPr>
          <t xml:space="preserve">
Project location is state name (or other user add-in location - MyCounty or MyRegion) where all or the main portion of the transmission line is constructed. 
</t>
        </r>
        <r>
          <rPr>
            <b/>
            <sz val="8"/>
            <color indexed="10"/>
            <rFont val="Tahoma"/>
            <family val="2"/>
          </rPr>
          <t>(Entry required -choose from pull-down list)</t>
        </r>
      </text>
    </comment>
    <comment ref="A17" authorId="1">
      <text>
        <r>
          <rPr>
            <b/>
            <sz val="8"/>
            <color indexed="81"/>
            <rFont val="Tahoma"/>
            <family val="2"/>
          </rPr>
          <t xml:space="preserve"> 
If running a county or regional analysis: area population is required to incorporate appropriate default values for local shares.</t>
        </r>
      </text>
    </comment>
    <comment ref="A18" authorId="0">
      <text>
        <r>
          <rPr>
            <b/>
            <sz val="8"/>
            <color indexed="81"/>
            <rFont val="Tahoma"/>
            <family val="2"/>
          </rPr>
          <t xml:space="preserve">
Year of construction is year in which construction occurs. </t>
        </r>
        <r>
          <rPr>
            <b/>
            <sz val="8"/>
            <color indexed="10"/>
            <rFont val="Tahoma"/>
            <family val="2"/>
          </rPr>
          <t xml:space="preserve">(Entry required)
</t>
        </r>
        <r>
          <rPr>
            <b/>
            <sz val="8"/>
            <color indexed="81"/>
            <rFont val="Tahoma"/>
            <family val="2"/>
          </rPr>
          <t xml:space="preserve">The value entered here is for reference purposes only, it does not affect the analysis.
</t>
        </r>
      </text>
    </comment>
    <comment ref="A19" authorId="0">
      <text>
        <r>
          <rPr>
            <sz val="8"/>
            <color indexed="81"/>
            <rFont val="Tahoma"/>
            <family val="2"/>
          </rPr>
          <t xml:space="preserve">
</t>
        </r>
        <r>
          <rPr>
            <b/>
            <sz val="8"/>
            <color indexed="81"/>
            <rFont val="Tahoma"/>
            <family val="2"/>
          </rPr>
          <t xml:space="preserve">The 500 kV HVDC option is a Bipole line, therefore, if chosen, number of circuits must be one (1), and converter stations must be two (2). Both are entered below.  </t>
        </r>
        <r>
          <rPr>
            <sz val="8"/>
            <color indexed="81"/>
            <rFont val="Tahoma"/>
            <family val="2"/>
          </rPr>
          <t xml:space="preserve">
</t>
        </r>
      </text>
    </comment>
    <comment ref="A20" authorId="0">
      <text>
        <r>
          <rPr>
            <sz val="8"/>
            <color indexed="81"/>
            <rFont val="Tahoma"/>
            <family val="2"/>
          </rPr>
          <t xml:space="preserve">
</t>
        </r>
        <r>
          <rPr>
            <b/>
            <sz val="8"/>
            <color indexed="81"/>
            <rFont val="Tahoma"/>
            <family val="2"/>
          </rPr>
          <t>Transmission Line Length refers to mileage in the state or region being analyzed.</t>
        </r>
        <r>
          <rPr>
            <sz val="8"/>
            <color indexed="81"/>
            <rFont val="Tahoma"/>
            <family val="2"/>
          </rPr>
          <t xml:space="preserve">
</t>
        </r>
      </text>
    </comment>
    <comment ref="A24" authorId="0">
      <text>
        <r>
          <rPr>
            <b/>
            <sz val="8"/>
            <color indexed="81"/>
            <rFont val="Tahoma"/>
            <family val="2"/>
          </rPr>
          <t xml:space="preserve">
Model Analysis Type allows user to perform a "Simple" or "Advanced" analysis.  Choosing "Simple" indicates the user does not want to review or change detailed Model Inputs (project cost and related data).  Once the Project Descriptive Data is entered (above), press the Go To Summary Results button to view the results and the default input data.  
Alternately, choosing "Advanced" analysis indicates the user wants to review and potentially change detailed Model Inputs (detailed project costs and related data).  After completing changes, press the Go To Summary Results button to view the results or press the Restore Default Values button to not incorporate the changes you made in the analysis and reload default values.  (Please note: pressing the Restore Default Values button replaces all changes made to detailed cost data - not Project Descriptive Data, with initial default values.)
</t>
        </r>
      </text>
    </comment>
    <comment ref="A30" authorId="0">
      <text>
        <r>
          <rPr>
            <sz val="8"/>
            <color indexed="81"/>
            <rFont val="Tahoma"/>
            <family val="2"/>
          </rPr>
          <t xml:space="preserve">
</t>
        </r>
        <r>
          <rPr>
            <b/>
            <sz val="8"/>
            <color indexed="81"/>
            <rFont val="Tahoma"/>
            <family val="2"/>
          </rPr>
          <t xml:space="preserve">The value for Development and Preconstruction Activities is automatically calculated, based on typical project timeframes, unless entered by user.
The value is for reference purposes only, it does not affect the analysis.
</t>
        </r>
      </text>
    </comment>
    <comment ref="A31" authorId="0">
      <text>
        <r>
          <rPr>
            <sz val="8"/>
            <color indexed="81"/>
            <rFont val="Tahoma"/>
            <family val="2"/>
          </rPr>
          <t xml:space="preserve">
</t>
        </r>
        <r>
          <rPr>
            <b/>
            <sz val="8"/>
            <color indexed="81"/>
            <rFont val="Tahoma"/>
            <family val="2"/>
          </rPr>
          <t>The Construction Period refers to the actual construction phase only.
The value is automatically calculated, based on typical project timeframes, unless entered by user.
The value is for reference purposes only, it does not affect the analysis.</t>
        </r>
        <r>
          <rPr>
            <sz val="8"/>
            <color indexed="81"/>
            <rFont val="Tahoma"/>
            <family val="2"/>
          </rPr>
          <t xml:space="preserve">
</t>
        </r>
      </text>
    </comment>
    <comment ref="A42" authorId="0">
      <text>
        <r>
          <rPr>
            <b/>
            <sz val="8"/>
            <color indexed="81"/>
            <rFont val="Tahoma"/>
            <family val="2"/>
          </rPr>
          <t xml:space="preserve">
Line length (in miles) is automatically calculated for public and private shares based on the share of total line length for each entered above.</t>
        </r>
        <r>
          <rPr>
            <sz val="8"/>
            <color indexed="81"/>
            <rFont val="Tahoma"/>
            <family val="2"/>
          </rPr>
          <t xml:space="preserve">
</t>
        </r>
      </text>
    </comment>
    <comment ref="A44" authorId="0">
      <text>
        <r>
          <rPr>
            <sz val="8"/>
            <color indexed="81"/>
            <rFont val="Tahoma"/>
            <family val="2"/>
          </rPr>
          <t xml:space="preserve">
</t>
        </r>
        <r>
          <rPr>
            <b/>
            <sz val="8"/>
            <color indexed="81"/>
            <rFont val="Tahoma"/>
            <family val="2"/>
          </rPr>
          <t>Acres for right of way (public and private) are automatically calculated based on the length of the transmission line and the right-of-way width, both entered above.</t>
        </r>
        <r>
          <rPr>
            <sz val="8"/>
            <color indexed="81"/>
            <rFont val="Tahoma"/>
            <family val="2"/>
          </rPr>
          <t xml:space="preserve">
</t>
        </r>
      </text>
    </comment>
    <comment ref="A45" authorId="0">
      <text>
        <r>
          <rPr>
            <sz val="8"/>
            <color indexed="81"/>
            <rFont val="Tahoma"/>
            <family val="2"/>
          </rPr>
          <t xml:space="preserve">
</t>
        </r>
        <r>
          <rPr>
            <b/>
            <sz val="8"/>
            <color indexed="81"/>
            <rFont val="Tahoma"/>
            <family val="2"/>
          </rPr>
          <t>For Public lands: owner typically pays an annual license fee per acre.</t>
        </r>
        <r>
          <rPr>
            <sz val="8"/>
            <color indexed="81"/>
            <rFont val="Tahoma"/>
            <family val="2"/>
          </rPr>
          <t xml:space="preserve">
</t>
        </r>
        <r>
          <rPr>
            <b/>
            <sz val="8"/>
            <color indexed="81"/>
            <rFont val="Tahoma"/>
            <family val="2"/>
          </rPr>
          <t>For Private lands: owner typically pays a one-time up-front acquisition payment per acre.</t>
        </r>
      </text>
    </comment>
    <comment ref="A47" authorId="0">
      <text>
        <r>
          <rPr>
            <sz val="8"/>
            <color indexed="81"/>
            <rFont val="Tahoma"/>
            <family val="2"/>
          </rPr>
          <t xml:space="preserve">
</t>
        </r>
        <r>
          <rPr>
            <b/>
            <sz val="8"/>
            <color indexed="81"/>
            <rFont val="Tahoma"/>
            <family val="2"/>
          </rPr>
          <t xml:space="preserve">Federal Nexus occurs (enter Yes) if transmission line crosses federal lands or is large enough to trigger National Environmental Policy Act (NEPA) regulations for determining a line route. </t>
        </r>
        <r>
          <rPr>
            <sz val="8"/>
            <color indexed="81"/>
            <rFont val="Tahoma"/>
            <family val="2"/>
          </rPr>
          <t xml:space="preserve">
</t>
        </r>
      </text>
    </comment>
    <comment ref="A48" authorId="0">
      <text>
        <r>
          <rPr>
            <b/>
            <sz val="8"/>
            <color indexed="81"/>
            <rFont val="Tahoma"/>
            <family val="2"/>
          </rPr>
          <t xml:space="preserve">
Cost per mile is automatically calculated based on project descriptive data and default cost values.</t>
        </r>
        <r>
          <rPr>
            <sz val="8"/>
            <color indexed="81"/>
            <rFont val="Tahoma"/>
            <family val="2"/>
          </rPr>
          <t xml:space="preserve">
</t>
        </r>
      </text>
    </comment>
    <comment ref="A49" authorId="0">
      <text>
        <r>
          <rPr>
            <b/>
            <sz val="8"/>
            <color indexed="81"/>
            <rFont val="Tahoma"/>
            <family val="2"/>
          </rPr>
          <t xml:space="preserve">
Annual Direct Operations and Maintenance Cost does not include costs associated with debt or equity financing, ROW payments, or taxes, other than sales tax if applicable.</t>
        </r>
      </text>
    </comment>
    <comment ref="A50" authorId="0">
      <text>
        <r>
          <rPr>
            <b/>
            <sz val="8"/>
            <color indexed="81"/>
            <rFont val="Tahoma"/>
            <family val="2"/>
          </rPr>
          <t xml:space="preserve">
Money value refers to the year the construction and other costs are based on (e.g., if cost estimates are in 2012 dollar values and construction occurs in 2014, enter 2012).
The model uses this dollar year to internally adjust project costs for consistency with the year of the multipliers used in the analysis.
</t>
        </r>
      </text>
    </comment>
    <comment ref="C53" authorId="0">
      <text>
        <r>
          <rPr>
            <b/>
            <sz val="8"/>
            <color indexed="81"/>
            <rFont val="Tahoma"/>
            <family val="2"/>
          </rPr>
          <t xml:space="preserve">
Default P&amp;C refers to procurement and construction costs for a typical U.S. single circuit transmission line.</t>
        </r>
        <r>
          <rPr>
            <sz val="8"/>
            <color indexed="81"/>
            <rFont val="Tahoma"/>
            <family val="2"/>
          </rPr>
          <t xml:space="preserve">
</t>
        </r>
      </text>
    </comment>
    <comment ref="F53" authorId="0">
      <text>
        <r>
          <rPr>
            <b/>
            <sz val="8"/>
            <color indexed="81"/>
            <rFont val="Tahoma"/>
            <family val="2"/>
          </rPr>
          <t xml:space="preserve">
Local Share is the percentage of expenditure spent/purchased in the state or local region where the line is installed.</t>
        </r>
      </text>
    </comment>
    <comment ref="AA53" authorId="0">
      <text>
        <r>
          <rPr>
            <b/>
            <sz val="8"/>
            <color indexed="81"/>
            <rFont val="Tahoma"/>
            <family val="2"/>
          </rPr>
          <t xml:space="preserve">
Default P&amp;C refers to procurement and construction costs for a typical U.S. single circuit transmission line.</t>
        </r>
        <r>
          <rPr>
            <sz val="8"/>
            <color indexed="81"/>
            <rFont val="Tahoma"/>
            <family val="2"/>
          </rPr>
          <t xml:space="preserve">
</t>
        </r>
      </text>
    </comment>
    <comment ref="AD53" authorId="0">
      <text>
        <r>
          <rPr>
            <b/>
            <sz val="8"/>
            <color indexed="81"/>
            <rFont val="Tahoma"/>
            <family val="2"/>
          </rPr>
          <t xml:space="preserve">
Local Share is the percentage of expenditure spent/purchased in the state or local region where the line is installed.</t>
        </r>
      </text>
    </comment>
    <comment ref="F72" authorId="0">
      <text>
        <r>
          <rPr>
            <b/>
            <sz val="8"/>
            <color indexed="81"/>
            <rFont val="Tahoma"/>
            <family val="2"/>
          </rPr>
          <t xml:space="preserve">
Local Share is the percentage of expenditure spent/purchased in the state or local region where the line is installed.</t>
        </r>
      </text>
    </comment>
    <comment ref="AD72" authorId="0">
      <text>
        <r>
          <rPr>
            <b/>
            <sz val="8"/>
            <color indexed="81"/>
            <rFont val="Tahoma"/>
            <family val="2"/>
          </rPr>
          <t xml:space="preserve">
Local Share is the percentage of expenditure spent/purchased in the state or local region where the line is installed.</t>
        </r>
      </text>
    </comment>
    <comment ref="A78" authorId="0">
      <text>
        <r>
          <rPr>
            <sz val="8"/>
            <color indexed="81"/>
            <rFont val="Tahoma"/>
            <family val="2"/>
          </rPr>
          <t xml:space="preserve">
</t>
        </r>
        <r>
          <rPr>
            <b/>
            <sz val="8"/>
            <color indexed="81"/>
            <rFont val="Tahoma"/>
            <family val="2"/>
          </rPr>
          <t>Converter costs do not include the AC substation facilities on either end.</t>
        </r>
        <r>
          <rPr>
            <sz val="8"/>
            <color indexed="81"/>
            <rFont val="Tahoma"/>
            <family val="2"/>
          </rPr>
          <t xml:space="preserve">
</t>
        </r>
      </text>
    </comment>
    <comment ref="C89" authorId="0">
      <text>
        <r>
          <rPr>
            <b/>
            <sz val="8"/>
            <color indexed="81"/>
            <rFont val="Tahoma"/>
            <family val="2"/>
          </rPr>
          <t xml:space="preserve">
Default P&amp;C refers to procurement and construction costs for a typical U.S. single circuit transmission line.</t>
        </r>
        <r>
          <rPr>
            <sz val="8"/>
            <color indexed="81"/>
            <rFont val="Tahoma"/>
            <family val="2"/>
          </rPr>
          <t xml:space="preserve">
</t>
        </r>
      </text>
    </comment>
    <comment ref="F89" authorId="0">
      <text>
        <r>
          <rPr>
            <b/>
            <sz val="8"/>
            <color indexed="81"/>
            <rFont val="Tahoma"/>
            <family val="2"/>
          </rPr>
          <t xml:space="preserve">
Local Share is the percentage of expenditure spent/purchased in the state or local region where the line is installed.</t>
        </r>
      </text>
    </comment>
    <comment ref="AA89" authorId="0">
      <text>
        <r>
          <rPr>
            <b/>
            <sz val="8"/>
            <color indexed="81"/>
            <rFont val="Tahoma"/>
            <family val="2"/>
          </rPr>
          <t xml:space="preserve">
Default P&amp;C refers to procurement and construction costs for a typical U.S. single circuit transmission line.</t>
        </r>
        <r>
          <rPr>
            <sz val="8"/>
            <color indexed="81"/>
            <rFont val="Tahoma"/>
            <family val="2"/>
          </rPr>
          <t xml:space="preserve">
</t>
        </r>
      </text>
    </comment>
    <comment ref="AD89" authorId="0">
      <text>
        <r>
          <rPr>
            <b/>
            <sz val="8"/>
            <color indexed="81"/>
            <rFont val="Tahoma"/>
            <family val="2"/>
          </rPr>
          <t xml:space="preserve">
Local Share is the percentage of expenditure spent/purchased in the state or local region where the line is installed.</t>
        </r>
      </text>
    </comment>
    <comment ref="C94" authorId="0">
      <text>
        <r>
          <rPr>
            <b/>
            <sz val="8"/>
            <color indexed="81"/>
            <rFont val="Tahoma"/>
            <family val="2"/>
          </rPr>
          <t xml:space="preserve">
Default Substation P&amp;C refers to procurement and construction costs for the substation and other infrastructure costs for a typical U.S. single circuit transmission line.</t>
        </r>
        <r>
          <rPr>
            <sz val="8"/>
            <color indexed="81"/>
            <rFont val="Tahoma"/>
            <family val="2"/>
          </rPr>
          <t xml:space="preserve">
</t>
        </r>
      </text>
    </comment>
    <comment ref="AA94" authorId="0">
      <text>
        <r>
          <rPr>
            <b/>
            <sz val="8"/>
            <color indexed="81"/>
            <rFont val="Tahoma"/>
            <family val="2"/>
          </rPr>
          <t xml:space="preserve">
Default Substation P&amp;C refers to procurement and construction costs for the substation and other infrastructure costs for a typical U.S. single circuit transmission line.</t>
        </r>
        <r>
          <rPr>
            <sz val="8"/>
            <color indexed="81"/>
            <rFont val="Tahoma"/>
            <family val="2"/>
          </rPr>
          <t xml:space="preserve">
</t>
        </r>
      </text>
    </comment>
    <comment ref="A99" authorId="0">
      <text>
        <r>
          <rPr>
            <b/>
            <sz val="8"/>
            <color indexed="81"/>
            <rFont val="Tahoma"/>
            <family val="2"/>
          </rPr>
          <t xml:space="preserve">
Due to the large variation in costs, if applicable, user entry required.</t>
        </r>
        <r>
          <rPr>
            <sz val="8"/>
            <color indexed="81"/>
            <rFont val="Tahoma"/>
            <family val="2"/>
          </rPr>
          <t xml:space="preserve">
</t>
        </r>
      </text>
    </comment>
    <comment ref="A100" authorId="0">
      <text>
        <r>
          <rPr>
            <b/>
            <sz val="8"/>
            <color indexed="81"/>
            <rFont val="Tahoma"/>
            <family val="2"/>
          </rPr>
          <t xml:space="preserve">
Due to the large variation in costs, if applicable, user entry required.</t>
        </r>
        <r>
          <rPr>
            <sz val="8"/>
            <color indexed="81"/>
            <rFont val="Tahoma"/>
            <family val="2"/>
          </rPr>
          <t xml:space="preserve">
</t>
        </r>
      </text>
    </comment>
    <comment ref="A101" authorId="0">
      <text>
        <r>
          <rPr>
            <b/>
            <sz val="8"/>
            <color indexed="81"/>
            <rFont val="Tahoma"/>
            <family val="2"/>
          </rPr>
          <t xml:space="preserve">
Due to the large variation in costs, if applicable, user entry required.</t>
        </r>
        <r>
          <rPr>
            <sz val="8"/>
            <color indexed="81"/>
            <rFont val="Tahoma"/>
            <family val="2"/>
          </rPr>
          <t xml:space="preserve">
</t>
        </r>
      </text>
    </comment>
    <comment ref="A102" authorId="0">
      <text>
        <r>
          <rPr>
            <sz val="8"/>
            <color indexed="81"/>
            <rFont val="Tahoma"/>
            <family val="2"/>
          </rPr>
          <t xml:space="preserve">
</t>
        </r>
        <r>
          <rPr>
            <b/>
            <sz val="8"/>
            <color indexed="81"/>
            <rFont val="Tahoma"/>
            <family val="2"/>
          </rPr>
          <t>Transmission line construction insurance included in T-Line Management Services.</t>
        </r>
        <r>
          <rPr>
            <sz val="8"/>
            <color indexed="81"/>
            <rFont val="Tahoma"/>
            <family val="2"/>
          </rPr>
          <t xml:space="preserve">
</t>
        </r>
      </text>
    </comment>
    <comment ref="A106" authorId="2">
      <text>
        <r>
          <rPr>
            <b/>
            <sz val="8"/>
            <color indexed="81"/>
            <rFont val="Tahoma"/>
            <family val="2"/>
          </rPr>
          <t xml:space="preserve">
Entry required if sales tax not to be automatically computed using sales tax rate entered in Tax Parameters below. Computation based on materials and equipment expenditures only.</t>
        </r>
        <r>
          <rPr>
            <sz val="10"/>
            <color indexed="81"/>
            <rFont val="Tahoma"/>
            <family val="2"/>
          </rPr>
          <t xml:space="preserve">
</t>
        </r>
      </text>
    </comment>
    <comment ref="F106" authorId="0">
      <text>
        <r>
          <rPr>
            <sz val="8"/>
            <color indexed="81"/>
            <rFont val="Tahoma"/>
            <family val="2"/>
          </rPr>
          <t xml:space="preserve">
</t>
        </r>
        <r>
          <rPr>
            <b/>
            <sz val="8"/>
            <color indexed="81"/>
            <rFont val="Tahoma"/>
            <family val="2"/>
          </rPr>
          <t>Local share (%) of sales tax entered in Tax Parameters below.</t>
        </r>
        <r>
          <rPr>
            <sz val="8"/>
            <color indexed="81"/>
            <rFont val="Tahoma"/>
            <family val="2"/>
          </rPr>
          <t xml:space="preserve">
</t>
        </r>
      </text>
    </comment>
    <comment ref="AD106" authorId="0">
      <text>
        <r>
          <rPr>
            <sz val="8"/>
            <color indexed="81"/>
            <rFont val="Tahoma"/>
            <family val="2"/>
          </rPr>
          <t xml:space="preserve">
</t>
        </r>
        <r>
          <rPr>
            <b/>
            <sz val="8"/>
            <color indexed="81"/>
            <rFont val="Tahoma"/>
            <family val="2"/>
          </rPr>
          <t>Local share (%) of sales tax entered in Tax Parameters below.</t>
        </r>
        <r>
          <rPr>
            <sz val="8"/>
            <color indexed="81"/>
            <rFont val="Tahoma"/>
            <family val="2"/>
          </rPr>
          <t xml:space="preserve">
</t>
        </r>
      </text>
    </comment>
    <comment ref="F110" authorId="0">
      <text>
        <r>
          <rPr>
            <b/>
            <sz val="8"/>
            <color indexed="81"/>
            <rFont val="Tahoma"/>
            <family val="2"/>
          </rPr>
          <t xml:space="preserve">
Local Share is the percentage of expenditure spent/purchased in the state or local region where the line is installed.</t>
        </r>
      </text>
    </comment>
    <comment ref="AD110" authorId="0">
      <text>
        <r>
          <rPr>
            <b/>
            <sz val="8"/>
            <color indexed="81"/>
            <rFont val="Tahoma"/>
            <family val="2"/>
          </rPr>
          <t xml:space="preserve">
Local Share is the percentage of expenditure spent/purchased in the state or local region where the line is installed.</t>
        </r>
      </text>
    </comment>
    <comment ref="A112" authorId="0">
      <text>
        <r>
          <rPr>
            <b/>
            <sz val="8"/>
            <color indexed="81"/>
            <rFont val="Tahoma"/>
            <family val="2"/>
          </rPr>
          <t xml:space="preserve">
Labor Costs include employer paid costs such as wages, health benefits, workers compensation, disability insurance, and social security, among others.</t>
        </r>
        <r>
          <rPr>
            <sz val="8"/>
            <color indexed="81"/>
            <rFont val="Tahoma"/>
            <family val="2"/>
          </rPr>
          <t xml:space="preserve">
</t>
        </r>
      </text>
    </comment>
    <comment ref="C117" authorId="0">
      <text>
        <r>
          <rPr>
            <b/>
            <sz val="8"/>
            <color indexed="81"/>
            <rFont val="Tahoma"/>
            <family val="2"/>
          </rPr>
          <t xml:space="preserve">
Default Substation P&amp;C refers to procurement and construction costs for the substation and other infrastructure costs for a typical U.S. single circuit transmission line.</t>
        </r>
        <r>
          <rPr>
            <sz val="8"/>
            <color indexed="81"/>
            <rFont val="Tahoma"/>
            <family val="2"/>
          </rPr>
          <t xml:space="preserve">
</t>
        </r>
      </text>
    </comment>
    <comment ref="AA117" authorId="0">
      <text>
        <r>
          <rPr>
            <b/>
            <sz val="8"/>
            <color indexed="81"/>
            <rFont val="Tahoma"/>
            <family val="2"/>
          </rPr>
          <t xml:space="preserve">
Default Substation P&amp;C refers to procurement and construction costs for the substation and other infrastructure costs for a typical U.S. single circuit transmission line.</t>
        </r>
        <r>
          <rPr>
            <sz val="8"/>
            <color indexed="81"/>
            <rFont val="Tahoma"/>
            <family val="2"/>
          </rPr>
          <t xml:space="preserve">
</t>
        </r>
      </text>
    </comment>
    <comment ref="A118" authorId="0">
      <text>
        <r>
          <rPr>
            <b/>
            <sz val="8"/>
            <color indexed="81"/>
            <rFont val="Tahoma"/>
            <family val="2"/>
          </rPr>
          <t xml:space="preserve">
Labor Costs include employer paid costs such as wages, health benefits, workers compensation, disability insurance, and social security, among others.</t>
        </r>
        <r>
          <rPr>
            <sz val="8"/>
            <color indexed="81"/>
            <rFont val="Tahoma"/>
            <family val="2"/>
          </rPr>
          <t xml:space="preserve">
</t>
        </r>
      </text>
    </comment>
    <comment ref="A123" authorId="2">
      <text>
        <r>
          <rPr>
            <b/>
            <sz val="8"/>
            <color indexed="81"/>
            <rFont val="Tahoma"/>
            <family val="2"/>
          </rPr>
          <t xml:space="preserve">
Entry required if sales tax not to be automatically computed using sales tax rate entered in Tax Parameters below. Computation based on materials and equipment expenditures only.</t>
        </r>
        <r>
          <rPr>
            <sz val="10"/>
            <color indexed="81"/>
            <rFont val="Tahoma"/>
            <family val="2"/>
          </rPr>
          <t xml:space="preserve">
</t>
        </r>
      </text>
    </comment>
    <comment ref="F123" authorId="0">
      <text>
        <r>
          <rPr>
            <sz val="8"/>
            <color indexed="81"/>
            <rFont val="Tahoma"/>
            <family val="2"/>
          </rPr>
          <t xml:space="preserve">
</t>
        </r>
        <r>
          <rPr>
            <b/>
            <sz val="8"/>
            <color indexed="81"/>
            <rFont val="Tahoma"/>
            <family val="2"/>
          </rPr>
          <t>Local share (%) of sales tax entered in Tax Parameters below.</t>
        </r>
        <r>
          <rPr>
            <sz val="8"/>
            <color indexed="81"/>
            <rFont val="Tahoma"/>
            <family val="2"/>
          </rPr>
          <t xml:space="preserve">
</t>
        </r>
      </text>
    </comment>
    <comment ref="AD123" authorId="0">
      <text>
        <r>
          <rPr>
            <sz val="8"/>
            <color indexed="81"/>
            <rFont val="Tahoma"/>
            <family val="2"/>
          </rPr>
          <t xml:space="preserve">
</t>
        </r>
        <r>
          <rPr>
            <b/>
            <sz val="8"/>
            <color indexed="81"/>
            <rFont val="Tahoma"/>
            <family val="2"/>
          </rPr>
          <t>Local share (%) of sales tax entered in Tax Parameters below.</t>
        </r>
        <r>
          <rPr>
            <sz val="8"/>
            <color indexed="81"/>
            <rFont val="Tahoma"/>
            <family val="2"/>
          </rPr>
          <t xml:space="preserve">
</t>
        </r>
      </text>
    </comment>
    <comment ref="E128" authorId="0">
      <text>
        <r>
          <rPr>
            <b/>
            <sz val="8"/>
            <color indexed="81"/>
            <rFont val="Tahoma"/>
            <family val="2"/>
          </rPr>
          <t xml:space="preserve">
Local Share is the percentage of expenditure spent/purchased in the state or local region where the line is installed.</t>
        </r>
      </text>
    </comment>
    <comment ref="A130" authorId="0">
      <text>
        <r>
          <rPr>
            <b/>
            <sz val="8"/>
            <color indexed="81"/>
            <rFont val="Tahoma"/>
            <family val="2"/>
          </rPr>
          <t xml:space="preserve">
Percentage financed is the share of project construction and installation cost financed through a loan.
</t>
        </r>
      </text>
    </comment>
    <comment ref="A140" authorId="0">
      <text>
        <r>
          <rPr>
            <b/>
            <sz val="8"/>
            <color rgb="FF000000"/>
            <rFont val="Tahoma"/>
            <family val="2"/>
          </rPr>
          <t xml:space="preserve">
The default Local Property/Other Tax rate is set to 0%.  Due to the large variation in methods and rates used to derive local taxes property taxes are not included in the analysis unless data is entered by the user.  Users are encouraged to incorporate a local tax rate using the parameters in this model to calculate the amount or by entering the Local Property Taxes (dollars) if know, below.</t>
        </r>
        <r>
          <rPr>
            <sz val="8"/>
            <color rgb="FF000000"/>
            <rFont val="Tahoma"/>
            <family val="2"/>
          </rPr>
          <t xml:space="preserve">
</t>
        </r>
      </text>
    </comment>
    <comment ref="A146" authorId="2">
      <text>
        <r>
          <rPr>
            <b/>
            <sz val="10"/>
            <color indexed="81"/>
            <rFont val="Tahoma"/>
            <family val="2"/>
          </rPr>
          <t xml:space="preserve"> </t>
        </r>
        <r>
          <rPr>
            <b/>
            <sz val="8"/>
            <color indexed="81"/>
            <rFont val="Tahoma"/>
            <family val="2"/>
          </rPr>
          <t xml:space="preserve">
Sales Tax is only on materials, supplies and equipment purchases if applicable.</t>
        </r>
      </text>
    </comment>
    <comment ref="B148" authorId="0">
      <text>
        <r>
          <rPr>
            <sz val="8"/>
            <color indexed="81"/>
            <rFont val="Tahoma"/>
            <family val="2"/>
          </rPr>
          <t xml:space="preserve">
</t>
        </r>
        <r>
          <rPr>
            <b/>
            <sz val="8"/>
            <color indexed="81"/>
            <rFont val="Tahoma"/>
            <family val="2"/>
          </rPr>
          <t xml:space="preserve">Wage per hour is the average base wage only; it does not include employer payroll costs, which are automatically included in the impact analysis.
</t>
        </r>
        <r>
          <rPr>
            <b/>
            <sz val="8"/>
            <color indexed="10"/>
            <rFont val="Tahoma"/>
            <family val="2"/>
          </rPr>
          <t>**If revising wages per hour, please note: wage rates (entered in these cells) are associated with construction labor personnel costs (entered above) and employer payroll overhead (entered to the right).  Therefore, user changes to wage rates must be accompanied by changes in labor costs (and potentially employer payroll overhead costs) or changes will adversely impact (increase or decrease) the total number of construction workers reported (calculated) in the results.  See FAQ for related information.</t>
        </r>
        <r>
          <rPr>
            <sz val="8"/>
            <color indexed="81"/>
            <rFont val="Tahoma"/>
            <family val="2"/>
          </rPr>
          <t xml:space="preserve">
</t>
        </r>
      </text>
    </comment>
    <comment ref="E148" authorId="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construction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  See FAQ for related information.</t>
        </r>
        <r>
          <rPr>
            <b/>
            <sz val="8"/>
            <color indexed="81"/>
            <rFont val="Tahoma"/>
            <family val="2"/>
          </rPr>
          <t xml:space="preserve">
</t>
        </r>
      </text>
    </comment>
    <comment ref="Z148" authorId="0">
      <text>
        <r>
          <rPr>
            <sz val="8"/>
            <color indexed="81"/>
            <rFont val="Tahoma"/>
            <family val="2"/>
          </rPr>
          <t xml:space="preserve">
</t>
        </r>
        <r>
          <rPr>
            <b/>
            <sz val="8"/>
            <color indexed="81"/>
            <rFont val="Tahoma"/>
            <family val="2"/>
          </rPr>
          <t xml:space="preserve">Wage per hour is the average base wage only; it does not include employer payroll costs, which are automatically included in the impact analysis.
</t>
        </r>
        <r>
          <rPr>
            <b/>
            <sz val="8"/>
            <color indexed="10"/>
            <rFont val="Tahoma"/>
            <family val="2"/>
          </rPr>
          <t>**If revising wages per hour, please note: wage rates (entered in these cells) are associated with construction labor personnel costs (entered above) and employer payroll overhead (entered to the right).  Therefore, user changes to wage rates must be accompanied by changes in labor costs (and potentially employer payroll overhead costs) or changes will adversely impact (increase or decrease) the total number of construction workers reported (calculated) in the results.  See FAQ for related information.</t>
        </r>
        <r>
          <rPr>
            <sz val="8"/>
            <color indexed="81"/>
            <rFont val="Tahoma"/>
            <family val="2"/>
          </rPr>
          <t xml:space="preserve">
</t>
        </r>
      </text>
    </comment>
    <comment ref="AC148" authorId="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construction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  See FAQ for related information.</t>
        </r>
        <r>
          <rPr>
            <b/>
            <sz val="8"/>
            <color indexed="81"/>
            <rFont val="Tahoma"/>
            <family val="2"/>
          </rPr>
          <t xml:space="preserve">
</t>
        </r>
      </text>
    </comment>
    <comment ref="B152" authorId="0">
      <text>
        <r>
          <rPr>
            <sz val="8"/>
            <color indexed="81"/>
            <rFont val="Tahoma"/>
            <family val="2"/>
          </rPr>
          <t xml:space="preserve">
</t>
        </r>
        <r>
          <rPr>
            <b/>
            <sz val="8"/>
            <color indexed="81"/>
            <rFont val="Tahoma"/>
            <family val="2"/>
          </rPr>
          <t>Wage per hour is the average base wage only; does not include employer payroll costs, which are automatically included in the impact analysis.</t>
        </r>
        <r>
          <rPr>
            <sz val="8"/>
            <color indexed="81"/>
            <rFont val="Tahoma"/>
            <family val="2"/>
          </rPr>
          <t xml:space="preserve">
</t>
        </r>
        <r>
          <rPr>
            <b/>
            <sz val="8"/>
            <color indexed="10"/>
            <rFont val="Tahoma"/>
            <family val="2"/>
          </rPr>
          <t xml:space="preserve">**If revising Wage rates, please note: Wage rates (entered in these cells) are associated with O&amp;M labor personnel costs (entered above).  Therefore, user changes to O&amp;M labor personnel costs and/or hourly labor rates and employer payroll costs will impact (increase or decrease) the total number of O&amp;M employees reported (calculated) in the results. </t>
        </r>
      </text>
    </comment>
    <comment ref="Z152" authorId="0">
      <text>
        <r>
          <rPr>
            <sz val="8"/>
            <color indexed="81"/>
            <rFont val="Tahoma"/>
            <family val="2"/>
          </rPr>
          <t xml:space="preserve">
</t>
        </r>
        <r>
          <rPr>
            <b/>
            <sz val="8"/>
            <color indexed="81"/>
            <rFont val="Tahoma"/>
            <family val="2"/>
          </rPr>
          <t>Wage per hour is the average base wage only; does not include employer payroll costs, which are automatically included in the impact analysis.</t>
        </r>
        <r>
          <rPr>
            <sz val="8"/>
            <color indexed="81"/>
            <rFont val="Tahoma"/>
            <family val="2"/>
          </rPr>
          <t xml:space="preserve">
</t>
        </r>
        <r>
          <rPr>
            <b/>
            <sz val="8"/>
            <color indexed="10"/>
            <rFont val="Tahoma"/>
            <family val="2"/>
          </rPr>
          <t xml:space="preserve">**If revising Wage rates, please note: Wage rates (entered in these cells) are associated with O&amp;M labor personnel costs (entered above).  Therefore, user changes to O&amp;M labor personnel costs and/or hourly labor rates and employer payroll costs will impact (increase or decrease) the total number of O&amp;M employees reported (calculated) in the results. </t>
        </r>
      </text>
    </comment>
  </commentList>
</comments>
</file>

<file path=xl/comments2.xml><?xml version="1.0" encoding="utf-8"?>
<comments xmlns="http://schemas.openxmlformats.org/spreadsheetml/2006/main">
  <authors>
    <author>Marshall Goldberg</author>
    <author xml:space="preserve"> </author>
  </authors>
  <commentList>
    <comment ref="E29" authorId="0">
      <text>
        <r>
          <rPr>
            <sz val="8"/>
            <color indexed="81"/>
            <rFont val="Tahoma"/>
            <family val="2"/>
          </rPr>
          <t xml:space="preserve">
</t>
        </r>
        <r>
          <rPr>
            <b/>
            <sz val="8"/>
            <color indexed="81"/>
            <rFont val="Tahoma"/>
            <family val="2"/>
          </rPr>
          <t xml:space="preserve">Value added is the difference between total gross output and the cost of intermediate inputs. It is comprised of payments made to workers (wages and salaries and benefits), proprietary income, other property type income (payments from interest, rents, royalties, dividends, and profits), indirect business taxes (excise and sales taxes paid by individuals to businesses, and taxes on production and imports less subsidies. </t>
        </r>
        <r>
          <rPr>
            <sz val="8"/>
            <color indexed="81"/>
            <rFont val="Tahoma"/>
            <family val="2"/>
          </rPr>
          <t xml:space="preserve">
</t>
        </r>
      </text>
    </comment>
    <comment ref="A31" authorId="0">
      <text>
        <r>
          <rPr>
            <b/>
            <sz val="8"/>
            <color indexed="81"/>
            <rFont val="Tahoma"/>
            <family val="2"/>
          </rPr>
          <t xml:space="preserve">
Project Development and Onsite Labor Impacts refers to the changes that occur in the onsite construction and installation industries and project pre-construction and development related industries to which the direct final demand (i.e., spending on construction and installation related labor and services) change is made .</t>
        </r>
      </text>
    </comment>
    <comment ref="A33" authorId="1">
      <text>
        <r>
          <rPr>
            <b/>
            <sz val="8"/>
            <color indexed="81"/>
            <rFont val="Tahoma"/>
            <family val="2"/>
          </rPr>
          <t xml:space="preserve">
Construction and Installation Related Services includes engineering, design, and other professional services for project development.</t>
        </r>
        <r>
          <rPr>
            <sz val="8"/>
            <color indexed="81"/>
            <rFont val="Tahoma"/>
            <family val="2"/>
          </rPr>
          <t xml:space="preserve">
</t>
        </r>
      </text>
    </comment>
    <comment ref="A35" authorId="0">
      <text>
        <r>
          <rPr>
            <b/>
            <sz val="8"/>
            <color indexed="81"/>
            <rFont val="Tahoma"/>
            <family val="2"/>
          </rPr>
          <t xml:space="preserve">
Equipment and Supply Chain Impacts refers to the changes in inter-industry purchases resulting from the direct final demand (i.e., construction, installation, and development spending on materials and equipment and other purchases of goods and offsite services) changes.</t>
        </r>
      </text>
    </comment>
    <comment ref="A36" authorId="0">
      <text>
        <r>
          <rPr>
            <b/>
            <sz val="8"/>
            <color indexed="81"/>
            <rFont val="Tahoma"/>
            <family val="2"/>
          </rPr>
          <t xml:space="preserve">
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 ref="A43" authorId="1">
      <text>
        <r>
          <rPr>
            <b/>
            <sz val="8"/>
            <color indexed="81"/>
            <rFont val="Tahoma"/>
            <family val="2"/>
          </rPr>
          <t xml:space="preserve">
Local Revenue includes property and sales tax (if applicable), ROW payments, as well as any return on investment paid to local investors; Supply chain includes all purchases of materials and equipment, insurance, and all spending for line and ROW maintenance.</t>
        </r>
        <r>
          <rPr>
            <sz val="8"/>
            <color indexed="81"/>
            <rFont val="Tahoma"/>
            <family val="2"/>
          </rPr>
          <t xml:space="preserve">
</t>
        </r>
      </text>
    </comment>
    <comment ref="A44" authorId="0">
      <text>
        <r>
          <rPr>
            <b/>
            <sz val="8"/>
            <color indexed="81"/>
            <rFont val="Tahoma"/>
            <family val="2"/>
          </rPr>
          <t xml:space="preserve">
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List>
</comments>
</file>

<file path=xl/comments3.xml><?xml version="1.0" encoding="utf-8"?>
<comments xmlns="http://schemas.openxmlformats.org/spreadsheetml/2006/main">
  <authors>
    <author xml:space="preserve"> Marshall</author>
    <author>Marshall Goldberg</author>
  </authors>
  <commentList>
    <comment ref="B3" authorId="0">
      <text>
        <r>
          <rPr>
            <b/>
            <sz val="10"/>
            <color indexed="81"/>
            <rFont val="Tahoma"/>
            <family val="2"/>
          </rPr>
          <t xml:space="preserve">
</t>
        </r>
        <r>
          <rPr>
            <b/>
            <sz val="8"/>
            <color indexed="81"/>
            <rFont val="Tahoma"/>
            <family val="2"/>
          </rPr>
          <t>To use MyCounty multipliers and PCE (once they are imported) name of county and year of data (cell to the right) must be entered.</t>
        </r>
      </text>
    </comment>
    <comment ref="B4" authorId="1">
      <text>
        <r>
          <rPr>
            <b/>
            <sz val="8"/>
            <color indexed="81"/>
            <rFont val="Tahoma"/>
            <family val="2"/>
          </rPr>
          <t xml:space="preserve">
To use MyRegion multipliers and PCE (once they are imported) name of region and year of data (cell to the right) must be entered.</t>
        </r>
      </text>
    </comment>
  </commentList>
</comments>
</file>

<file path=xl/comments4.xml><?xml version="1.0" encoding="utf-8"?>
<comments xmlns="http://schemas.openxmlformats.org/spreadsheetml/2006/main">
  <authors>
    <author>Marshall Goldberg</author>
  </authors>
  <commentList>
    <comment ref="J59" authorId="0">
      <text>
        <r>
          <rPr>
            <sz val="8"/>
            <color indexed="81"/>
            <rFont val="Tahoma"/>
            <family val="2"/>
          </rPr>
          <t xml:space="preserve">Payroll expense refers to other employee related costs such as the cost of health benefits, disability insurance, workers compensation, social security and other similar costs incurred by the employer.
</t>
        </r>
      </text>
    </comment>
  </commentList>
</comments>
</file>

<file path=xl/sharedStrings.xml><?xml version="1.0" encoding="utf-8"?>
<sst xmlns="http://schemas.openxmlformats.org/spreadsheetml/2006/main" count="2553" uniqueCount="661">
  <si>
    <t>Project Data</t>
  </si>
  <si>
    <t xml:space="preserve">    Subtotal</t>
  </si>
  <si>
    <t xml:space="preserve">  Labor</t>
  </si>
  <si>
    <t xml:space="preserve">  Subtotal</t>
  </si>
  <si>
    <t>Total</t>
  </si>
  <si>
    <t>Local Share</t>
  </si>
  <si>
    <t>Jobs</t>
  </si>
  <si>
    <t>Agriculture</t>
  </si>
  <si>
    <t>Construction</t>
  </si>
  <si>
    <t>Wholesale Trade</t>
  </si>
  <si>
    <t>Retail Trade</t>
  </si>
  <si>
    <t>Government</t>
  </si>
  <si>
    <t>Wyoming</t>
  </si>
  <si>
    <t>Alabama</t>
  </si>
  <si>
    <t>Alaska</t>
  </si>
  <si>
    <t>Arizona</t>
  </si>
  <si>
    <t>Arkansas</t>
  </si>
  <si>
    <t>California</t>
  </si>
  <si>
    <t>Colorado</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</si>
  <si>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</si>
  <si>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</si>
  <si>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</si>
  <si>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</si>
  <si>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</si>
  <si>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</si>
  <si>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</si>
  <si>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</si>
  <si>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</si>
  <si>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</si>
  <si>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</si>
  <si>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</si>
  <si>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</si>
  <si>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</si>
  <si>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</si>
  <si>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</si>
  <si>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</si>
  <si>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</si>
  <si>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</si>
  <si>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</si>
  <si>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</si>
  <si>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</si>
  <si>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</si>
  <si>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</si>
  <si>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</si>
  <si>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</si>
  <si>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</si>
  <si>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</si>
  <si>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</si>
  <si>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</si>
  <si>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</si>
  <si>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</si>
  <si>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</si>
  <si>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</si>
  <si>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</si>
  <si>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</si>
  <si>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</si>
  <si>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</si>
  <si>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</si>
  <si>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</si>
  <si>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</si>
  <si>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</si>
  <si>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</si>
  <si>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</si>
  <si>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State Specific Multipliers</t>
  </si>
  <si>
    <t>Cost</t>
  </si>
  <si>
    <t>Financial Parameters</t>
  </si>
  <si>
    <t xml:space="preserve">  Percentage financed</t>
  </si>
  <si>
    <t xml:space="preserve">  Years financed (term)</t>
  </si>
  <si>
    <t xml:space="preserve">  Interest rate</t>
  </si>
  <si>
    <t>Demand</t>
  </si>
  <si>
    <t>Adj Demand</t>
  </si>
  <si>
    <t>Year</t>
  </si>
  <si>
    <t>Deflator</t>
  </si>
  <si>
    <t xml:space="preserve">Economic Impact Analysis for </t>
  </si>
  <si>
    <t>Direct</t>
  </si>
  <si>
    <t>Indirect</t>
  </si>
  <si>
    <t>Induced</t>
  </si>
  <si>
    <t>Mining</t>
  </si>
  <si>
    <t>Manufacturing</t>
  </si>
  <si>
    <t>Fabricated Metals</t>
  </si>
  <si>
    <t>Machinery</t>
  </si>
  <si>
    <t>Electrical Equipment</t>
  </si>
  <si>
    <t>TCPU</t>
  </si>
  <si>
    <t>FIRE</t>
  </si>
  <si>
    <t>Misc. Services</t>
  </si>
  <si>
    <t>Professional Services</t>
  </si>
  <si>
    <t>PCE</t>
  </si>
  <si>
    <t xml:space="preserve">Project Construction Costs </t>
  </si>
  <si>
    <t>Local $ Spending</t>
  </si>
  <si>
    <t>Other Parameters</t>
  </si>
  <si>
    <t>Plant Employees</t>
  </si>
  <si>
    <t>Default</t>
  </si>
  <si>
    <t xml:space="preserve">  Total</t>
  </si>
  <si>
    <t xml:space="preserve">  Local Spending</t>
  </si>
  <si>
    <t>Dollars</t>
  </si>
  <si>
    <t>Inflator to</t>
  </si>
  <si>
    <t>Property Taxes</t>
  </si>
  <si>
    <t xml:space="preserve">Inflate to </t>
  </si>
  <si>
    <t>Project Cost</t>
  </si>
  <si>
    <t>Earnings Direct Multipliers</t>
  </si>
  <si>
    <t>Earnings</t>
  </si>
  <si>
    <t>Output</t>
  </si>
  <si>
    <t>Local Economic Impacts - Summary Results</t>
  </si>
  <si>
    <t>Tax Parameters</t>
  </si>
  <si>
    <t>With Plant Employees</t>
  </si>
  <si>
    <t xml:space="preserve">     Induced Impacts</t>
  </si>
  <si>
    <t xml:space="preserve">PCE </t>
  </si>
  <si>
    <t>Plant Emp</t>
  </si>
  <si>
    <t>Without Plant Employees</t>
  </si>
  <si>
    <t>Plant Employees Only</t>
  </si>
  <si>
    <t xml:space="preserve"> Multipliers For Economic Input-Output Analysis</t>
  </si>
  <si>
    <t>Interest Pmt</t>
  </si>
  <si>
    <t>Principal Pmt</t>
  </si>
  <si>
    <t>Total Pmt</t>
  </si>
  <si>
    <t>Loan Repayment Schedule</t>
  </si>
  <si>
    <t>Debt - Loan Repayment Schedule</t>
  </si>
  <si>
    <t>Debt Financing</t>
  </si>
  <si>
    <t xml:space="preserve">  Average Annual Payment (Interest and Principal)</t>
  </si>
  <si>
    <t>Percent of</t>
  </si>
  <si>
    <t>AvgAnn</t>
  </si>
  <si>
    <t>Debt Pmt - Local share Avg Ann Interest</t>
  </si>
  <si>
    <t>From DefaultData</t>
  </si>
  <si>
    <t>User Modified (from Project Data worksheet - based on loan parameters)</t>
  </si>
  <si>
    <t>Jobs Per Million Dollars Change in Final Demand</t>
  </si>
  <si>
    <t>Earnings Per Million Dollars Change in Final Demand</t>
  </si>
  <si>
    <t>Output Per Million Dollars Change in Final Demand</t>
  </si>
  <si>
    <t xml:space="preserve">Personal Consumption Expenditures </t>
  </si>
  <si>
    <t xml:space="preserve">  Jobs Indirect Multipliers</t>
  </si>
  <si>
    <t xml:space="preserve">  Jobs Direct Multipliers</t>
  </si>
  <si>
    <t xml:space="preserve">  Jobs Induced Multipliers</t>
  </si>
  <si>
    <t xml:space="preserve">  Earnings Indirect Multipliers</t>
  </si>
  <si>
    <t xml:space="preserve">  Earnings Induced Multipliers</t>
  </si>
  <si>
    <t xml:space="preserve">  Output Direct Multipliers</t>
  </si>
  <si>
    <t xml:space="preserve">  Output Indirect Multipliers</t>
  </si>
  <si>
    <t xml:space="preserve">  Output Induced Multipliers</t>
  </si>
  <si>
    <t xml:space="preserve">    Local Spending</t>
  </si>
  <si>
    <t xml:space="preserve">  Other Annual Costs</t>
  </si>
  <si>
    <t xml:space="preserve">      Property Taxes</t>
  </si>
  <si>
    <t xml:space="preserve">  Taxable Value</t>
  </si>
  <si>
    <t xml:space="preserve">  Taxable Value (percent of assessed value)</t>
  </si>
  <si>
    <t xml:space="preserve">  Assessed Value (percent of construction cost)</t>
  </si>
  <si>
    <t xml:space="preserve">  Direct Operating and Maintenance Costs</t>
  </si>
  <si>
    <t>Total Annual Operational Expenses</t>
  </si>
  <si>
    <t>Construction Costs Local Demand</t>
  </si>
  <si>
    <t>Inflator</t>
  </si>
  <si>
    <t>Margins</t>
  </si>
  <si>
    <t>Other Services</t>
  </si>
  <si>
    <t>Other Manufacturing</t>
  </si>
  <si>
    <t>Annual O&amp;M Costs Local Demand</t>
  </si>
  <si>
    <t>Annual Operations and Maintenance Costs Local Demand - margined</t>
  </si>
  <si>
    <t>MyRegion</t>
  </si>
  <si>
    <t>MyCounty</t>
  </si>
  <si>
    <t>Project Location</t>
  </si>
  <si>
    <t>MyCounty (name)</t>
  </si>
  <si>
    <t>MyRegion (includes)</t>
  </si>
  <si>
    <t xml:space="preserve">  During operating years (annual)</t>
  </si>
  <si>
    <t>Employee - (SSI, Med, Inc Tax)</t>
  </si>
  <si>
    <t xml:space="preserve">Earnings - Gross </t>
  </si>
  <si>
    <t>Year of Data</t>
  </si>
  <si>
    <t xml:space="preserve">  Year of Multiplier Data</t>
  </si>
  <si>
    <t>Region of Analysis</t>
  </si>
  <si>
    <t xml:space="preserve">  Year of Construction $s</t>
  </si>
  <si>
    <t>Jobs and Economic Development Impact Model</t>
  </si>
  <si>
    <t>State</t>
  </si>
  <si>
    <t>County</t>
  </si>
  <si>
    <t>Small</t>
  </si>
  <si>
    <t>Medium</t>
  </si>
  <si>
    <t>Large</t>
  </si>
  <si>
    <t>Very Small</t>
  </si>
  <si>
    <t>Frequently Asked Questions (FAQ)</t>
  </si>
  <si>
    <t>Jobs and Economic Development Model (JEDI)</t>
  </si>
  <si>
    <t xml:space="preserve">I am interested in viewing and possibly editting internal formulas within the model, how do I access them?  </t>
  </si>
  <si>
    <t>How do I run a county or regional level analysis?</t>
  </si>
  <si>
    <t>time you open a file.  Alternately, the model can be successfully run with the macros disabled.</t>
  </si>
  <si>
    <t xml:space="preserve">can run the model with the macros enabled?  </t>
  </si>
  <si>
    <t>Is additional technical support available?</t>
  </si>
  <si>
    <t>How can I determine which version of the JEDI model I have?</t>
  </si>
  <si>
    <t xml:space="preserve">The version (release number) of the model you are currently using is listed in the "About JEDI" worksheet contained in this model.  </t>
  </si>
  <si>
    <t xml:space="preserve">Running a county or regional level analysis is similar to running a state level analysis, although there are two key differences users must keep in mind.  First, the model </t>
  </si>
  <si>
    <t xml:space="preserve">County level multipliers and personal consumption expenditure patterns are available from a number of sources.  Users familiar with IMPLAN or input-output modeling can </t>
  </si>
  <si>
    <t>purchase the raw county level data and derive the multipliers themselves, purchase them from someone familiar with input-output modeling, purchase them directly from</t>
  </si>
  <si>
    <t xml:space="preserve"> IMPLAN (www.implan.com), or contact MRG &amp; Associates (mrgassociates@earthlink.net), the model developer.</t>
  </si>
  <si>
    <t>cutting and pasting the data into their respective locations.  With the data installed it is also necessary to insert the county or region name and the year of the data.</t>
  </si>
  <si>
    <t>does not contain county or regional level multipliers, thus users must obtain these and add them into the model. (See FAQ on obtaining county or regional level</t>
  </si>
  <si>
    <t>What does the "local share" refer to?</t>
  </si>
  <si>
    <t>The "local share" refers to the percentage of each expenditure that is actually spent locally (i.e., in the state, county or region being analyzed).  For example, if $1 million</t>
  </si>
  <si>
    <t>is going to be spent on construction materials and half ($500,000) of this total will be purchased from local suppliers, we say the "local share" is 50 percent.</t>
  </si>
  <si>
    <t>Since the "local share" is directly related to the availability of local businesses and services and their ability to meet the construction and annual operating demands</t>
  </si>
  <si>
    <t>Where can I get county or regional level data to add-in to the model to run a county or region specific analysis?</t>
  </si>
  <si>
    <t>How do I add in county or regional level multipliers and the personal consumption expenditure data?</t>
  </si>
  <si>
    <t xml:space="preserve">Adding-in county or regional level multipliers and personal consumtption expenditure data involves going to the "User Add-in Location" worksheet in this model and </t>
  </si>
  <si>
    <t>Personal Consumption Expenditures (PCE)</t>
  </si>
  <si>
    <t>area.  The population provides a reference for the model to automatically insert 'local share" defaults for the analysis.</t>
  </si>
  <si>
    <t>multipliers and how to add in the data)  Second, to run a county or regional level analysis users must enter the county or regional population in the Project Description</t>
  </si>
  <si>
    <t>Adj Demand - Million</t>
  </si>
  <si>
    <t xml:space="preserve">a web site. </t>
  </si>
  <si>
    <t xml:space="preserve">The message you are receiving is related to the level of security you have chosen in your Excel™ set up.  To change the setting for opening files, open Excel™, on the </t>
  </si>
  <si>
    <t>top toolbar, click on "tools," then "macros" then "security."  Reset the security level to "medium," this will enable you to choose to enable or disable macros each</t>
  </si>
  <si>
    <t>Detailed PV Project Data Costs</t>
  </si>
  <si>
    <t xml:space="preserve">  Materials &amp; Equipment</t>
  </si>
  <si>
    <t>Installation Costs Local Demand - margined</t>
  </si>
  <si>
    <t>N</t>
  </si>
  <si>
    <t>System Type</t>
  </si>
  <si>
    <t xml:space="preserve">  Project Location</t>
  </si>
  <si>
    <t xml:space="preserve">      Debt Payments </t>
  </si>
  <si>
    <t>Manufactured</t>
  </si>
  <si>
    <t>Y</t>
  </si>
  <si>
    <t xml:space="preserve">When I open up the model I receive a security alert message stating "the macros in the file have been disabled," how do I change the security setting so I </t>
  </si>
  <si>
    <t xml:space="preserve">I want to make my analysis as accurate as possible, where can I get information to adjust the default "local share" values (in the ProjectData worksheet) </t>
  </si>
  <si>
    <t>for my state or county?</t>
  </si>
  <si>
    <t xml:space="preserve">of the project, it is important to have an accurate picture of these local resources.  This can be obtained in a number of ways: contacting experienced and knowlegeable </t>
  </si>
  <si>
    <t>persons in the area, contacting local business and contractor organizations and/or the local chamber of commerce, among others.</t>
  </si>
  <si>
    <t xml:space="preserve">I want to make my property tax estimates as accurate as possible, where can I get information to modify the tax rates in the ProjectData worksheet. </t>
  </si>
  <si>
    <t>Calculating annual property taxes is different in every state and typically a complex formula.  The default methodology used in the model incorporates a generic formula</t>
  </si>
  <si>
    <t xml:space="preserve"> that derives the taxes from the product of the assessed value (percentage of construction cost), the taxable value (percentage of assessed value) and the tax rate </t>
  </si>
  <si>
    <t>(percentage of taxable value).  Alternately, users may input a know tax payment.  Information of tax rates and formulas for calculating property taxes can often be found</t>
  </si>
  <si>
    <t>by contacting the state Dept. of Revenue or Taxation, or the local taxation authority.</t>
  </si>
  <si>
    <t>Please read instructions before getting started</t>
  </si>
  <si>
    <t xml:space="preserve">INSTRUCTIONS:   </t>
  </si>
  <si>
    <t xml:space="preserve">  Population (only required for County/Region analysis)</t>
  </si>
  <si>
    <t>Warning</t>
  </si>
  <si>
    <t xml:space="preserve">This Worksheet contains Data and Formulas that are an integral part of the JEDI model.  </t>
  </si>
  <si>
    <t>Although the data and formulas are available for review they must not be changed.</t>
  </si>
  <si>
    <t>Any changes to the data or formulas will impact the analysis and may invalidate the model results.</t>
  </si>
  <si>
    <t>To view the data and formulas simply scroll over to the adjacent columns to the right.</t>
  </si>
  <si>
    <t>2007$</t>
  </si>
  <si>
    <t>2008$</t>
  </si>
  <si>
    <t>Annual</t>
  </si>
  <si>
    <t>The JEDI model contains several intermediate worksheets that are an integral part of the model analysis. These worksheets are not designed to be changed by users.</t>
  </si>
  <si>
    <t>Several of these worksheets, including default data, calculations, and deflators may be viewed by merely clicking on the respective worksheet and scrolling to the right.</t>
  </si>
  <si>
    <t>Although these sheets may be viewed by users they are protected and can not be editted.  The model contains two additional worksheets: multipliers and household</t>
  </si>
  <si>
    <t>expenditures.  These worksheets are hidden to protect proprietary data derived from IMPLAN (Minnesota Implan Group).</t>
  </si>
  <si>
    <t>3. Press 'Go To Summary Impacts' Button</t>
  </si>
  <si>
    <t xml:space="preserve">     The model was developed by Marshall Goldberg of MRG &amp; Associates, under contract with the National Renewable Energy Laboratory.  Persons wishing </t>
  </si>
  <si>
    <t xml:space="preserve">more information on the methodology or data in the model should contact him at: </t>
  </si>
  <si>
    <r>
      <t xml:space="preserve">1. Begin by entering </t>
    </r>
    <r>
      <rPr>
        <b/>
        <i/>
        <sz val="10"/>
        <rFont val="Arial"/>
        <family val="2"/>
      </rPr>
      <t>Project Location</t>
    </r>
    <r>
      <rPr>
        <b/>
        <sz val="10"/>
        <rFont val="Arial"/>
        <family val="2"/>
      </rPr>
      <t xml:space="preserve"> (from pull-down list) and other </t>
    </r>
    <r>
      <rPr>
        <b/>
        <i/>
        <sz val="10"/>
        <rFont val="Arial"/>
        <family val="2"/>
      </rPr>
      <t>Project</t>
    </r>
    <r>
      <rPr>
        <b/>
        <sz val="10"/>
        <rFont val="Arial"/>
        <family val="2"/>
      </rPr>
      <t xml:space="preserve"> </t>
    </r>
    <r>
      <rPr>
        <b/>
        <i/>
        <sz val="10"/>
        <rFont val="Arial"/>
        <family val="2"/>
      </rPr>
      <t>Descriptive Data</t>
    </r>
    <r>
      <rPr>
        <b/>
        <sz val="10"/>
        <rFont val="Arial"/>
        <family val="2"/>
      </rPr>
      <t xml:space="preserve"> relevant to your particular project.  After inputting Descriptive Data press enter (or cursor to the next cell) to continue.</t>
    </r>
  </si>
  <si>
    <t>Project Cost Data</t>
  </si>
  <si>
    <t>Project Descriptive Data</t>
  </si>
  <si>
    <t>Sales Tax (Materials &amp; Equipment Purchases)</t>
  </si>
  <si>
    <t xml:space="preserve">  Local Sales Tax Rate</t>
  </si>
  <si>
    <t>Payroll Parameters</t>
  </si>
  <si>
    <t xml:space="preserve"> Payroll Cost</t>
  </si>
  <si>
    <t>wage/hour</t>
  </si>
  <si>
    <t>Payroll expense</t>
  </si>
  <si>
    <t>User Revised</t>
  </si>
  <si>
    <t xml:space="preserve">  Construction Labor</t>
  </si>
  <si>
    <t xml:space="preserve">  O&amp;M Labor</t>
  </si>
  <si>
    <t>Govt</t>
  </si>
  <si>
    <t>Health/Ins/Misc</t>
  </si>
  <si>
    <t>Wage per hour</t>
  </si>
  <si>
    <t>Share (%)</t>
  </si>
  <si>
    <t>Sales Tax Rate (%)</t>
  </si>
  <si>
    <t>2009$</t>
  </si>
  <si>
    <t>2010$</t>
  </si>
  <si>
    <t>Employer Payroll Overhead</t>
  </si>
  <si>
    <t>Revised Data</t>
  </si>
  <si>
    <t>User</t>
  </si>
  <si>
    <t>Other Sectors (not Construction)</t>
  </si>
  <si>
    <t>Manufacturing Jobs</t>
  </si>
  <si>
    <t>Eng. &amp; Prof. Svcs.</t>
  </si>
  <si>
    <t>Eng., Prof., &amp; Misc. Svcs.</t>
  </si>
  <si>
    <t>Mfg W&amp;S Earnings</t>
  </si>
  <si>
    <t>Mfg Output</t>
  </si>
  <si>
    <t>Other benefits</t>
  </si>
  <si>
    <t>Earnings (minus taxes, benefits, etc)</t>
  </si>
  <si>
    <t xml:space="preserve">   Induced Impacts</t>
  </si>
  <si>
    <t>During operating years</t>
  </si>
  <si>
    <t xml:space="preserve">  Local Property Tax (percent of taxable value)</t>
  </si>
  <si>
    <t>National Renewable Energy Laboratory</t>
  </si>
  <si>
    <t>MRG &amp; Associates</t>
  </si>
  <si>
    <t>Nevada City, California, 95959</t>
  </si>
  <si>
    <t>Tel.: 530.432.9373</t>
  </si>
  <si>
    <t>Email: MRGAssociates@earthlink.net</t>
  </si>
  <si>
    <t>Offset</t>
  </si>
  <si>
    <t>Sales Tax Rate</t>
  </si>
  <si>
    <t>Prop Tax Exemption</t>
  </si>
  <si>
    <t>Tax Rate</t>
  </si>
  <si>
    <t xml:space="preserve">  Property Tax Exemption (percent of local taxes)</t>
  </si>
  <si>
    <t xml:space="preserve">  Local Property Taxes</t>
  </si>
  <si>
    <t>Property Tax Exemption (%)</t>
  </si>
  <si>
    <t xml:space="preserve">     Project Development and Onsite Labor Impacts</t>
  </si>
  <si>
    <t xml:space="preserve">       Construction and Installation Labor</t>
  </si>
  <si>
    <t xml:space="preserve">       Construction and Installation Related Services</t>
  </si>
  <si>
    <t>During construction and installation period</t>
  </si>
  <si>
    <t xml:space="preserve">   Onsite Labor Impacts</t>
  </si>
  <si>
    <t xml:space="preserve">   Local Revenue and Supply Chain Impacts</t>
  </si>
  <si>
    <t xml:space="preserve">  Construction and Installation Labor</t>
  </si>
  <si>
    <t>Year of Construction or Installation</t>
  </si>
  <si>
    <t xml:space="preserve">  Total Impacts</t>
  </si>
  <si>
    <t xml:space="preserve">   Project Development and Onsite Labor Impacts</t>
  </si>
  <si>
    <t xml:space="preserve">     Construction and Installation Labor</t>
  </si>
  <si>
    <t xml:space="preserve">     Construction and Installation Related Services</t>
  </si>
  <si>
    <t>Jobs and Economic Development Impact Model (JEDI)</t>
  </si>
  <si>
    <t>Transmission Line Project Data</t>
  </si>
  <si>
    <t>JEDI - TRANSMISSION LINE</t>
  </si>
  <si>
    <t>government officials, decision makers and other potential users, to easily identify the local economic impacts associated with constructing and maintaining</t>
  </si>
  <si>
    <t xml:space="preserve">these lines. The second goal was to facilitate broad access and usage of the model by making it adaptable to a web based application that can be put on  </t>
  </si>
  <si>
    <t>Transformer</t>
  </si>
  <si>
    <t>Total Project Cost</t>
  </si>
  <si>
    <t xml:space="preserve">    Concrete, gravel, asphalt</t>
  </si>
  <si>
    <t xml:space="preserve">    Steel structures and poles</t>
  </si>
  <si>
    <t xml:space="preserve">    Civil (grading, roads, site prep, foundations, fencing)</t>
  </si>
  <si>
    <t xml:space="preserve">    Heavy Construction (Tower erection, Conductor stringing)</t>
  </si>
  <si>
    <t xml:space="preserve">    Project Management</t>
  </si>
  <si>
    <t xml:space="preserve">  Labor/Installation</t>
  </si>
  <si>
    <t xml:space="preserve">  Environmental Mitigation</t>
  </si>
  <si>
    <t>Number of Substations Installed</t>
  </si>
  <si>
    <t xml:space="preserve">  Miscellanous Business Services and Utilities</t>
  </si>
  <si>
    <t>Annual Operating and Maintenance Costs</t>
  </si>
  <si>
    <t xml:space="preserve">    Labor/Personnel</t>
  </si>
  <si>
    <t xml:space="preserve">    Replacement Parts/Equipment/ Spare Parts Inventory</t>
  </si>
  <si>
    <t xml:space="preserve">  Year of Construction/Installation</t>
  </si>
  <si>
    <t>Total Capital Cost</t>
  </si>
  <si>
    <t>Subtotal All Costs (without sales tax)</t>
  </si>
  <si>
    <t>Per Unit</t>
  </si>
  <si>
    <t xml:space="preserve">Local </t>
  </si>
  <si>
    <t xml:space="preserve">  Money Value (Dollar Year) </t>
  </si>
  <si>
    <t xml:space="preserve">    Converter Station (includes ground electrode)</t>
  </si>
  <si>
    <t>Miles of Line</t>
  </si>
  <si>
    <t xml:space="preserve">  Transmission Line Type</t>
  </si>
  <si>
    <t>Equity Financing/Repayment</t>
  </si>
  <si>
    <t xml:space="preserve">  Percentage equity</t>
  </si>
  <si>
    <t xml:space="preserve">  Individual Investors (percent of equity)</t>
  </si>
  <si>
    <t xml:space="preserve">  Corporate Investors (percent of equity)</t>
  </si>
  <si>
    <t xml:space="preserve">  Return on equity</t>
  </si>
  <si>
    <t xml:space="preserve">  Repayment term (years)</t>
  </si>
  <si>
    <t>Equity - Individual Investment Repayment Schedule</t>
  </si>
  <si>
    <t>Equity - Corporate Investment Repayment Schedule</t>
  </si>
  <si>
    <t>User Modified (from Project Data worksheet - based on equity investment parameters)</t>
  </si>
  <si>
    <t>Total cost per mile and percent of Capex</t>
  </si>
  <si>
    <t>Average Annual Debt Payment (Interest and Principal)</t>
  </si>
  <si>
    <t>Average Annual Equity Payment Individual (Interest and Principal)</t>
  </si>
  <si>
    <t>Average Annual Equity Payment Corporate (Interest and Principal)</t>
  </si>
  <si>
    <t>Equity Pmt - Local share Avg Ann Interest</t>
  </si>
  <si>
    <t>Individual</t>
  </si>
  <si>
    <t>Equity Pmts</t>
  </si>
  <si>
    <t xml:space="preserve">   Equipment and Supply Chain Impacts</t>
  </si>
  <si>
    <t xml:space="preserve">      Equity Payments</t>
  </si>
  <si>
    <t>Transmission Line Length (Miles)</t>
  </si>
  <si>
    <t>Transmission Line Type</t>
  </si>
  <si>
    <t>Construction Period (Months)</t>
  </si>
  <si>
    <t xml:space="preserve">  Construction Period (Months)</t>
  </si>
  <si>
    <t>Total Project Cost ($Million/Mile)</t>
  </si>
  <si>
    <t>Detailed Transmission Line Project Costs</t>
  </si>
  <si>
    <t>Annual Employer Cost</t>
  </si>
  <si>
    <t>Employer Cost</t>
  </si>
  <si>
    <t xml:space="preserve">    Labor</t>
  </si>
  <si>
    <t xml:space="preserve">     Equipment and Supply Chain Impacts</t>
  </si>
  <si>
    <t xml:space="preserve">  Total with Payments</t>
  </si>
  <si>
    <t xml:space="preserve">  Sales Tax (Materials &amp; Equipment Purchases)</t>
  </si>
  <si>
    <t>Total (without debt, equity,taxes, ROW pmts, etc.)</t>
  </si>
  <si>
    <t>Private</t>
  </si>
  <si>
    <t>ROW Pmts</t>
  </si>
  <si>
    <t>Plant Employee and Other Pmt Spending</t>
  </si>
  <si>
    <t>O&amp;M Cost</t>
  </si>
  <si>
    <t xml:space="preserve">      ROW Payments</t>
  </si>
  <si>
    <t>Cost $M/Mile</t>
  </si>
  <si>
    <t>Modeled</t>
  </si>
  <si>
    <t>Miles</t>
  </si>
  <si>
    <r>
      <t xml:space="preserve">     The JEDI model utilizes multipliers derived from IMPLAN data using the IMPLAN</t>
    </r>
    <r>
      <rPr>
        <vertAlign val="superscript"/>
        <sz val="12"/>
        <rFont val="Times New Roman"/>
        <family val="1"/>
      </rPr>
      <t>TM</t>
    </r>
    <r>
      <rPr>
        <sz val="12"/>
        <rFont val="Times New Roman"/>
        <family val="1"/>
      </rPr>
      <t xml:space="preserve"> Version 3.0 Social Accounting &amp; Impact Analysis Software.</t>
    </r>
  </si>
  <si>
    <t>JEDI - TRANSMISSION</t>
  </si>
  <si>
    <t xml:space="preserve">  </t>
  </si>
  <si>
    <t>69 kV AC</t>
  </si>
  <si>
    <t>115 kV AC</t>
  </si>
  <si>
    <t>230 kV AC</t>
  </si>
  <si>
    <t>345 kV AC</t>
  </si>
  <si>
    <t>500 kV AC</t>
  </si>
  <si>
    <t>765 kV AC</t>
  </si>
  <si>
    <t>PropertyTax Exemption</t>
  </si>
  <si>
    <t>Line</t>
  </si>
  <si>
    <t>Grid</t>
  </si>
  <si>
    <t>Voltage</t>
  </si>
  <si>
    <t xml:space="preserve">  Project represents a Federal Nexus (triggers NEPA)</t>
  </si>
  <si>
    <t>Transmission Line Costs</t>
  </si>
  <si>
    <t xml:space="preserve">     Engineering/Surveying/Geotechnical Consulting Services</t>
  </si>
  <si>
    <t xml:space="preserve">     Environmental &amp; Permitting Services</t>
  </si>
  <si>
    <t xml:space="preserve">  Subtotal Development and Preconstruction</t>
  </si>
  <si>
    <t xml:space="preserve">    Positions (new bays/circuits)</t>
  </si>
  <si>
    <t xml:space="preserve">    New Substation Facilities</t>
  </si>
  <si>
    <t xml:space="preserve">    Existing Substation Facilities (upgrades)</t>
  </si>
  <si>
    <t xml:space="preserve">    Transformers, Series Compensation, etc.</t>
  </si>
  <si>
    <t xml:space="preserve">    Converter Station</t>
  </si>
  <si>
    <t xml:space="preserve">    New Substation</t>
  </si>
  <si>
    <t xml:space="preserve">  Subtotal Materials &amp; Equipment</t>
  </si>
  <si>
    <t xml:space="preserve">  Subtotal Labor</t>
  </si>
  <si>
    <t>Yes</t>
  </si>
  <si>
    <t>No</t>
  </si>
  <si>
    <t>AC</t>
  </si>
  <si>
    <t>HVDC Bipole</t>
  </si>
  <si>
    <t>Unit</t>
  </si>
  <si>
    <t>Structure Configuration</t>
  </si>
  <si>
    <t>Steel Pole</t>
  </si>
  <si>
    <t>Lattice Tower</t>
  </si>
  <si>
    <t>Capacity</t>
  </si>
  <si>
    <t>MW</t>
  </si>
  <si>
    <t>Conductor Size per Phase</t>
  </si>
  <si>
    <t>kcmil</t>
  </si>
  <si>
    <t>477 ACSR</t>
  </si>
  <si>
    <t>795 ACSR</t>
  </si>
  <si>
    <t>1272 ACSR</t>
  </si>
  <si>
    <t>(2) 795 ACSR</t>
  </si>
  <si>
    <t>(3) 1590 ACSR</t>
  </si>
  <si>
    <t>(6) 954 ACSR</t>
  </si>
  <si>
    <t>(3) 1780 ACSR</t>
  </si>
  <si>
    <t>Average Span</t>
  </si>
  <si>
    <t>ft</t>
  </si>
  <si>
    <t>ROW Width</t>
  </si>
  <si>
    <t>ROW Area</t>
  </si>
  <si>
    <t>acres/mile</t>
  </si>
  <si>
    <t>Development and Preconstruction Duration</t>
  </si>
  <si>
    <t>years</t>
  </si>
  <si>
    <t>Construction Duration</t>
  </si>
  <si>
    <t>miles/month</t>
  </si>
  <si>
    <t>NESC Loading District</t>
  </si>
  <si>
    <t>Heavy</t>
  </si>
  <si>
    <t>% Rural</t>
  </si>
  <si>
    <t>%</t>
  </si>
  <si>
    <t>500 kV HVDC</t>
  </si>
  <si>
    <t>Local Share (%)</t>
  </si>
  <si>
    <t>Percent of Total Cost</t>
  </si>
  <si>
    <t>Cost Per Mile</t>
  </si>
  <si>
    <t>Transformer Data</t>
  </si>
  <si>
    <t>MVA</t>
  </si>
  <si>
    <t># Grid-Side</t>
  </si>
  <si>
    <t>Grid-Side</t>
  </si>
  <si>
    <t>per MVA</t>
  </si>
  <si>
    <t>Positions*</t>
  </si>
  <si>
    <t>Sub Cost**</t>
  </si>
  <si>
    <t xml:space="preserve">*  </t>
  </si>
  <si>
    <t>Number of grid-side positions based upon 3000 amp breaker capacity</t>
  </si>
  <si>
    <t xml:space="preserve">**  </t>
  </si>
  <si>
    <t>Grid-side cost includes the cost of the grid-side substation facilities (breakers, bus, relays, etc).</t>
  </si>
  <si>
    <t>Grid-side bus configuration assumed to be ring bus for ≤ 230 kV and breaker and one-half for ≥ 345 kV.</t>
  </si>
  <si>
    <t>Line-side substation costs (breakers, bus, relays, etc) included elsewhere.</t>
  </si>
  <si>
    <t>Line Voltage</t>
  </si>
  <si>
    <t>Grid Voltage</t>
  </si>
  <si>
    <t>Terrain and Population Density Multipliers</t>
  </si>
  <si>
    <t>Procurement &amp;</t>
  </si>
  <si>
    <t>Construction (PC)</t>
  </si>
  <si>
    <t>Right-of-Way</t>
  </si>
  <si>
    <t>Cost Multiplier</t>
  </si>
  <si>
    <t>Terrain Class</t>
  </si>
  <si>
    <t>Farmland</t>
  </si>
  <si>
    <t>Desert/remote</t>
  </si>
  <si>
    <t>Rolling</t>
  </si>
  <si>
    <t>Mountainous</t>
  </si>
  <si>
    <t xml:space="preserve"> </t>
  </si>
  <si>
    <t>Population Density Class</t>
  </si>
  <si>
    <t>Rural</t>
  </si>
  <si>
    <t>Near town</t>
  </si>
  <si>
    <t>In town</t>
  </si>
  <si>
    <t>Transmission Line Standard Configuration Assumptions</t>
  </si>
  <si>
    <t xml:space="preserve">  Terrain Classification</t>
  </si>
  <si>
    <t xml:space="preserve">T-Line </t>
  </si>
  <si>
    <t xml:space="preserve">  Population Density Classification (Right of Way access)</t>
  </si>
  <si>
    <t xml:space="preserve">  New Substations Required</t>
  </si>
  <si>
    <t>Public</t>
  </si>
  <si>
    <t xml:space="preserve">    Share of Total Line Length (Percentage)</t>
  </si>
  <si>
    <t xml:space="preserve">    Width (feet)</t>
  </si>
  <si>
    <t xml:space="preserve">  Right of Way (ROW)</t>
  </si>
  <si>
    <t xml:space="preserve">    Area (acres)</t>
  </si>
  <si>
    <t xml:space="preserve">    Cost ($/acre)</t>
  </si>
  <si>
    <t xml:space="preserve">  Development and Preconstruction Activities Period (Years)</t>
  </si>
  <si>
    <t xml:space="preserve">  Transmission Line Length (Miles)</t>
  </si>
  <si>
    <t xml:space="preserve">  New Converter Stations Required</t>
  </si>
  <si>
    <t>Converter Stations</t>
  </si>
  <si>
    <t>Number of Converter Stations</t>
  </si>
  <si>
    <t>Circuit Multipliers</t>
  </si>
  <si>
    <t xml:space="preserve"> For systems with 2 circuits </t>
  </si>
  <si>
    <t xml:space="preserve">    Overhead wire materials</t>
  </si>
  <si>
    <t xml:space="preserve">    Right-of-Way</t>
  </si>
  <si>
    <t xml:space="preserve">    Other materials and labor</t>
  </si>
  <si>
    <t>Multiplier</t>
  </si>
  <si>
    <t xml:space="preserve">    less than 20 miles</t>
  </si>
  <si>
    <t>Line Length Cost Multiplier</t>
  </si>
  <si>
    <t xml:space="preserve">    equal to or greater than 20 miles</t>
  </si>
  <si>
    <t>Assumes costs/mile based on lines 20 miles or greater</t>
  </si>
  <si>
    <t>Circuit Options</t>
  </si>
  <si>
    <t xml:space="preserve">         Line Length (Miles)</t>
  </si>
  <si>
    <t xml:space="preserve">  New Positions Added to Existing Substations (at line voltage)</t>
  </si>
  <si>
    <t xml:space="preserve">  Substation Upgrades Required</t>
  </si>
  <si>
    <t xml:space="preserve">  Positions Required for New Substations</t>
  </si>
  <si>
    <t xml:space="preserve">  Circuits</t>
  </si>
  <si>
    <t>Simple</t>
  </si>
  <si>
    <t>Advanced</t>
  </si>
  <si>
    <t>Select Model Analysis Type (Simple or Advanced)</t>
  </si>
  <si>
    <t>Project Descriptive Data (cont.)</t>
  </si>
  <si>
    <t>Flat w/access</t>
  </si>
  <si>
    <t>Massachussets</t>
  </si>
  <si>
    <t>United States</t>
  </si>
  <si>
    <t xml:space="preserve">    Choosing "Advanced"  Analysis allows user to review and edit additional project descriptive data, detailed cost data and other inputs.</t>
  </si>
  <si>
    <t xml:space="preserve">    If Simple Analysis is chosen, go directly to Summary Results; if Advanced Analysis  is choosen, review/edit additional project descriptive data, detailed cost data and other inputs.</t>
  </si>
  <si>
    <t>2. Once initial Project parameters are entered (lines 16-22), you may choose to perform a "Simple" analysis or an "Advanced" analysis.</t>
  </si>
  <si>
    <t>Services/Other Costs</t>
  </si>
  <si>
    <t xml:space="preserve">  Total Infrastructure Costs</t>
  </si>
  <si>
    <t xml:space="preserve">  Total Transmission Line Cost</t>
  </si>
  <si>
    <t xml:space="preserve"> Construction Activities</t>
  </si>
  <si>
    <t xml:space="preserve">  Development and Preconstruction Activites</t>
  </si>
  <si>
    <t xml:space="preserve"> Infrastructure Costs</t>
  </si>
  <si>
    <t xml:space="preserve">  System Operator and Regulator Fees</t>
  </si>
  <si>
    <t xml:space="preserve">  Subtotal Labor/Installation</t>
  </si>
  <si>
    <t xml:space="preserve">    Overhead wires (conductor and insulators and shield wire)</t>
  </si>
  <si>
    <t xml:space="preserve">  T-Line Management Services (Site mgmt, legal, lands, PR, etc.)</t>
  </si>
  <si>
    <t xml:space="preserve">  Substation Management Services (Site mgmt, legal, lands, PR, etc.)</t>
  </si>
  <si>
    <t xml:space="preserve">  T-Line Engineering, Const Mgmt, &amp; Environmental Monitoring</t>
  </si>
  <si>
    <t xml:space="preserve">  Substation Engineering, Const Mgmt, &amp; Environmental Monitoring</t>
  </si>
  <si>
    <t>positions (based on transformer voltage)</t>
  </si>
  <si>
    <t>(percent of PC for T-Line and Substation costs)</t>
  </si>
  <si>
    <t>per mile</t>
  </si>
  <si>
    <t>% of PC</t>
  </si>
  <si>
    <t xml:space="preserve">  Transmission Line and ROW</t>
  </si>
  <si>
    <t xml:space="preserve">    T-Line/ROW Labor (breakout from labor and materials)</t>
  </si>
  <si>
    <t xml:space="preserve">    T-Line/ROW Maintenance Materials</t>
  </si>
  <si>
    <t xml:space="preserve">    Insurance</t>
  </si>
  <si>
    <t xml:space="preserve">  Substation/Converter Station</t>
  </si>
  <si>
    <t xml:space="preserve">    T-Line/ROW Labor</t>
  </si>
  <si>
    <t>Project Procurement &amp; Construction (PC) Cost $/mile - Rural/flat</t>
  </si>
  <si>
    <t>Substation Procurement &amp; Construction (PC) Cost $/unit - Rural</t>
  </si>
  <si>
    <t xml:space="preserve">  Right of Way Access Acquisition Services</t>
  </si>
  <si>
    <t xml:space="preserve">  Right of Way Payments - Private Land</t>
  </si>
  <si>
    <t xml:space="preserve">  Engineering/Surveying/Geotechnical Consulting Services</t>
  </si>
  <si>
    <t xml:space="preserve">  Environmental &amp; Permitting Services</t>
  </si>
  <si>
    <t>Construction Activities -Line Costs</t>
  </si>
  <si>
    <t xml:space="preserve">    Overhead wires (conductor + insulators and shield wire)</t>
  </si>
  <si>
    <t xml:space="preserve">  Total Line Cost</t>
  </si>
  <si>
    <t>Infrastructure Costs</t>
  </si>
  <si>
    <t xml:space="preserve">  Materials &amp; Equipment - $ per position or per each</t>
  </si>
  <si>
    <t xml:space="preserve">     Positions (new Bays and Circuits)</t>
  </si>
  <si>
    <t xml:space="preserve">     Substation Facilities</t>
  </si>
  <si>
    <t xml:space="preserve">     Substation Facilities (upgrades to existing)</t>
  </si>
  <si>
    <t xml:space="preserve">     Transformers, Series Compensation, etc.</t>
  </si>
  <si>
    <t xml:space="preserve">     Converter Station (includes ground electrode)</t>
  </si>
  <si>
    <t xml:space="preserve">     Subtotal</t>
  </si>
  <si>
    <t xml:space="preserve">  Total Infrastructure Cost</t>
  </si>
  <si>
    <t xml:space="preserve"> Other Costs</t>
  </si>
  <si>
    <t xml:space="preserve">  Insurance</t>
  </si>
  <si>
    <t>Line length</t>
  </si>
  <si>
    <t>Terrain</t>
  </si>
  <si>
    <t>Pop. Density</t>
  </si>
  <si>
    <t xml:space="preserve">     Private Land Acquisition Payment</t>
  </si>
  <si>
    <t>Circuits</t>
  </si>
  <si>
    <t xml:space="preserve">       Procurement and Construction costs</t>
  </si>
  <si>
    <t xml:space="preserve">       Soft costs</t>
  </si>
  <si>
    <t>Right-of-Way Costs</t>
  </si>
  <si>
    <t>US Share (%)</t>
  </si>
  <si>
    <t>Per MIle</t>
  </si>
  <si>
    <t xml:space="preserve">  Construction Insurance (Substation)</t>
  </si>
  <si>
    <t xml:space="preserve"> Subtotal</t>
  </si>
  <si>
    <t xml:space="preserve"> Transmission Line Services</t>
  </si>
  <si>
    <t xml:space="preserve"> Subtotal Other Costs</t>
  </si>
  <si>
    <t>T-Line Nexus</t>
  </si>
  <si>
    <t>Percent of P&amp;C</t>
  </si>
  <si>
    <t>Per Mile</t>
  </si>
  <si>
    <t>Cost Per Unit</t>
  </si>
  <si>
    <t xml:space="preserve"> Infrastructure Services</t>
  </si>
  <si>
    <t xml:space="preserve">  Subtotal All O&amp;M Costs (without sales tax)</t>
  </si>
  <si>
    <t xml:space="preserve">  Right of Way/Royalty Payments - Public land</t>
  </si>
  <si>
    <t>Public Land</t>
  </si>
  <si>
    <t>Private Land</t>
  </si>
  <si>
    <t xml:space="preserve">  Grid System Voltage - existing grid side of transformer (kV)</t>
  </si>
  <si>
    <t xml:space="preserve">    Commerical/Industrial Construction (Substation, Converter)</t>
  </si>
  <si>
    <t xml:space="preserve"> Total Services/Other Costs</t>
  </si>
  <si>
    <t xml:space="preserve">     Total Impacts</t>
  </si>
  <si>
    <t xml:space="preserve">   Onsite Labor/Personnel Impacts</t>
  </si>
  <si>
    <t xml:space="preserve">   Subtotal</t>
  </si>
  <si>
    <t xml:space="preserve">    Transmission and ROW Labor/Personnel</t>
  </si>
  <si>
    <t xml:space="preserve">    Substation and Converter Station Labor/Personnel</t>
  </si>
  <si>
    <t>Terrain Classification</t>
  </si>
  <si>
    <t>Population Density Classification (Right of Way access)</t>
  </si>
  <si>
    <t>Project Construction and Installation Cost</t>
  </si>
  <si>
    <t>17935 Starduster Dr.</t>
  </si>
  <si>
    <t>transmission lines and other energy technologies should contact NREL at:</t>
  </si>
  <si>
    <t xml:space="preserve">     Persons wishing more information on how and/or where the model is being used or the role of the National Renewable Energy Laboratory (NREL) in analyzing </t>
  </si>
  <si>
    <t>15013 Denver West Parkway</t>
  </si>
  <si>
    <t>Golden, CO. 80401</t>
  </si>
  <si>
    <t xml:space="preserve">Email: jedisupport@nrel.gov </t>
  </si>
  <si>
    <t>2011$</t>
  </si>
  <si>
    <t>2012$</t>
  </si>
  <si>
    <t>2013$</t>
  </si>
  <si>
    <t>2014$</t>
  </si>
  <si>
    <t>2015$</t>
  </si>
  <si>
    <t>Sales Tax updated December 2012</t>
  </si>
  <si>
    <t xml:space="preserve">  Local Property/Other Tax Rate (percent of taxable value)</t>
  </si>
  <si>
    <t>Yes, technical support is available by contacting the National Renewable Energy Laboratory.  NREL can be reached by emailing jedisupport@nrel.gov.</t>
  </si>
  <si>
    <t>Percent of US</t>
  </si>
  <si>
    <t>Occupation: Electrical and Electronics Repairers, Powerhouse, Substation, and Relay (SOC code 492095), May 2012</t>
  </si>
  <si>
    <t>Occupation: Electrical Power-Line Installers and Repairers (SOC code 499051), May 2012</t>
  </si>
  <si>
    <t>Source: Bureau of Labor Statistics</t>
  </si>
  <si>
    <t>http://data.bls.gov/oes/areatype.do</t>
  </si>
  <si>
    <t>Hourly Mean Wage Data</t>
  </si>
  <si>
    <t xml:space="preserve">  Substation</t>
  </si>
  <si>
    <t xml:space="preserve">   Index to National</t>
  </si>
  <si>
    <t>Location</t>
  </si>
  <si>
    <t xml:space="preserve">  Civil Construction</t>
  </si>
  <si>
    <t>Occupation: Operating Engineers and Other Construction Equipment Operators (SOC code 472073), May 2012</t>
  </si>
  <si>
    <t xml:space="preserve">  Install and Repair</t>
  </si>
  <si>
    <t>During Construction and Installation Period</t>
  </si>
  <si>
    <t>During Operating Years</t>
  </si>
  <si>
    <t>Development and Preconstruction Activities Period (Years)</t>
  </si>
  <si>
    <t>repair operations/expenditures. Totals may not add up due to independent rounding.</t>
  </si>
  <si>
    <t>equivalent jobs for one year.  "During operating years" represent impacts that occur from maintenance and</t>
  </si>
  <si>
    <t xml:space="preserve"> Materials &amp; Equipment</t>
  </si>
  <si>
    <t>Transmission Line and ROW</t>
  </si>
  <si>
    <t>Substation/Converter Station</t>
  </si>
  <si>
    <t>Right of Way/Royalty Payments - Public land</t>
  </si>
  <si>
    <t>Total with Payments</t>
  </si>
  <si>
    <t>Project Represents a Federal Nexus (triggers NEPA)</t>
  </si>
  <si>
    <t>Substations</t>
  </si>
  <si>
    <t>T-Line P&amp;C</t>
  </si>
  <si>
    <t>Sub P&amp;C</t>
  </si>
  <si>
    <t>Positions</t>
  </si>
  <si>
    <t>Sub Upgrades</t>
  </si>
  <si>
    <t xml:space="preserve">Sales Tax </t>
  </si>
  <si>
    <t xml:space="preserve">  Sales Tax </t>
  </si>
  <si>
    <t xml:space="preserve">  T-Line Management Services (Site mgmt, legal, lands, ins, PR, etc.)</t>
  </si>
  <si>
    <t>Annual Direct Operations and Maintenance Cost (Percent of Project Cost)</t>
  </si>
  <si>
    <t xml:space="preserve">  Annual Direct O&amp;M Cost (% of Total Cost)</t>
  </si>
  <si>
    <t xml:space="preserve">  Project Cost ($Million/Mile)</t>
  </si>
  <si>
    <t xml:space="preserve">economic impact analysis, and more experienced and knowledgeable users who have a need for this specific type of analysis. </t>
  </si>
  <si>
    <t xml:space="preserve"> different levels of project specific information and user skill. This insures the greatest flexibility, for inexperienced spreadsheet users, those unfamiliar with</t>
  </si>
  <si>
    <t xml:space="preserve">     Consistent with these goals, a strong emphasis was placed on designing the model in a user-friendly format that could be easily modified - reflecting</t>
  </si>
  <si>
    <t xml:space="preserve">     The Jobs and Economic Development Impact Model (JEDI) was developed in 2013 to demonstrate the economic benefits associated with transmission</t>
  </si>
  <si>
    <t xml:space="preserve">lines in the United States.  The primary goal in developing the state level model was to provide a tool for system developers, renewable energy advocates, </t>
  </si>
  <si>
    <t>Population Density</t>
  </si>
  <si>
    <t>Private Land ROW Multipliers</t>
  </si>
  <si>
    <t xml:space="preserve">     Land Acquisition Services</t>
  </si>
  <si>
    <t xml:space="preserve">Money Value (Dollar Year) </t>
  </si>
  <si>
    <t xml:space="preserve">    Choosing "Simple" Analysis indicates use of Model defaults, no editing of detailed cost data and other inputs.</t>
  </si>
  <si>
    <t>Percent of Default P&amp;C</t>
  </si>
  <si>
    <t>Percent of Default Subtation P&amp;C</t>
  </si>
  <si>
    <t>NOTE:  Additional information is available by pointing to the red triangles located in cell corners. Only those cells with a white background can be changed (i.e., accept edits).</t>
  </si>
  <si>
    <r>
      <t xml:space="preserve">If desired, after editing, default values (in cells below) may be restored by pressing the 'Restore Default Values' button located at the buttom of the worksheet below all data.  </t>
    </r>
    <r>
      <rPr>
        <b/>
        <i/>
        <sz val="9"/>
        <rFont val="Arial"/>
        <family val="2"/>
      </rPr>
      <t>Note: it is not necessary to restore defaults to incorporate default Project Descriptive and Cost Data in system analysis. Choosing "Simple" analysis in cell B24 above will direct model to utilize default cost data in the analysis.</t>
    </r>
    <r>
      <rPr>
        <b/>
        <sz val="10"/>
        <rFont val="Arial"/>
        <family val="2"/>
      </rPr>
      <t xml:space="preserve">  </t>
    </r>
  </si>
  <si>
    <t>Value Added Per Million Dollars Change in Final Demand</t>
  </si>
  <si>
    <t>      Value Added Direct Multipliers</t>
  </si>
  <si>
    <t>Fabricated    Metals</t>
  </si>
  <si>
    <t>Electrical    Equipment</t>
  </si>
  <si>
    <t>Wholesale    Trade</t>
  </si>
  <si>
    <t>Retail    Trade</t>
  </si>
  <si>
    <t>Misc.    Services</t>
  </si>
  <si>
    <t>Professional    Services</t>
  </si>
  <si>
    <t>      Value Added Indirect Multipliers</t>
  </si>
  <si>
    <t>      Value Added Induced Multipliers</t>
  </si>
  <si>
    <t>Persons wishing more information on the IMPLAN data or the software should contact the IMPLAN Group.</t>
  </si>
  <si>
    <t>16740 Birkdale Commons Parkway Suite 206</t>
  </si>
  <si>
    <t>Huntersville, North Carolina 28078</t>
  </si>
  <si>
    <t xml:space="preserve">Tel: 651.439.4421 </t>
  </si>
  <si>
    <t xml:space="preserve">www.implan.com </t>
  </si>
  <si>
    <t>IMPLAN Group, LLC</t>
  </si>
  <si>
    <t xml:space="preserve">  Value Added Direct Multipliers</t>
  </si>
  <si>
    <t xml:space="preserve">  Value Added Indirect Multipliers</t>
  </si>
  <si>
    <t xml:space="preserve">  Value Added Induced Multipliers</t>
  </si>
  <si>
    <t>Value Added</t>
  </si>
  <si>
    <t>Release Number: TL12.23.16</t>
  </si>
  <si>
    <t>2016$</t>
  </si>
  <si>
    <t>2017$</t>
  </si>
  <si>
    <t>2018$</t>
  </si>
  <si>
    <t>2019$</t>
  </si>
  <si>
    <t>2020$</t>
  </si>
  <si>
    <t xml:space="preserve">Source:  Deflators and Inflators derived from data contained in the Budget of the United States Government: Table 10.1 - Gross Domestic Product and Deflators Used in the Historical Tables 1940-2021.  </t>
  </si>
  <si>
    <t>https://www.whitehouse.gov/omb/budget/Historicals</t>
  </si>
  <si>
    <t>Updated November 2016.  Deflators for 2016-2040 assume average annual inflation rate derived from 2013-2020 GDP values.</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</si>
</sst>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64" formatCode="&quot;$&quot;#,##0_);\(&quot;$&quot;#,##0\)"/>
    <numFmt numFmtId="165" formatCode="&quot;$&quot;#,##0_);[Red]\(&quot;$&quot;#,##0\)"/>
    <numFmt numFmtId="166" formatCode="&quot;$&quot;#,##0.00_);\(&quot;$&quot;#,##0.00\)"/>
    <numFmt numFmtId="167" formatCode="&quot;$&quot;#,##0.00_);[Red]\(&quot;$&quot;#,##0.00\)"/>
    <numFmt numFmtId="168" formatCode="_(&quot;$&quot;* #,##0.00_);_(&quot;$&quot;* \(#,##0.00\);_(&quot;$&quot;* &quot;-&quot;??_);_(@_)"/>
    <numFmt numFmtId="169" formatCode="_(* #,##0.00_);_(* \(#,##0.00\);_(* &quot;-&quot;??_);_(@_)"/>
    <numFmt numFmtId="170" formatCode="0.0"/>
    <numFmt numFmtId="171" formatCode="&quot;$&quot;#,##0"/>
    <numFmt numFmtId="172" formatCode="#,##0.0"/>
    <numFmt numFmtId="173" formatCode="&quot;$&quot;#,##0.0"/>
    <numFmt numFmtId="174" formatCode="0.000"/>
    <numFmt numFmtId="175" formatCode="&quot;$&quot;#,##0.00"/>
    <numFmt numFmtId="176" formatCode="&quot;$&quot;#,##0.000"/>
    <numFmt numFmtId="177" formatCode="0.0%"/>
    <numFmt numFmtId="178" formatCode="0.0000"/>
    <numFmt numFmtId="179" formatCode="&quot;$&quot;#,##0.0000"/>
    <numFmt numFmtId="180" formatCode="_(&quot;$&quot;* #,##0_);_(&quot;$&quot;* \(#,##0\);_(&quot;$&quot;* &quot;-&quot;??_);_(@_)"/>
    <numFmt numFmtId="181" formatCode="_(* #,##0_);_(* \(#,##0\);_(* &quot;-&quot;??_);_(@_)"/>
    <numFmt numFmtId="182" formatCode="0.000%"/>
    <numFmt numFmtId="183" formatCode="_(* #,##0.0000_);_(* \(#,##0.0000\);_(* &quot;-&quot;??_);_(@_)"/>
    <numFmt numFmtId="184" formatCode="0.0000%"/>
    <numFmt numFmtId="185" formatCode="0.000000"/>
    <numFmt numFmtId="186" formatCode="0.00000"/>
    <numFmt numFmtId="187" formatCode="_(* #,##0.00000_);_(* \(#,##0.00000\);_(* &quot;-&quot;??_);_(@_)"/>
    <numFmt numFmtId="188" formatCode="#,##0.0_);\(#,##0.0\)"/>
  </numFmts>
  <fonts count="66" x14ac:knownFonts="1">
    <font>
      <sz val="10"/>
      <name val="Arial"/>
    </font>
    <font>
      <sz val="10"/>
      <name val="Arial"/>
      <family val="2"/>
    </font>
    <font>
      <b/>
      <sz val="10"/>
      <name val="Arial"/>
      <family val="2"/>
    </font>
    <font>
      <b/>
      <sz val="20"/>
      <name val="Arial"/>
      <family val="2"/>
    </font>
    <font>
      <sz val="10"/>
      <name val="Arial"/>
      <family val="2"/>
    </font>
    <font>
      <b/>
      <sz val="11"/>
      <name val="Arial"/>
      <family val="2"/>
    </font>
    <font>
      <b/>
      <sz val="12"/>
      <name val="Arial"/>
      <family val="2"/>
    </font>
    <font>
      <sz val="10"/>
      <name val="Arial Unicode MS"/>
      <family val="2"/>
    </font>
    <font>
      <u/>
      <sz val="10"/>
      <color indexed="12"/>
      <name val="Arial"/>
      <family val="2"/>
    </font>
    <font>
      <b/>
      <sz val="10"/>
      <name val="Arial Unicode MS"/>
      <family val="2"/>
    </font>
    <font>
      <sz val="8"/>
      <color indexed="81"/>
      <name val="Tahoma"/>
      <family val="2"/>
    </font>
    <font>
      <b/>
      <sz val="8"/>
      <color indexed="81"/>
      <name val="Tahoma"/>
      <family val="2"/>
    </font>
    <font>
      <b/>
      <sz val="8"/>
      <color indexed="10"/>
      <name val="Tahoma"/>
      <family val="2"/>
    </font>
    <font>
      <b/>
      <sz val="10"/>
      <color indexed="10"/>
      <name val="Arial"/>
      <family val="2"/>
    </font>
    <font>
      <sz val="8"/>
      <name val="Arial"/>
      <family val="2"/>
    </font>
    <font>
      <sz val="6"/>
      <name val="Arial"/>
      <family val="2"/>
    </font>
    <font>
      <b/>
      <sz val="9"/>
      <name val="Arial"/>
      <family val="2"/>
    </font>
    <font>
      <b/>
      <sz val="14"/>
      <name val="Arial"/>
      <family val="2"/>
    </font>
    <font>
      <b/>
      <sz val="11"/>
      <color indexed="10"/>
      <name val="Arial"/>
      <family val="2"/>
    </font>
    <font>
      <sz val="10"/>
      <color indexed="10"/>
      <name val="Arial"/>
      <family val="2"/>
    </font>
    <font>
      <b/>
      <sz val="48"/>
      <name val="Arial"/>
      <family val="2"/>
    </font>
    <font>
      <b/>
      <sz val="18"/>
      <name val="Arial"/>
      <family val="2"/>
    </font>
    <font>
      <b/>
      <sz val="16"/>
      <name val="Arial"/>
      <family val="2"/>
    </font>
    <font>
      <i/>
      <sz val="10"/>
      <name val="Arial"/>
      <family val="2"/>
    </font>
    <font>
      <b/>
      <i/>
      <sz val="18"/>
      <name val="Arial"/>
      <family val="2"/>
    </font>
    <font>
      <sz val="10"/>
      <color indexed="12"/>
      <name val="Arial"/>
      <family val="2"/>
    </font>
    <font>
      <sz val="10"/>
      <color indexed="12"/>
      <name val="Arial"/>
      <family val="2"/>
    </font>
    <font>
      <b/>
      <i/>
      <sz val="10"/>
      <name val="Arial"/>
      <family val="2"/>
    </font>
    <font>
      <sz val="10"/>
      <color indexed="9"/>
      <name val="Arial"/>
      <family val="2"/>
    </font>
    <font>
      <b/>
      <sz val="10"/>
      <color indexed="81"/>
      <name val="Tahoma"/>
      <family val="2"/>
    </font>
    <font>
      <sz val="12"/>
      <name val="Times New Roman"/>
      <family val="1"/>
    </font>
    <font>
      <sz val="10"/>
      <color indexed="8"/>
      <name val="Arial"/>
      <family val="2"/>
    </font>
    <font>
      <i/>
      <sz val="10"/>
      <color indexed="12"/>
      <name val="Arial"/>
      <family val="2"/>
    </font>
    <font>
      <b/>
      <i/>
      <sz val="12"/>
      <name val="Arial"/>
      <family val="2"/>
    </font>
    <font>
      <sz val="12"/>
      <name val="Arial"/>
      <family val="2"/>
    </font>
    <font>
      <b/>
      <sz val="18"/>
      <color indexed="10"/>
      <name val="Arial"/>
      <family val="2"/>
    </font>
    <font>
      <b/>
      <sz val="12"/>
      <color indexed="10"/>
      <name val="Arial"/>
      <family val="2"/>
    </font>
    <font>
      <b/>
      <i/>
      <sz val="9"/>
      <name val="Arial"/>
      <family val="2"/>
    </font>
    <font>
      <vertAlign val="superscript"/>
      <sz val="12"/>
      <name val="Times New Roman"/>
      <family val="1"/>
    </font>
    <font>
      <sz val="11"/>
      <name val="Arial"/>
      <family val="2"/>
    </font>
    <font>
      <sz val="10"/>
      <color indexed="81"/>
      <name val="Tahoma"/>
      <family val="2"/>
    </font>
    <font>
      <sz val="12"/>
      <name val="Times New Roman"/>
      <family val="1"/>
    </font>
    <font>
      <sz val="8"/>
      <name val="Arial"/>
      <family val="2"/>
    </font>
    <font>
      <sz val="10"/>
      <name val="Arial"/>
      <family val="2"/>
    </font>
    <font>
      <b/>
      <sz val="11"/>
      <color indexed="8"/>
      <name val="Calibri"/>
      <family val="2"/>
    </font>
    <font>
      <sz val="11"/>
      <color indexed="8"/>
      <name val="Calibri"/>
      <family val="2"/>
    </font>
    <font>
      <i/>
      <sz val="13"/>
      <color indexed="8"/>
      <name val="Calibri"/>
      <family val="2"/>
    </font>
    <font>
      <i/>
      <sz val="11"/>
      <color indexed="8"/>
      <name val="Calibri"/>
      <family val="2"/>
    </font>
    <font>
      <sz val="13"/>
      <color indexed="8"/>
      <name val="Calibri"/>
      <family val="2"/>
    </font>
    <font>
      <b/>
      <sz val="10"/>
      <color indexed="8"/>
      <name val="Arial"/>
      <family val="2"/>
    </font>
    <font>
      <i/>
      <sz val="10"/>
      <color indexed="8"/>
      <name val="Arial"/>
      <family val="2"/>
    </font>
    <font>
      <b/>
      <i/>
      <sz val="12"/>
      <name val="Calibri"/>
      <family val="2"/>
    </font>
    <font>
      <sz val="11"/>
      <name val="Calibri"/>
      <family val="2"/>
    </font>
    <font>
      <i/>
      <sz val="11"/>
      <name val="Calibri"/>
      <family val="2"/>
    </font>
    <font>
      <b/>
      <i/>
      <sz val="12"/>
      <color indexed="8"/>
      <name val="Calibri"/>
      <family val="2"/>
    </font>
    <font>
      <b/>
      <sz val="20"/>
      <color indexed="10"/>
      <name val="Arial"/>
      <family val="2"/>
    </font>
    <font>
      <b/>
      <sz val="14"/>
      <color rgb="FF000000"/>
      <name val="Arial"/>
      <family val="2"/>
    </font>
    <font>
      <sz val="14"/>
      <color rgb="FF000000"/>
      <name val="Arial"/>
      <family val="2"/>
    </font>
    <font>
      <sz val="10"/>
      <color rgb="FF000000"/>
      <name val="Arial"/>
      <family val="2"/>
    </font>
    <font>
      <b/>
      <sz val="10"/>
      <color rgb="FFFF0000"/>
      <name val="Arial"/>
      <family val="2"/>
    </font>
    <font>
      <sz val="10"/>
      <name val="Arial"/>
      <family val="2"/>
    </font>
    <font>
      <b/>
      <i/>
      <sz val="10"/>
      <color indexed="8"/>
      <name val="Arial"/>
      <family val="2"/>
    </font>
    <font>
      <b/>
      <sz val="22"/>
      <color indexed="10"/>
      <name val="Arial"/>
      <family val="2"/>
    </font>
    <font>
      <b/>
      <sz val="8"/>
      <color rgb="FF000000"/>
      <name val="Tahoma"/>
      <family val="2"/>
    </font>
    <font>
      <sz val="8"/>
      <color rgb="FF000000"/>
      <name val="Tahoma"/>
      <family val="2"/>
    </font>
    <font>
      <sz val="10"/>
      <name val="Times New Roman"/>
      <family val="1"/>
    </font>
  </fonts>
  <fills count="11">
    <fill>
      <patternFill patternType="none"/>
    </fill>
    <fill>
      <patternFill patternType="gray125"/>
    </fill>
    <fill>
      <patternFill patternType="solid">
        <fgColor indexed="15"/>
        <bgColor indexed="64"/>
      </patternFill>
    </fill>
    <fill>
      <patternFill patternType="solid">
        <fgColor indexed="35"/>
        <bgColor indexed="64"/>
      </patternFill>
    </fill>
    <fill>
      <patternFill patternType="solid">
        <fgColor indexed="46"/>
        <bgColor indexed="64"/>
      </patternFill>
    </fill>
    <fill>
      <patternFill patternType="solid">
        <fgColor indexed="13"/>
        <bgColor indexed="64"/>
      </patternFill>
    </fill>
    <fill>
      <patternFill patternType="solid">
        <fgColor rgb="FF00FFFF"/>
        <bgColor indexed="64"/>
      </patternFill>
    </fill>
    <fill>
      <patternFill patternType="solid">
        <fgColor rgb="FFFFFFFF"/>
        <bgColor indexed="64"/>
      </patternFill>
    </fill>
    <fill>
      <patternFill patternType="solid">
        <fgColor theme="0"/>
        <bgColor indexed="64"/>
      </patternFill>
    </fill>
    <fill>
      <patternFill patternType="solid">
        <fgColor rgb="FF00FFFF"/>
        <bgColor rgb="FF000000"/>
      </patternFill>
    </fill>
    <fill>
      <patternFill patternType="solid">
        <fgColor rgb="FFFFFF00"/>
        <bgColor indexed="64"/>
      </patternFill>
    </fill>
  </fills>
  <borders count="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ck">
        <color auto="1"/>
      </top>
      <bottom/>
      <diagonal/>
    </border>
  </borders>
  <cellStyleXfs count="10">
    <xf numFmtId="185" fontId="0" fillId="0" borderId="0">
      <alignment horizontal="left" wrapText="1"/>
    </xf>
    <xf numFmtId="169" fontId="1" fillId="0" borderId="0" applyFont="0" applyFill="0" applyBorder="0" applyAlignment="0" applyProtection="0"/>
    <xf numFmtId="168" fontId="1" fillId="0" borderId="0" applyFont="0" applyFill="0" applyBorder="0" applyAlignment="0" applyProtection="0"/>
    <xf numFmtId="0" fontId="8" fillId="0" borderId="0" applyNumberFormat="0" applyFill="0" applyBorder="0" applyAlignment="0" applyProtection="0">
      <alignment vertical="top"/>
      <protection locked="0"/>
    </xf>
    <xf numFmtId="0" fontId="45" fillId="0" borderId="0"/>
    <xf numFmtId="185" fontId="4" fillId="0" borderId="0">
      <alignment horizontal="left" wrapText="1"/>
    </xf>
    <xf numFmtId="9" fontId="1" fillId="0" borderId="0" applyFont="0" applyFill="0" applyBorder="0" applyAlignment="0" applyProtection="0"/>
    <xf numFmtId="177" fontId="4" fillId="0" borderId="0">
      <alignment horizontal="left" wrapText="1"/>
    </xf>
    <xf numFmtId="173" fontId="1" fillId="0" borderId="0">
      <alignment horizontal="left" wrapText="1"/>
    </xf>
    <xf numFmtId="185" fontId="1" fillId="0" borderId="0">
      <alignment horizontal="left" wrapText="1"/>
    </xf>
  </cellStyleXfs>
  <cellXfs count="746">
    <xf numFmtId="1" fontId="0" fillId="0" borderId="0" xfId="0" applyNumberFormat="1" applyAlignment="1"/>
    <xf numFmtId="1" fontId="2" fillId="0" borderId="0" xfId="0" applyNumberFormat="1" applyFont="1" applyAlignment="1"/>
    <xf numFmtId="1" fontId="4" fillId="0" borderId="0" xfId="0" applyNumberFormat="1" applyFont="1" applyAlignment="1" applyProtection="1"/>
    <xf numFmtId="1" fontId="5" fillId="0" borderId="0" xfId="0" applyNumberFormat="1" applyFont="1" applyAlignment="1"/>
    <xf numFmtId="1" fontId="5" fillId="0" borderId="0" xfId="0" applyNumberFormat="1" applyFont="1" applyAlignment="1" applyProtection="1"/>
    <xf numFmtId="1" fontId="7" fillId="0" borderId="0" xfId="0" applyNumberFormat="1" applyFont="1" applyAlignment="1">
      <alignment horizontal="center" vertical="top" wrapText="1"/>
    </xf>
    <xf numFmtId="1" fontId="7" fillId="0" borderId="0" xfId="0" applyNumberFormat="1" applyFont="1" applyAlignment="1">
      <alignment horizontal="left" vertical="top" wrapText="1"/>
    </xf>
    <xf numFmtId="9" fontId="0" fillId="0" borderId="0" xfId="0" applyNumberFormat="1" applyAlignment="1"/>
    <xf numFmtId="171" fontId="0" fillId="0" borderId="0" xfId="0" applyNumberFormat="1" applyAlignment="1"/>
    <xf numFmtId="173" fontId="0" fillId="0" borderId="0" xfId="0" applyNumberFormat="1" applyAlignment="1"/>
    <xf numFmtId="1" fontId="0" fillId="0" borderId="0" xfId="0" applyNumberFormat="1" applyAlignment="1">
      <alignment horizontal="center"/>
    </xf>
    <xf numFmtId="1" fontId="2" fillId="0" borderId="0" xfId="0" applyNumberFormat="1" applyFont="1" applyAlignment="1">
      <alignment horizontal="center"/>
    </xf>
    <xf numFmtId="3" fontId="0" fillId="0" borderId="0" xfId="0" applyNumberFormat="1" applyAlignment="1"/>
    <xf numFmtId="1" fontId="4" fillId="0" borderId="0" xfId="0" applyNumberFormat="1" applyFont="1" applyAlignment="1"/>
    <xf numFmtId="2" fontId="0" fillId="0" borderId="0" xfId="0" applyNumberFormat="1" applyAlignment="1"/>
    <xf numFmtId="9" fontId="0" fillId="0" borderId="0" xfId="0" applyNumberFormat="1" applyAlignment="1">
      <alignment horizontal="center"/>
    </xf>
    <xf numFmtId="174" fontId="0" fillId="0" borderId="0" xfId="0" applyNumberFormat="1" applyAlignment="1">
      <alignment horizontal="center"/>
    </xf>
    <xf numFmtId="1" fontId="2" fillId="0" borderId="0" xfId="0" quotePrefix="1" applyNumberFormat="1" applyFont="1" applyAlignment="1">
      <alignment horizontal="left"/>
    </xf>
    <xf numFmtId="176" fontId="0" fillId="0" borderId="0" xfId="0" applyNumberFormat="1" applyAlignment="1"/>
    <xf numFmtId="1" fontId="0" fillId="0" borderId="0" xfId="0" quotePrefix="1" applyNumberFormat="1" applyAlignment="1">
      <alignment horizontal="center"/>
    </xf>
    <xf numFmtId="175" fontId="0" fillId="0" borderId="0" xfId="0" applyNumberFormat="1" applyAlignment="1"/>
    <xf numFmtId="170" fontId="0" fillId="0" borderId="0" xfId="0" applyNumberFormat="1" applyAlignment="1"/>
    <xf numFmtId="1" fontId="0" fillId="0" borderId="0" xfId="0" applyNumberFormat="1" applyAlignment="1" applyProtection="1"/>
    <xf numFmtId="1" fontId="0" fillId="0" borderId="0" xfId="0" quotePrefix="1" applyNumberFormat="1" applyAlignment="1">
      <alignment horizontal="left"/>
    </xf>
    <xf numFmtId="1" fontId="0" fillId="0" borderId="0" xfId="0" applyNumberFormat="1" applyAlignment="1">
      <alignment horizontal="right"/>
    </xf>
    <xf numFmtId="2" fontId="0" fillId="0" borderId="0" xfId="0" applyNumberFormat="1" applyAlignment="1">
      <alignment horizontal="left"/>
    </xf>
    <xf numFmtId="1" fontId="0" fillId="0" borderId="0" xfId="0" quotePrefix="1" applyNumberFormat="1" applyAlignment="1">
      <alignment horizontal="right"/>
    </xf>
    <xf numFmtId="2" fontId="0" fillId="0" borderId="0" xfId="0" applyNumberFormat="1" applyAlignment="1">
      <alignment horizontal="center"/>
    </xf>
    <xf numFmtId="1" fontId="5" fillId="0" borderId="0" xfId="0" quotePrefix="1" applyNumberFormat="1" applyFont="1" applyAlignment="1" applyProtection="1">
      <alignment horizontal="left"/>
    </xf>
    <xf numFmtId="1" fontId="2" fillId="0" borderId="0" xfId="0" applyNumberFormat="1" applyFont="1" applyAlignment="1">
      <alignment horizontal="left"/>
    </xf>
    <xf numFmtId="1" fontId="0" fillId="0" borderId="0" xfId="0" applyNumberFormat="1" applyAlignment="1">
      <alignment horizontal="left"/>
    </xf>
    <xf numFmtId="1" fontId="4" fillId="0" borderId="0" xfId="0" applyNumberFormat="1" applyFont="1" applyAlignment="1">
      <alignment horizontal="center"/>
    </xf>
    <xf numFmtId="1" fontId="4" fillId="0" borderId="0" xfId="0" quotePrefix="1" applyNumberFormat="1" applyFont="1" applyAlignment="1" applyProtection="1">
      <alignment horizontal="left"/>
    </xf>
    <xf numFmtId="4" fontId="0" fillId="0" borderId="0" xfId="0" applyNumberFormat="1" applyAlignment="1"/>
    <xf numFmtId="1" fontId="4" fillId="0" borderId="0" xfId="0" applyNumberFormat="1" applyFont="1" applyAlignment="1" applyProtection="1">
      <alignment horizontal="left"/>
    </xf>
    <xf numFmtId="176" fontId="4" fillId="0" borderId="0" xfId="0" applyNumberFormat="1" applyFont="1" applyAlignment="1">
      <alignment horizontal="center"/>
    </xf>
    <xf numFmtId="1" fontId="7" fillId="0" borderId="0" xfId="0" quotePrefix="1" applyNumberFormat="1" applyFont="1" applyAlignment="1">
      <alignment horizontal="left" vertical="top" wrapText="1"/>
    </xf>
    <xf numFmtId="174" fontId="0" fillId="0" borderId="0" xfId="0" applyNumberFormat="1" applyAlignment="1"/>
    <xf numFmtId="1" fontId="0" fillId="2" borderId="0" xfId="0" applyNumberFormat="1" applyFill="1" applyAlignment="1"/>
    <xf numFmtId="1" fontId="6" fillId="2" borderId="0" xfId="0" quotePrefix="1" applyNumberFormat="1" applyFont="1" applyFill="1" applyAlignment="1">
      <alignment horizontal="left"/>
    </xf>
    <xf numFmtId="1" fontId="2" fillId="2" borderId="0" xfId="0" applyNumberFormat="1" applyFont="1" applyFill="1" applyAlignment="1">
      <alignment horizontal="center"/>
    </xf>
    <xf numFmtId="172" fontId="0" fillId="2" borderId="0" xfId="0" applyNumberFormat="1" applyFill="1" applyAlignment="1">
      <alignment horizontal="center"/>
    </xf>
    <xf numFmtId="171" fontId="0" fillId="2" borderId="0" xfId="0" applyNumberFormat="1" applyFill="1" applyAlignment="1">
      <alignment horizontal="center"/>
    </xf>
    <xf numFmtId="1" fontId="4" fillId="2" borderId="0" xfId="0" applyNumberFormat="1" applyFont="1" applyFill="1" applyAlignment="1"/>
    <xf numFmtId="1" fontId="0" fillId="2" borderId="0" xfId="0" applyNumberFormat="1" applyFill="1" applyAlignment="1">
      <alignment horizontal="center"/>
    </xf>
    <xf numFmtId="171" fontId="0" fillId="2" borderId="0" xfId="0" applyNumberFormat="1" applyFill="1" applyAlignment="1"/>
    <xf numFmtId="9" fontId="0" fillId="2" borderId="0" xfId="0" applyNumberFormat="1" applyFill="1" applyAlignment="1"/>
    <xf numFmtId="1" fontId="0" fillId="2" borderId="0" xfId="0" quotePrefix="1" applyNumberFormat="1" applyFill="1" applyAlignment="1">
      <alignment horizontal="left"/>
    </xf>
    <xf numFmtId="3" fontId="0" fillId="2" borderId="0" xfId="0" applyNumberFormat="1" applyFill="1" applyAlignment="1">
      <alignment horizontal="center"/>
    </xf>
    <xf numFmtId="173" fontId="0" fillId="2" borderId="0" xfId="0" applyNumberFormat="1" applyFill="1" applyAlignment="1">
      <alignment horizontal="center"/>
    </xf>
    <xf numFmtId="176" fontId="0" fillId="2" borderId="0" xfId="0" applyNumberFormat="1" applyFill="1" applyAlignment="1">
      <alignment horizontal="center"/>
    </xf>
    <xf numFmtId="1" fontId="2" fillId="0" borderId="0" xfId="0" applyNumberFormat="1" applyFont="1" applyFill="1" applyAlignment="1" applyProtection="1">
      <alignment horizontal="center"/>
      <protection locked="0"/>
    </xf>
    <xf numFmtId="3" fontId="2" fillId="0" borderId="0" xfId="0" applyNumberFormat="1" applyFont="1" applyFill="1" applyAlignment="1" applyProtection="1">
      <alignment horizontal="center"/>
      <protection locked="0"/>
    </xf>
    <xf numFmtId="9" fontId="0" fillId="0" borderId="0" xfId="0" applyNumberFormat="1" applyFill="1" applyAlignment="1" applyProtection="1">
      <alignment horizontal="center"/>
      <protection locked="0"/>
    </xf>
    <xf numFmtId="1" fontId="0" fillId="0" borderId="0" xfId="0" applyNumberFormat="1" applyFill="1" applyAlignment="1" applyProtection="1">
      <alignment horizontal="center"/>
      <protection locked="0"/>
    </xf>
    <xf numFmtId="1" fontId="14" fillId="2" borderId="0" xfId="0" quotePrefix="1" applyNumberFormat="1" applyFont="1" applyFill="1" applyAlignment="1">
      <alignment horizontal="left"/>
    </xf>
    <xf numFmtId="171" fontId="15" fillId="2" borderId="0" xfId="0" applyNumberFormat="1" applyFont="1" applyFill="1" applyAlignment="1">
      <alignment horizontal="center"/>
    </xf>
    <xf numFmtId="1" fontId="0" fillId="2" borderId="0" xfId="0" applyNumberFormat="1" applyFill="1" applyBorder="1" applyAlignment="1"/>
    <xf numFmtId="1" fontId="13" fillId="2" borderId="0" xfId="0" applyNumberFormat="1" applyFont="1" applyFill="1" applyAlignment="1">
      <alignment horizontal="center"/>
    </xf>
    <xf numFmtId="1" fontId="0" fillId="2" borderId="0" xfId="0" applyNumberFormat="1" applyFill="1" applyAlignment="1" applyProtection="1">
      <protection locked="0"/>
    </xf>
    <xf numFmtId="1" fontId="9" fillId="0" borderId="0" xfId="0" applyNumberFormat="1" applyFont="1" applyAlignment="1" applyProtection="1">
      <alignment horizontal="center" vertical="top" wrapText="1"/>
      <protection locked="0"/>
    </xf>
    <xf numFmtId="178" fontId="0" fillId="0" borderId="0" xfId="0" applyNumberFormat="1" applyAlignment="1"/>
    <xf numFmtId="1" fontId="2" fillId="2" borderId="0" xfId="0" applyNumberFormat="1" applyFont="1" applyFill="1" applyAlignment="1"/>
    <xf numFmtId="1" fontId="2" fillId="2" borderId="0" xfId="0" quotePrefix="1" applyNumberFormat="1" applyFont="1" applyFill="1" applyAlignment="1">
      <alignment horizontal="left"/>
    </xf>
    <xf numFmtId="1" fontId="6" fillId="2" borderId="0" xfId="0" quotePrefix="1" applyNumberFormat="1" applyFont="1" applyFill="1" applyAlignment="1" applyProtection="1">
      <alignment horizontal="left"/>
    </xf>
    <xf numFmtId="1" fontId="2" fillId="2" borderId="0" xfId="0" quotePrefix="1" applyNumberFormat="1" applyFont="1" applyFill="1" applyAlignment="1" applyProtection="1">
      <alignment horizontal="left"/>
    </xf>
    <xf numFmtId="1" fontId="6" fillId="2" borderId="0" xfId="0" applyNumberFormat="1" applyFont="1" applyFill="1" applyAlignment="1" applyProtection="1"/>
    <xf numFmtId="174" fontId="4" fillId="0" borderId="0" xfId="0" applyNumberFormat="1" applyFont="1" applyAlignment="1">
      <alignment horizontal="center"/>
    </xf>
    <xf numFmtId="179" fontId="0" fillId="0" borderId="0" xfId="0" applyNumberFormat="1" applyAlignment="1">
      <alignment horizontal="center"/>
    </xf>
    <xf numFmtId="171" fontId="0" fillId="0" borderId="0" xfId="0" applyNumberFormat="1" applyAlignment="1">
      <alignment horizontal="center"/>
    </xf>
    <xf numFmtId="175" fontId="0" fillId="2" borderId="0" xfId="0" applyNumberFormat="1" applyFill="1" applyAlignment="1">
      <alignment horizontal="center"/>
    </xf>
    <xf numFmtId="1" fontId="6" fillId="0" borderId="0" xfId="0" quotePrefix="1" applyNumberFormat="1" applyFont="1" applyAlignment="1" applyProtection="1">
      <alignment horizontal="left"/>
    </xf>
    <xf numFmtId="1" fontId="6" fillId="0" borderId="0" xfId="0" quotePrefix="1" applyNumberFormat="1" applyFont="1" applyAlignment="1">
      <alignment horizontal="left"/>
    </xf>
    <xf numFmtId="1" fontId="6" fillId="0" borderId="0" xfId="0" applyNumberFormat="1" applyFont="1" applyAlignment="1" applyProtection="1"/>
    <xf numFmtId="1" fontId="2" fillId="0" borderId="0" xfId="0" applyNumberFormat="1" applyFont="1" applyFill="1" applyAlignment="1"/>
    <xf numFmtId="177" fontId="0" fillId="0" borderId="0" xfId="0" applyNumberFormat="1" applyAlignment="1">
      <alignment horizontal="center"/>
    </xf>
    <xf numFmtId="1" fontId="0" fillId="2" borderId="0" xfId="0" applyNumberFormat="1" applyFill="1" applyAlignment="1">
      <alignment horizontal="left"/>
    </xf>
    <xf numFmtId="170" fontId="4" fillId="0" borderId="0" xfId="0" applyNumberFormat="1" applyFont="1" applyAlignment="1">
      <alignment horizontal="center"/>
    </xf>
    <xf numFmtId="2" fontId="4" fillId="0" borderId="0" xfId="0" applyNumberFormat="1" applyFont="1" applyAlignment="1">
      <alignment horizontal="center"/>
    </xf>
    <xf numFmtId="176" fontId="0" fillId="0" borderId="0" xfId="0" applyNumberFormat="1" applyAlignment="1">
      <alignment horizontal="center"/>
    </xf>
    <xf numFmtId="4" fontId="0" fillId="2" borderId="0" xfId="0" applyNumberFormat="1" applyFill="1" applyAlignment="1">
      <alignment horizontal="center"/>
    </xf>
    <xf numFmtId="1" fontId="6" fillId="0" borderId="0" xfId="0" applyNumberFormat="1" applyFont="1" applyAlignment="1"/>
    <xf numFmtId="175" fontId="2" fillId="2" borderId="0" xfId="0" applyNumberFormat="1" applyFont="1" applyFill="1" applyAlignment="1">
      <alignment horizontal="center"/>
    </xf>
    <xf numFmtId="180" fontId="0" fillId="0" borderId="0" xfId="2" applyNumberFormat="1" applyFont="1" applyAlignment="1">
      <alignment horizontal="center"/>
    </xf>
    <xf numFmtId="180" fontId="0" fillId="0" borderId="0" xfId="2" applyNumberFormat="1" applyFont="1"/>
    <xf numFmtId="9" fontId="0" fillId="0" borderId="0" xfId="6" applyFont="1"/>
    <xf numFmtId="1" fontId="4" fillId="0" borderId="0" xfId="0" quotePrefix="1" applyNumberFormat="1" applyFont="1" applyAlignment="1">
      <alignment horizontal="left"/>
    </xf>
    <xf numFmtId="1" fontId="4" fillId="2" borderId="0" xfId="0" quotePrefix="1" applyNumberFormat="1" applyFont="1" applyFill="1" applyAlignment="1" applyProtection="1">
      <alignment horizontal="left"/>
    </xf>
    <xf numFmtId="164" fontId="0" fillId="0" borderId="0" xfId="2" applyNumberFormat="1" applyFont="1" applyAlignment="1">
      <alignment horizontal="right"/>
    </xf>
    <xf numFmtId="10" fontId="0" fillId="0" borderId="0" xfId="6" applyNumberFormat="1" applyFont="1"/>
    <xf numFmtId="9" fontId="0" fillId="0" borderId="0" xfId="6" applyFont="1" applyAlignment="1">
      <alignment horizontal="center"/>
    </xf>
    <xf numFmtId="1" fontId="5" fillId="0" borderId="0" xfId="0" applyNumberFormat="1" applyFont="1" applyFill="1" applyAlignment="1"/>
    <xf numFmtId="1" fontId="7" fillId="0" borderId="0" xfId="0" applyNumberFormat="1" applyFont="1" applyAlignment="1" applyProtection="1">
      <alignment horizontal="left" vertical="top" wrapText="1"/>
      <protection locked="0" hidden="1"/>
    </xf>
    <xf numFmtId="177" fontId="0" fillId="3" borderId="0" xfId="6" applyNumberFormat="1" applyFont="1" applyFill="1" applyAlignment="1">
      <alignment horizontal="center"/>
    </xf>
    <xf numFmtId="177" fontId="0" fillId="2" borderId="0" xfId="6" applyNumberFormat="1" applyFont="1" applyFill="1" applyAlignment="1">
      <alignment horizontal="center"/>
    </xf>
    <xf numFmtId="1" fontId="0" fillId="3" borderId="0" xfId="0" applyNumberFormat="1" applyFill="1" applyAlignment="1"/>
    <xf numFmtId="1" fontId="2" fillId="3" borderId="0" xfId="0" applyNumberFormat="1" applyFont="1" applyFill="1" applyAlignment="1">
      <alignment horizontal="center"/>
    </xf>
    <xf numFmtId="9" fontId="0" fillId="3" borderId="0" xfId="0" applyNumberFormat="1" applyFill="1" applyAlignment="1"/>
    <xf numFmtId="175" fontId="2" fillId="2" borderId="0" xfId="0" applyNumberFormat="1" applyFont="1" applyFill="1" applyAlignment="1"/>
    <xf numFmtId="9" fontId="4" fillId="2" borderId="0" xfId="6" applyFont="1" applyFill="1" applyAlignment="1">
      <alignment horizontal="center"/>
    </xf>
    <xf numFmtId="171" fontId="0" fillId="3" borderId="0" xfId="0" applyNumberFormat="1" applyFill="1" applyAlignment="1"/>
    <xf numFmtId="1" fontId="0" fillId="3" borderId="0" xfId="0" quotePrefix="1" applyNumberFormat="1" applyFill="1" applyAlignment="1">
      <alignment horizontal="left"/>
    </xf>
    <xf numFmtId="171" fontId="0" fillId="0" borderId="0" xfId="2" applyNumberFormat="1" applyFont="1"/>
    <xf numFmtId="182" fontId="0" fillId="0" borderId="0" xfId="6" applyNumberFormat="1" applyFont="1"/>
    <xf numFmtId="167" fontId="0" fillId="0" borderId="0" xfId="6" applyNumberFormat="1" applyFont="1"/>
    <xf numFmtId="0" fontId="2" fillId="0" borderId="0" xfId="0" applyNumberFormat="1" applyFont="1" applyAlignment="1">
      <alignment horizontal="center"/>
    </xf>
    <xf numFmtId="3" fontId="0" fillId="0" borderId="0" xfId="0" applyNumberFormat="1" applyAlignment="1">
      <alignment horizontal="center"/>
    </xf>
    <xf numFmtId="166" fontId="0" fillId="0" borderId="0" xfId="2" applyNumberFormat="1" applyFont="1"/>
    <xf numFmtId="1" fontId="4" fillId="0" borderId="0" xfId="0" quotePrefix="1" applyNumberFormat="1" applyFont="1" applyFill="1" applyAlignment="1">
      <alignment horizontal="left"/>
    </xf>
    <xf numFmtId="1" fontId="2" fillId="0" borderId="0" xfId="0" quotePrefix="1" applyNumberFormat="1" applyFont="1" applyAlignment="1"/>
    <xf numFmtId="1" fontId="16" fillId="0" borderId="0" xfId="0" quotePrefix="1" applyNumberFormat="1" applyFont="1" applyAlignment="1">
      <alignment horizontal="left" vertical="top" wrapText="1"/>
    </xf>
    <xf numFmtId="1" fontId="16" fillId="0" borderId="0" xfId="0" quotePrefix="1" applyNumberFormat="1" applyFont="1" applyAlignment="1">
      <alignment horizontal="center" vertical="top" wrapText="1"/>
    </xf>
    <xf numFmtId="1" fontId="16" fillId="0" borderId="0" xfId="0" quotePrefix="1" applyNumberFormat="1" applyFont="1" applyAlignment="1">
      <alignment horizontal="left"/>
    </xf>
    <xf numFmtId="175" fontId="0" fillId="0" borderId="0" xfId="0" applyNumberFormat="1" applyAlignment="1">
      <alignment horizontal="center"/>
    </xf>
    <xf numFmtId="1" fontId="17" fillId="2" borderId="0" xfId="0" quotePrefix="1" applyNumberFormat="1" applyFont="1" applyFill="1" applyAlignment="1">
      <alignment horizontal="left"/>
    </xf>
    <xf numFmtId="1" fontId="6" fillId="2" borderId="0" xfId="0" applyNumberFormat="1" applyFont="1" applyFill="1" applyAlignment="1"/>
    <xf numFmtId="175" fontId="0" fillId="3" borderId="0" xfId="0" applyNumberFormat="1" applyFill="1" applyAlignment="1">
      <alignment horizontal="center"/>
    </xf>
    <xf numFmtId="1" fontId="2" fillId="3" borderId="0" xfId="0" quotePrefix="1" applyNumberFormat="1" applyFont="1" applyFill="1" applyAlignment="1">
      <alignment horizontal="left"/>
    </xf>
    <xf numFmtId="171" fontId="0" fillId="0" borderId="0" xfId="2" applyNumberFormat="1" applyFont="1" applyAlignment="1">
      <alignment horizontal="center"/>
    </xf>
    <xf numFmtId="1" fontId="0" fillId="0" borderId="0" xfId="0" quotePrefix="1" applyNumberFormat="1" applyFill="1" applyAlignment="1">
      <alignment horizontal="left"/>
    </xf>
    <xf numFmtId="169" fontId="0" fillId="0" borderId="0" xfId="1" applyFont="1" applyAlignment="1">
      <alignment horizontal="center"/>
    </xf>
    <xf numFmtId="164" fontId="0" fillId="0" borderId="0" xfId="1" applyNumberFormat="1" applyFont="1" applyAlignment="1">
      <alignment horizontal="center"/>
    </xf>
    <xf numFmtId="183" fontId="0" fillId="0" borderId="0" xfId="1" applyNumberFormat="1" applyFont="1"/>
    <xf numFmtId="174" fontId="0" fillId="0" borderId="0" xfId="0" applyNumberFormat="1" applyAlignment="1" applyProtection="1">
      <protection locked="0"/>
    </xf>
    <xf numFmtId="1" fontId="6" fillId="3" borderId="0" xfId="0" applyNumberFormat="1" applyFont="1" applyFill="1" applyAlignment="1"/>
    <xf numFmtId="1" fontId="16" fillId="3" borderId="0" xfId="0" quotePrefix="1" applyNumberFormat="1" applyFont="1" applyFill="1" applyAlignment="1">
      <alignment horizontal="left"/>
    </xf>
    <xf numFmtId="1" fontId="7" fillId="3" borderId="0" xfId="0" applyNumberFormat="1" applyFont="1" applyFill="1" applyAlignment="1">
      <alignment horizontal="left" vertical="top" wrapText="1"/>
    </xf>
    <xf numFmtId="1" fontId="16" fillId="3" borderId="0" xfId="0" quotePrefix="1" applyNumberFormat="1" applyFont="1" applyFill="1" applyAlignment="1">
      <alignment horizontal="center" vertical="top" wrapText="1"/>
    </xf>
    <xf numFmtId="1" fontId="7" fillId="3" borderId="0" xfId="0" applyNumberFormat="1" applyFont="1" applyFill="1" applyAlignment="1">
      <alignment horizontal="center" vertical="top" wrapText="1"/>
    </xf>
    <xf numFmtId="1" fontId="16" fillId="3" borderId="0" xfId="0" quotePrefix="1" applyNumberFormat="1" applyFont="1" applyFill="1" applyAlignment="1">
      <alignment horizontal="left" vertical="top" wrapText="1"/>
    </xf>
    <xf numFmtId="1" fontId="2" fillId="3" borderId="0" xfId="0" quotePrefix="1" applyNumberFormat="1" applyFont="1" applyFill="1" applyAlignment="1"/>
    <xf numFmtId="1" fontId="0" fillId="0" borderId="0" xfId="0" applyNumberFormat="1" applyFill="1" applyAlignment="1"/>
    <xf numFmtId="1" fontId="0" fillId="3" borderId="0" xfId="0" applyNumberFormat="1" applyFill="1" applyAlignment="1">
      <alignment horizontal="right"/>
    </xf>
    <xf numFmtId="178" fontId="0" fillId="3" borderId="0" xfId="0" applyNumberFormat="1" applyFill="1" applyAlignment="1"/>
    <xf numFmtId="174" fontId="0" fillId="3" borderId="0" xfId="0" applyNumberFormat="1" applyFill="1" applyAlignment="1"/>
    <xf numFmtId="174" fontId="0" fillId="3" borderId="0" xfId="0" applyNumberFormat="1" applyFill="1" applyAlignment="1" applyProtection="1">
      <protection locked="0"/>
    </xf>
    <xf numFmtId="1" fontId="0" fillId="3" borderId="0" xfId="0" applyNumberFormat="1" applyFill="1" applyAlignment="1" applyProtection="1">
      <protection locked="0"/>
    </xf>
    <xf numFmtId="176" fontId="0" fillId="0" borderId="0" xfId="0" applyNumberFormat="1" applyAlignment="1" applyProtection="1"/>
    <xf numFmtId="1" fontId="2" fillId="0" borderId="0" xfId="0" applyNumberFormat="1" applyFont="1" applyAlignment="1">
      <alignment horizontal="right"/>
    </xf>
    <xf numFmtId="1" fontId="0" fillId="3" borderId="0" xfId="0" applyNumberFormat="1" applyFill="1" applyAlignment="1" applyProtection="1"/>
    <xf numFmtId="1" fontId="0" fillId="3" borderId="0" xfId="0" applyNumberFormat="1" applyFill="1" applyAlignment="1" applyProtection="1">
      <alignment horizontal="right"/>
    </xf>
    <xf numFmtId="1" fontId="0" fillId="3" borderId="0" xfId="0" applyNumberFormat="1" applyFill="1" applyAlignment="1" applyProtection="1">
      <alignment horizontal="right"/>
      <protection locked="0"/>
    </xf>
    <xf numFmtId="1" fontId="2" fillId="0" borderId="0" xfId="0" quotePrefix="1" applyNumberFormat="1" applyFont="1" applyFill="1" applyAlignment="1">
      <alignment horizontal="left"/>
    </xf>
    <xf numFmtId="1" fontId="2" fillId="0" borderId="0" xfId="0" quotePrefix="1" applyNumberFormat="1" applyFont="1" applyFill="1" applyAlignment="1">
      <alignment horizontal="center"/>
    </xf>
    <xf numFmtId="166" fontId="0" fillId="0" borderId="0" xfId="1" applyNumberFormat="1" applyFont="1" applyFill="1" applyAlignment="1">
      <alignment horizontal="center"/>
    </xf>
    <xf numFmtId="171" fontId="0" fillId="0" borderId="0" xfId="0" applyNumberFormat="1" applyFill="1" applyAlignment="1">
      <alignment horizontal="center"/>
    </xf>
    <xf numFmtId="1" fontId="0" fillId="0" borderId="0" xfId="0" applyNumberFormat="1" applyFill="1" applyAlignment="1" applyProtection="1">
      <protection locked="0"/>
    </xf>
    <xf numFmtId="1" fontId="19" fillId="3" borderId="0" xfId="0" applyNumberFormat="1" applyFont="1" applyFill="1" applyAlignment="1"/>
    <xf numFmtId="174" fontId="4" fillId="0" borderId="0" xfId="0" applyNumberFormat="1" applyFont="1" applyAlignment="1"/>
    <xf numFmtId="1" fontId="19" fillId="0" borderId="0" xfId="0" applyNumberFormat="1" applyFont="1" applyAlignment="1"/>
    <xf numFmtId="9" fontId="2" fillId="2" borderId="0" xfId="6" applyFont="1" applyFill="1" applyAlignment="1">
      <alignment horizontal="center"/>
    </xf>
    <xf numFmtId="171" fontId="4" fillId="2" borderId="0" xfId="6" applyNumberFormat="1" applyFont="1" applyFill="1" applyAlignment="1">
      <alignment horizontal="center"/>
    </xf>
    <xf numFmtId="171" fontId="2" fillId="2" borderId="0" xfId="0" applyNumberFormat="1" applyFont="1" applyFill="1" applyAlignment="1">
      <alignment horizontal="center"/>
    </xf>
    <xf numFmtId="1" fontId="4" fillId="0" borderId="0" xfId="0" quotePrefix="1" applyNumberFormat="1" applyFont="1" applyFill="1" applyAlignment="1">
      <alignment horizontal="right"/>
    </xf>
    <xf numFmtId="170" fontId="0" fillId="0" borderId="0" xfId="0" applyNumberFormat="1" applyAlignment="1">
      <alignment horizontal="center"/>
    </xf>
    <xf numFmtId="1" fontId="2" fillId="3" borderId="0" xfId="0" applyNumberFormat="1" applyFont="1" applyFill="1" applyAlignment="1"/>
    <xf numFmtId="1" fontId="18" fillId="3" borderId="0" xfId="0" applyNumberFormat="1" applyFont="1" applyFill="1" applyAlignment="1">
      <alignment horizontal="center"/>
    </xf>
    <xf numFmtId="1" fontId="20" fillId="3" borderId="0" xfId="0" applyNumberFormat="1" applyFont="1" applyFill="1" applyAlignment="1"/>
    <xf numFmtId="1" fontId="13" fillId="2" borderId="0" xfId="0" applyNumberFormat="1" applyFont="1" applyFill="1" applyAlignment="1"/>
    <xf numFmtId="181" fontId="2" fillId="0" borderId="0" xfId="1" applyNumberFormat="1" applyFont="1" applyAlignment="1">
      <alignment horizontal="center"/>
    </xf>
    <xf numFmtId="1" fontId="2" fillId="0" borderId="0" xfId="0" applyNumberFormat="1" applyFont="1" applyAlignment="1" applyProtection="1">
      <alignment horizontal="left"/>
      <protection locked="0"/>
    </xf>
    <xf numFmtId="9" fontId="0" fillId="0" borderId="0" xfId="0" applyNumberFormat="1" applyFill="1" applyAlignment="1"/>
    <xf numFmtId="1" fontId="2" fillId="0" borderId="0" xfId="0" applyNumberFormat="1" applyFont="1" applyFill="1" applyAlignment="1">
      <alignment horizontal="center"/>
    </xf>
    <xf numFmtId="1" fontId="24" fillId="2" borderId="0" xfId="0" applyNumberFormat="1" applyFont="1" applyFill="1" applyAlignment="1">
      <alignment horizontal="center"/>
    </xf>
    <xf numFmtId="1" fontId="22" fillId="2" borderId="0" xfId="0" applyNumberFormat="1" applyFont="1" applyFill="1" applyAlignment="1">
      <alignment horizontal="center"/>
    </xf>
    <xf numFmtId="1" fontId="21" fillId="2" borderId="0" xfId="0" applyNumberFormat="1" applyFont="1" applyFill="1" applyAlignment="1">
      <alignment horizontal="center"/>
    </xf>
    <xf numFmtId="1" fontId="28" fillId="0" borderId="0" xfId="0" applyNumberFormat="1" applyFont="1" applyFill="1" applyAlignment="1" applyProtection="1"/>
    <xf numFmtId="1" fontId="2" fillId="0" borderId="0" xfId="0" applyNumberFormat="1" applyFont="1" applyFill="1" applyAlignment="1" applyProtection="1">
      <protection locked="0"/>
    </xf>
    <xf numFmtId="1" fontId="7" fillId="0" borderId="0" xfId="0" quotePrefix="1" applyNumberFormat="1" applyFont="1" applyAlignment="1">
      <alignment horizontal="left" vertical="top"/>
    </xf>
    <xf numFmtId="1" fontId="6" fillId="0" borderId="0" xfId="0" quotePrefix="1" applyNumberFormat="1" applyFont="1" applyFill="1" applyAlignment="1">
      <alignment horizontal="left"/>
    </xf>
    <xf numFmtId="1" fontId="13" fillId="0" borderId="0" xfId="0" applyNumberFormat="1" applyFont="1" applyFill="1" applyAlignment="1"/>
    <xf numFmtId="1" fontId="4" fillId="0" borderId="0" xfId="0" applyNumberFormat="1" applyFont="1" applyFill="1" applyAlignment="1"/>
    <xf numFmtId="1" fontId="0" fillId="0" borderId="0" xfId="0" applyNumberFormat="1" applyFill="1" applyBorder="1" applyAlignment="1"/>
    <xf numFmtId="3" fontId="2" fillId="0" borderId="0" xfId="0" applyNumberFormat="1" applyFont="1" applyFill="1" applyAlignment="1">
      <alignment horizontal="center"/>
    </xf>
    <xf numFmtId="175" fontId="2" fillId="0" borderId="0" xfId="0" applyNumberFormat="1" applyFont="1" applyFill="1" applyAlignment="1">
      <alignment horizontal="center"/>
    </xf>
    <xf numFmtId="1" fontId="0" fillId="0" borderId="0" xfId="0" applyNumberFormat="1" applyFill="1" applyAlignment="1">
      <alignment horizontal="left"/>
    </xf>
    <xf numFmtId="1" fontId="14" fillId="0" borderId="0" xfId="0" quotePrefix="1" applyNumberFormat="1" applyFont="1" applyFill="1" applyAlignment="1">
      <alignment horizontal="left"/>
    </xf>
    <xf numFmtId="1" fontId="6" fillId="0" borderId="0" xfId="0" applyNumberFormat="1" applyFont="1" applyFill="1" applyAlignment="1"/>
    <xf numFmtId="9" fontId="2" fillId="0" borderId="0" xfId="6" applyFont="1" applyFill="1" applyAlignment="1">
      <alignment horizontal="center"/>
    </xf>
    <xf numFmtId="9" fontId="4" fillId="0" borderId="0" xfId="6" applyFont="1" applyFill="1" applyAlignment="1">
      <alignment horizontal="center"/>
    </xf>
    <xf numFmtId="171" fontId="0" fillId="0" borderId="0" xfId="0" applyNumberFormat="1" applyFill="1" applyAlignment="1"/>
    <xf numFmtId="9" fontId="0" fillId="0" borderId="0" xfId="6" applyFont="1" applyFill="1" applyAlignment="1">
      <alignment horizontal="center"/>
    </xf>
    <xf numFmtId="1" fontId="0" fillId="0" borderId="0" xfId="6" applyNumberFormat="1" applyFont="1" applyFill="1" applyAlignment="1">
      <alignment horizontal="center"/>
    </xf>
    <xf numFmtId="1" fontId="0" fillId="0" borderId="0" xfId="0" applyNumberFormat="1" applyFill="1" applyAlignment="1">
      <alignment horizontal="center"/>
    </xf>
    <xf numFmtId="177" fontId="0" fillId="0" borderId="0" xfId="6" applyNumberFormat="1" applyFont="1" applyFill="1" applyAlignment="1">
      <alignment horizontal="center"/>
    </xf>
    <xf numFmtId="171" fontId="0" fillId="0" borderId="0" xfId="6" applyNumberFormat="1" applyFont="1" applyFill="1" applyAlignment="1">
      <alignment horizontal="center"/>
    </xf>
    <xf numFmtId="175" fontId="0" fillId="0" borderId="0" xfId="6" applyNumberFormat="1" applyFont="1" applyFill="1" applyAlignment="1">
      <alignment horizontal="center"/>
    </xf>
    <xf numFmtId="1" fontId="0" fillId="0" borderId="0" xfId="0" applyNumberFormat="1" applyBorder="1" applyAlignment="1"/>
    <xf numFmtId="1" fontId="23" fillId="2" borderId="0" xfId="0" applyNumberFormat="1" applyFont="1" applyFill="1" applyAlignment="1"/>
    <xf numFmtId="1" fontId="13" fillId="2" borderId="0" xfId="0" applyNumberFormat="1" applyFont="1" applyFill="1" applyBorder="1" applyAlignment="1">
      <alignment horizontal="left"/>
    </xf>
    <xf numFmtId="1" fontId="13" fillId="2" borderId="0" xfId="0" applyNumberFormat="1" applyFont="1" applyFill="1" applyBorder="1" applyAlignment="1"/>
    <xf numFmtId="1" fontId="1" fillId="2" borderId="0" xfId="0" applyNumberFormat="1" applyFont="1" applyFill="1" applyAlignment="1"/>
    <xf numFmtId="1" fontId="2" fillId="2" borderId="0" xfId="0" applyNumberFormat="1" applyFont="1" applyFill="1" applyAlignment="1">
      <alignment horizontal="left"/>
    </xf>
    <xf numFmtId="1" fontId="2" fillId="0" borderId="0" xfId="0" applyNumberFormat="1" applyFont="1" applyAlignment="1" applyProtection="1"/>
    <xf numFmtId="171" fontId="2" fillId="0" borderId="0" xfId="0" applyNumberFormat="1" applyFont="1" applyAlignment="1"/>
    <xf numFmtId="9" fontId="2" fillId="0" borderId="0" xfId="6" applyFont="1" applyFill="1" applyAlignment="1" applyProtection="1">
      <alignment horizontal="center"/>
      <protection locked="0"/>
    </xf>
    <xf numFmtId="10" fontId="0" fillId="0" borderId="0" xfId="6" applyNumberFormat="1" applyFont="1" applyAlignment="1">
      <alignment horizontal="center"/>
    </xf>
    <xf numFmtId="1" fontId="5" fillId="0" borderId="0" xfId="0" applyNumberFormat="1" applyFont="1" applyAlignment="1" applyProtection="1">
      <alignment horizontal="left"/>
    </xf>
    <xf numFmtId="3" fontId="2" fillId="0" borderId="0" xfId="1" applyNumberFormat="1" applyFont="1" applyAlignment="1">
      <alignment horizontal="center"/>
    </xf>
    <xf numFmtId="169" fontId="0" fillId="0" borderId="0" xfId="0" applyNumberFormat="1" applyAlignment="1"/>
    <xf numFmtId="1" fontId="0" fillId="0" borderId="0" xfId="0" applyNumberFormat="1" applyFill="1" applyAlignment="1" applyProtection="1">
      <protection hidden="1"/>
    </xf>
    <xf numFmtId="1" fontId="4" fillId="2" borderId="0" xfId="0" applyNumberFormat="1" applyFont="1" applyFill="1" applyAlignment="1">
      <alignment horizontal="center"/>
    </xf>
    <xf numFmtId="171" fontId="4" fillId="2" borderId="0" xfId="0" applyNumberFormat="1" applyFont="1" applyFill="1" applyAlignment="1">
      <alignment horizontal="center"/>
    </xf>
    <xf numFmtId="1" fontId="2" fillId="2" borderId="0" xfId="0" applyNumberFormat="1" applyFont="1" applyFill="1" applyAlignment="1" applyProtection="1">
      <protection hidden="1"/>
    </xf>
    <xf numFmtId="9" fontId="0" fillId="2" borderId="0" xfId="0" applyNumberFormat="1" applyFill="1" applyAlignment="1" applyProtection="1">
      <protection hidden="1"/>
    </xf>
    <xf numFmtId="1" fontId="0" fillId="2" borderId="0" xfId="0" applyNumberFormat="1" applyFill="1" applyAlignment="1" applyProtection="1">
      <alignment horizontal="center"/>
      <protection hidden="1"/>
    </xf>
    <xf numFmtId="181" fontId="0" fillId="0" borderId="0" xfId="1" applyNumberFormat="1" applyFont="1" applyAlignment="1">
      <alignment horizontal="center"/>
    </xf>
    <xf numFmtId="177" fontId="0" fillId="0" borderId="0" xfId="0" applyNumberFormat="1" applyAlignment="1"/>
    <xf numFmtId="171" fontId="2" fillId="0" borderId="0" xfId="0" applyNumberFormat="1" applyFont="1" applyAlignment="1">
      <alignment horizontal="center"/>
    </xf>
    <xf numFmtId="173" fontId="2" fillId="2" borderId="0" xfId="0" applyNumberFormat="1" applyFont="1" applyFill="1" applyAlignment="1">
      <alignment horizontal="center"/>
    </xf>
    <xf numFmtId="1" fontId="13" fillId="2" borderId="0" xfId="0" applyNumberFormat="1" applyFont="1" applyFill="1" applyAlignment="1">
      <alignment vertical="top"/>
    </xf>
    <xf numFmtId="172" fontId="2" fillId="2" borderId="0" xfId="0" applyNumberFormat="1" applyFont="1" applyFill="1" applyAlignment="1">
      <alignment horizontal="center"/>
    </xf>
    <xf numFmtId="1" fontId="33" fillId="2" borderId="0" xfId="0" applyNumberFormat="1" applyFont="1" applyFill="1" applyAlignment="1">
      <alignment horizontal="left"/>
    </xf>
    <xf numFmtId="171" fontId="2" fillId="2" borderId="0" xfId="0" applyNumberFormat="1" applyFont="1" applyFill="1" applyAlignment="1">
      <alignment horizontal="left"/>
    </xf>
    <xf numFmtId="1" fontId="6" fillId="0" borderId="0" xfId="0" quotePrefix="1" applyNumberFormat="1" applyFont="1" applyFill="1" applyAlignment="1" applyProtection="1">
      <alignment horizontal="left"/>
    </xf>
    <xf numFmtId="1" fontId="2" fillId="0" borderId="0" xfId="0" quotePrefix="1" applyNumberFormat="1" applyFont="1" applyFill="1" applyAlignment="1" applyProtection="1">
      <alignment horizontal="left"/>
    </xf>
    <xf numFmtId="1" fontId="4" fillId="0" borderId="0" xfId="0" quotePrefix="1" applyNumberFormat="1" applyFont="1" applyFill="1" applyAlignment="1" applyProtection="1">
      <alignment horizontal="left"/>
    </xf>
    <xf numFmtId="1" fontId="6" fillId="0" borderId="0" xfId="0" applyNumberFormat="1" applyFont="1" applyFill="1" applyAlignment="1" applyProtection="1"/>
    <xf numFmtId="1" fontId="2" fillId="2" borderId="0" xfId="0" quotePrefix="1" applyNumberFormat="1" applyFont="1" applyFill="1" applyAlignment="1">
      <alignment horizontal="center"/>
    </xf>
    <xf numFmtId="1" fontId="4" fillId="0" borderId="0" xfId="0" applyNumberFormat="1" applyFont="1" applyFill="1" applyAlignment="1">
      <alignment horizontal="left"/>
    </xf>
    <xf numFmtId="173" fontId="0" fillId="0" borderId="0" xfId="0" applyNumberFormat="1" applyFill="1" applyAlignment="1">
      <alignment horizontal="center"/>
    </xf>
    <xf numFmtId="1" fontId="2" fillId="0" borderId="0" xfId="0" applyNumberFormat="1" applyFont="1" applyFill="1" applyAlignment="1">
      <alignment horizontal="left"/>
    </xf>
    <xf numFmtId="1" fontId="13" fillId="3" borderId="0" xfId="0" applyNumberFormat="1" applyFont="1" applyFill="1" applyAlignment="1"/>
    <xf numFmtId="1" fontId="2" fillId="2" borderId="0" xfId="0" applyNumberFormat="1" applyFont="1" applyFill="1" applyAlignment="1" applyProtection="1">
      <protection locked="0"/>
    </xf>
    <xf numFmtId="185" fontId="1" fillId="5" borderId="0" xfId="0" applyFont="1" applyFill="1">
      <alignment horizontal="left" wrapText="1"/>
    </xf>
    <xf numFmtId="185" fontId="35" fillId="5" borderId="0" xfId="0" applyFont="1" applyFill="1" applyAlignment="1">
      <alignment horizontal="center"/>
    </xf>
    <xf numFmtId="185" fontId="36" fillId="5" borderId="0" xfId="0" applyFont="1" applyFill="1" applyAlignment="1">
      <alignment horizontal="center"/>
    </xf>
    <xf numFmtId="185" fontId="34" fillId="5" borderId="0" xfId="0" applyFont="1" applyFill="1">
      <alignment horizontal="left" wrapText="1"/>
    </xf>
    <xf numFmtId="185" fontId="1" fillId="0" borderId="0" xfId="0" applyFont="1">
      <alignment horizontal="left" wrapText="1"/>
    </xf>
    <xf numFmtId="185" fontId="1" fillId="0" borderId="0" xfId="0" applyFont="1" applyFill="1">
      <alignment horizontal="left" wrapText="1"/>
    </xf>
    <xf numFmtId="174" fontId="1" fillId="0" borderId="0" xfId="0" applyNumberFormat="1" applyFont="1">
      <alignment horizontal="left" wrapText="1"/>
    </xf>
    <xf numFmtId="178" fontId="1" fillId="0" borderId="0" xfId="0" applyNumberFormat="1" applyFont="1">
      <alignment horizontal="left" wrapText="1"/>
    </xf>
    <xf numFmtId="174" fontId="1" fillId="0" borderId="0" xfId="0" applyNumberFormat="1" applyFont="1" applyAlignment="1">
      <alignment horizontal="right" wrapText="1"/>
    </xf>
    <xf numFmtId="1" fontId="1" fillId="0" borderId="0" xfId="0" applyNumberFormat="1" applyFont="1">
      <alignment horizontal="left" wrapText="1"/>
    </xf>
    <xf numFmtId="178" fontId="1" fillId="0" borderId="0" xfId="0" applyNumberFormat="1" applyFont="1" applyAlignment="1">
      <alignment horizontal="right" wrapText="1"/>
    </xf>
    <xf numFmtId="1" fontId="6" fillId="2" borderId="0" xfId="0" applyNumberFormat="1" applyFont="1" applyFill="1" applyAlignment="1" applyProtection="1">
      <alignment horizontal="left"/>
      <protection hidden="1"/>
    </xf>
    <xf numFmtId="1" fontId="13" fillId="2" borderId="0" xfId="0" applyNumberFormat="1" applyFont="1" applyFill="1" applyAlignment="1" applyProtection="1">
      <alignment horizontal="left"/>
      <protection hidden="1"/>
    </xf>
    <xf numFmtId="1" fontId="2" fillId="2" borderId="0" xfId="0" applyNumberFormat="1" applyFont="1" applyFill="1" applyAlignment="1" applyProtection="1">
      <alignment horizontal="center"/>
    </xf>
    <xf numFmtId="1" fontId="0" fillId="2" borderId="0" xfId="0" applyNumberFormat="1" applyFill="1" applyAlignment="1" applyProtection="1"/>
    <xf numFmtId="9" fontId="0" fillId="0" borderId="0" xfId="0" applyNumberFormat="1" applyFill="1" applyAlignment="1">
      <alignment horizontal="center"/>
    </xf>
    <xf numFmtId="3" fontId="0" fillId="0" borderId="0" xfId="0" applyNumberFormat="1" applyFill="1" applyAlignment="1">
      <alignment horizontal="center"/>
    </xf>
    <xf numFmtId="9" fontId="0" fillId="2" borderId="0" xfId="0" applyNumberFormat="1" applyFill="1" applyAlignment="1" applyProtection="1">
      <alignment horizontal="center"/>
    </xf>
    <xf numFmtId="9" fontId="0" fillId="2" borderId="0" xfId="0" applyNumberFormat="1" applyFill="1" applyAlignment="1" applyProtection="1"/>
    <xf numFmtId="171" fontId="0" fillId="0" borderId="0" xfId="0" applyNumberFormat="1" applyFill="1" applyAlignment="1" applyProtection="1">
      <alignment horizontal="center"/>
      <protection locked="0"/>
    </xf>
    <xf numFmtId="175" fontId="0" fillId="0" borderId="0" xfId="0" applyNumberFormat="1" applyFill="1" applyAlignment="1" applyProtection="1">
      <alignment horizontal="center"/>
      <protection locked="0"/>
    </xf>
    <xf numFmtId="9" fontId="0" fillId="0" borderId="0" xfId="6" applyFont="1" applyFill="1" applyAlignment="1" applyProtection="1">
      <alignment horizontal="center"/>
      <protection locked="0"/>
    </xf>
    <xf numFmtId="37" fontId="0" fillId="0" borderId="0" xfId="1" applyNumberFormat="1" applyFont="1" applyFill="1" applyAlignment="1" applyProtection="1">
      <alignment horizontal="center"/>
      <protection locked="0"/>
    </xf>
    <xf numFmtId="9" fontId="0" fillId="0" borderId="0" xfId="6" applyNumberFormat="1" applyFont="1" applyFill="1" applyAlignment="1" applyProtection="1">
      <alignment horizontal="center"/>
      <protection locked="0"/>
    </xf>
    <xf numFmtId="177" fontId="0" fillId="0" borderId="0" xfId="6" applyNumberFormat="1" applyFont="1" applyFill="1" applyAlignment="1" applyProtection="1">
      <alignment horizontal="center"/>
      <protection locked="0"/>
    </xf>
    <xf numFmtId="185" fontId="4" fillId="0" borderId="0" xfId="0" applyFont="1" applyProtection="1">
      <alignment horizontal="left" wrapText="1"/>
    </xf>
    <xf numFmtId="185" fontId="4" fillId="0" borderId="0" xfId="0" applyFont="1" applyFill="1">
      <alignment horizontal="left" wrapText="1"/>
    </xf>
    <xf numFmtId="186" fontId="0" fillId="0" borderId="0" xfId="0" applyNumberFormat="1" applyAlignment="1"/>
    <xf numFmtId="186" fontId="39" fillId="0" borderId="0" xfId="0" applyNumberFormat="1" applyFont="1" applyProtection="1">
      <alignment horizontal="left" wrapText="1"/>
    </xf>
    <xf numFmtId="187" fontId="1" fillId="0" borderId="0" xfId="1" applyNumberFormat="1" applyFill="1" applyAlignment="1">
      <alignment horizontal="left" wrapText="1"/>
    </xf>
    <xf numFmtId="187" fontId="1" fillId="0" borderId="0" xfId="1" applyNumberFormat="1" applyAlignment="1">
      <alignment horizontal="left" wrapText="1"/>
    </xf>
    <xf numFmtId="1" fontId="0" fillId="2" borderId="0" xfId="0" applyNumberFormat="1" applyFill="1" applyAlignment="1" applyProtection="1">
      <alignment horizontal="center"/>
    </xf>
    <xf numFmtId="185" fontId="1" fillId="2" borderId="0" xfId="0" applyFont="1" applyFill="1" applyAlignment="1">
      <alignment horizontal="left"/>
    </xf>
    <xf numFmtId="10" fontId="0" fillId="0" borderId="0" xfId="6" applyNumberFormat="1" applyFont="1" applyFill="1" applyAlignment="1" applyProtection="1">
      <alignment horizontal="center"/>
      <protection locked="0"/>
    </xf>
    <xf numFmtId="185" fontId="1" fillId="0" borderId="0" xfId="0" applyFont="1" applyAlignment="1">
      <alignment horizontal="left"/>
    </xf>
    <xf numFmtId="1" fontId="4" fillId="0" borderId="0" xfId="0" applyNumberFormat="1" applyFont="1" applyFill="1" applyProtection="1">
      <alignment horizontal="left" wrapText="1"/>
    </xf>
    <xf numFmtId="185" fontId="4" fillId="0" borderId="0" xfId="0" quotePrefix="1" applyFont="1" applyAlignment="1" applyProtection="1">
      <alignment horizontal="left"/>
    </xf>
    <xf numFmtId="185" fontId="1" fillId="0" borderId="0" xfId="0" quotePrefix="1" applyFont="1" applyAlignment="1">
      <alignment horizontal="left"/>
    </xf>
    <xf numFmtId="171" fontId="4" fillId="0" borderId="0" xfId="0" applyNumberFormat="1" applyFont="1" applyAlignment="1" applyProtection="1">
      <alignment horizontal="left" wrapText="1"/>
    </xf>
    <xf numFmtId="175" fontId="0" fillId="0" borderId="0" xfId="0" applyNumberFormat="1" applyFill="1" applyAlignment="1">
      <alignment horizontal="center"/>
    </xf>
    <xf numFmtId="185" fontId="1" fillId="0" borderId="0" xfId="0" applyNumberFormat="1" applyFont="1" applyAlignment="1">
      <alignment horizontal="left" wrapText="1"/>
    </xf>
    <xf numFmtId="175" fontId="1" fillId="0" borderId="0" xfId="1" applyNumberFormat="1" applyAlignment="1">
      <alignment horizontal="center" wrapText="1"/>
    </xf>
    <xf numFmtId="185" fontId="2" fillId="0" borderId="0" xfId="0" applyFont="1" applyAlignment="1">
      <alignment horizontal="left"/>
    </xf>
    <xf numFmtId="185" fontId="2" fillId="0" borderId="0" xfId="0" applyFont="1" applyFill="1" applyAlignment="1">
      <alignment horizontal="left"/>
    </xf>
    <xf numFmtId="175" fontId="1" fillId="0" borderId="0" xfId="0" applyNumberFormat="1" applyFont="1">
      <alignment horizontal="left" wrapText="1"/>
    </xf>
    <xf numFmtId="167" fontId="1" fillId="0" borderId="0" xfId="0" applyNumberFormat="1" applyFont="1" applyBorder="1" applyAlignment="1">
      <alignment horizontal="center" wrapText="1"/>
    </xf>
    <xf numFmtId="9" fontId="1" fillId="0" borderId="0" xfId="0" applyNumberFormat="1" applyFont="1">
      <alignment horizontal="left" wrapText="1"/>
    </xf>
    <xf numFmtId="2" fontId="1" fillId="0" borderId="0" xfId="0" applyNumberFormat="1" applyFont="1">
      <alignment horizontal="left" wrapText="1"/>
    </xf>
    <xf numFmtId="185" fontId="4" fillId="0" borderId="0" xfId="0" applyFont="1" applyFill="1" applyProtection="1">
      <alignment horizontal="left" wrapText="1"/>
    </xf>
    <xf numFmtId="175" fontId="1" fillId="0" borderId="0" xfId="0" applyNumberFormat="1" applyFont="1" applyAlignment="1">
      <alignment horizontal="center" wrapText="1"/>
    </xf>
    <xf numFmtId="177" fontId="1" fillId="0" borderId="0" xfId="0" applyNumberFormat="1" applyFont="1">
      <alignment horizontal="left" wrapText="1"/>
    </xf>
    <xf numFmtId="185" fontId="2" fillId="2" borderId="0" xfId="0" applyFont="1" applyFill="1" applyAlignment="1">
      <alignment horizontal="left"/>
    </xf>
    <xf numFmtId="185" fontId="4" fillId="2" borderId="0" xfId="0" applyFont="1" applyFill="1" applyProtection="1">
      <alignment horizontal="left" wrapText="1"/>
    </xf>
    <xf numFmtId="3" fontId="2" fillId="2" borderId="0" xfId="0" applyNumberFormat="1" applyFont="1" applyFill="1" applyAlignment="1">
      <alignment horizontal="center"/>
    </xf>
    <xf numFmtId="171" fontId="1" fillId="0" borderId="0" xfId="0" applyNumberFormat="1" applyFont="1">
      <alignment horizontal="left" wrapText="1"/>
    </xf>
    <xf numFmtId="179" fontId="0" fillId="0" borderId="0" xfId="0" applyNumberFormat="1" applyAlignment="1"/>
    <xf numFmtId="1" fontId="2" fillId="3" borderId="0" xfId="0" applyNumberFormat="1" applyFont="1" applyFill="1" applyAlignment="1">
      <alignment horizontal="left"/>
    </xf>
    <xf numFmtId="1" fontId="13" fillId="3" borderId="0" xfId="0" applyNumberFormat="1" applyFont="1" applyFill="1" applyAlignment="1">
      <alignment horizontal="left"/>
    </xf>
    <xf numFmtId="174" fontId="4" fillId="0" borderId="0" xfId="0" applyNumberFormat="1" applyFont="1" applyAlignment="1">
      <alignment horizontal="right" wrapText="1"/>
    </xf>
    <xf numFmtId="185" fontId="4" fillId="0" borderId="0" xfId="0" applyNumberFormat="1" applyFont="1" applyAlignment="1">
      <alignment horizontal="left" wrapText="1"/>
    </xf>
    <xf numFmtId="0" fontId="41" fillId="0" borderId="0" xfId="0" applyNumberFormat="1" applyFont="1" applyAlignment="1">
      <alignment horizontal="left" wrapText="1"/>
    </xf>
    <xf numFmtId="185" fontId="4" fillId="0" borderId="0" xfId="0" quotePrefix="1" applyFont="1" applyFill="1" applyAlignment="1">
      <alignment horizontal="left"/>
    </xf>
    <xf numFmtId="185" fontId="28" fillId="0" borderId="0" xfId="0" applyFont="1" applyFill="1" applyProtection="1">
      <alignment horizontal="left" wrapText="1"/>
    </xf>
    <xf numFmtId="0" fontId="41" fillId="0" borderId="0" xfId="0" applyNumberFormat="1" applyFont="1" applyAlignment="1">
      <alignment wrapText="1"/>
    </xf>
    <xf numFmtId="177" fontId="25" fillId="0" borderId="0" xfId="0" applyNumberFormat="1" applyFont="1" applyFill="1" applyAlignment="1">
      <alignment horizontal="left"/>
    </xf>
    <xf numFmtId="10" fontId="0" fillId="0" borderId="0" xfId="6" applyNumberFormat="1" applyFont="1" applyBorder="1"/>
    <xf numFmtId="177" fontId="31" fillId="0" borderId="0" xfId="6" applyNumberFormat="1" applyFont="1" applyFill="1" applyBorder="1" applyAlignment="1">
      <alignment horizontal="center" wrapText="1"/>
    </xf>
    <xf numFmtId="1" fontId="36" fillId="5" borderId="0" xfId="0" applyNumberFormat="1" applyFont="1" applyFill="1" applyAlignment="1">
      <alignment horizontal="center"/>
    </xf>
    <xf numFmtId="185" fontId="2" fillId="2" borderId="0" xfId="0" applyFont="1" applyFill="1" applyAlignment="1">
      <alignment horizontal="center"/>
    </xf>
    <xf numFmtId="177" fontId="0" fillId="0" borderId="0" xfId="6" applyNumberFormat="1" applyFont="1" applyAlignment="1">
      <alignment horizontal="left"/>
    </xf>
    <xf numFmtId="185" fontId="1" fillId="0" borderId="0" xfId="0" applyFont="1" applyAlignment="1">
      <alignment horizontal="left" wrapText="1"/>
    </xf>
    <xf numFmtId="185" fontId="1" fillId="0" borderId="0" xfId="0" applyFont="1" applyAlignment="1">
      <alignment horizontal="center" wrapText="1"/>
    </xf>
    <xf numFmtId="10" fontId="0" fillId="0" borderId="0" xfId="6" applyNumberFormat="1" applyFont="1" applyFill="1" applyAlignment="1">
      <alignment horizontal="center"/>
    </xf>
    <xf numFmtId="2" fontId="1" fillId="0" borderId="0" xfId="0" applyNumberFormat="1" applyFont="1" applyAlignment="1"/>
    <xf numFmtId="185" fontId="1" fillId="0" borderId="0" xfId="0" applyFont="1" applyAlignment="1"/>
    <xf numFmtId="170" fontId="1" fillId="0" borderId="0" xfId="0" applyNumberFormat="1" applyFont="1" applyAlignment="1">
      <alignment horizontal="right" wrapText="1"/>
    </xf>
    <xf numFmtId="10" fontId="2" fillId="0" borderId="0" xfId="6" applyNumberFormat="1" applyFont="1" applyFill="1" applyBorder="1"/>
    <xf numFmtId="10" fontId="0" fillId="0" borderId="0" xfId="6" applyNumberFormat="1" applyFont="1" applyFill="1" applyBorder="1"/>
    <xf numFmtId="177" fontId="0" fillId="0" borderId="0" xfId="6" applyNumberFormat="1" applyFont="1" applyFill="1" applyBorder="1" applyAlignment="1">
      <alignment horizontal="center"/>
    </xf>
    <xf numFmtId="177" fontId="31" fillId="0" borderId="0" xfId="6" applyNumberFormat="1" applyFont="1" applyFill="1" applyBorder="1" applyAlignment="1">
      <alignment horizontal="right" wrapText="1"/>
    </xf>
    <xf numFmtId="171" fontId="31" fillId="0" borderId="0" xfId="0" applyNumberFormat="1" applyFont="1" applyFill="1" applyBorder="1" applyAlignment="1">
      <alignment horizontal="right" wrapText="1"/>
    </xf>
    <xf numFmtId="184" fontId="31" fillId="0" borderId="0" xfId="6" applyNumberFormat="1" applyFont="1" applyFill="1" applyBorder="1" applyAlignment="1">
      <alignment horizontal="center" wrapText="1"/>
    </xf>
    <xf numFmtId="176" fontId="1" fillId="0" borderId="0" xfId="0" applyNumberFormat="1" applyFont="1" applyAlignment="1"/>
    <xf numFmtId="173" fontId="1" fillId="0" borderId="0" xfId="0" applyNumberFormat="1" applyFont="1" applyAlignment="1"/>
    <xf numFmtId="185" fontId="34" fillId="0" borderId="0" xfId="0" quotePrefix="1" applyFont="1" applyFill="1" applyAlignment="1"/>
    <xf numFmtId="185" fontId="2" fillId="0" borderId="0" xfId="0" applyFont="1" applyFill="1" applyAlignment="1"/>
    <xf numFmtId="185" fontId="4" fillId="0" borderId="0" xfId="0" applyFont="1" applyFill="1" applyAlignment="1"/>
    <xf numFmtId="185" fontId="4" fillId="0" borderId="0" xfId="0" quotePrefix="1" applyFont="1" applyFill="1" applyAlignment="1"/>
    <xf numFmtId="185" fontId="1" fillId="0" borderId="0" xfId="0" applyFont="1" applyFill="1" applyAlignment="1"/>
    <xf numFmtId="3" fontId="1" fillId="0" borderId="0" xfId="0" applyNumberFormat="1" applyFont="1" applyFill="1" applyAlignment="1"/>
    <xf numFmtId="173" fontId="1" fillId="0" borderId="0" xfId="0" applyNumberFormat="1" applyFont="1" applyFill="1" applyAlignment="1"/>
    <xf numFmtId="173" fontId="4" fillId="0" borderId="0" xfId="0" applyNumberFormat="1" applyFont="1" applyFill="1" applyAlignment="1"/>
    <xf numFmtId="171" fontId="1" fillId="0" borderId="0" xfId="0" applyNumberFormat="1" applyFont="1" applyAlignment="1">
      <alignment horizontal="right" wrapText="1"/>
    </xf>
    <xf numFmtId="1" fontId="4" fillId="0" borderId="0" xfId="0" applyNumberFormat="1" applyFont="1" applyFill="1" applyAlignment="1">
      <alignment horizontal="center"/>
    </xf>
    <xf numFmtId="185" fontId="14" fillId="0" borderId="0" xfId="0" quotePrefix="1" applyFont="1" applyFill="1" applyAlignment="1">
      <alignment horizontal="left"/>
    </xf>
    <xf numFmtId="185" fontId="14" fillId="0" borderId="0" xfId="0" applyFont="1" applyFill="1" applyAlignment="1">
      <alignment horizontal="left"/>
    </xf>
    <xf numFmtId="1" fontId="42" fillId="2" borderId="0" xfId="0" applyNumberFormat="1" applyFont="1" applyFill="1" applyAlignment="1"/>
    <xf numFmtId="185" fontId="4" fillId="0" borderId="0" xfId="0" applyFont="1" applyFill="1" applyAlignment="1">
      <alignment horizontal="left"/>
    </xf>
    <xf numFmtId="3" fontId="2" fillId="0" borderId="0" xfId="0" applyNumberFormat="1" applyFont="1" applyFill="1" applyAlignment="1">
      <alignment horizontal="left"/>
    </xf>
    <xf numFmtId="177" fontId="4" fillId="0" borderId="0" xfId="6" applyNumberFormat="1" applyFont="1" applyFill="1" applyAlignment="1">
      <alignment horizontal="center"/>
    </xf>
    <xf numFmtId="1" fontId="2" fillId="0" borderId="0" xfId="0" quotePrefix="1" applyNumberFormat="1" applyFont="1" applyAlignment="1" applyProtection="1">
      <alignment horizontal="left"/>
    </xf>
    <xf numFmtId="171" fontId="0" fillId="0" borderId="0" xfId="0" applyNumberFormat="1" applyFill="1" applyAlignment="1">
      <alignment horizontal="right"/>
    </xf>
    <xf numFmtId="171" fontId="0" fillId="2" borderId="0" xfId="0" applyNumberFormat="1" applyFill="1" applyBorder="1" applyAlignment="1"/>
    <xf numFmtId="171" fontId="2" fillId="0" borderId="0" xfId="0" applyNumberFormat="1" applyFont="1" applyFill="1" applyAlignment="1">
      <alignment horizontal="right"/>
    </xf>
    <xf numFmtId="1" fontId="2" fillId="0" borderId="0" xfId="0" applyNumberFormat="1" applyFont="1" applyFill="1" applyAlignment="1">
      <alignment horizontal="right"/>
    </xf>
    <xf numFmtId="3" fontId="2" fillId="0" borderId="0" xfId="0" applyNumberFormat="1" applyFont="1" applyFill="1" applyBorder="1" applyAlignment="1" applyProtection="1">
      <alignment horizontal="center"/>
      <protection locked="0"/>
    </xf>
    <xf numFmtId="171" fontId="2" fillId="0" borderId="0" xfId="0" applyNumberFormat="1" applyFont="1" applyFill="1" applyAlignment="1">
      <alignment horizontal="left"/>
    </xf>
    <xf numFmtId="175" fontId="2" fillId="0" borderId="0" xfId="0" applyNumberFormat="1" applyFont="1" applyFill="1" applyAlignment="1">
      <alignment horizontal="left"/>
    </xf>
    <xf numFmtId="1" fontId="0" fillId="0" borderId="0" xfId="0" applyNumberFormat="1" applyFill="1" applyAlignment="1">
      <alignment vertical="top" wrapText="1"/>
    </xf>
    <xf numFmtId="170" fontId="1" fillId="0" borderId="0" xfId="0" applyNumberFormat="1" applyFont="1">
      <alignment horizontal="left" wrapText="1"/>
    </xf>
    <xf numFmtId="178" fontId="1" fillId="0" borderId="0" xfId="0" applyNumberFormat="1" applyFont="1" applyFill="1">
      <alignment horizontal="left" wrapText="1"/>
    </xf>
    <xf numFmtId="178" fontId="0" fillId="0" borderId="0" xfId="0" applyNumberFormat="1" applyAlignment="1">
      <alignment horizontal="left"/>
    </xf>
    <xf numFmtId="1" fontId="7" fillId="0" borderId="0" xfId="0" applyNumberFormat="1" applyFont="1" applyFill="1" applyAlignment="1" applyProtection="1">
      <alignment horizontal="center" wrapText="1"/>
      <protection locked="0"/>
    </xf>
    <xf numFmtId="1" fontId="43" fillId="0" borderId="0" xfId="0" applyNumberFormat="1" applyFont="1" applyFill="1" applyAlignment="1"/>
    <xf numFmtId="1" fontId="19" fillId="0" borderId="0" xfId="0" applyNumberFormat="1" applyFont="1" applyFill="1" applyAlignment="1"/>
    <xf numFmtId="1" fontId="4" fillId="0" borderId="0" xfId="0" applyNumberFormat="1" applyFont="1" applyFill="1" applyAlignment="1" applyProtection="1">
      <protection hidden="1"/>
    </xf>
    <xf numFmtId="1" fontId="43" fillId="0" borderId="0" xfId="0" applyNumberFormat="1" applyFont="1" applyFill="1" applyAlignment="1" applyProtection="1">
      <protection locked="0"/>
    </xf>
    <xf numFmtId="171" fontId="43" fillId="0" borderId="0" xfId="0" applyNumberFormat="1" applyFont="1" applyFill="1" applyAlignment="1"/>
    <xf numFmtId="173" fontId="2" fillId="0" borderId="0" xfId="0" applyNumberFormat="1" applyFont="1" applyFill="1" applyAlignment="1">
      <alignment horizontal="center"/>
    </xf>
    <xf numFmtId="185" fontId="1" fillId="2" borderId="0" xfId="0" applyFont="1" applyFill="1">
      <alignment horizontal="left" wrapText="1"/>
    </xf>
    <xf numFmtId="185" fontId="1" fillId="2" borderId="0" xfId="0" quotePrefix="1" applyFont="1" applyFill="1" applyAlignment="1">
      <alignment horizontal="left"/>
    </xf>
    <xf numFmtId="185" fontId="1" fillId="0" borderId="0" xfId="0" quotePrefix="1" applyFont="1" applyFill="1" applyAlignment="1">
      <alignment horizontal="left"/>
    </xf>
    <xf numFmtId="185" fontId="1" fillId="0" borderId="0" xfId="0" applyFont="1" applyFill="1" applyAlignment="1">
      <alignment horizontal="left"/>
    </xf>
    <xf numFmtId="173" fontId="4" fillId="0" borderId="0" xfId="0" applyNumberFormat="1" applyFont="1" applyFill="1" applyAlignment="1">
      <alignment horizontal="center"/>
    </xf>
    <xf numFmtId="1" fontId="1" fillId="0" borderId="0" xfId="0" applyNumberFormat="1" applyFont="1" applyAlignment="1">
      <alignment horizontal="right" wrapText="1"/>
    </xf>
    <xf numFmtId="185" fontId="1" fillId="0" borderId="0" xfId="0" applyNumberFormat="1" applyFont="1" applyAlignment="1">
      <alignment horizontal="left"/>
    </xf>
    <xf numFmtId="188" fontId="4" fillId="0" borderId="0" xfId="1" applyNumberFormat="1" applyFont="1" applyFill="1" applyAlignment="1">
      <alignment horizontal="center"/>
    </xf>
    <xf numFmtId="0" fontId="49" fillId="0" borderId="0" xfId="4" applyFont="1" applyFill="1" applyBorder="1" applyAlignment="1">
      <alignment horizontal="left"/>
    </xf>
    <xf numFmtId="171" fontId="2" fillId="3" borderId="0" xfId="0" applyNumberFormat="1" applyFont="1" applyFill="1" applyAlignment="1">
      <alignment horizontal="center"/>
    </xf>
    <xf numFmtId="171" fontId="31" fillId="0" borderId="0" xfId="4" applyNumberFormat="1" applyFont="1" applyFill="1" applyBorder="1" applyAlignment="1">
      <alignment horizontal="center"/>
    </xf>
    <xf numFmtId="177" fontId="0" fillId="0" borderId="0" xfId="6" applyNumberFormat="1" applyFont="1" applyAlignment="1">
      <alignment horizontal="center"/>
    </xf>
    <xf numFmtId="175" fontId="2" fillId="2" borderId="0" xfId="2" applyNumberFormat="1" applyFont="1" applyFill="1" applyAlignment="1" applyProtection="1">
      <alignment horizontal="center"/>
    </xf>
    <xf numFmtId="9" fontId="2" fillId="0" borderId="0" xfId="0" applyNumberFormat="1" applyFont="1" applyAlignment="1">
      <alignment horizontal="center"/>
    </xf>
    <xf numFmtId="1" fontId="4" fillId="0" borderId="0" xfId="0" applyNumberFormat="1" applyFont="1" applyAlignment="1">
      <alignment horizontal="left"/>
    </xf>
    <xf numFmtId="1" fontId="0" fillId="0" borderId="0" xfId="1" applyNumberFormat="1" applyFont="1" applyAlignment="1">
      <alignment horizontal="center"/>
    </xf>
    <xf numFmtId="1" fontId="0" fillId="0" borderId="0" xfId="6" applyNumberFormat="1" applyFont="1" applyFill="1" applyAlignment="1" applyProtection="1">
      <alignment horizontal="center"/>
      <protection locked="0"/>
    </xf>
    <xf numFmtId="1" fontId="1" fillId="0" borderId="0" xfId="0" quotePrefix="1" applyNumberFormat="1" applyFont="1" applyAlignment="1">
      <alignment horizontal="left"/>
    </xf>
    <xf numFmtId="9" fontId="0" fillId="2" borderId="0" xfId="6" applyFont="1" applyFill="1" applyAlignment="1" applyProtection="1">
      <alignment horizontal="center"/>
    </xf>
    <xf numFmtId="178" fontId="0" fillId="0" borderId="0" xfId="0" applyNumberFormat="1" applyAlignment="1">
      <alignment horizontal="center"/>
    </xf>
    <xf numFmtId="10" fontId="0" fillId="0" borderId="0" xfId="6" applyNumberFormat="1" applyFont="1" applyAlignment="1"/>
    <xf numFmtId="171" fontId="0" fillId="0" borderId="0" xfId="6" applyNumberFormat="1" applyFont="1"/>
    <xf numFmtId="1" fontId="2" fillId="0" borderId="0" xfId="0" applyNumberFormat="1" applyFont="1" applyAlignment="1" applyProtection="1">
      <alignment horizontal="left"/>
    </xf>
    <xf numFmtId="169" fontId="4" fillId="0" borderId="0" xfId="1" applyFont="1" applyFill="1" applyAlignment="1">
      <alignment horizontal="left" wrapText="1"/>
    </xf>
    <xf numFmtId="181" fontId="4" fillId="0" borderId="0" xfId="1" applyNumberFormat="1" applyFont="1" applyFill="1" applyAlignment="1">
      <alignment horizontal="left" wrapText="1"/>
    </xf>
    <xf numFmtId="1" fontId="1" fillId="0" borderId="0" xfId="0" applyNumberFormat="1" applyFont="1" applyAlignment="1">
      <alignment horizontal="center" wrapText="1"/>
    </xf>
    <xf numFmtId="1" fontId="4" fillId="0" borderId="0" xfId="0" applyNumberFormat="1" applyFont="1" applyFill="1" applyAlignment="1">
      <alignment horizontal="center" wrapText="1"/>
    </xf>
    <xf numFmtId="164" fontId="0" fillId="0" borderId="0" xfId="2" applyNumberFormat="1" applyFont="1" applyAlignment="1">
      <alignment horizontal="center"/>
    </xf>
    <xf numFmtId="3" fontId="1" fillId="0" borderId="0" xfId="0" applyNumberFormat="1" applyFont="1" applyAlignment="1"/>
    <xf numFmtId="3" fontId="4" fillId="0" borderId="0" xfId="0" applyNumberFormat="1" applyFont="1" applyFill="1" applyAlignment="1"/>
    <xf numFmtId="171" fontId="4" fillId="2" borderId="0" xfId="0" applyNumberFormat="1" applyFont="1" applyFill="1" applyAlignment="1">
      <alignment horizontal="left"/>
    </xf>
    <xf numFmtId="3" fontId="4" fillId="2" borderId="0" xfId="0" applyNumberFormat="1" applyFont="1" applyFill="1" applyAlignment="1">
      <alignment horizontal="center"/>
    </xf>
    <xf numFmtId="185" fontId="2" fillId="0" borderId="0" xfId="0" applyFont="1" applyFill="1" applyAlignment="1">
      <alignment horizontal="center"/>
    </xf>
    <xf numFmtId="175" fontId="0" fillId="0" borderId="0" xfId="2" applyNumberFormat="1" applyFont="1" applyAlignment="1">
      <alignment horizontal="center"/>
    </xf>
    <xf numFmtId="9" fontId="2" fillId="2" borderId="0" xfId="6" applyFont="1" applyFill="1" applyAlignment="1">
      <alignment horizontal="left"/>
    </xf>
    <xf numFmtId="175" fontId="4" fillId="2" borderId="0" xfId="0" applyNumberFormat="1" applyFont="1" applyFill="1" applyAlignment="1">
      <alignment horizontal="center"/>
    </xf>
    <xf numFmtId="177" fontId="4" fillId="2" borderId="0" xfId="6" applyNumberFormat="1" applyFont="1" applyFill="1" applyAlignment="1">
      <alignment horizontal="center"/>
    </xf>
    <xf numFmtId="185" fontId="17" fillId="2" borderId="0" xfId="0" quotePrefix="1" applyFont="1" applyFill="1" applyAlignment="1">
      <alignment horizontal="left"/>
    </xf>
    <xf numFmtId="171" fontId="0" fillId="2" borderId="0" xfId="0" applyNumberFormat="1" applyFill="1" applyAlignment="1">
      <alignment horizontal="right"/>
    </xf>
    <xf numFmtId="185" fontId="14" fillId="3" borderId="0" xfId="0" applyFont="1" applyFill="1" applyAlignment="1">
      <alignment horizontal="left"/>
    </xf>
    <xf numFmtId="3" fontId="4" fillId="0" borderId="0" xfId="0" applyNumberFormat="1" applyFont="1" applyFill="1" applyAlignment="1">
      <alignment horizontal="center"/>
    </xf>
    <xf numFmtId="1" fontId="4" fillId="0" borderId="0" xfId="0" applyNumberFormat="1" applyFont="1" applyFill="1" applyAlignment="1">
      <alignment horizontal="right"/>
    </xf>
    <xf numFmtId="171" fontId="4" fillId="0" borderId="0" xfId="0" applyNumberFormat="1" applyFont="1" applyFill="1" applyAlignment="1">
      <alignment horizontal="right"/>
    </xf>
    <xf numFmtId="175" fontId="4" fillId="0" borderId="0" xfId="0" applyNumberFormat="1" applyFont="1" applyFill="1" applyAlignment="1">
      <alignment horizontal="right"/>
    </xf>
    <xf numFmtId="1" fontId="42" fillId="0" borderId="0" xfId="0" applyNumberFormat="1" applyFont="1" applyFill="1" applyAlignment="1"/>
    <xf numFmtId="1" fontId="7" fillId="0" borderId="0" xfId="0" applyNumberFormat="1" applyFont="1" applyFill="1" applyAlignment="1" applyProtection="1">
      <alignment horizontal="center"/>
      <protection locked="0"/>
    </xf>
    <xf numFmtId="166" fontId="7" fillId="0" borderId="0" xfId="2" applyNumberFormat="1" applyFont="1" applyFill="1" applyAlignment="1" applyProtection="1">
      <alignment horizontal="center" wrapText="1"/>
      <protection locked="0"/>
    </xf>
    <xf numFmtId="171" fontId="0" fillId="0" borderId="0" xfId="6" applyNumberFormat="1" applyFont="1" applyAlignment="1">
      <alignment horizontal="center"/>
    </xf>
    <xf numFmtId="9" fontId="2" fillId="0" borderId="0" xfId="6" applyFont="1" applyAlignment="1">
      <alignment horizontal="center"/>
    </xf>
    <xf numFmtId="175" fontId="0" fillId="0" borderId="0" xfId="6" applyNumberFormat="1" applyFont="1" applyAlignment="1">
      <alignment horizontal="center"/>
    </xf>
    <xf numFmtId="177" fontId="4" fillId="0" borderId="0" xfId="6" applyNumberFormat="1" applyFont="1" applyAlignment="1">
      <alignment horizontal="center"/>
    </xf>
    <xf numFmtId="9" fontId="2" fillId="0" borderId="0" xfId="6" applyFont="1" applyAlignment="1">
      <alignment horizontal="left"/>
    </xf>
    <xf numFmtId="173" fontId="0" fillId="0" borderId="0" xfId="0" applyNumberFormat="1" applyAlignment="1">
      <alignment horizontal="center"/>
    </xf>
    <xf numFmtId="1" fontId="2" fillId="2" borderId="0" xfId="0" applyNumberFormat="1" applyFont="1" applyFill="1" applyProtection="1">
      <alignment horizontal="left" wrapText="1"/>
    </xf>
    <xf numFmtId="1" fontId="2" fillId="0" borderId="0" xfId="0" applyNumberFormat="1" applyFont="1" applyFill="1" applyProtection="1">
      <alignment horizontal="left" wrapText="1"/>
    </xf>
    <xf numFmtId="177" fontId="7" fillId="0" borderId="0" xfId="6" applyNumberFormat="1" applyFont="1" applyFill="1" applyAlignment="1" applyProtection="1">
      <alignment horizontal="center" wrapText="1"/>
      <protection locked="0"/>
    </xf>
    <xf numFmtId="177" fontId="4" fillId="0" borderId="0" xfId="6" applyNumberFormat="1" applyFont="1" applyFill="1" applyAlignment="1">
      <alignment horizontal="right"/>
    </xf>
    <xf numFmtId="177" fontId="2" fillId="2" borderId="0" xfId="6" applyNumberFormat="1" applyFont="1" applyFill="1" applyBorder="1" applyAlignment="1" applyProtection="1">
      <alignment horizontal="center"/>
    </xf>
    <xf numFmtId="1" fontId="2" fillId="0" borderId="0" xfId="0" applyNumberFormat="1" applyFont="1" applyBorder="1" applyAlignment="1">
      <alignment horizontal="center"/>
    </xf>
    <xf numFmtId="9" fontId="45" fillId="0" borderId="0" xfId="6" applyFont="1" applyFill="1" applyBorder="1" applyAlignment="1">
      <alignment horizontal="center"/>
    </xf>
    <xf numFmtId="9" fontId="47" fillId="0" borderId="0" xfId="6" applyFont="1" applyFill="1" applyBorder="1" applyAlignment="1">
      <alignment horizontal="center"/>
    </xf>
    <xf numFmtId="9" fontId="45" fillId="0" borderId="0" xfId="6" applyFont="1" applyFill="1" applyBorder="1" applyAlignment="1"/>
    <xf numFmtId="9" fontId="48" fillId="0" borderId="0" xfId="6" applyFont="1" applyFill="1" applyBorder="1" applyAlignment="1">
      <alignment horizontal="center"/>
    </xf>
    <xf numFmtId="9" fontId="46" fillId="0" borderId="0" xfId="6" applyFont="1" applyFill="1" applyBorder="1" applyAlignment="1">
      <alignment horizontal="center" wrapText="1"/>
    </xf>
    <xf numFmtId="0" fontId="45" fillId="0" borderId="0" xfId="4" applyFill="1" applyBorder="1"/>
    <xf numFmtId="0" fontId="31" fillId="0" borderId="0" xfId="4" applyFont="1" applyFill="1" applyBorder="1" applyAlignment="1"/>
    <xf numFmtId="1" fontId="4" fillId="0" borderId="0" xfId="0" applyNumberFormat="1" applyFont="1" applyBorder="1" applyAlignment="1" applyProtection="1"/>
    <xf numFmtId="1" fontId="5" fillId="0" borderId="0" xfId="0" applyNumberFormat="1" applyFont="1" applyBorder="1" applyAlignment="1" applyProtection="1"/>
    <xf numFmtId="1" fontId="2" fillId="0" borderId="0" xfId="0" applyNumberFormat="1" applyFont="1" applyBorder="1" applyAlignment="1" applyProtection="1"/>
    <xf numFmtId="185" fontId="4" fillId="0" borderId="0" xfId="0" applyFont="1" applyBorder="1" applyProtection="1">
      <alignment horizontal="left" wrapText="1"/>
    </xf>
    <xf numFmtId="1" fontId="31" fillId="0" borderId="0" xfId="4" applyNumberFormat="1" applyFont="1" applyFill="1" applyBorder="1" applyAlignment="1"/>
    <xf numFmtId="185" fontId="43" fillId="0" borderId="0" xfId="5" applyFont="1" applyFill="1" applyBorder="1" applyAlignment="1">
      <alignment wrapText="1"/>
    </xf>
    <xf numFmtId="1" fontId="23" fillId="0" borderId="0" xfId="4" applyNumberFormat="1" applyFont="1" applyFill="1" applyBorder="1" applyAlignment="1">
      <alignment horizontal="center"/>
    </xf>
    <xf numFmtId="177" fontId="50" fillId="0" borderId="0" xfId="4" applyNumberFormat="1" applyFont="1" applyFill="1" applyBorder="1" applyAlignment="1" applyProtection="1">
      <alignment horizontal="center"/>
      <protection locked="0"/>
    </xf>
    <xf numFmtId="10" fontId="31" fillId="0" borderId="0" xfId="4" applyNumberFormat="1" applyFont="1" applyFill="1" applyBorder="1" applyAlignment="1">
      <alignment horizontal="center"/>
    </xf>
    <xf numFmtId="10" fontId="31" fillId="0" borderId="0" xfId="4" applyNumberFormat="1" applyFont="1" applyFill="1" applyBorder="1" applyAlignment="1" applyProtection="1">
      <alignment horizontal="center"/>
      <protection locked="0"/>
    </xf>
    <xf numFmtId="187" fontId="1" fillId="0" borderId="0" xfId="1" applyNumberFormat="1" applyBorder="1" applyAlignment="1">
      <alignment horizontal="left" wrapText="1"/>
    </xf>
    <xf numFmtId="171" fontId="50" fillId="0" borderId="0" xfId="4" applyNumberFormat="1" applyFont="1" applyFill="1" applyBorder="1" applyAlignment="1">
      <alignment horizontal="center"/>
    </xf>
    <xf numFmtId="0" fontId="31" fillId="0" borderId="0" xfId="4" applyFont="1" applyFill="1" applyBorder="1"/>
    <xf numFmtId="1" fontId="54" fillId="0" borderId="0" xfId="4" applyNumberFormat="1" applyFont="1" applyFill="1" applyBorder="1" applyAlignment="1">
      <alignment horizontal="left"/>
    </xf>
    <xf numFmtId="177" fontId="45" fillId="0" borderId="0" xfId="4" applyNumberFormat="1" applyFill="1" applyBorder="1" applyAlignment="1">
      <alignment horizontal="center"/>
    </xf>
    <xf numFmtId="1" fontId="51" fillId="0" borderId="0" xfId="4" applyNumberFormat="1" applyFont="1" applyFill="1" applyBorder="1" applyAlignment="1"/>
    <xf numFmtId="177" fontId="52" fillId="0" borderId="0" xfId="6" applyNumberFormat="1" applyFont="1" applyFill="1" applyBorder="1" applyAlignment="1">
      <alignment horizontal="center"/>
    </xf>
    <xf numFmtId="1" fontId="51" fillId="0" borderId="0" xfId="4" applyNumberFormat="1" applyFont="1" applyFill="1" applyBorder="1" applyAlignment="1" applyProtection="1"/>
    <xf numFmtId="1" fontId="45" fillId="0" borderId="0" xfId="4" applyNumberFormat="1" applyFill="1" applyBorder="1" applyAlignment="1">
      <alignment horizontal="left" indent="2"/>
    </xf>
    <xf numFmtId="185" fontId="52" fillId="0" borderId="0" xfId="5" applyFont="1" applyFill="1" applyBorder="1" applyAlignment="1">
      <alignment horizontal="left" wrapText="1" indent="2"/>
    </xf>
    <xf numFmtId="1" fontId="47" fillId="0" borderId="0" xfId="4" applyNumberFormat="1" applyFont="1" applyFill="1" applyBorder="1" applyAlignment="1">
      <alignment horizontal="left" indent="1"/>
    </xf>
    <xf numFmtId="177" fontId="53" fillId="0" borderId="0" xfId="6" applyNumberFormat="1" applyFont="1" applyFill="1" applyBorder="1" applyAlignment="1">
      <alignment horizontal="center"/>
    </xf>
    <xf numFmtId="0" fontId="44" fillId="0" borderId="0" xfId="4" applyFont="1" applyFill="1" applyBorder="1"/>
    <xf numFmtId="177" fontId="44" fillId="0" borderId="0" xfId="6" quotePrefix="1" applyNumberFormat="1" applyFont="1" applyFill="1" applyBorder="1" applyAlignment="1">
      <alignment horizontal="center" wrapText="1"/>
    </xf>
    <xf numFmtId="0" fontId="46" fillId="0" borderId="0" xfId="4" applyFont="1" applyFill="1" applyBorder="1"/>
    <xf numFmtId="0" fontId="46" fillId="0" borderId="0" xfId="4" applyFont="1" applyFill="1" applyBorder="1" applyAlignment="1">
      <alignment horizontal="center" wrapText="1"/>
    </xf>
    <xf numFmtId="171" fontId="45" fillId="0" borderId="0" xfId="4" applyNumberFormat="1" applyFill="1" applyBorder="1" applyAlignment="1">
      <alignment horizontal="center"/>
    </xf>
    <xf numFmtId="1" fontId="50" fillId="0" borderId="0" xfId="4" applyNumberFormat="1" applyFont="1" applyFill="1" applyBorder="1" applyAlignment="1">
      <alignment horizontal="left"/>
    </xf>
    <xf numFmtId="1" fontId="0" fillId="2" borderId="0" xfId="0" applyNumberFormat="1" applyFill="1" applyAlignment="1"/>
    <xf numFmtId="1" fontId="4" fillId="0" borderId="0" xfId="0" applyNumberFormat="1" applyFont="1" applyAlignment="1"/>
    <xf numFmtId="1" fontId="0" fillId="0" borderId="0" xfId="0" applyNumberFormat="1" applyAlignment="1"/>
    <xf numFmtId="2" fontId="0" fillId="0" borderId="0" xfId="0" applyNumberFormat="1" applyAlignment="1">
      <alignment horizontal="right"/>
    </xf>
    <xf numFmtId="0" fontId="0" fillId="0" borderId="0" xfId="0" applyNumberFormat="1" applyAlignment="1"/>
    <xf numFmtId="185" fontId="4" fillId="0" borderId="0" xfId="5" applyFont="1" applyFill="1" applyBorder="1" applyAlignment="1">
      <alignment wrapText="1"/>
    </xf>
    <xf numFmtId="1" fontId="2" fillId="3" borderId="0" xfId="0" applyNumberFormat="1" applyFont="1" applyFill="1" applyAlignment="1">
      <alignment horizontal="center" wrapText="1"/>
    </xf>
    <xf numFmtId="1" fontId="2" fillId="2" borderId="0" xfId="0" quotePrefix="1" applyNumberFormat="1" applyFont="1" applyFill="1" applyAlignment="1" applyProtection="1">
      <alignment horizontal="left" wrapText="1"/>
    </xf>
    <xf numFmtId="1" fontId="2" fillId="2" borderId="0" xfId="0" applyNumberFormat="1" applyFont="1" applyFill="1" applyAlignment="1">
      <alignment horizontal="center" wrapText="1"/>
    </xf>
    <xf numFmtId="1" fontId="2" fillId="0" borderId="0" xfId="6" applyNumberFormat="1" applyFont="1" applyFill="1" applyAlignment="1" applyProtection="1">
      <alignment horizontal="center"/>
      <protection locked="0"/>
    </xf>
    <xf numFmtId="171" fontId="4" fillId="0" borderId="0" xfId="0" applyNumberFormat="1" applyFont="1" applyAlignment="1"/>
    <xf numFmtId="9" fontId="0" fillId="0" borderId="0" xfId="6" applyFont="1" applyAlignment="1"/>
    <xf numFmtId="9" fontId="4" fillId="0" borderId="0" xfId="6" applyFont="1" applyAlignment="1"/>
    <xf numFmtId="171" fontId="2" fillId="0" borderId="0" xfId="0" applyNumberFormat="1" applyFont="1" applyFill="1" applyAlignment="1" applyProtection="1">
      <alignment horizontal="center"/>
      <protection locked="0"/>
    </xf>
    <xf numFmtId="1" fontId="0" fillId="6" borderId="0" xfId="0" applyNumberFormat="1" applyFill="1" applyAlignment="1"/>
    <xf numFmtId="170" fontId="2" fillId="0" borderId="0" xfId="0" applyNumberFormat="1" applyFont="1" applyFill="1" applyAlignment="1" applyProtection="1">
      <alignment horizontal="center"/>
      <protection locked="0"/>
    </xf>
    <xf numFmtId="1" fontId="0" fillId="0" borderId="0" xfId="6" applyNumberFormat="1" applyFont="1" applyAlignment="1"/>
    <xf numFmtId="1" fontId="59" fillId="2" borderId="0" xfId="0" applyNumberFormat="1" applyFont="1" applyFill="1" applyAlignment="1"/>
    <xf numFmtId="1" fontId="2" fillId="6" borderId="0" xfId="6" applyNumberFormat="1" applyFont="1" applyFill="1" applyAlignment="1" applyProtection="1">
      <alignment horizontal="center"/>
    </xf>
    <xf numFmtId="172" fontId="4" fillId="0" borderId="0" xfId="0" applyNumberFormat="1" applyFont="1" applyFill="1" applyAlignment="1" applyProtection="1">
      <alignment horizontal="center"/>
      <protection locked="0"/>
    </xf>
    <xf numFmtId="177" fontId="2" fillId="2" borderId="0" xfId="6" applyNumberFormat="1" applyFont="1" applyFill="1" applyAlignment="1">
      <alignment horizontal="left"/>
    </xf>
    <xf numFmtId="1" fontId="2" fillId="4" borderId="0" xfId="0" quotePrefix="1" applyNumberFormat="1" applyFont="1" applyFill="1" applyAlignment="1">
      <alignment horizontal="left" vertical="top"/>
    </xf>
    <xf numFmtId="1" fontId="58" fillId="7" borderId="0" xfId="0" applyNumberFormat="1" applyFont="1" applyFill="1" applyBorder="1" applyAlignment="1">
      <alignment horizontal="left" wrapText="1"/>
    </xf>
    <xf numFmtId="185" fontId="4" fillId="0" borderId="0" xfId="5" applyFont="1" applyFill="1" applyBorder="1" applyAlignment="1"/>
    <xf numFmtId="1" fontId="0" fillId="2" borderId="0" xfId="0" applyNumberFormat="1" applyFill="1" applyAlignment="1"/>
    <xf numFmtId="1" fontId="0" fillId="0" borderId="0" xfId="0" applyNumberFormat="1" applyAlignment="1"/>
    <xf numFmtId="1" fontId="1" fillId="0" borderId="0" xfId="0" applyNumberFormat="1" applyFont="1" applyBorder="1" applyAlignment="1" applyProtection="1"/>
    <xf numFmtId="171" fontId="1" fillId="0" borderId="0" xfId="0" applyNumberFormat="1" applyFont="1" applyAlignment="1">
      <alignment horizontal="center"/>
    </xf>
    <xf numFmtId="171" fontId="1" fillId="0" borderId="0" xfId="0" applyNumberFormat="1" applyFont="1" applyAlignment="1">
      <alignment horizontal="center" wrapText="1"/>
    </xf>
    <xf numFmtId="9" fontId="31" fillId="0" borderId="0" xfId="6" applyFont="1" applyFill="1" applyBorder="1" applyAlignment="1"/>
    <xf numFmtId="177" fontId="50" fillId="0" borderId="0" xfId="6" applyNumberFormat="1" applyFont="1" applyFill="1" applyBorder="1" applyAlignment="1">
      <alignment horizontal="center"/>
    </xf>
    <xf numFmtId="177" fontId="0" fillId="0" borderId="0" xfId="6" applyNumberFormat="1" applyFont="1" applyAlignment="1"/>
    <xf numFmtId="177" fontId="4" fillId="0" borderId="0" xfId="6" applyNumberFormat="1" applyFont="1" applyAlignment="1" applyProtection="1">
      <alignment horizontal="left" wrapText="1"/>
    </xf>
    <xf numFmtId="177" fontId="31" fillId="0" borderId="0" xfId="6" applyNumberFormat="1" applyFont="1" applyFill="1" applyBorder="1" applyAlignment="1"/>
    <xf numFmtId="171" fontId="31" fillId="0" borderId="0" xfId="4" applyNumberFormat="1" applyFont="1" applyFill="1" applyBorder="1" applyAlignment="1">
      <alignment horizontal="right"/>
    </xf>
    <xf numFmtId="171" fontId="4" fillId="0" borderId="0" xfId="0" applyNumberFormat="1" applyFont="1" applyAlignment="1" applyProtection="1">
      <alignment horizontal="right" wrapText="1"/>
    </xf>
    <xf numFmtId="171" fontId="0" fillId="0" borderId="0" xfId="0" applyNumberFormat="1" applyAlignment="1">
      <alignment horizontal="right"/>
    </xf>
    <xf numFmtId="171" fontId="50" fillId="0" borderId="0" xfId="4" applyNumberFormat="1" applyFont="1" applyFill="1" applyBorder="1" applyAlignment="1">
      <alignment horizontal="right"/>
    </xf>
    <xf numFmtId="165" fontId="31" fillId="0" borderId="0" xfId="4" applyNumberFormat="1" applyFont="1" applyFill="1" applyBorder="1" applyAlignment="1">
      <alignment horizontal="right"/>
    </xf>
    <xf numFmtId="171" fontId="1" fillId="0" borderId="0" xfId="0" applyNumberFormat="1" applyFont="1" applyAlignment="1" applyProtection="1">
      <alignment horizontal="right" wrapText="1"/>
    </xf>
    <xf numFmtId="9" fontId="31" fillId="0" borderId="0" xfId="4" applyNumberFormat="1" applyFont="1" applyFill="1" applyBorder="1" applyAlignment="1"/>
    <xf numFmtId="0" fontId="31" fillId="0" borderId="0" xfId="4" applyFont="1" applyFill="1" applyBorder="1" applyAlignment="1">
      <alignment horizontal="left"/>
    </xf>
    <xf numFmtId="9" fontId="50" fillId="0" borderId="0" xfId="4" applyNumberFormat="1" applyFont="1" applyFill="1" applyBorder="1" applyAlignment="1"/>
    <xf numFmtId="9" fontId="1" fillId="0" borderId="0" xfId="5" applyNumberFormat="1" applyFont="1" applyFill="1" applyBorder="1" applyAlignment="1"/>
    <xf numFmtId="171" fontId="23" fillId="0" borderId="0" xfId="4" applyNumberFormat="1" applyFont="1" applyFill="1" applyBorder="1" applyAlignment="1">
      <alignment horizontal="right"/>
    </xf>
    <xf numFmtId="171" fontId="50" fillId="0" borderId="0" xfId="4" applyNumberFormat="1" applyFont="1" applyFill="1" applyBorder="1" applyAlignment="1" applyProtection="1">
      <alignment horizontal="right"/>
      <protection locked="0"/>
    </xf>
    <xf numFmtId="171" fontId="1" fillId="0" borderId="0" xfId="1" applyNumberFormat="1" applyFill="1" applyAlignment="1">
      <alignment horizontal="right" wrapText="1"/>
    </xf>
    <xf numFmtId="10" fontId="31" fillId="0" borderId="0" xfId="4" applyNumberFormat="1" applyFont="1" applyFill="1" applyBorder="1" applyAlignment="1" applyProtection="1">
      <alignment horizontal="right"/>
      <protection locked="0"/>
    </xf>
    <xf numFmtId="10" fontId="1" fillId="0" borderId="0" xfId="1" applyNumberFormat="1" applyAlignment="1">
      <alignment horizontal="right" wrapText="1"/>
    </xf>
    <xf numFmtId="171" fontId="50" fillId="0" borderId="0" xfId="4" applyNumberFormat="1" applyFont="1" applyFill="1" applyBorder="1" applyAlignment="1">
      <alignment horizontal="left"/>
    </xf>
    <xf numFmtId="177" fontId="4" fillId="0" borderId="0" xfId="6" applyNumberFormat="1" applyFont="1" applyAlignment="1" applyProtection="1">
      <alignment horizontal="right" wrapText="1"/>
    </xf>
    <xf numFmtId="177" fontId="31" fillId="0" borderId="0" xfId="6" applyNumberFormat="1" applyFont="1" applyFill="1" applyBorder="1" applyAlignment="1">
      <alignment horizontal="right"/>
    </xf>
    <xf numFmtId="171" fontId="49" fillId="0" borderId="0" xfId="4" applyNumberFormat="1" applyFont="1" applyFill="1" applyBorder="1" applyAlignment="1">
      <alignment horizontal="center"/>
    </xf>
    <xf numFmtId="171" fontId="61" fillId="0" borderId="0" xfId="4" applyNumberFormat="1" applyFont="1" applyFill="1" applyBorder="1" applyAlignment="1">
      <alignment horizontal="left"/>
    </xf>
    <xf numFmtId="1" fontId="1" fillId="0" borderId="0" xfId="0" quotePrefix="1" applyNumberFormat="1" applyFont="1" applyAlignment="1" applyProtection="1">
      <alignment horizontal="left"/>
    </xf>
    <xf numFmtId="175" fontId="0" fillId="0" borderId="0" xfId="0" applyNumberFormat="1" applyFill="1" applyAlignment="1"/>
    <xf numFmtId="9" fontId="45" fillId="0" borderId="0" xfId="6" applyFont="1" applyFill="1" applyBorder="1" applyAlignment="1">
      <alignment horizontal="right" indent="2"/>
    </xf>
    <xf numFmtId="177" fontId="1" fillId="0" borderId="0" xfId="6" applyNumberFormat="1" applyAlignment="1">
      <alignment wrapText="1"/>
    </xf>
    <xf numFmtId="177" fontId="1" fillId="0" borderId="0" xfId="6" applyNumberFormat="1" applyFill="1" applyAlignment="1">
      <alignment wrapText="1"/>
    </xf>
    <xf numFmtId="177" fontId="31" fillId="0" borderId="0" xfId="6" applyNumberFormat="1" applyFont="1" applyFill="1" applyBorder="1" applyAlignment="1" applyProtection="1">
      <protection locked="0"/>
    </xf>
    <xf numFmtId="177" fontId="1" fillId="0" borderId="0" xfId="6" applyNumberFormat="1" applyFont="1" applyFill="1" applyBorder="1" applyAlignment="1">
      <alignment wrapText="1"/>
    </xf>
    <xf numFmtId="177" fontId="4" fillId="0" borderId="0" xfId="6" applyNumberFormat="1" applyFont="1" applyAlignment="1" applyProtection="1">
      <alignment wrapText="1"/>
    </xf>
    <xf numFmtId="9" fontId="1" fillId="0" borderId="0" xfId="6" applyFont="1" applyFill="1" applyBorder="1" applyAlignment="1"/>
    <xf numFmtId="174" fontId="0" fillId="0" borderId="0" xfId="6" applyNumberFormat="1" applyFont="1" applyAlignment="1"/>
    <xf numFmtId="177" fontId="4" fillId="0" borderId="0" xfId="6" applyNumberFormat="1" applyFont="1" applyFill="1" applyAlignment="1">
      <alignment horizontal="right" wrapText="1"/>
    </xf>
    <xf numFmtId="177" fontId="1" fillId="0" borderId="0" xfId="6" applyNumberFormat="1" applyFont="1" applyAlignment="1">
      <alignment horizontal="right" wrapText="1"/>
    </xf>
    <xf numFmtId="177" fontId="0" fillId="0" borderId="0" xfId="6" applyNumberFormat="1" applyFont="1" applyAlignment="1">
      <alignment horizontal="right"/>
    </xf>
    <xf numFmtId="177" fontId="1" fillId="0" borderId="0" xfId="6" applyNumberFormat="1" applyFont="1" applyAlignment="1">
      <alignment horizontal="right"/>
    </xf>
    <xf numFmtId="3" fontId="2" fillId="6" borderId="0" xfId="0" applyNumberFormat="1" applyFont="1" applyFill="1" applyAlignment="1" applyProtection="1">
      <alignment horizontal="center"/>
    </xf>
    <xf numFmtId="177" fontId="2" fillId="3" borderId="0" xfId="6" applyNumberFormat="1" applyFont="1" applyFill="1" applyAlignment="1">
      <alignment horizontal="center" wrapText="1"/>
    </xf>
    <xf numFmtId="1" fontId="1" fillId="0" borderId="0" xfId="0" applyNumberFormat="1" applyFont="1" applyAlignment="1"/>
    <xf numFmtId="171" fontId="1" fillId="0" borderId="0" xfId="0" applyNumberFormat="1" applyFont="1" applyAlignment="1">
      <alignment horizontal="right"/>
    </xf>
    <xf numFmtId="171" fontId="31" fillId="0" borderId="0" xfId="4" applyNumberFormat="1" applyFont="1" applyFill="1" applyBorder="1" applyAlignment="1">
      <alignment horizontal="left"/>
    </xf>
    <xf numFmtId="1" fontId="23" fillId="0" borderId="0" xfId="4" applyNumberFormat="1" applyFont="1" applyFill="1" applyBorder="1" applyAlignment="1">
      <alignment horizontal="left"/>
    </xf>
    <xf numFmtId="10" fontId="31" fillId="0" borderId="0" xfId="4" applyNumberFormat="1" applyFont="1" applyFill="1" applyBorder="1" applyAlignment="1">
      <alignment horizontal="left"/>
    </xf>
    <xf numFmtId="10" fontId="31" fillId="0" borderId="0" xfId="4" applyNumberFormat="1" applyFont="1" applyFill="1" applyBorder="1" applyAlignment="1" applyProtection="1">
      <alignment horizontal="left"/>
      <protection locked="0"/>
    </xf>
    <xf numFmtId="177" fontId="1" fillId="0" borderId="0" xfId="6" applyNumberFormat="1" applyFont="1" applyAlignment="1" applyProtection="1">
      <alignment horizontal="left"/>
    </xf>
    <xf numFmtId="1" fontId="0" fillId="0" borderId="0" xfId="0" applyNumberFormat="1" applyFill="1" applyAlignment="1">
      <alignment horizontal="right"/>
    </xf>
    <xf numFmtId="170" fontId="1" fillId="0" borderId="0" xfId="0" applyNumberFormat="1" applyFont="1" applyFill="1">
      <alignment horizontal="left" wrapText="1"/>
    </xf>
    <xf numFmtId="170" fontId="0" fillId="0" borderId="0" xfId="0" applyNumberFormat="1" applyFill="1" applyAlignment="1"/>
    <xf numFmtId="9" fontId="0" fillId="0" borderId="0" xfId="6" applyFont="1" applyFill="1"/>
    <xf numFmtId="171" fontId="0" fillId="0" borderId="0" xfId="6" applyNumberFormat="1" applyFont="1" applyAlignment="1"/>
    <xf numFmtId="49" fontId="0" fillId="0" borderId="0" xfId="0" applyNumberFormat="1" applyAlignment="1">
      <alignment horizontal="right"/>
    </xf>
    <xf numFmtId="9" fontId="1" fillId="0" borderId="0" xfId="6" applyFont="1" applyAlignment="1">
      <alignment horizontal="center"/>
    </xf>
    <xf numFmtId="9" fontId="31" fillId="0" borderId="0" xfId="6" applyNumberFormat="1" applyFont="1" applyFill="1" applyBorder="1" applyAlignment="1"/>
    <xf numFmtId="177" fontId="1" fillId="0" borderId="0" xfId="6" applyNumberFormat="1" applyFont="1" applyAlignment="1">
      <alignment horizontal="center"/>
    </xf>
    <xf numFmtId="171" fontId="1" fillId="0" borderId="0" xfId="4" applyNumberFormat="1" applyFont="1" applyFill="1" applyBorder="1" applyAlignment="1">
      <alignment horizontal="right"/>
    </xf>
    <xf numFmtId="171" fontId="1" fillId="0" borderId="0" xfId="0" applyNumberFormat="1" applyFont="1" applyAlignment="1"/>
    <xf numFmtId="171" fontId="31" fillId="0" borderId="0" xfId="4" applyNumberFormat="1" applyFont="1" applyFill="1" applyBorder="1" applyAlignment="1" applyProtection="1">
      <alignment horizontal="right"/>
      <protection locked="0"/>
    </xf>
    <xf numFmtId="171" fontId="1" fillId="0" borderId="0" xfId="1" applyNumberFormat="1" applyFont="1" applyFill="1" applyAlignment="1">
      <alignment horizontal="right" wrapText="1"/>
    </xf>
    <xf numFmtId="177" fontId="1" fillId="0" borderId="0" xfId="6" applyNumberFormat="1" applyFont="1" applyAlignment="1" applyProtection="1">
      <alignment horizontal="right" wrapText="1"/>
    </xf>
    <xf numFmtId="1" fontId="1" fillId="0" borderId="0" xfId="6" applyNumberFormat="1" applyFont="1" applyFill="1" applyAlignment="1" applyProtection="1">
      <alignment horizontal="center"/>
      <protection locked="0"/>
    </xf>
    <xf numFmtId="177" fontId="2" fillId="3" borderId="0" xfId="6" applyNumberFormat="1" applyFont="1" applyFill="1" applyAlignment="1">
      <alignment horizontal="center"/>
    </xf>
    <xf numFmtId="171" fontId="0" fillId="0" borderId="0" xfId="0" applyNumberFormat="1" applyFill="1" applyAlignment="1" applyProtection="1">
      <alignment horizontal="right"/>
      <protection locked="0"/>
    </xf>
    <xf numFmtId="171" fontId="0" fillId="6" borderId="0" xfId="6" applyNumberFormat="1" applyFont="1" applyFill="1" applyAlignment="1" applyProtection="1">
      <alignment horizontal="right"/>
    </xf>
    <xf numFmtId="1" fontId="2" fillId="2" borderId="0" xfId="0" applyNumberFormat="1" applyFont="1" applyFill="1" applyAlignment="1" applyProtection="1">
      <alignment horizontal="right"/>
    </xf>
    <xf numFmtId="179" fontId="0" fillId="2" borderId="0" xfId="0" applyNumberFormat="1" applyFill="1" applyAlignment="1">
      <alignment horizontal="right"/>
    </xf>
    <xf numFmtId="171" fontId="0" fillId="2" borderId="0" xfId="0" applyNumberFormat="1" applyFill="1" applyAlignment="1" applyProtection="1">
      <alignment horizontal="right"/>
    </xf>
    <xf numFmtId="177" fontId="2" fillId="3" borderId="0" xfId="6" applyNumberFormat="1" applyFont="1" applyFill="1" applyAlignment="1">
      <alignment horizontal="right"/>
    </xf>
    <xf numFmtId="177" fontId="0" fillId="3" borderId="0" xfId="6" applyNumberFormat="1" applyFont="1" applyFill="1" applyAlignment="1">
      <alignment horizontal="right"/>
    </xf>
    <xf numFmtId="177" fontId="4" fillId="2" borderId="0" xfId="6" quotePrefix="1" applyNumberFormat="1" applyFont="1" applyFill="1" applyAlignment="1" applyProtection="1">
      <alignment horizontal="center"/>
    </xf>
    <xf numFmtId="171" fontId="0" fillId="2" borderId="0" xfId="6" applyNumberFormat="1" applyFont="1" applyFill="1" applyAlignment="1">
      <alignment horizontal="right"/>
    </xf>
    <xf numFmtId="1" fontId="2" fillId="2" borderId="0" xfId="0" applyNumberFormat="1" applyFont="1" applyFill="1" applyAlignment="1" applyProtection="1">
      <alignment horizontal="left"/>
      <protection hidden="1"/>
    </xf>
    <xf numFmtId="1" fontId="59" fillId="2" borderId="0" xfId="0" applyNumberFormat="1" applyFont="1" applyFill="1" applyAlignment="1" applyProtection="1">
      <protection hidden="1"/>
    </xf>
    <xf numFmtId="1" fontId="1" fillId="0" borderId="0" xfId="0" applyNumberFormat="1" applyFont="1" applyAlignment="1">
      <alignment horizontal="center"/>
    </xf>
    <xf numFmtId="177" fontId="2" fillId="0" borderId="0" xfId="6" applyNumberFormat="1" applyFont="1" applyAlignment="1">
      <alignment horizontal="center"/>
    </xf>
    <xf numFmtId="9" fontId="1" fillId="0" borderId="0" xfId="6" applyFont="1" applyAlignment="1">
      <alignment horizontal="right"/>
    </xf>
    <xf numFmtId="171" fontId="2" fillId="2" borderId="0" xfId="0" applyNumberFormat="1" applyFont="1" applyFill="1" applyAlignment="1">
      <alignment horizontal="center" wrapText="1"/>
    </xf>
    <xf numFmtId="171" fontId="2" fillId="3" borderId="0" xfId="0" applyNumberFormat="1" applyFont="1" applyFill="1" applyAlignment="1">
      <alignment horizontal="center" wrapText="1"/>
    </xf>
    <xf numFmtId="171" fontId="2" fillId="2" borderId="0" xfId="0" applyNumberFormat="1" applyFont="1" applyFill="1" applyAlignment="1">
      <alignment horizontal="right"/>
    </xf>
    <xf numFmtId="171" fontId="0" fillId="6" borderId="0" xfId="0" applyNumberFormat="1" applyFill="1" applyAlignment="1" applyProtection="1">
      <alignment horizontal="right"/>
      <protection locked="0"/>
    </xf>
    <xf numFmtId="177" fontId="0" fillId="6" borderId="0" xfId="6" applyNumberFormat="1" applyFont="1" applyFill="1" applyAlignment="1">
      <alignment horizontal="center"/>
    </xf>
    <xf numFmtId="9" fontId="0" fillId="6" borderId="0" xfId="0" applyNumberFormat="1" applyFill="1" applyAlignment="1" applyProtection="1">
      <alignment horizontal="center"/>
      <protection locked="0"/>
    </xf>
    <xf numFmtId="171" fontId="2" fillId="6" borderId="0" xfId="0" applyNumberFormat="1" applyFont="1" applyFill="1" applyAlignment="1">
      <alignment horizontal="center" wrapText="1"/>
    </xf>
    <xf numFmtId="171" fontId="0" fillId="6" borderId="0" xfId="0" applyNumberFormat="1" applyFill="1" applyAlignment="1" applyProtection="1">
      <alignment horizontal="right"/>
    </xf>
    <xf numFmtId="0" fontId="49" fillId="0" borderId="0" xfId="4" applyFont="1" applyFill="1" applyBorder="1" applyAlignment="1"/>
    <xf numFmtId="1" fontId="2" fillId="2" borderId="0" xfId="0" applyNumberFormat="1" applyFont="1" applyFill="1" applyAlignment="1">
      <alignment horizontal="right"/>
    </xf>
    <xf numFmtId="9" fontId="0" fillId="2" borderId="0" xfId="0" applyNumberFormat="1" applyFill="1" applyAlignment="1">
      <alignment horizontal="right"/>
    </xf>
    <xf numFmtId="9" fontId="0" fillId="6" borderId="0" xfId="0" applyNumberFormat="1" applyFill="1" applyAlignment="1" applyProtection="1">
      <alignment horizontal="center"/>
    </xf>
    <xf numFmtId="164" fontId="0" fillId="0" borderId="0" xfId="2" applyNumberFormat="1" applyFont="1"/>
    <xf numFmtId="185" fontId="1" fillId="0" borderId="0" xfId="0" applyFont="1" applyFill="1" applyProtection="1">
      <alignment horizontal="left" wrapText="1"/>
    </xf>
    <xf numFmtId="1" fontId="1" fillId="0" borderId="0" xfId="0" applyNumberFormat="1" applyFont="1" applyFill="1" applyAlignment="1" applyProtection="1"/>
    <xf numFmtId="9" fontId="1" fillId="0" borderId="0" xfId="0" applyNumberFormat="1" applyFont="1" applyAlignment="1">
      <alignment horizontal="center" wrapText="1"/>
    </xf>
    <xf numFmtId="185" fontId="1" fillId="0" borderId="0" xfId="0" applyFont="1" applyAlignment="1" applyProtection="1">
      <alignment horizontal="left"/>
    </xf>
    <xf numFmtId="185" fontId="1" fillId="2" borderId="0" xfId="0" applyFont="1" applyFill="1" applyProtection="1">
      <alignment horizontal="left" wrapText="1"/>
    </xf>
    <xf numFmtId="175" fontId="60" fillId="0" borderId="0" xfId="0" applyNumberFormat="1" applyFont="1" applyAlignment="1">
      <alignment horizontal="center" wrapText="1"/>
    </xf>
    <xf numFmtId="1" fontId="16" fillId="2" borderId="1" xfId="0" applyNumberFormat="1" applyFont="1" applyFill="1" applyBorder="1" applyAlignment="1"/>
    <xf numFmtId="1" fontId="13" fillId="2" borderId="2" xfId="0" applyNumberFormat="1" applyFont="1" applyFill="1" applyBorder="1" applyAlignment="1"/>
    <xf numFmtId="1" fontId="0" fillId="2" borderId="2" xfId="0" applyNumberFormat="1" applyFill="1" applyBorder="1" applyAlignment="1"/>
    <xf numFmtId="175" fontId="16" fillId="2" borderId="3" xfId="0" applyNumberFormat="1" applyFont="1" applyFill="1" applyBorder="1" applyAlignment="1">
      <alignment horizontal="left"/>
    </xf>
    <xf numFmtId="1" fontId="16" fillId="2" borderId="4" xfId="0" applyNumberFormat="1" applyFont="1" applyFill="1" applyBorder="1" applyAlignment="1"/>
    <xf numFmtId="1" fontId="13" fillId="2" borderId="5" xfId="0" applyNumberFormat="1" applyFont="1" applyFill="1" applyBorder="1" applyAlignment="1"/>
    <xf numFmtId="1" fontId="0" fillId="2" borderId="5" xfId="0" applyNumberFormat="1" applyFill="1" applyBorder="1" applyAlignment="1"/>
    <xf numFmtId="177" fontId="16" fillId="2" borderId="6" xfId="6" applyNumberFormat="1" applyFont="1" applyFill="1" applyBorder="1" applyAlignment="1">
      <alignment horizontal="center"/>
    </xf>
    <xf numFmtId="1" fontId="0" fillId="8" borderId="0" xfId="0" applyNumberFormat="1" applyFill="1" applyAlignment="1"/>
    <xf numFmtId="1" fontId="2" fillId="8" borderId="0" xfId="7" quotePrefix="1" applyNumberFormat="1" applyFont="1" applyFill="1" applyAlignment="1">
      <alignment horizontal="left"/>
    </xf>
    <xf numFmtId="1" fontId="2" fillId="8" borderId="0" xfId="0" applyNumberFormat="1" applyFont="1" applyFill="1" applyAlignment="1">
      <alignment vertical="center" wrapText="1"/>
    </xf>
    <xf numFmtId="1" fontId="2" fillId="8" borderId="0" xfId="0" applyNumberFormat="1" applyFont="1" applyFill="1" applyAlignment="1">
      <alignment horizontal="left"/>
    </xf>
    <xf numFmtId="171" fontId="2" fillId="0" borderId="0" xfId="0" applyNumberFormat="1" applyFont="1" applyAlignment="1">
      <alignment horizontal="center" vertical="center" wrapText="1"/>
    </xf>
    <xf numFmtId="1" fontId="17" fillId="8" borderId="0" xfId="0" applyNumberFormat="1" applyFont="1" applyFill="1" applyAlignment="1">
      <alignment horizontal="center"/>
    </xf>
    <xf numFmtId="1" fontId="30" fillId="8" borderId="0" xfId="0" applyNumberFormat="1" applyFont="1" applyFill="1" applyAlignment="1"/>
    <xf numFmtId="185" fontId="30" fillId="8" borderId="0" xfId="0" applyFont="1" applyFill="1">
      <alignment horizontal="left" wrapText="1"/>
    </xf>
    <xf numFmtId="185" fontId="30" fillId="8" borderId="0" xfId="0" applyFont="1" applyFill="1" applyAlignment="1">
      <alignment horizontal="center"/>
    </xf>
    <xf numFmtId="185" fontId="30" fillId="8" borderId="0" xfId="0" applyFont="1" applyFill="1" applyAlignment="1">
      <alignment horizontal="center" wrapText="1"/>
    </xf>
    <xf numFmtId="1" fontId="30" fillId="8" borderId="0" xfId="0" applyNumberFormat="1" applyFont="1" applyFill="1" applyAlignment="1">
      <alignment horizontal="center"/>
    </xf>
    <xf numFmtId="185" fontId="30" fillId="8" borderId="0" xfId="0" applyFont="1" applyFill="1" applyAlignment="1">
      <alignment horizontal="left" wrapText="1"/>
    </xf>
    <xf numFmtId="185" fontId="1" fillId="8" borderId="0" xfId="0" applyFont="1" applyFill="1">
      <alignment horizontal="left" wrapText="1"/>
    </xf>
    <xf numFmtId="1" fontId="62" fillId="6" borderId="0" xfId="0" applyNumberFormat="1" applyFont="1" applyFill="1" applyAlignment="1">
      <alignment horizontal="center"/>
    </xf>
    <xf numFmtId="1" fontId="20" fillId="3" borderId="0" xfId="0" applyNumberFormat="1" applyFont="1" applyFill="1" applyAlignment="1">
      <alignment horizontal="center"/>
    </xf>
    <xf numFmtId="1" fontId="3" fillId="2" borderId="0" xfId="0" quotePrefix="1" applyNumberFormat="1" applyFont="1" applyFill="1" applyAlignment="1">
      <alignment horizontal="center"/>
    </xf>
    <xf numFmtId="1" fontId="55" fillId="0" borderId="0" xfId="0" applyNumberFormat="1" applyFont="1" applyFill="1" applyAlignment="1">
      <alignment horizontal="center"/>
    </xf>
    <xf numFmtId="1" fontId="20" fillId="0" borderId="0" xfId="0" applyNumberFormat="1" applyFont="1" applyFill="1" applyAlignment="1"/>
    <xf numFmtId="1" fontId="1" fillId="0" borderId="0" xfId="0" applyNumberFormat="1" applyFont="1" applyFill="1" applyAlignment="1"/>
    <xf numFmtId="1" fontId="3" fillId="0" borderId="0" xfId="0" quotePrefix="1" applyNumberFormat="1" applyFont="1" applyFill="1" applyAlignment="1">
      <alignment horizontal="left"/>
    </xf>
    <xf numFmtId="185" fontId="19" fillId="3" borderId="0" xfId="0" applyFont="1" applyFill="1" applyAlignment="1">
      <alignment horizontal="left"/>
    </xf>
    <xf numFmtId="185" fontId="19" fillId="3" borderId="0" xfId="0" applyFont="1" applyFill="1">
      <alignment horizontal="left" wrapText="1"/>
    </xf>
    <xf numFmtId="185" fontId="1" fillId="0" borderId="0" xfId="8" applyNumberFormat="1" applyFont="1" applyAlignment="1">
      <alignment horizontal="left" wrapText="1"/>
    </xf>
    <xf numFmtId="0" fontId="1" fillId="0" borderId="0" xfId="8" applyNumberFormat="1" applyFont="1" applyAlignment="1">
      <alignment horizontal="left" wrapText="1"/>
    </xf>
    <xf numFmtId="1" fontId="1" fillId="0" borderId="0" xfId="8" quotePrefix="1" applyNumberFormat="1" applyAlignment="1">
      <alignment horizontal="left"/>
    </xf>
    <xf numFmtId="1" fontId="1" fillId="0" borderId="0" xfId="8" quotePrefix="1" applyNumberFormat="1" applyFont="1" applyFill="1" applyAlignment="1">
      <alignment horizontal="left"/>
    </xf>
    <xf numFmtId="174" fontId="1" fillId="0" borderId="0" xfId="0" applyNumberFormat="1" applyFont="1" applyAlignment="1">
      <alignment horizontal="left" wrapText="1"/>
    </xf>
    <xf numFmtId="1" fontId="1" fillId="9" borderId="0" xfId="0" quotePrefix="1" applyNumberFormat="1" applyFont="1" applyFill="1" applyBorder="1" applyAlignment="1">
      <alignment horizontal="left"/>
    </xf>
    <xf numFmtId="1" fontId="27" fillId="8" borderId="0" xfId="0" applyNumberFormat="1" applyFont="1" applyFill="1" applyAlignment="1"/>
    <xf numFmtId="1" fontId="25" fillId="8" borderId="0" xfId="0" applyNumberFormat="1" applyFont="1" applyFill="1" applyAlignment="1"/>
    <xf numFmtId="1" fontId="26" fillId="8" borderId="0" xfId="3" applyNumberFormat="1" applyFont="1" applyFill="1" applyAlignment="1" applyProtection="1"/>
    <xf numFmtId="1" fontId="26" fillId="8" borderId="0" xfId="0" applyNumberFormat="1" applyFont="1" applyFill="1" applyAlignment="1"/>
    <xf numFmtId="1" fontId="32" fillId="8" borderId="0" xfId="0" applyNumberFormat="1" applyFont="1" applyFill="1" applyAlignment="1"/>
    <xf numFmtId="185" fontId="25" fillId="8" borderId="0" xfId="0" applyFont="1" applyFill="1">
      <alignment horizontal="left" wrapText="1"/>
    </xf>
    <xf numFmtId="175" fontId="1" fillId="0" borderId="0" xfId="0" applyNumberFormat="1" applyFont="1" applyFill="1" applyAlignment="1"/>
    <xf numFmtId="2" fontId="0" fillId="0" borderId="0" xfId="0" applyNumberFormat="1" applyFill="1" applyAlignment="1"/>
    <xf numFmtId="1" fontId="1" fillId="0" borderId="0" xfId="0" applyNumberFormat="1" applyFont="1" applyFill="1" applyAlignment="1">
      <alignment horizontal="center" wrapText="1"/>
    </xf>
    <xf numFmtId="1" fontId="1" fillId="0" borderId="0" xfId="0" applyNumberFormat="1" applyFont="1" applyFill="1" applyAlignment="1">
      <alignment horizontal="center"/>
    </xf>
    <xf numFmtId="175" fontId="2" fillId="0" borderId="0" xfId="0" applyNumberFormat="1" applyFont="1" applyFill="1" applyAlignment="1"/>
    <xf numFmtId="175" fontId="58" fillId="0" borderId="0" xfId="0" applyNumberFormat="1" applyFont="1" applyFill="1" applyBorder="1" applyAlignment="1">
      <alignment horizontal="right" wrapText="1"/>
    </xf>
    <xf numFmtId="1" fontId="58" fillId="0" borderId="0" xfId="0" applyNumberFormat="1" applyFont="1" applyFill="1" applyBorder="1" applyAlignment="1">
      <alignment horizontal="left"/>
    </xf>
    <xf numFmtId="1" fontId="2" fillId="2" borderId="0" xfId="0" quotePrefix="1" applyNumberFormat="1" applyFont="1" applyFill="1" applyAlignment="1">
      <alignment horizontal="right"/>
    </xf>
    <xf numFmtId="3" fontId="2" fillId="2" borderId="0" xfId="0" quotePrefix="1" applyNumberFormat="1" applyFont="1" applyFill="1" applyAlignment="1">
      <alignment horizontal="right"/>
    </xf>
    <xf numFmtId="166" fontId="2" fillId="2" borderId="0" xfId="2" quotePrefix="1" applyNumberFormat="1" applyFont="1" applyFill="1" applyAlignment="1">
      <alignment horizontal="right"/>
    </xf>
    <xf numFmtId="177" fontId="2" fillId="2" borderId="0" xfId="6" quotePrefix="1" applyNumberFormat="1" applyFont="1" applyFill="1" applyAlignment="1">
      <alignment horizontal="right"/>
    </xf>
    <xf numFmtId="0" fontId="2" fillId="2" borderId="0" xfId="2" applyNumberFormat="1" applyFont="1" applyFill="1" applyAlignment="1">
      <alignment horizontal="right"/>
    </xf>
    <xf numFmtId="171" fontId="1" fillId="2" borderId="0" xfId="0" applyNumberFormat="1" applyFont="1" applyFill="1" applyAlignment="1">
      <alignment horizontal="left"/>
    </xf>
    <xf numFmtId="171" fontId="45" fillId="0" borderId="0" xfId="6" applyNumberFormat="1" applyFont="1" applyFill="1" applyBorder="1" applyAlignment="1">
      <alignment horizontal="center"/>
    </xf>
    <xf numFmtId="171" fontId="31" fillId="0" borderId="0" xfId="6" applyNumberFormat="1" applyFont="1" applyFill="1" applyBorder="1" applyAlignment="1">
      <alignment horizontal="center" wrapText="1"/>
    </xf>
    <xf numFmtId="171" fontId="31" fillId="0" borderId="0" xfId="6" applyNumberFormat="1" applyFont="1" applyFill="1" applyBorder="1" applyAlignment="1">
      <alignment horizontal="center"/>
    </xf>
    <xf numFmtId="171" fontId="1" fillId="0" borderId="0" xfId="0" applyNumberFormat="1" applyFont="1" applyFill="1" applyBorder="1" applyAlignment="1">
      <alignment horizontal="center"/>
    </xf>
    <xf numFmtId="1" fontId="2" fillId="0" borderId="0" xfId="0" applyNumberFormat="1" applyFont="1" applyAlignment="1" applyProtection="1">
      <alignment horizontal="center"/>
      <protection locked="0"/>
    </xf>
    <xf numFmtId="170" fontId="2" fillId="0" borderId="0" xfId="0" applyNumberFormat="1" applyFont="1" applyAlignment="1" applyProtection="1">
      <alignment horizontal="center"/>
      <protection locked="0"/>
    </xf>
    <xf numFmtId="1" fontId="30" fillId="8" borderId="0" xfId="3" applyNumberFormat="1" applyFont="1" applyFill="1" applyAlignment="1" applyProtection="1">
      <alignment horizontal="center"/>
    </xf>
    <xf numFmtId="1" fontId="0" fillId="0" borderId="0" xfId="0" applyNumberFormat="1" applyAlignment="1"/>
    <xf numFmtId="1" fontId="0" fillId="0" borderId="0" xfId="0" applyNumberFormat="1" applyAlignment="1"/>
    <xf numFmtId="1" fontId="1" fillId="0" borderId="0" xfId="0" quotePrefix="1" applyNumberFormat="1" applyFont="1" applyFill="1" applyAlignment="1">
      <alignment horizontal="left"/>
    </xf>
    <xf numFmtId="3" fontId="1" fillId="0" borderId="0" xfId="0" applyNumberFormat="1" applyFont="1" applyFill="1" applyAlignment="1">
      <alignment horizontal="left"/>
    </xf>
    <xf numFmtId="171" fontId="1" fillId="0" borderId="0" xfId="0" applyNumberFormat="1" applyFont="1" applyFill="1" applyAlignment="1"/>
    <xf numFmtId="9" fontId="1" fillId="0" borderId="0" xfId="6" applyFont="1" applyFill="1" applyAlignment="1"/>
    <xf numFmtId="171" fontId="1" fillId="0" borderId="0" xfId="0" applyNumberFormat="1" applyFont="1" applyFill="1" applyAlignment="1">
      <alignment horizontal="right"/>
    </xf>
    <xf numFmtId="9" fontId="1" fillId="0" borderId="0" xfId="6" applyFont="1" applyFill="1" applyAlignment="1">
      <alignment horizontal="right"/>
    </xf>
    <xf numFmtId="9" fontId="1" fillId="0" borderId="0" xfId="6" applyFont="1" applyFill="1" applyAlignment="1">
      <alignment horizontal="center"/>
    </xf>
    <xf numFmtId="177" fontId="1" fillId="0" borderId="0" xfId="6" applyNumberFormat="1" applyFont="1" applyFill="1" applyAlignment="1">
      <alignment horizontal="center"/>
    </xf>
    <xf numFmtId="171" fontId="1" fillId="0" borderId="0" xfId="0" applyNumberFormat="1" applyFont="1" applyFill="1" applyAlignment="1">
      <alignment horizontal="center"/>
    </xf>
    <xf numFmtId="1" fontId="1" fillId="0" borderId="0" xfId="6" applyNumberFormat="1" applyFont="1" applyFill="1" applyAlignment="1">
      <alignment horizontal="center"/>
    </xf>
    <xf numFmtId="175" fontId="1" fillId="0" borderId="0" xfId="0" applyNumberFormat="1" applyFont="1" applyFill="1" applyAlignment="1">
      <alignment horizontal="center"/>
    </xf>
    <xf numFmtId="10" fontId="1" fillId="0" borderId="0" xfId="6" applyNumberFormat="1" applyFont="1" applyFill="1" applyAlignment="1">
      <alignment horizontal="center"/>
    </xf>
    <xf numFmtId="1" fontId="6" fillId="2" borderId="7" xfId="0" quotePrefix="1" applyNumberFormat="1" applyFont="1" applyFill="1" applyBorder="1" applyAlignment="1">
      <alignment horizontal="left"/>
    </xf>
    <xf numFmtId="1" fontId="0" fillId="2" borderId="7" xfId="0" applyNumberFormat="1" applyFill="1" applyBorder="1" applyAlignment="1"/>
    <xf numFmtId="1" fontId="2" fillId="2" borderId="0" xfId="0" applyNumberFormat="1" applyFont="1" applyFill="1" applyBorder="1" applyAlignment="1"/>
    <xf numFmtId="1" fontId="2" fillId="2" borderId="0" xfId="0" applyNumberFormat="1" applyFont="1" applyFill="1" applyBorder="1" applyAlignment="1" applyProtection="1">
      <alignment horizontal="right" wrapText="1"/>
    </xf>
    <xf numFmtId="1" fontId="2" fillId="3" borderId="0" xfId="0" applyNumberFormat="1" applyFont="1" applyFill="1" applyBorder="1" applyAlignment="1">
      <alignment horizontal="center" wrapText="1"/>
    </xf>
    <xf numFmtId="1" fontId="2" fillId="2" borderId="0" xfId="0" quotePrefix="1" applyNumberFormat="1" applyFont="1" applyFill="1" applyBorder="1" applyAlignment="1" applyProtection="1">
      <alignment horizontal="left" wrapText="1"/>
    </xf>
    <xf numFmtId="1" fontId="2" fillId="2" borderId="0" xfId="0" applyNumberFormat="1" applyFont="1" applyFill="1" applyBorder="1" applyAlignment="1">
      <alignment horizontal="center" wrapText="1"/>
    </xf>
    <xf numFmtId="1" fontId="2" fillId="2" borderId="0" xfId="0" applyNumberFormat="1" applyFont="1" applyFill="1" applyBorder="1" applyAlignment="1">
      <alignment horizontal="left"/>
    </xf>
    <xf numFmtId="1" fontId="0" fillId="3" borderId="0" xfId="0" applyNumberFormat="1" applyFill="1" applyBorder="1" applyAlignment="1"/>
    <xf numFmtId="1" fontId="0" fillId="0" borderId="0" xfId="0" applyNumberFormat="1" applyAlignment="1"/>
    <xf numFmtId="1" fontId="59" fillId="0" borderId="0" xfId="0" applyNumberFormat="1" applyFont="1" applyFill="1" applyAlignment="1"/>
    <xf numFmtId="1" fontId="2" fillId="0" borderId="0" xfId="6" applyNumberFormat="1" applyFont="1" applyFill="1" applyAlignment="1" applyProtection="1">
      <alignment horizontal="center"/>
    </xf>
    <xf numFmtId="1" fontId="13" fillId="0" borderId="2" xfId="0" applyNumberFormat="1" applyFont="1" applyFill="1" applyBorder="1" applyAlignment="1"/>
    <xf numFmtId="1" fontId="0" fillId="0" borderId="2" xfId="0" applyNumberFormat="1" applyFill="1" applyBorder="1" applyAlignment="1"/>
    <xf numFmtId="175" fontId="16" fillId="0" borderId="3" xfId="0" applyNumberFormat="1" applyFont="1" applyFill="1" applyBorder="1" applyAlignment="1">
      <alignment horizontal="left"/>
    </xf>
    <xf numFmtId="1" fontId="13" fillId="0" borderId="5" xfId="0" applyNumberFormat="1" applyFont="1" applyFill="1" applyBorder="1" applyAlignment="1"/>
    <xf numFmtId="1" fontId="0" fillId="0" borderId="5" xfId="0" applyNumberFormat="1" applyFill="1" applyBorder="1" applyAlignment="1"/>
    <xf numFmtId="177" fontId="16" fillId="0" borderId="6" xfId="6" applyNumberFormat="1" applyFont="1" applyFill="1" applyBorder="1" applyAlignment="1">
      <alignment horizontal="center"/>
    </xf>
    <xf numFmtId="1" fontId="16" fillId="0" borderId="1" xfId="0" applyNumberFormat="1" applyFont="1" applyFill="1" applyBorder="1" applyAlignment="1"/>
    <xf numFmtId="1" fontId="16" fillId="0" borderId="4" xfId="0" applyNumberFormat="1" applyFont="1" applyFill="1" applyBorder="1" applyAlignment="1"/>
    <xf numFmtId="1" fontId="18" fillId="0" borderId="0" xfId="0" applyNumberFormat="1" applyFont="1" applyFill="1" applyAlignment="1">
      <alignment horizontal="center"/>
    </xf>
    <xf numFmtId="1" fontId="2" fillId="0" borderId="0" xfId="0" applyNumberFormat="1" applyFont="1" applyFill="1" applyBorder="1" applyAlignment="1" applyProtection="1">
      <alignment horizontal="right" wrapText="1"/>
    </xf>
    <xf numFmtId="1" fontId="2" fillId="0" borderId="0" xfId="0" applyNumberFormat="1" applyFont="1" applyFill="1" applyBorder="1" applyAlignment="1">
      <alignment horizontal="center" wrapText="1"/>
    </xf>
    <xf numFmtId="1" fontId="2" fillId="0" borderId="0" xfId="0" quotePrefix="1" applyNumberFormat="1" applyFont="1" applyFill="1" applyBorder="1" applyAlignment="1" applyProtection="1">
      <alignment horizontal="left" wrapText="1"/>
    </xf>
    <xf numFmtId="1" fontId="2" fillId="0" borderId="0" xfId="0" applyNumberFormat="1" applyFont="1" applyFill="1" applyBorder="1" applyAlignment="1">
      <alignment horizontal="left"/>
    </xf>
    <xf numFmtId="171" fontId="0" fillId="0" borderId="0" xfId="6" applyNumberFormat="1" applyFont="1" applyFill="1" applyAlignment="1" applyProtection="1">
      <alignment horizontal="right"/>
    </xf>
    <xf numFmtId="171" fontId="0" fillId="0" borderId="0" xfId="6" applyNumberFormat="1" applyFont="1" applyFill="1" applyAlignment="1">
      <alignment horizontal="right"/>
    </xf>
    <xf numFmtId="177" fontId="4" fillId="0" borderId="0" xfId="6" quotePrefix="1" applyNumberFormat="1" applyFont="1" applyFill="1" applyAlignment="1" applyProtection="1">
      <alignment horizontal="center"/>
    </xf>
    <xf numFmtId="177" fontId="2" fillId="0" borderId="0" xfId="6" applyNumberFormat="1" applyFont="1" applyFill="1" applyAlignment="1">
      <alignment horizontal="right"/>
    </xf>
    <xf numFmtId="177" fontId="0" fillId="0" borderId="0" xfId="6" applyNumberFormat="1" applyFont="1" applyFill="1" applyAlignment="1">
      <alignment horizontal="right"/>
    </xf>
    <xf numFmtId="171" fontId="0" fillId="0" borderId="0" xfId="0" applyNumberFormat="1" applyFill="1" applyAlignment="1" applyProtection="1">
      <alignment horizontal="right"/>
    </xf>
    <xf numFmtId="1" fontId="2" fillId="0" borderId="0" xfId="0" applyNumberFormat="1" applyFont="1" applyFill="1" applyAlignment="1" applyProtection="1">
      <alignment horizontal="right"/>
    </xf>
    <xf numFmtId="1" fontId="2" fillId="0" borderId="0" xfId="0" applyNumberFormat="1" applyFont="1" applyFill="1" applyAlignment="1" applyProtection="1">
      <alignment horizontal="center"/>
    </xf>
    <xf numFmtId="9" fontId="0" fillId="0" borderId="0" xfId="0" applyNumberFormat="1" applyFill="1" applyAlignment="1">
      <alignment horizontal="right"/>
    </xf>
    <xf numFmtId="177" fontId="2" fillId="0" borderId="0" xfId="6" applyNumberFormat="1" applyFont="1" applyFill="1" applyAlignment="1">
      <alignment horizontal="left"/>
    </xf>
    <xf numFmtId="1" fontId="0" fillId="0" borderId="0" xfId="0" applyNumberFormat="1" applyFill="1" applyAlignment="1" applyProtection="1"/>
    <xf numFmtId="1" fontId="0" fillId="0" borderId="0" xfId="0" applyNumberFormat="1" applyFill="1" applyAlignment="1" applyProtection="1">
      <alignment horizontal="center"/>
    </xf>
    <xf numFmtId="9" fontId="0" fillId="0" borderId="0" xfId="0" applyNumberFormat="1" applyFill="1" applyAlignment="1" applyProtection="1"/>
    <xf numFmtId="171" fontId="2" fillId="0" borderId="0" xfId="0" applyNumberFormat="1" applyFont="1" applyFill="1" applyAlignment="1">
      <alignment horizontal="center" wrapText="1"/>
    </xf>
    <xf numFmtId="1" fontId="2" fillId="0" borderId="0" xfId="0" quotePrefix="1" applyNumberFormat="1" applyFont="1" applyFill="1" applyAlignment="1" applyProtection="1">
      <alignment horizontal="left" wrapText="1"/>
    </xf>
    <xf numFmtId="171" fontId="2" fillId="0" borderId="0" xfId="0" applyNumberFormat="1" applyFont="1" applyFill="1" applyAlignment="1">
      <alignment horizontal="center"/>
    </xf>
    <xf numFmtId="179" fontId="0" fillId="0" borderId="0" xfId="0" applyNumberFormat="1" applyFill="1" applyAlignment="1">
      <alignment horizontal="right"/>
    </xf>
    <xf numFmtId="9" fontId="0" fillId="0" borderId="0" xfId="0" applyNumberFormat="1" applyFill="1" applyAlignment="1" applyProtection="1">
      <alignment horizontal="center"/>
    </xf>
    <xf numFmtId="1" fontId="2" fillId="0" borderId="0" xfId="0" applyNumberFormat="1" applyFont="1" applyFill="1" applyAlignment="1">
      <alignment horizontal="center" wrapText="1"/>
    </xf>
    <xf numFmtId="177" fontId="2" fillId="0" borderId="0" xfId="6" applyNumberFormat="1" applyFont="1" applyFill="1" applyAlignment="1">
      <alignment horizontal="center"/>
    </xf>
    <xf numFmtId="3" fontId="2" fillId="0" borderId="0" xfId="0" applyNumberFormat="1" applyFont="1" applyFill="1" applyAlignment="1" applyProtection="1">
      <alignment horizontal="center"/>
    </xf>
    <xf numFmtId="175" fontId="2" fillId="0" borderId="0" xfId="2" applyNumberFormat="1" applyFont="1" applyFill="1" applyAlignment="1" applyProtection="1">
      <alignment horizontal="center"/>
    </xf>
    <xf numFmtId="177" fontId="2" fillId="0" borderId="0" xfId="6" applyNumberFormat="1" applyFont="1" applyFill="1" applyBorder="1" applyAlignment="1" applyProtection="1">
      <alignment horizontal="center"/>
    </xf>
    <xf numFmtId="1" fontId="2" fillId="0" borderId="0" xfId="0" applyNumberFormat="1" applyFont="1" applyFill="1" applyAlignment="1">
      <alignment horizontal="right" wrapText="1"/>
    </xf>
    <xf numFmtId="177" fontId="2" fillId="0" borderId="0" xfId="6" applyNumberFormat="1" applyFont="1" applyFill="1" applyAlignment="1">
      <alignment horizontal="center" wrapText="1"/>
    </xf>
    <xf numFmtId="9" fontId="0" fillId="0" borderId="0" xfId="0" applyNumberFormat="1" applyFill="1" applyAlignment="1" applyProtection="1">
      <protection hidden="1"/>
    </xf>
    <xf numFmtId="9" fontId="0" fillId="0" borderId="0" xfId="6" applyFont="1" applyFill="1" applyAlignment="1" applyProtection="1">
      <alignment horizontal="center"/>
    </xf>
    <xf numFmtId="1" fontId="2" fillId="2" borderId="7" xfId="0" quotePrefix="1" applyNumberFormat="1" applyFont="1" applyFill="1" applyBorder="1" applyAlignment="1">
      <alignment horizontal="left"/>
    </xf>
    <xf numFmtId="1" fontId="2" fillId="2" borderId="7" xfId="0" applyNumberFormat="1" applyFont="1" applyFill="1" applyBorder="1" applyAlignment="1"/>
    <xf numFmtId="1" fontId="0" fillId="2" borderId="7" xfId="0" applyNumberFormat="1" applyFill="1" applyBorder="1" applyAlignment="1" applyProtection="1">
      <protection locked="0"/>
    </xf>
    <xf numFmtId="1" fontId="13" fillId="3" borderId="7" xfId="0" applyNumberFormat="1" applyFont="1" applyFill="1" applyBorder="1" applyAlignment="1"/>
    <xf numFmtId="171" fontId="0" fillId="0" borderId="0" xfId="6" applyNumberFormat="1" applyFont="1" applyFill="1" applyAlignment="1" applyProtection="1">
      <alignment horizontal="right"/>
      <protection locked="0"/>
    </xf>
    <xf numFmtId="171" fontId="4" fillId="2" borderId="0" xfId="0" applyNumberFormat="1" applyFont="1" applyFill="1" applyAlignment="1">
      <alignment horizontal="right"/>
    </xf>
    <xf numFmtId="10" fontId="4" fillId="2" borderId="0" xfId="6" applyNumberFormat="1" applyFont="1" applyFill="1" applyAlignment="1">
      <alignment horizontal="center"/>
    </xf>
    <xf numFmtId="9" fontId="4" fillId="2" borderId="0" xfId="6" applyNumberFormat="1" applyFont="1" applyFill="1" applyAlignment="1">
      <alignment horizontal="center"/>
    </xf>
    <xf numFmtId="1" fontId="0" fillId="0" borderId="0" xfId="0" applyNumberFormat="1" applyAlignment="1"/>
    <xf numFmtId="0" fontId="2" fillId="0" borderId="0" xfId="0" applyNumberFormat="1" applyFont="1" applyAlignment="1">
      <alignment horizontal="left"/>
    </xf>
    <xf numFmtId="0" fontId="2" fillId="0" borderId="0" xfId="0" applyNumberFormat="1" applyFont="1" applyAlignment="1"/>
    <xf numFmtId="0" fontId="7" fillId="0" borderId="0" xfId="0" applyNumberFormat="1" applyFont="1" applyAlignment="1"/>
    <xf numFmtId="1" fontId="0" fillId="0" borderId="0" xfId="0" applyNumberFormat="1" applyAlignment="1"/>
    <xf numFmtId="1" fontId="30" fillId="0" borderId="0" xfId="0" applyNumberFormat="1" applyFont="1" applyAlignment="1">
      <alignment horizontal="center" vertical="center" readingOrder="1"/>
    </xf>
    <xf numFmtId="1" fontId="30" fillId="8" borderId="0" xfId="0" applyNumberFormat="1" applyFont="1" applyFill="1" applyAlignment="1">
      <alignment horizontal="center" vertical="center" readingOrder="1"/>
    </xf>
    <xf numFmtId="1" fontId="0" fillId="8" borderId="0" xfId="0" applyNumberFormat="1" applyFill="1" applyAlignment="1"/>
    <xf numFmtId="1" fontId="0" fillId="0" borderId="0" xfId="0" applyNumberFormat="1" applyAlignment="1"/>
    <xf numFmtId="1" fontId="2" fillId="3" borderId="0" xfId="9" quotePrefix="1" applyNumberFormat="1" applyFont="1" applyFill="1" applyAlignment="1"/>
    <xf numFmtId="174" fontId="1" fillId="3" borderId="0" xfId="9" applyNumberFormat="1" applyFill="1" applyAlignment="1"/>
    <xf numFmtId="1" fontId="16" fillId="3" borderId="0" xfId="9" quotePrefix="1" applyNumberFormat="1" applyFont="1" applyFill="1" applyAlignment="1">
      <alignment horizontal="left" vertical="top" wrapText="1"/>
    </xf>
    <xf numFmtId="1" fontId="1" fillId="3" borderId="0" xfId="9" applyNumberFormat="1" applyFill="1" applyAlignment="1" applyProtection="1">
      <alignment horizontal="center"/>
    </xf>
    <xf numFmtId="1" fontId="7" fillId="3" borderId="0" xfId="9" applyNumberFormat="1" applyFont="1" applyFill="1" applyAlignment="1">
      <alignment horizontal="left" vertical="top" wrapText="1"/>
    </xf>
    <xf numFmtId="174" fontId="1" fillId="0" borderId="0" xfId="9" applyNumberFormat="1" applyAlignment="1" applyProtection="1">
      <protection locked="0"/>
    </xf>
    <xf numFmtId="1" fontId="1" fillId="3" borderId="0" xfId="9" applyNumberFormat="1" applyFill="1" applyAlignment="1"/>
    <xf numFmtId="174" fontId="1" fillId="3" borderId="0" xfId="9" applyNumberFormat="1" applyFill="1" applyAlignment="1" applyProtection="1">
      <protection locked="0"/>
    </xf>
    <xf numFmtId="1" fontId="0" fillId="0" borderId="0" xfId="0" applyNumberFormat="1" applyAlignment="1"/>
    <xf numFmtId="185" fontId="1" fillId="10" borderId="0" xfId="0" applyFont="1" applyFill="1">
      <alignment horizontal="left" wrapText="1"/>
    </xf>
    <xf numFmtId="185" fontId="35" fillId="10" borderId="0" xfId="0" applyFont="1" applyFill="1" applyAlignment="1">
      <alignment horizontal="center"/>
    </xf>
    <xf numFmtId="185" fontId="36" fillId="10" borderId="0" xfId="0" applyFont="1" applyFill="1" applyAlignment="1">
      <alignment horizontal="center"/>
    </xf>
    <xf numFmtId="185" fontId="34" fillId="10" borderId="0" xfId="0" applyFont="1" applyFill="1">
      <alignment horizontal="left" wrapText="1"/>
    </xf>
    <xf numFmtId="174" fontId="65" fillId="0" borderId="0" xfId="0" applyNumberFormat="1" applyFont="1" applyAlignment="1"/>
    <xf numFmtId="185" fontId="0" fillId="0" borderId="0" xfId="0" applyAlignment="1"/>
    <xf numFmtId="1" fontId="1" fillId="0" borderId="0" xfId="8" applyNumberFormat="1" applyAlignment="1"/>
    <xf numFmtId="1" fontId="6" fillId="0" borderId="7" xfId="0" applyNumberFormat="1" applyFont="1" applyFill="1" applyBorder="1" applyAlignment="1">
      <alignment vertical="top" wrapText="1"/>
    </xf>
    <xf numFmtId="1" fontId="0" fillId="0" borderId="7" xfId="0" applyNumberFormat="1" applyFill="1" applyBorder="1" applyAlignment="1">
      <alignment vertical="top" wrapText="1"/>
    </xf>
    <xf numFmtId="1" fontId="0" fillId="0" borderId="7" xfId="0" applyNumberFormat="1" applyFill="1" applyBorder="1" applyAlignment="1"/>
    <xf numFmtId="1" fontId="6" fillId="2" borderId="7" xfId="0" applyNumberFormat="1" applyFont="1" applyFill="1" applyBorder="1" applyAlignment="1">
      <alignment vertical="top" wrapText="1"/>
    </xf>
    <xf numFmtId="1" fontId="0" fillId="2" borderId="7" xfId="0" applyNumberFormat="1" applyFill="1" applyBorder="1" applyAlignment="1">
      <alignment vertical="top" wrapText="1"/>
    </xf>
    <xf numFmtId="1" fontId="0" fillId="2" borderId="7" xfId="0" applyNumberFormat="1" applyFill="1" applyBorder="1" applyAlignment="1"/>
    <xf numFmtId="1" fontId="13" fillId="2" borderId="0" xfId="0" applyNumberFormat="1" applyFont="1" applyFill="1" applyAlignment="1">
      <alignment vertical="top" wrapText="1"/>
    </xf>
    <xf numFmtId="1" fontId="0" fillId="0" borderId="0" xfId="0" applyNumberFormat="1" applyAlignment="1">
      <alignment vertical="top" wrapText="1"/>
    </xf>
    <xf numFmtId="1" fontId="2" fillId="8" borderId="0" xfId="0" applyNumberFormat="1" applyFont="1" applyFill="1" applyAlignment="1">
      <alignment vertical="top" wrapText="1"/>
    </xf>
    <xf numFmtId="1" fontId="0" fillId="8" borderId="0" xfId="0" applyNumberFormat="1" applyFill="1" applyAlignment="1">
      <alignment vertical="top" wrapText="1"/>
    </xf>
    <xf numFmtId="1" fontId="2" fillId="8" borderId="0" xfId="0" applyNumberFormat="1" applyFont="1" applyFill="1" applyAlignment="1">
      <alignment wrapText="1"/>
    </xf>
    <xf numFmtId="1" fontId="0" fillId="8" borderId="0" xfId="0" applyNumberFormat="1" applyFill="1" applyAlignment="1">
      <alignment wrapText="1"/>
    </xf>
    <xf numFmtId="185" fontId="2" fillId="0" borderId="0" xfId="0" applyFont="1" applyFill="1" applyAlignment="1">
      <alignment vertical="center" wrapText="1"/>
    </xf>
    <xf numFmtId="185" fontId="4" fillId="0" borderId="0" xfId="0" applyFont="1" applyFill="1" applyAlignment="1">
      <alignment vertical="center" wrapText="1"/>
    </xf>
    <xf numFmtId="185" fontId="2" fillId="8" borderId="0" xfId="0" applyFont="1" applyFill="1" applyAlignment="1">
      <alignment vertical="top" wrapText="1"/>
    </xf>
    <xf numFmtId="1" fontId="0" fillId="8" borderId="0" xfId="0" applyNumberFormat="1" applyFill="1" applyAlignment="1"/>
    <xf numFmtId="1" fontId="2" fillId="8" borderId="0" xfId="7" quotePrefix="1" applyNumberFormat="1" applyFont="1" applyFill="1" applyAlignment="1">
      <alignment horizontal="left" wrapText="1"/>
    </xf>
    <xf numFmtId="1" fontId="7" fillId="0" borderId="0" xfId="0" quotePrefix="1" applyNumberFormat="1" applyFont="1" applyAlignment="1">
      <alignment horizontal="left" vertical="top" wrapText="1"/>
    </xf>
    <xf numFmtId="1" fontId="0" fillId="0" borderId="0" xfId="0" applyNumberFormat="1" applyAlignment="1"/>
    <xf numFmtId="178" fontId="1" fillId="0" borderId="0" xfId="0" applyNumberFormat="1" applyFont="1" applyFill="1" applyBorder="1" applyAlignment="1">
      <alignment horizontal="right" wrapText="1"/>
    </xf>
    <xf numFmtId="178" fontId="1" fillId="0" borderId="0" xfId="0" applyNumberFormat="1" applyFont="1" applyFill="1" applyBorder="1">
      <alignment horizontal="left" wrapText="1"/>
    </xf>
    <xf numFmtId="1" fontId="1" fillId="0" borderId="0" xfId="0" applyNumberFormat="1" applyFont="1" applyFill="1" applyBorder="1" applyAlignment="1"/>
  </cellXfs>
  <cellStyles count="10">
    <cellStyle name="Comma" xfId="1" builtinId="3"/>
    <cellStyle name="Currency" xfId="2" builtinId="4"/>
    <cellStyle name="Hyperlink" xfId="3" builtinId="8"/>
    <cellStyle name="Normal" xfId="0" builtinId="0"/>
    <cellStyle name="Normal_DefaultData" xfId="4"/>
    <cellStyle name="Normal_Deflators" xfId="8"/>
    <cellStyle name="Normal_JEDI" xfId="5"/>
    <cellStyle name="Normal_JEDI geo input output summary" xfId="7"/>
    <cellStyle name="Normal_Sheet2" xfId="9"/>
    <cellStyle name="Percent" xfId="6" builtinId="5"/>
  </cellStyles>
  <dxfs count="105">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numFmt numFmtId="177" formatCode="0.0%"/>
      <fill>
        <patternFill>
          <bgColor rgb="FF00FFFF"/>
        </patternFill>
      </fill>
    </dxf>
    <dxf>
      <numFmt numFmtId="175" formatCode="&quot;$&quot;#,##0.00"/>
      <fill>
        <patternFill>
          <bgColor rgb="FF00FFFF"/>
        </patternFill>
      </fill>
    </dxf>
    <dxf>
      <numFmt numFmtId="177" formatCode="0.0%"/>
      <fill>
        <patternFill>
          <bgColor rgb="FF00FFFF"/>
        </patternFill>
      </fill>
    </dxf>
    <dxf>
      <numFmt numFmtId="175" formatCode="&quot;$&quot;#,##0.00"/>
      <fill>
        <patternFill>
          <bgColor rgb="FF00FFFF"/>
        </patternFill>
      </fill>
    </dxf>
    <dxf>
      <numFmt numFmtId="13" formatCode="0%"/>
      <fill>
        <patternFill>
          <bgColor rgb="FF00FFFF"/>
        </patternFill>
      </fill>
    </dxf>
    <dxf>
      <numFmt numFmtId="14" formatCode="0.00%"/>
      <fill>
        <patternFill>
          <bgColor rgb="FF00FFFF"/>
        </patternFill>
      </fill>
    </dxf>
    <dxf>
      <numFmt numFmtId="13" formatCode="0%"/>
      <fill>
        <patternFill>
          <bgColor rgb="FF00FFFF"/>
        </patternFill>
      </fill>
    </dxf>
    <dxf>
      <numFmt numFmtId="171" formatCode="&quot;$&quot;#,##0"/>
      <fill>
        <patternFill>
          <bgColor rgb="FF00FFFF"/>
        </patternFill>
      </fill>
    </dxf>
    <dxf>
      <numFmt numFmtId="13" formatCode="0%"/>
      <fill>
        <patternFill>
          <bgColor rgb="FF00FFFF"/>
        </patternFill>
      </fill>
    </dxf>
    <dxf>
      <numFmt numFmtId="13" formatCode="0%"/>
      <fill>
        <patternFill>
          <bgColor rgb="FF00FFFF"/>
        </patternFill>
      </fill>
    </dxf>
    <dxf>
      <numFmt numFmtId="177" formatCode="0.0%"/>
      <fill>
        <patternFill>
          <bgColor rgb="FF00FFFF"/>
        </patternFill>
      </fill>
    </dxf>
    <dxf>
      <numFmt numFmtId="13" formatCode="0%"/>
      <fill>
        <patternFill>
          <bgColor rgb="FF00FFFF"/>
        </patternFill>
      </fill>
    </dxf>
    <dxf>
      <numFmt numFmtId="13" formatCode="0%"/>
      <fill>
        <patternFill>
          <bgColor rgb="FF00FFFF"/>
        </patternFill>
      </fill>
    </dxf>
    <dxf>
      <numFmt numFmtId="13" formatCode="0%"/>
      <fill>
        <patternFill>
          <bgColor rgb="FF00FFFF"/>
        </patternFill>
      </fill>
    </dxf>
    <dxf>
      <numFmt numFmtId="1" formatCode="0"/>
      <fill>
        <patternFill>
          <bgColor rgb="FF00FFFF"/>
        </patternFill>
      </fill>
    </dxf>
    <dxf>
      <numFmt numFmtId="13" formatCode="0%"/>
      <fill>
        <patternFill>
          <bgColor rgb="FF00FFFF"/>
        </patternFill>
      </fill>
    </dxf>
    <dxf>
      <numFmt numFmtId="177" formatCode="0.0%"/>
      <fill>
        <patternFill>
          <bgColor rgb="FF00FFFF"/>
        </patternFill>
      </fill>
    </dxf>
    <dxf>
      <numFmt numFmtId="13" formatCode="0%"/>
      <fill>
        <patternFill>
          <bgColor rgb="FF00FFFF"/>
        </patternFill>
      </fill>
    </dxf>
    <dxf>
      <numFmt numFmtId="13" formatCode="0%"/>
      <fill>
        <patternFill>
          <bgColor rgb="FF00FFFF"/>
        </patternFill>
      </fill>
    </dxf>
    <dxf>
      <numFmt numFmtId="171" formatCode="&quot;$&quot;#,##0"/>
      <fill>
        <patternFill>
          <bgColor rgb="FF00FFFF"/>
        </patternFill>
      </fill>
    </dxf>
    <dxf>
      <numFmt numFmtId="13" formatCode="0%"/>
      <fill>
        <patternFill>
          <bgColor rgb="FF00FFFF"/>
        </patternFill>
      </fill>
    </dxf>
    <dxf>
      <numFmt numFmtId="13" formatCode="0%"/>
      <fill>
        <patternFill>
          <bgColor rgb="FF00FFFF"/>
        </patternFill>
      </fill>
    </dxf>
    <dxf>
      <numFmt numFmtId="177" formatCode="0.0%"/>
      <fill>
        <patternFill>
          <bgColor rgb="FF00FFFF"/>
        </patternFill>
      </fill>
    </dxf>
    <dxf>
      <numFmt numFmtId="13" formatCode="0%"/>
      <fill>
        <patternFill>
          <bgColor rgb="FF00FFFF"/>
        </patternFill>
      </fill>
    </dxf>
    <dxf>
      <numFmt numFmtId="13" formatCode="0%"/>
      <fill>
        <patternFill>
          <bgColor rgb="FF00FFFF"/>
        </patternFill>
      </fill>
    </dxf>
    <dxf>
      <numFmt numFmtId="171" formatCode="&quot;$&quot;#,##0"/>
      <fill>
        <patternFill>
          <bgColor rgb="FF00FFFF"/>
        </patternFill>
      </fill>
    </dxf>
    <dxf>
      <numFmt numFmtId="171" formatCode="&quot;$&quot;#,##0"/>
      <fill>
        <patternFill>
          <bgColor rgb="FF00FFFF"/>
        </patternFill>
      </fill>
    </dxf>
    <dxf>
      <numFmt numFmtId="177" formatCode="0.0%"/>
      <fill>
        <patternFill>
          <bgColor rgb="FF00FFFF"/>
        </patternFill>
      </fill>
    </dxf>
    <dxf>
      <numFmt numFmtId="13" formatCode="0%"/>
      <fill>
        <patternFill>
          <bgColor rgb="FF00FFFF"/>
        </patternFill>
      </fill>
    </dxf>
    <dxf>
      <numFmt numFmtId="171" formatCode="&quot;$&quot;#,##0"/>
      <fill>
        <patternFill>
          <bgColor rgb="FF00FFFF"/>
        </patternFill>
      </fill>
    </dxf>
    <dxf>
      <numFmt numFmtId="13" formatCode="0%"/>
      <fill>
        <patternFill>
          <bgColor rgb="FF00FFFF"/>
        </patternFill>
      </fill>
    </dxf>
    <dxf>
      <numFmt numFmtId="177" formatCode="0.0%"/>
      <fill>
        <patternFill>
          <bgColor rgb="FF00FFFF"/>
        </patternFill>
      </fill>
    </dxf>
    <dxf>
      <numFmt numFmtId="13" formatCode="0%"/>
      <fill>
        <patternFill>
          <bgColor rgb="FF00FFFF"/>
        </patternFill>
      </fill>
    </dxf>
    <dxf>
      <numFmt numFmtId="177" formatCode="0.0%"/>
      <fill>
        <patternFill>
          <bgColor rgb="FF00FFFF"/>
        </patternFill>
      </fill>
    </dxf>
    <dxf>
      <numFmt numFmtId="13" formatCode="0%"/>
      <fill>
        <patternFill>
          <bgColor rgb="FF00FFFF"/>
        </patternFill>
      </fill>
    </dxf>
    <dxf>
      <numFmt numFmtId="171" formatCode="&quot;$&quot;#,##0"/>
      <fill>
        <patternFill>
          <bgColor rgb="FF00FFFF"/>
        </patternFill>
      </fill>
    </dxf>
    <dxf>
      <numFmt numFmtId="13" formatCode="0%"/>
      <fill>
        <patternFill>
          <bgColor rgb="FF00FFFF"/>
        </patternFill>
      </fill>
    </dxf>
    <dxf>
      <numFmt numFmtId="171" formatCode="&quot;$&quot;#,##0"/>
      <fill>
        <patternFill>
          <bgColor rgb="FF00FFFF"/>
        </patternFill>
      </fill>
    </dxf>
    <dxf>
      <numFmt numFmtId="13" formatCode="0%"/>
      <fill>
        <patternFill>
          <bgColor rgb="FF00FFFF"/>
        </patternFill>
      </fill>
    </dxf>
    <dxf>
      <numFmt numFmtId="177" formatCode="0.0%"/>
      <fill>
        <patternFill>
          <bgColor rgb="FF00FFFF"/>
        </patternFill>
      </fill>
    </dxf>
    <dxf>
      <numFmt numFmtId="13" formatCode="0%"/>
      <fill>
        <patternFill>
          <bgColor rgb="FF00FFFF"/>
        </patternFill>
      </fill>
    </dxf>
    <dxf>
      <numFmt numFmtId="177" formatCode="0.0%"/>
      <fill>
        <patternFill>
          <bgColor rgb="FF00FFFF"/>
        </patternFill>
      </fill>
    </dxf>
    <dxf>
      <numFmt numFmtId="13" formatCode="0%"/>
      <fill>
        <patternFill>
          <bgColor rgb="FF00FFFF"/>
        </patternFill>
      </fill>
    </dxf>
    <dxf>
      <numFmt numFmtId="177" formatCode="0.0%"/>
      <fill>
        <patternFill>
          <bgColor rgb="FF00FFFF"/>
        </patternFill>
      </fill>
    </dxf>
    <dxf>
      <numFmt numFmtId="1" formatCode="0"/>
      <fill>
        <patternFill>
          <bgColor rgb="FF00FFFF"/>
        </patternFill>
      </fill>
    </dxf>
    <dxf>
      <numFmt numFmtId="30" formatCode="@"/>
      <fill>
        <patternFill>
          <bgColor rgb="FF00FFFF"/>
        </patternFill>
      </fill>
    </dxf>
    <dxf>
      <numFmt numFmtId="171" formatCode="&quot;$&quot;#,##0"/>
      <fill>
        <patternFill>
          <bgColor rgb="FF00FFFF"/>
        </patternFill>
      </fill>
    </dxf>
    <dxf>
      <numFmt numFmtId="1" formatCode="0"/>
      <fill>
        <patternFill>
          <bgColor rgb="FF00FFFF"/>
        </patternFill>
      </fill>
    </dxf>
    <dxf>
      <numFmt numFmtId="13" formatCode="0%"/>
      <fill>
        <patternFill>
          <bgColor rgb="FF00FFFF"/>
        </patternFill>
      </fill>
    </dxf>
    <dxf>
      <numFmt numFmtId="1" formatCode="0"/>
      <fill>
        <patternFill>
          <bgColor rgb="FF00FFFF"/>
        </patternFill>
      </fill>
    </dxf>
    <dxf>
      <numFmt numFmtId="1" formatCode="0"/>
      <fill>
        <patternFill>
          <bgColor rgb="FF00FFFF"/>
        </patternFill>
      </fill>
    </dxf>
    <dxf>
      <numFmt numFmtId="170" formatCode="0.0"/>
      <fill>
        <patternFill>
          <bgColor rgb="FF00FFFF"/>
        </patternFill>
      </fill>
    </dxf>
    <dxf>
      <numFmt numFmtId="13" formatCode="0%"/>
      <fill>
        <patternFill>
          <bgColor rgb="FF00FFFF"/>
        </patternFill>
      </fill>
    </dxf>
    <dxf>
      <numFmt numFmtId="13" formatCode="0%"/>
      <fill>
        <patternFill>
          <bgColor rgb="FF00FFFF"/>
        </patternFill>
      </fill>
    </dxf>
    <dxf>
      <numFmt numFmtId="13" formatCode="0%"/>
      <fill>
        <patternFill>
          <bgColor rgb="FF00FFFF"/>
        </patternFill>
      </fill>
    </dxf>
    <dxf>
      <numFmt numFmtId="13" formatCode="0%"/>
      <fill>
        <patternFill>
          <bgColor rgb="FF00FFFF"/>
        </patternFill>
      </fill>
    </dxf>
    <dxf>
      <numFmt numFmtId="1" formatCode="0"/>
      <fill>
        <patternFill>
          <bgColor rgb="FF00FFFF"/>
        </patternFill>
      </fill>
    </dxf>
    <dxf>
      <numFmt numFmtId="170" formatCode="0.0"/>
      <fill>
        <patternFill>
          <bgColor rgb="FF00FFFF"/>
        </patternFill>
      </fill>
    </dxf>
    <dxf>
      <numFmt numFmtId="171" formatCode="&quot;$&quot;#,##0"/>
      <fill>
        <patternFill>
          <bgColor rgb="FF00FFFF"/>
        </patternFill>
      </fill>
    </dxf>
    <dxf>
      <numFmt numFmtId="170" formatCode="0.0"/>
      <fill>
        <patternFill>
          <bgColor rgb="FF00FFFF"/>
        </patternFill>
      </fill>
    </dxf>
    <dxf>
      <numFmt numFmtId="171" formatCode="&quot;$&quot;#,##0"/>
      <fill>
        <patternFill>
          <bgColor rgb="FF00FFFF"/>
        </patternFill>
      </fill>
    </dxf>
    <dxf>
      <numFmt numFmtId="171" formatCode="&quot;$&quot;#,##0"/>
      <fill>
        <patternFill>
          <bgColor rgb="FF00FFFF"/>
        </patternFill>
      </fill>
    </dxf>
    <dxf>
      <border>
        <left/>
        <right/>
        <top/>
        <bottom/>
        <vertical/>
        <horizontal/>
      </border>
    </dxf>
    <dxf>
      <font>
        <color rgb="FF00FFFF"/>
      </font>
      <fill>
        <patternFill>
          <bgColor rgb="FF00FFFF"/>
        </patternFill>
      </fill>
    </dxf>
    <dxf>
      <numFmt numFmtId="177" formatCode="0.0%"/>
      <fill>
        <patternFill>
          <bgColor rgb="FF00FFFF"/>
        </patternFill>
      </fill>
    </dxf>
    <dxf>
      <numFmt numFmtId="177" formatCode="0.0%"/>
      <fill>
        <patternFill>
          <bgColor rgb="FF00FFFF"/>
        </patternFill>
      </fill>
    </dxf>
    <dxf>
      <numFmt numFmtId="177" formatCode="0.0%"/>
      <fill>
        <patternFill>
          <bgColor rgb="FF00FFFF"/>
        </patternFill>
      </fill>
    </dxf>
    <dxf>
      <numFmt numFmtId="177" formatCode="0.0%"/>
      <fill>
        <patternFill>
          <bgColor rgb="FF00FFFF"/>
        </patternFill>
      </fill>
    </dxf>
    <dxf>
      <numFmt numFmtId="1" formatCode="0"/>
      <fill>
        <patternFill>
          <bgColor rgb="FF00FFFF"/>
        </patternFill>
      </fill>
    </dxf>
    <dxf>
      <numFmt numFmtId="30" formatCode="@"/>
      <fill>
        <patternFill>
          <bgColor rgb="FF00FFFF"/>
        </patternFill>
      </fill>
    </dxf>
    <dxf>
      <numFmt numFmtId="171" formatCode="&quot;$&quot;#,##0"/>
      <fill>
        <patternFill>
          <bgColor rgb="FF00FFFF"/>
        </patternFill>
      </fill>
    </dxf>
    <dxf>
      <numFmt numFmtId="1" formatCode="0"/>
      <fill>
        <patternFill>
          <bgColor rgb="FF00FFFF"/>
        </patternFill>
      </fill>
    </dxf>
    <dxf>
      <numFmt numFmtId="13" formatCode="0%"/>
      <fill>
        <patternFill>
          <bgColor rgb="FF00FFFF"/>
        </patternFill>
      </fill>
    </dxf>
    <dxf>
      <numFmt numFmtId="1" formatCode="0"/>
      <fill>
        <patternFill>
          <bgColor rgb="FF00FFFF"/>
        </patternFill>
      </fill>
    </dxf>
    <dxf>
      <numFmt numFmtId="171" formatCode="&quot;$&quot;#,##0"/>
      <fill>
        <patternFill>
          <bgColor rgb="FF00FFFF"/>
        </patternFill>
      </fill>
    </dxf>
    <dxf>
      <numFmt numFmtId="14" formatCode="0.00%"/>
      <fill>
        <patternFill>
          <bgColor rgb="FF00FFFF"/>
        </patternFill>
      </fill>
    </dxf>
    <dxf>
      <numFmt numFmtId="13" formatCode="0%"/>
      <fill>
        <patternFill>
          <bgColor rgb="FF00FFFF"/>
        </patternFill>
      </fill>
    </dxf>
    <dxf>
      <numFmt numFmtId="171" formatCode="&quot;$&quot;#,##0"/>
      <fill>
        <patternFill>
          <bgColor rgb="FF00FFFF"/>
        </patternFill>
      </fill>
    </dxf>
    <dxf>
      <numFmt numFmtId="1" formatCode="0"/>
      <fill>
        <patternFill>
          <bgColor rgb="FF00FFFF"/>
        </patternFill>
      </fill>
    </dxf>
    <dxf>
      <numFmt numFmtId="13" formatCode="0%"/>
      <fill>
        <patternFill>
          <bgColor rgb="FF00FFFF"/>
        </patternFill>
      </fill>
    </dxf>
    <dxf>
      <numFmt numFmtId="177" formatCode="0.0%"/>
      <fill>
        <patternFill>
          <bgColor rgb="FF00FFFF"/>
        </patternFill>
      </fill>
    </dxf>
    <dxf>
      <numFmt numFmtId="175" formatCode="&quot;$&quot;#,##0.00"/>
      <fill>
        <patternFill>
          <bgColor rgb="FF00FFFF"/>
        </patternFill>
      </fill>
    </dxf>
    <dxf>
      <numFmt numFmtId="177" formatCode="0.0%"/>
      <fill>
        <patternFill>
          <bgColor rgb="FF00FFFF"/>
        </patternFill>
      </fill>
    </dxf>
    <dxf>
      <numFmt numFmtId="13" formatCode="0%"/>
      <fill>
        <patternFill>
          <bgColor rgb="FF00FFFF"/>
        </patternFill>
      </fill>
    </dxf>
    <dxf>
      <numFmt numFmtId="13" formatCode="0%"/>
      <fill>
        <patternFill>
          <bgColor rgb="FF00FFFF"/>
        </patternFill>
      </fill>
    </dxf>
    <dxf>
      <numFmt numFmtId="177" formatCode="0.0%"/>
      <fill>
        <patternFill>
          <bgColor rgb="FF00FFFF"/>
        </patternFill>
      </fill>
    </dxf>
    <dxf>
      <numFmt numFmtId="1" formatCode="0"/>
      <fill>
        <patternFill>
          <bgColor rgb="FF00FFFF"/>
        </patternFill>
      </fill>
    </dxf>
    <dxf>
      <numFmt numFmtId="1" formatCode="0"/>
      <fill>
        <patternFill>
          <bgColor rgb="FF00FFFF"/>
        </patternFill>
      </fill>
    </dxf>
    <dxf>
      <numFmt numFmtId="171" formatCode="&quot;$&quot;#,##0"/>
      <fill>
        <patternFill>
          <bgColor rgb="FF00FFFF"/>
        </patternFill>
      </fill>
    </dxf>
    <dxf>
      <numFmt numFmtId="13" formatCode="0%"/>
      <fill>
        <patternFill>
          <bgColor rgb="FF00FFFF"/>
        </patternFill>
      </fill>
    </dxf>
    <dxf>
      <numFmt numFmtId="177" formatCode="0.0%"/>
      <fill>
        <patternFill>
          <bgColor rgb="FF00FFFF"/>
        </patternFill>
      </fill>
    </dxf>
    <dxf>
      <numFmt numFmtId="175" formatCode="&quot;$&quot;#,##0.00"/>
      <fill>
        <patternFill>
          <bgColor rgb="FF00FFFF"/>
        </patternFill>
      </fill>
    </dxf>
    <dxf>
      <numFmt numFmtId="177" formatCode="0.0%"/>
      <fill>
        <patternFill>
          <bgColor rgb="FF00FFFF"/>
        </patternFill>
      </fill>
    </dxf>
    <dxf>
      <numFmt numFmtId="13" formatCode="0%"/>
      <fill>
        <patternFill>
          <bgColor rgb="FF00FFFF"/>
        </patternFill>
      </fill>
    </dxf>
    <dxf>
      <numFmt numFmtId="13" formatCode="0%"/>
      <fill>
        <patternFill>
          <bgColor rgb="FF00FFFF"/>
        </patternFill>
      </fill>
    </dxf>
    <dxf>
      <numFmt numFmtId="13" formatCode="0%"/>
      <fill>
        <patternFill>
          <bgColor rgb="FF00FFFF"/>
        </patternFill>
      </fill>
    </dxf>
    <dxf>
      <numFmt numFmtId="177" formatCode="0.0%"/>
      <fill>
        <patternFill>
          <bgColor rgb="FF00FFFF"/>
        </patternFill>
      </fill>
    </dxf>
    <dxf>
      <font>
        <color rgb="FF00FFFF"/>
      </font>
      <fill>
        <patternFill>
          <bgColor rgb="FF00FFFF"/>
        </patternFill>
      </fill>
    </dxf>
    <dxf>
      <font>
        <color rgb="FF00FFFF"/>
      </font>
      <fill>
        <patternFill>
          <bgColor rgb="FF00FFFF"/>
        </patternFill>
      </fill>
      <border>
        <left style="thin">
          <color rgb="FF00FFFF"/>
        </left>
        <right style="thin">
          <color rgb="FF00FFFF"/>
        </right>
        <top style="thin">
          <color rgb="FF00FFFF"/>
        </top>
        <bottom style="thin">
          <color rgb="FF00FFFF"/>
        </bottom>
        <vertical/>
        <horizontal/>
      </border>
    </dxf>
    <dxf>
      <font>
        <color rgb="FF00FFFF"/>
      </font>
      <fill>
        <patternFill>
          <bgColor rgb="FF00FFFF"/>
        </patternFill>
      </fill>
    </dxf>
    <dxf>
      <font>
        <color rgb="FF00FFFF"/>
      </font>
      <fill>
        <patternFill>
          <bgColor rgb="FF00FFFF"/>
        </patternFill>
      </fill>
    </dxf>
  </dxfs>
  <tableStyles count="0" defaultTableStyle="TableStyleMedium9" defaultPivotStyle="PivotStyleLight16"/>
  <colors>
    <mruColors>
      <color rgb="FF00FFFF"/>
      <color rgb="FF66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2837338</xdr:colOff>
      <xdr:row>5</xdr:row>
      <xdr:rowOff>95250</xdr:rowOff>
    </xdr:from>
    <xdr:to>
      <xdr:col>0</xdr:col>
      <xdr:colOff>10924063</xdr:colOff>
      <xdr:row>29</xdr:row>
      <xdr:rowOff>66675</xdr:rowOff>
    </xdr:to>
    <xdr:sp macro="" textlink="">
      <xdr:nvSpPr>
        <xdr:cNvPr id="4" name="Text Box 1"/>
        <xdr:cNvSpPr txBox="1">
          <a:spLocks noChangeArrowheads="1"/>
        </xdr:cNvSpPr>
      </xdr:nvSpPr>
      <xdr:spPr bwMode="auto">
        <a:xfrm>
          <a:off x="2837338" y="1762125"/>
          <a:ext cx="8086725" cy="3857625"/>
        </a:xfrm>
        <a:prstGeom prst="rect">
          <a:avLst/>
        </a:prstGeom>
        <a:solidFill>
          <a:schemeClr val="bg1"/>
        </a:solidFill>
        <a:ln w="12700">
          <a:solidFill>
            <a:srgbClr val="000000"/>
          </a:solidFill>
          <a:miter lim="800000"/>
          <a:headEnd/>
          <a:tailEnd/>
        </a:ln>
      </xdr:spPr>
      <xdr:txBody>
        <a:bodyPr vertOverflow="clip" wrap="square" lIns="182880" tIns="228600" rIns="274320" bIns="228600" anchor="t" upright="1"/>
        <a:lstStyle/>
        <a:p>
          <a:pPr rtl="0"/>
          <a:r>
            <a:rPr lang="en-US" sz="1200" b="0" i="0">
              <a:latin typeface="Times New Roman" pitchFamily="18" charset="0"/>
              <a:ea typeface="+mn-ea"/>
              <a:cs typeface="Times New Roman" pitchFamily="18" charset="0"/>
            </a:rPr>
            <a:t>This demonstration model is designed to estimate the statewide economic impacts associated with developing and maintaining transmission lines in the United States.  The economic impacts identified include jobs, earnings, output and value added for the construction period and annually once the lines are in use.  A user defined "add-in" location (e.g., county or region) option is also available.    </a:t>
          </a:r>
          <a:endParaRPr lang="en-US" sz="1200">
            <a:latin typeface="Times New Roman" pitchFamily="18" charset="0"/>
            <a:cs typeface="Times New Roman" pitchFamily="18" charset="0"/>
          </a:endParaRPr>
        </a:p>
        <a:p>
          <a:pPr algn="l" rtl="0">
            <a:defRPr sz="1000"/>
          </a:pPr>
          <a:endParaRPr lang="en-US" sz="1000" b="0" i="0" u="none" strike="noStrike" baseline="0">
            <a:solidFill>
              <a:srgbClr val="000000"/>
            </a:solidFill>
            <a:latin typeface="Arial" pitchFamily="34" charset="0"/>
            <a:cs typeface="Arial" pitchFamily="34" charset="0"/>
          </a:endParaRPr>
        </a:p>
        <a:p>
          <a:pPr algn="l" rtl="0">
            <a:defRPr sz="1000"/>
          </a:pPr>
          <a:endParaRPr lang="en-US" sz="1000" b="1" i="0" u="none" strike="noStrike" baseline="0">
            <a:solidFill>
              <a:srgbClr val="000000"/>
            </a:solidFill>
            <a:latin typeface="Arial" pitchFamily="34" charset="0"/>
            <a:cs typeface="Arial" pitchFamily="34" charset="0"/>
          </a:endParaRPr>
        </a:p>
        <a:p>
          <a:pPr algn="l" rtl="0">
            <a:defRPr sz="1000"/>
          </a:pPr>
          <a:r>
            <a:rPr lang="en-US" sz="1000" b="1" i="0" u="none" strike="noStrike" baseline="0">
              <a:solidFill>
                <a:srgbClr val="000000"/>
              </a:solidFill>
              <a:latin typeface="Arial" pitchFamily="34" charset="0"/>
              <a:cs typeface="Arial" pitchFamily="34" charset="0"/>
            </a:rPr>
            <a:t>Steps to complete an economic impact analysis:</a:t>
          </a:r>
        </a:p>
        <a:p>
          <a:pPr algn="l" rtl="0">
            <a:defRPr sz="1000"/>
          </a:pPr>
          <a:endParaRPr lang="en-US" sz="1000" b="0" i="0" u="none" strike="noStrike" baseline="0">
            <a:solidFill>
              <a:srgbClr val="000000"/>
            </a:solidFill>
            <a:latin typeface="Arial" pitchFamily="34" charset="0"/>
            <a:cs typeface="Arial" pitchFamily="34" charset="0"/>
          </a:endParaRPr>
        </a:p>
        <a:p>
          <a:pPr rtl="0"/>
          <a:r>
            <a:rPr lang="en-US" sz="1200" b="0" i="0">
              <a:latin typeface="Times New Roman" pitchFamily="18" charset="0"/>
              <a:ea typeface="+mn-ea"/>
              <a:cs typeface="Times New Roman" pitchFamily="18" charset="0"/>
            </a:rPr>
            <a:t>   1.  Enter project descriptive data</a:t>
          </a:r>
          <a:endParaRPr lang="en-US" sz="1200">
            <a:latin typeface="Times New Roman" pitchFamily="18" charset="0"/>
            <a:cs typeface="Times New Roman" pitchFamily="18" charset="0"/>
          </a:endParaRPr>
        </a:p>
        <a:p>
          <a:pPr rtl="0"/>
          <a:r>
            <a:rPr lang="en-US" sz="1200" b="0" i="0">
              <a:latin typeface="Times New Roman" pitchFamily="18" charset="0"/>
              <a:ea typeface="+mn-ea"/>
              <a:cs typeface="Times New Roman" pitchFamily="18" charset="0"/>
            </a:rPr>
            <a:t>   2.  Choose to perform a simple</a:t>
          </a:r>
          <a:r>
            <a:rPr lang="en-US" sz="1200" b="0" i="0" baseline="0">
              <a:latin typeface="Times New Roman" pitchFamily="18" charset="0"/>
              <a:ea typeface="+mn-ea"/>
              <a:cs typeface="Times New Roman" pitchFamily="18" charset="0"/>
            </a:rPr>
            <a:t> </a:t>
          </a:r>
          <a:r>
            <a:rPr lang="en-US" sz="1200" b="0" i="0">
              <a:latin typeface="Times New Roman" pitchFamily="18" charset="0"/>
              <a:ea typeface="+mn-ea"/>
              <a:cs typeface="Times New Roman" pitchFamily="18" charset="0"/>
            </a:rPr>
            <a:t>analysis, to accept default project cost data (based on project descriptive data entered),</a:t>
          </a:r>
          <a:endParaRPr lang="en-US" sz="1200">
            <a:latin typeface="Times New Roman" pitchFamily="18" charset="0"/>
            <a:cs typeface="Times New Roman" pitchFamily="18" charset="0"/>
          </a:endParaRPr>
        </a:p>
        <a:p>
          <a:pPr rtl="0"/>
          <a:r>
            <a:rPr lang="en-US" sz="1200" b="0" i="0">
              <a:latin typeface="Times New Roman" pitchFamily="18" charset="0"/>
              <a:ea typeface="+mn-ea"/>
              <a:cs typeface="Times New Roman" pitchFamily="18" charset="0"/>
            </a:rPr>
            <a:t>         or an advanced analysis, to review and enter new project data.  </a:t>
          </a:r>
          <a:endParaRPr lang="en-US" sz="1200">
            <a:latin typeface="Times New Roman" pitchFamily="18" charset="0"/>
            <a:cs typeface="Times New Roman" pitchFamily="18" charset="0"/>
          </a:endParaRPr>
        </a:p>
        <a:p>
          <a:pPr rtl="0"/>
          <a:r>
            <a:rPr lang="en-US" sz="1200" b="0" i="0">
              <a:latin typeface="Times New Roman" pitchFamily="18" charset="0"/>
              <a:ea typeface="+mn-ea"/>
              <a:cs typeface="Times New Roman" pitchFamily="18" charset="0"/>
            </a:rPr>
            <a:t>   3.  If you choose simple analysis, after entering project descriptive data, go directly to SUMMARY RESULTS to view, save and/or print results.</a:t>
          </a:r>
          <a:endParaRPr lang="en-US" sz="1200">
            <a:latin typeface="Times New Roman" pitchFamily="18" charset="0"/>
            <a:cs typeface="Times New Roman" pitchFamily="18" charset="0"/>
          </a:endParaRPr>
        </a:p>
        <a:p>
          <a:r>
            <a:rPr lang="en-US" sz="1200" b="0" i="0">
              <a:latin typeface="Times New Roman" pitchFamily="18" charset="0"/>
              <a:ea typeface="+mn-ea"/>
              <a:cs typeface="Times New Roman" pitchFamily="18" charset="0"/>
            </a:rPr>
            <a:t>   4.  If you choose advanced</a:t>
          </a:r>
          <a:r>
            <a:rPr lang="en-US" sz="1200" b="0" i="0" baseline="0">
              <a:latin typeface="Times New Roman" pitchFamily="18" charset="0"/>
              <a:ea typeface="+mn-ea"/>
              <a:cs typeface="Times New Roman" pitchFamily="18" charset="0"/>
            </a:rPr>
            <a:t> analysis, after entering project descriptive data, review and edit detailed project cost data before going to SUMMARY RESULTS</a:t>
          </a:r>
          <a:r>
            <a:rPr lang="en-US" sz="1200" b="0" i="0">
              <a:latin typeface="Times New Roman" pitchFamily="18" charset="0"/>
              <a:ea typeface="+mn-ea"/>
              <a:cs typeface="Times New Roman" pitchFamily="18" charset="0"/>
            </a:rPr>
            <a:t>.</a:t>
          </a:r>
          <a:endParaRPr lang="en-US" sz="1200" b="0" i="0" u="none" strike="noStrike" baseline="0">
            <a:solidFill>
              <a:srgbClr val="000000"/>
            </a:solidFill>
            <a:latin typeface="Times New Roman" pitchFamily="18" charset="0"/>
            <a:cs typeface="Times New Roman" pitchFamily="18" charset="0"/>
          </a:endParaRPr>
        </a:p>
        <a:p>
          <a:pPr algn="l" rtl="0">
            <a:defRPr sz="1000"/>
          </a:pPr>
          <a:r>
            <a:rPr lang="en-US" sz="1000" b="0" i="0" u="none" strike="noStrike" baseline="0">
              <a:solidFill>
                <a:srgbClr val="000000"/>
              </a:solidFill>
              <a:latin typeface="Arial" pitchFamily="34" charset="0"/>
              <a:cs typeface="Arial" pitchFamily="34" charset="0"/>
            </a:rPr>
            <a:t>      </a:t>
          </a:r>
        </a:p>
        <a:p>
          <a:pPr algn="l" rtl="0">
            <a:defRPr sz="1000"/>
          </a:pPr>
          <a:r>
            <a:rPr lang="en-US" sz="1000" b="1" i="0" u="none" strike="noStrike" baseline="0">
              <a:solidFill>
                <a:srgbClr val="000000"/>
              </a:solidFill>
              <a:latin typeface="Arial" pitchFamily="34" charset="0"/>
              <a:cs typeface="Arial" pitchFamily="34" charset="0"/>
            </a:rPr>
            <a:t>To begin analysis press Start button</a:t>
          </a:r>
          <a:endParaRPr lang="en-US" sz="1000" b="0" i="0" u="none" strike="noStrike" baseline="0">
            <a:solidFill>
              <a:srgbClr val="000000"/>
            </a:solidFill>
            <a:latin typeface="Arial" pitchFamily="34" charset="0"/>
            <a:cs typeface="Arial" pitchFamily="34" charset="0"/>
          </a:endParaRPr>
        </a:p>
        <a:p>
          <a:pPr algn="l" rtl="0">
            <a:defRPr sz="1000"/>
          </a:pPr>
          <a:r>
            <a:rPr lang="en-US" sz="1000" b="0" i="0" u="none" strike="noStrike" baseline="0">
              <a:solidFill>
                <a:srgbClr val="000000"/>
              </a:solidFill>
              <a:latin typeface="Helv"/>
            </a:rPr>
            <a:t>   </a:t>
          </a: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mc:AlternateContent xmlns:mc="http://schemas.openxmlformats.org/markup-compatibility/2006">
    <mc:Choice xmlns:a14="http://schemas.microsoft.com/office/drawing/2010/main" Requires="a14">
      <xdr:twoCellAnchor>
        <xdr:from>
          <xdr:col>0</xdr:col>
          <xdr:colOff>5676900</xdr:colOff>
          <xdr:row>22</xdr:row>
          <xdr:rowOff>133350</xdr:rowOff>
        </xdr:from>
        <xdr:to>
          <xdr:col>0</xdr:col>
          <xdr:colOff>7324725</xdr:colOff>
          <xdr:row>25</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Start</a:t>
              </a:r>
              <a:r>
                <a:rPr lang="en-US" sz="1400" b="0" i="0" u="none" strike="noStrike" baseline="0">
                  <a:solidFill>
                    <a:srgbClr val="000000"/>
                  </a:solidFill>
                  <a:latin typeface="Arial"/>
                  <a:cs typeface="Arial"/>
                </a:rPr>
                <a:t> </a:t>
              </a:r>
              <a:endParaRPr lang="en-US" sz="1000" b="0" i="0" u="none" strike="noStrike" baseline="0">
                <a:solidFill>
                  <a:srgbClr val="000000"/>
                </a:solidFill>
                <a:latin typeface="Arial"/>
                <a:cs typeface="Arial"/>
              </a:endParaRPr>
            </a:p>
            <a:p>
              <a:pPr algn="ctr" rtl="0">
                <a:defRPr sz="1000"/>
              </a:pPr>
              <a:r>
                <a:rPr lang="en-US" sz="1000" b="0" i="0" u="none" strike="noStrike" baseline="0">
                  <a:solidFill>
                    <a:srgbClr val="000000"/>
                  </a:solidFill>
                  <a:latin typeface="Arial"/>
                  <a:cs typeface="Arial"/>
                </a:rPr>
                <a:t>Economic Impact Analysis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154</xdr:row>
          <xdr:rowOff>152400</xdr:rowOff>
        </xdr:from>
        <xdr:to>
          <xdr:col>0</xdr:col>
          <xdr:colOff>1666875</xdr:colOff>
          <xdr:row>157</xdr:row>
          <xdr:rowOff>104775</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a:t>
              </a:r>
            </a:p>
            <a:p>
              <a:pPr algn="ctr" rtl="0">
                <a:defRPr sz="1000"/>
              </a:pPr>
              <a:r>
                <a:rPr lang="en-US" sz="1000" b="0" i="0" u="none" strike="noStrike" baseline="0">
                  <a:solidFill>
                    <a:srgbClr val="000000"/>
                  </a:solidFill>
                  <a:latin typeface="Arial"/>
                  <a:cs typeface="Arial"/>
                </a:rPr>
                <a:t>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1933575</xdr:colOff>
          <xdr:row>155</xdr:row>
          <xdr:rowOff>0</xdr:rowOff>
        </xdr:from>
        <xdr:to>
          <xdr:col>1</xdr:col>
          <xdr:colOff>19050</xdr:colOff>
          <xdr:row>157</xdr:row>
          <xdr:rowOff>133350</xdr:rowOff>
        </xdr:to>
        <xdr:sp macro="" textlink="">
          <xdr:nvSpPr>
            <xdr:cNvPr id="2091" name="Button 43" hidden="1">
              <a:extLst>
                <a:ext uri="{63B3BB69-23CF-44E3-9099-C40C66FF867C}">
                  <a14:compatExt spid="_x0000_s2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Top</a:t>
              </a:r>
            </a:p>
            <a:p>
              <a:pPr algn="ctr" rtl="0">
                <a:defRPr sz="1000"/>
              </a:pPr>
              <a:r>
                <a:rPr lang="en-US" sz="1000" b="0" i="0" u="none" strike="noStrike" baseline="0">
                  <a:solidFill>
                    <a:srgbClr val="000000"/>
                  </a:solidFill>
                  <a:latin typeface="Arial"/>
                  <a:cs typeface="Arial"/>
                </a:rPr>
                <a:t>Project Description 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247650</xdr:colOff>
          <xdr:row>155</xdr:row>
          <xdr:rowOff>0</xdr:rowOff>
        </xdr:from>
        <xdr:to>
          <xdr:col>2</xdr:col>
          <xdr:colOff>495300</xdr:colOff>
          <xdr:row>157</xdr:row>
          <xdr:rowOff>133350</xdr:rowOff>
        </xdr:to>
        <xdr:sp macro="" textlink="">
          <xdr:nvSpPr>
            <xdr:cNvPr id="2179" name="Button 131" hidden="1">
              <a:extLst>
                <a:ext uri="{63B3BB69-23CF-44E3-9099-C40C66FF867C}">
                  <a14:compatExt spid="_x0000_s21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a:t>
              </a:r>
            </a:p>
            <a:p>
              <a:pPr algn="ctr" rtl="0">
                <a:defRPr sz="1000"/>
              </a:pPr>
              <a:r>
                <a:rPr lang="en-US" sz="1000" b="0" i="0" u="none" strike="noStrike" baseline="0">
                  <a:solidFill>
                    <a:srgbClr val="000000"/>
                  </a:solidFill>
                  <a:latin typeface="Arial"/>
                  <a:cs typeface="Arial"/>
                </a:rPr>
                <a:t>Default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200025</xdr:colOff>
          <xdr:row>24</xdr:row>
          <xdr:rowOff>76200</xdr:rowOff>
        </xdr:from>
        <xdr:to>
          <xdr:col>5</xdr:col>
          <xdr:colOff>171450</xdr:colOff>
          <xdr:row>25</xdr:row>
          <xdr:rowOff>76200</xdr:rowOff>
        </xdr:to>
        <xdr:sp macro="" textlink="">
          <xdr:nvSpPr>
            <xdr:cNvPr id="2207" name="Button 159" hidden="1">
              <a:extLst>
                <a:ext uri="{63B3BB69-23CF-44E3-9099-C40C66FF867C}">
                  <a14:compatExt spid="_x0000_s22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Summary Impacts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6</xdr:row>
          <xdr:rowOff>9525</xdr:rowOff>
        </xdr:from>
        <xdr:to>
          <xdr:col>5</xdr:col>
          <xdr:colOff>1790700</xdr:colOff>
          <xdr:row>10</xdr:row>
          <xdr:rowOff>66675</xdr:rowOff>
        </xdr:to>
        <xdr:sp macro="" textlink="">
          <xdr:nvSpPr>
            <xdr:cNvPr id="5136" name="Button 16" hidden="1">
              <a:extLst>
                <a:ext uri="{63B3BB69-23CF-44E3-9099-C40C66FF867C}">
                  <a14:compatExt spid="_x0000_s5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Detailed Project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1</xdr:row>
          <xdr:rowOff>171450</xdr:rowOff>
        </xdr:from>
        <xdr:to>
          <xdr:col>5</xdr:col>
          <xdr:colOff>1781175</xdr:colOff>
          <xdr:row>5</xdr:row>
          <xdr:rowOff>19050</xdr:rowOff>
        </xdr:to>
        <xdr:sp macro="" textlink="">
          <xdr:nvSpPr>
            <xdr:cNvPr id="5139" name="Button 19" hidden="1">
              <a:extLst>
                <a:ext uri="{63B3BB69-23CF-44E3-9099-C40C66FF867C}">
                  <a14:compatExt spid="_x0000_s51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Project Data Summary </a:t>
              </a:r>
            </a:p>
            <a:p>
              <a:pPr algn="ctr" rtl="0">
                <a:defRPr sz="1000"/>
              </a:pPr>
              <a:r>
                <a:rPr lang="en-US" sz="1000" b="0" i="0" u="none" strike="noStrike" baseline="0">
                  <a:solidFill>
                    <a:srgbClr val="000000"/>
                  </a:solidFill>
                  <a:latin typeface="Arial"/>
                  <a:cs typeface="Arial"/>
                </a:rPr>
                <a:t>and Summary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15</xdr:row>
          <xdr:rowOff>152400</xdr:rowOff>
        </xdr:from>
        <xdr:to>
          <xdr:col>6</xdr:col>
          <xdr:colOff>9525</xdr:colOff>
          <xdr:row>19</xdr:row>
          <xdr:rowOff>95250</xdr:rowOff>
        </xdr:to>
        <xdr:sp macro="" textlink="">
          <xdr:nvSpPr>
            <xdr:cNvPr id="5140" name="Button 20" hidden="1">
              <a:extLst>
                <a:ext uri="{63B3BB69-23CF-44E3-9099-C40C66FF867C}">
                  <a14:compatExt spid="_x0000_s51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a:t>
              </a:r>
            </a:p>
            <a:p>
              <a:pPr algn="ctr" rtl="0">
                <a:defRPr sz="1000"/>
              </a:pPr>
              <a:r>
                <a:rPr lang="en-US" sz="1000" b="0" i="0" u="none" strike="noStrike" baseline="0">
                  <a:solidFill>
                    <a:srgbClr val="000000"/>
                  </a:solidFill>
                  <a:latin typeface="Arial"/>
                  <a:cs typeface="Arial"/>
                </a:rPr>
                <a:t>Project Description </a:t>
              </a:r>
            </a:p>
            <a:p>
              <a:pPr algn="ctr" rtl="0">
                <a:defRPr sz="1000"/>
              </a:pPr>
              <a:r>
                <a:rPr lang="en-US" sz="1000" b="0" i="0" u="none" strike="noStrike" baseline="0">
                  <a:solidFill>
                    <a:srgbClr val="000000"/>
                  </a:solidFill>
                  <a:latin typeface="Arial"/>
                  <a:cs typeface="Arial"/>
                </a:rPr>
                <a:t>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xdr:row>
          <xdr:rowOff>76200</xdr:rowOff>
        </xdr:from>
        <xdr:to>
          <xdr:col>5</xdr:col>
          <xdr:colOff>1790700</xdr:colOff>
          <xdr:row>14</xdr:row>
          <xdr:rowOff>142875</xdr:rowOff>
        </xdr:to>
        <xdr:sp macro="" textlink="">
          <xdr:nvSpPr>
            <xdr:cNvPr id="5164" name="Button 44" hidden="1">
              <a:extLst>
                <a:ext uri="{63B3BB69-23CF-44E3-9099-C40C66FF867C}">
                  <a14:compatExt spid="_x0000_s51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All Project Data and Summary Results</a:t>
              </a:r>
            </a:p>
            <a:p>
              <a:pPr algn="ctr" rtl="0">
                <a:defRPr sz="1000"/>
              </a:pPr>
              <a:r>
                <a:rPr lang="en-US" sz="1000" b="0" i="0" u="none" strike="noStrike" baseline="0">
                  <a:solidFill>
                    <a:srgbClr val="000000"/>
                  </a:solidFill>
                  <a:latin typeface="Arial"/>
                  <a:cs typeface="Arial"/>
                </a:rPr>
                <a:t>to a new spreadsheet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www.whitehouse.gov/omb/budget/Historicals%20Table%2010.1&#8212;GROSS%20DOMESTIC%20PRODUCT%20AND%20DEFLATORS%20USED%20IN%20THE%20HISTORICAL%20TABLES:%201940&#8211;2021.%20Accessed%20Nov.%202016."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71"/>
  <sheetViews>
    <sheetView workbookViewId="0">
      <selection activeCell="L2" sqref="L2"/>
    </sheetView>
  </sheetViews>
  <sheetFormatPr defaultRowHeight="12.75" x14ac:dyDescent="0.2"/>
  <cols>
    <col min="1" max="1" width="9.140625" style="707"/>
    <col min="2" max="2" width="192.5703125" customWidth="1"/>
    <col min="3" max="3" width="47.140625" style="707" customWidth="1"/>
  </cols>
  <sheetData>
    <row r="1" spans="1:24" x14ac:dyDescent="0.2">
      <c r="A1" s="451"/>
      <c r="B1" s="38"/>
      <c r="C1" s="451"/>
    </row>
    <row r="2" spans="1:24" x14ac:dyDescent="0.2">
      <c r="A2" s="451"/>
      <c r="B2" s="38"/>
      <c r="C2" s="451"/>
    </row>
    <row r="3" spans="1:24" ht="23.25" x14ac:dyDescent="0.35">
      <c r="A3" s="451"/>
      <c r="B3" s="163" t="s">
        <v>294</v>
      </c>
      <c r="C3" s="451"/>
    </row>
    <row r="4" spans="1:24" x14ac:dyDescent="0.2">
      <c r="A4" s="451"/>
      <c r="B4" s="188"/>
      <c r="C4" s="451"/>
    </row>
    <row r="5" spans="1:24" ht="23.25" x14ac:dyDescent="0.35">
      <c r="A5" s="451"/>
      <c r="B5" s="163" t="s">
        <v>292</v>
      </c>
      <c r="C5" s="451"/>
    </row>
    <row r="6" spans="1:24" ht="23.25" x14ac:dyDescent="0.35">
      <c r="A6" s="451"/>
      <c r="B6" s="165"/>
      <c r="C6" s="451"/>
    </row>
    <row r="7" spans="1:24" ht="23.25" x14ac:dyDescent="0.35">
      <c r="A7" s="451"/>
      <c r="B7" s="165"/>
      <c r="C7" s="451"/>
    </row>
    <row r="8" spans="1:24" x14ac:dyDescent="0.2">
      <c r="A8" s="706"/>
      <c r="C8" s="706"/>
    </row>
    <row r="9" spans="1:24" ht="18" x14ac:dyDescent="0.25">
      <c r="A9" s="706"/>
      <c r="B9" s="576" t="s">
        <v>652</v>
      </c>
      <c r="C9" s="706"/>
    </row>
    <row r="10" spans="1:24" x14ac:dyDescent="0.2">
      <c r="A10" s="706"/>
      <c r="B10" s="571"/>
      <c r="C10" s="706"/>
    </row>
    <row r="11" spans="1:24" x14ac:dyDescent="0.2">
      <c r="A11" s="706"/>
      <c r="B11" s="571"/>
      <c r="C11" s="706"/>
      <c r="X11" s="648"/>
    </row>
    <row r="12" spans="1:24" ht="15.75" x14ac:dyDescent="0.25">
      <c r="A12" s="706"/>
      <c r="B12" s="577" t="s">
        <v>621</v>
      </c>
      <c r="C12" s="706"/>
    </row>
    <row r="13" spans="1:24" ht="15.75" x14ac:dyDescent="0.25">
      <c r="A13" s="706"/>
      <c r="B13" s="577" t="s">
        <v>622</v>
      </c>
      <c r="C13" s="706"/>
    </row>
    <row r="14" spans="1:24" ht="15.75" x14ac:dyDescent="0.25">
      <c r="A14" s="706"/>
      <c r="B14" s="577" t="s">
        <v>295</v>
      </c>
      <c r="C14" s="706"/>
    </row>
    <row r="15" spans="1:24" ht="15.75" x14ac:dyDescent="0.25">
      <c r="A15" s="706"/>
      <c r="B15" s="577" t="s">
        <v>296</v>
      </c>
      <c r="C15" s="706"/>
    </row>
    <row r="16" spans="1:24" ht="15.75" x14ac:dyDescent="0.25">
      <c r="A16" s="706"/>
      <c r="B16" s="577" t="s">
        <v>195</v>
      </c>
      <c r="C16" s="706"/>
    </row>
    <row r="17" spans="1:3" ht="15.75" x14ac:dyDescent="0.25">
      <c r="A17" s="706"/>
      <c r="B17" s="577" t="s">
        <v>620</v>
      </c>
      <c r="C17" s="706"/>
    </row>
    <row r="18" spans="1:3" ht="15.75" x14ac:dyDescent="0.25">
      <c r="A18" s="706"/>
      <c r="B18" s="577" t="s">
        <v>619</v>
      </c>
      <c r="C18" s="706"/>
    </row>
    <row r="19" spans="1:3" ht="15.75" x14ac:dyDescent="0.25">
      <c r="A19" s="706"/>
      <c r="B19" s="577" t="s">
        <v>618</v>
      </c>
      <c r="C19" s="706"/>
    </row>
    <row r="20" spans="1:3" ht="15" customHeight="1" x14ac:dyDescent="0.25">
      <c r="A20" s="706"/>
      <c r="B20" s="578" t="s">
        <v>572</v>
      </c>
      <c r="C20" s="706"/>
    </row>
    <row r="21" spans="1:3" ht="15.75" x14ac:dyDescent="0.25">
      <c r="A21" s="706"/>
      <c r="B21" s="578" t="s">
        <v>571</v>
      </c>
      <c r="C21" s="706"/>
    </row>
    <row r="22" spans="1:3" x14ac:dyDescent="0.2">
      <c r="A22" s="706"/>
      <c r="B22" s="571"/>
      <c r="C22" s="706"/>
    </row>
    <row r="23" spans="1:3" ht="15.75" x14ac:dyDescent="0.25">
      <c r="A23" s="706"/>
      <c r="B23" s="579" t="s">
        <v>268</v>
      </c>
      <c r="C23" s="706"/>
    </row>
    <row r="24" spans="1:3" ht="15.75" x14ac:dyDescent="0.25">
      <c r="A24" s="706"/>
      <c r="B24" s="580" t="s">
        <v>573</v>
      </c>
      <c r="C24" s="706"/>
    </row>
    <row r="25" spans="1:3" ht="15.75" x14ac:dyDescent="0.25">
      <c r="A25" s="706"/>
      <c r="B25" s="580" t="s">
        <v>574</v>
      </c>
      <c r="C25" s="706"/>
    </row>
    <row r="26" spans="1:3" ht="15.75" x14ac:dyDescent="0.25">
      <c r="A26" s="706"/>
      <c r="B26" s="581" t="s">
        <v>575</v>
      </c>
      <c r="C26" s="706"/>
    </row>
    <row r="27" spans="1:3" ht="15.75" x14ac:dyDescent="0.25">
      <c r="A27" s="706"/>
      <c r="B27" s="582"/>
      <c r="C27" s="706"/>
    </row>
    <row r="28" spans="1:3" ht="16.5" customHeight="1" x14ac:dyDescent="0.25">
      <c r="A28" s="706"/>
      <c r="B28" s="582" t="s">
        <v>233</v>
      </c>
      <c r="C28" s="706"/>
    </row>
    <row r="29" spans="1:3" ht="15.75" x14ac:dyDescent="0.25">
      <c r="A29" s="706"/>
      <c r="B29" s="578" t="s">
        <v>234</v>
      </c>
      <c r="C29" s="706"/>
    </row>
    <row r="30" spans="1:3" ht="15.75" x14ac:dyDescent="0.25">
      <c r="A30" s="706"/>
      <c r="B30" s="578"/>
      <c r="C30" s="706"/>
    </row>
    <row r="31" spans="1:3" ht="15.75" x14ac:dyDescent="0.25">
      <c r="A31" s="706"/>
      <c r="B31" s="579" t="s">
        <v>269</v>
      </c>
      <c r="C31" s="706"/>
    </row>
    <row r="32" spans="1:3" ht="15.75" x14ac:dyDescent="0.25">
      <c r="A32" s="706"/>
      <c r="B32" s="579" t="s">
        <v>570</v>
      </c>
      <c r="C32" s="706"/>
    </row>
    <row r="33" spans="1:3" ht="15.75" x14ac:dyDescent="0.25">
      <c r="A33" s="706"/>
      <c r="B33" s="579" t="s">
        <v>270</v>
      </c>
      <c r="C33" s="706"/>
    </row>
    <row r="34" spans="1:3" ht="15.75" x14ac:dyDescent="0.25">
      <c r="A34" s="706"/>
      <c r="B34" s="579" t="s">
        <v>271</v>
      </c>
      <c r="C34" s="706"/>
    </row>
    <row r="35" spans="1:3" ht="15.75" x14ac:dyDescent="0.25">
      <c r="A35" s="706"/>
      <c r="B35" s="624" t="s">
        <v>272</v>
      </c>
      <c r="C35" s="706"/>
    </row>
    <row r="36" spans="1:3" x14ac:dyDescent="0.2">
      <c r="A36" s="706"/>
      <c r="B36" s="583"/>
      <c r="C36" s="706"/>
    </row>
    <row r="37" spans="1:3" ht="18.75" x14ac:dyDescent="0.25">
      <c r="A37" s="706"/>
      <c r="B37" s="578" t="s">
        <v>359</v>
      </c>
      <c r="C37" s="706"/>
    </row>
    <row r="38" spans="1:3" ht="15.75" x14ac:dyDescent="0.25">
      <c r="A38" s="706"/>
      <c r="B38" s="578" t="s">
        <v>642</v>
      </c>
      <c r="C38" s="706"/>
    </row>
    <row r="39" spans="1:3" ht="15.75" x14ac:dyDescent="0.25">
      <c r="A39" s="706"/>
      <c r="B39" s="578"/>
      <c r="C39" s="706"/>
    </row>
    <row r="40" spans="1:3" ht="15.75" x14ac:dyDescent="0.25">
      <c r="A40" s="706"/>
      <c r="B40" s="580" t="s">
        <v>647</v>
      </c>
      <c r="C40" s="706"/>
    </row>
    <row r="41" spans="1:3" ht="15.75" x14ac:dyDescent="0.2">
      <c r="A41" s="706"/>
      <c r="B41" s="705" t="s">
        <v>643</v>
      </c>
      <c r="C41" s="706"/>
    </row>
    <row r="42" spans="1:3" ht="15.75" x14ac:dyDescent="0.2">
      <c r="A42" s="706"/>
      <c r="B42" s="705" t="s">
        <v>644</v>
      </c>
      <c r="C42" s="706"/>
    </row>
    <row r="43" spans="1:3" ht="15.75" x14ac:dyDescent="0.2">
      <c r="A43" s="706"/>
      <c r="B43" s="705" t="s">
        <v>645</v>
      </c>
      <c r="C43" s="706"/>
    </row>
    <row r="44" spans="1:3" ht="15.75" x14ac:dyDescent="0.2">
      <c r="A44" s="706"/>
      <c r="B44" s="704" t="s">
        <v>646</v>
      </c>
      <c r="C44" s="706"/>
    </row>
    <row r="45" spans="1:3" x14ac:dyDescent="0.2">
      <c r="A45" s="706"/>
      <c r="B45" s="571"/>
      <c r="C45" s="706"/>
    </row>
    <row r="46" spans="1:3" x14ac:dyDescent="0.2">
      <c r="A46" s="706"/>
      <c r="B46" s="571"/>
      <c r="C46" s="706"/>
    </row>
    <row r="47" spans="1:3" x14ac:dyDescent="0.2">
      <c r="A47" s="706"/>
      <c r="B47" s="571"/>
      <c r="C47" s="706"/>
    </row>
    <row r="48" spans="1:3" x14ac:dyDescent="0.2">
      <c r="A48" s="706"/>
      <c r="B48" s="571"/>
      <c r="C48" s="706"/>
    </row>
    <row r="49" spans="1:3" x14ac:dyDescent="0.2">
      <c r="A49" s="706"/>
      <c r="B49" s="571"/>
      <c r="C49" s="706"/>
    </row>
    <row r="50" spans="1:3" x14ac:dyDescent="0.2">
      <c r="A50" s="706"/>
      <c r="B50" s="571"/>
      <c r="C50" s="706"/>
    </row>
    <row r="51" spans="1:3" x14ac:dyDescent="0.2">
      <c r="A51" s="706"/>
      <c r="B51" s="571"/>
      <c r="C51" s="706"/>
    </row>
    <row r="52" spans="1:3" x14ac:dyDescent="0.2">
      <c r="A52" s="706"/>
      <c r="B52" s="571"/>
      <c r="C52" s="706"/>
    </row>
    <row r="53" spans="1:3" x14ac:dyDescent="0.2">
      <c r="A53" s="706"/>
      <c r="B53" s="571"/>
      <c r="C53" s="706"/>
    </row>
    <row r="54" spans="1:3" x14ac:dyDescent="0.2">
      <c r="A54" s="706"/>
      <c r="B54" s="571"/>
      <c r="C54" s="706"/>
    </row>
    <row r="55" spans="1:3" x14ac:dyDescent="0.2">
      <c r="A55" s="706"/>
      <c r="B55" s="571"/>
      <c r="C55" s="706"/>
    </row>
    <row r="56" spans="1:3" x14ac:dyDescent="0.2">
      <c r="A56" s="706"/>
      <c r="B56" s="571"/>
      <c r="C56" s="706"/>
    </row>
    <row r="57" spans="1:3" x14ac:dyDescent="0.2">
      <c r="A57" s="706"/>
      <c r="C57" s="706"/>
    </row>
    <row r="58" spans="1:3" x14ac:dyDescent="0.2">
      <c r="A58" s="451"/>
      <c r="B58" s="451"/>
      <c r="C58" s="451"/>
    </row>
    <row r="59" spans="1:3" x14ac:dyDescent="0.2">
      <c r="A59" s="451"/>
      <c r="B59" s="451"/>
      <c r="C59" s="451"/>
    </row>
    <row r="60" spans="1:3" x14ac:dyDescent="0.2">
      <c r="A60" s="451"/>
      <c r="B60" s="451"/>
      <c r="C60" s="451"/>
    </row>
    <row r="61" spans="1:3" x14ac:dyDescent="0.2">
      <c r="A61" s="451"/>
      <c r="B61" s="451"/>
      <c r="C61" s="451"/>
    </row>
    <row r="62" spans="1:3" x14ac:dyDescent="0.2">
      <c r="A62" s="451"/>
      <c r="B62" s="451"/>
      <c r="C62" s="451"/>
    </row>
    <row r="63" spans="1:3" x14ac:dyDescent="0.2">
      <c r="A63" s="451"/>
      <c r="B63" s="451"/>
      <c r="C63" s="451"/>
    </row>
    <row r="64" spans="1:3" x14ac:dyDescent="0.2">
      <c r="A64" s="451"/>
      <c r="B64" s="451"/>
      <c r="C64" s="451"/>
    </row>
    <row r="65" spans="1:3" x14ac:dyDescent="0.2">
      <c r="A65" s="451"/>
      <c r="B65" s="451"/>
      <c r="C65" s="451"/>
    </row>
    <row r="66" spans="1:3" x14ac:dyDescent="0.2">
      <c r="A66" s="451"/>
      <c r="B66" s="451"/>
      <c r="C66" s="451"/>
    </row>
    <row r="67" spans="1:3" x14ac:dyDescent="0.2">
      <c r="A67" s="451"/>
      <c r="B67" s="451"/>
      <c r="C67" s="451"/>
    </row>
    <row r="68" spans="1:3" x14ac:dyDescent="0.2">
      <c r="A68" s="451"/>
      <c r="B68" s="451"/>
      <c r="C68" s="451"/>
    </row>
    <row r="69" spans="1:3" x14ac:dyDescent="0.2">
      <c r="A69" s="451"/>
      <c r="B69" s="451"/>
      <c r="C69" s="451"/>
    </row>
    <row r="70" spans="1:3" x14ac:dyDescent="0.2">
      <c r="A70" s="451"/>
      <c r="B70" s="451"/>
      <c r="C70" s="451"/>
    </row>
    <row r="71" spans="1:3" x14ac:dyDescent="0.2">
      <c r="A71" s="451"/>
      <c r="B71" s="451"/>
      <c r="C71" s="451"/>
    </row>
  </sheetData>
  <sheetProtection password="DFD3" sheet="1" objects="1" scenarios="1"/>
  <phoneticPr fontId="0" type="noConversion"/>
  <pageMargins left="0.75" right="0.75" top="1" bottom="1" header="0.5" footer="0.5"/>
  <pageSetup orientation="portrait" horizontalDpi="4294967293"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D45"/>
  <sheetViews>
    <sheetView tabSelected="1" zoomScaleNormal="100" workbookViewId="0">
      <selection activeCell="M2" sqref="M2"/>
    </sheetView>
  </sheetViews>
  <sheetFormatPr defaultRowHeight="12.75" x14ac:dyDescent="0.2"/>
  <cols>
    <col min="1" max="1" width="206" style="462" customWidth="1"/>
    <col min="2" max="2" width="12.140625" customWidth="1"/>
    <col min="3" max="3" width="19.5703125" customWidth="1"/>
    <col min="4" max="19" width="9.140625" style="131"/>
  </cols>
  <sheetData>
    <row r="1" spans="1:30" x14ac:dyDescent="0.2">
      <c r="A1" s="451"/>
      <c r="B1" s="95"/>
      <c r="C1" s="95"/>
    </row>
    <row r="2" spans="1:30" ht="19.5" customHeight="1" x14ac:dyDescent="0.4">
      <c r="A2" s="584"/>
      <c r="B2" s="95"/>
      <c r="C2" s="95"/>
      <c r="I2" s="587"/>
      <c r="AD2" t="s">
        <v>361</v>
      </c>
    </row>
    <row r="3" spans="1:30" ht="60" x14ac:dyDescent="0.8">
      <c r="A3" s="585" t="s">
        <v>294</v>
      </c>
      <c r="B3" s="95"/>
      <c r="C3" s="157"/>
      <c r="D3" s="588"/>
      <c r="G3" s="589"/>
    </row>
    <row r="4" spans="1:30" ht="26.25" x14ac:dyDescent="0.4">
      <c r="A4" s="586" t="s">
        <v>162</v>
      </c>
      <c r="B4" s="95"/>
      <c r="C4" s="95"/>
      <c r="E4" s="590"/>
      <c r="F4" s="590"/>
    </row>
    <row r="5" spans="1:30" x14ac:dyDescent="0.2">
      <c r="A5" s="451"/>
      <c r="B5" s="95"/>
      <c r="C5" s="95"/>
    </row>
    <row r="6" spans="1:30" x14ac:dyDescent="0.2">
      <c r="A6" s="451"/>
      <c r="B6" s="95"/>
      <c r="C6" s="95"/>
    </row>
    <row r="7" spans="1:30" x14ac:dyDescent="0.2">
      <c r="A7" s="451"/>
      <c r="B7" s="95"/>
      <c r="C7" s="95"/>
    </row>
    <row r="8" spans="1:30" x14ac:dyDescent="0.2">
      <c r="A8" s="451"/>
      <c r="B8" s="95"/>
      <c r="C8" s="95"/>
    </row>
    <row r="9" spans="1:30" x14ac:dyDescent="0.2">
      <c r="A9" s="451"/>
      <c r="B9" s="95"/>
      <c r="C9" s="95"/>
    </row>
    <row r="10" spans="1:30" x14ac:dyDescent="0.2">
      <c r="A10" s="451"/>
      <c r="B10" s="95"/>
      <c r="C10" s="95"/>
    </row>
    <row r="11" spans="1:30" x14ac:dyDescent="0.2">
      <c r="A11" s="451"/>
      <c r="B11" s="95"/>
      <c r="C11" s="95"/>
    </row>
    <row r="12" spans="1:30" x14ac:dyDescent="0.2">
      <c r="A12" s="451"/>
      <c r="B12" s="95"/>
      <c r="C12" s="95"/>
    </row>
    <row r="13" spans="1:30" x14ac:dyDescent="0.2">
      <c r="A13" s="451"/>
      <c r="B13" s="95"/>
      <c r="C13" s="95"/>
    </row>
    <row r="14" spans="1:30" x14ac:dyDescent="0.2">
      <c r="A14" s="451"/>
      <c r="B14" s="95"/>
      <c r="C14" s="95"/>
    </row>
    <row r="15" spans="1:30" x14ac:dyDescent="0.2">
      <c r="A15" s="451"/>
      <c r="B15" s="95"/>
      <c r="C15" s="95"/>
    </row>
    <row r="16" spans="1:30" x14ac:dyDescent="0.2">
      <c r="A16" s="451"/>
      <c r="B16" s="95"/>
      <c r="C16" s="95"/>
    </row>
    <row r="17" spans="1:3" x14ac:dyDescent="0.2">
      <c r="A17" s="451"/>
      <c r="B17" s="95"/>
      <c r="C17" s="95"/>
    </row>
    <row r="18" spans="1:3" x14ac:dyDescent="0.2">
      <c r="A18" s="451"/>
      <c r="B18" s="95"/>
      <c r="C18" s="95"/>
    </row>
    <row r="19" spans="1:3" x14ac:dyDescent="0.2">
      <c r="A19" s="451"/>
      <c r="B19" s="95"/>
      <c r="C19" s="95"/>
    </row>
    <row r="20" spans="1:3" x14ac:dyDescent="0.2">
      <c r="A20" s="451"/>
      <c r="B20" s="95"/>
      <c r="C20" s="95"/>
    </row>
    <row r="21" spans="1:3" x14ac:dyDescent="0.2">
      <c r="A21" s="451"/>
      <c r="B21" s="95"/>
      <c r="C21" s="95"/>
    </row>
    <row r="22" spans="1:3" x14ac:dyDescent="0.2">
      <c r="A22" s="451"/>
      <c r="B22" s="95"/>
      <c r="C22" s="95"/>
    </row>
    <row r="23" spans="1:3" x14ac:dyDescent="0.2">
      <c r="A23" s="451"/>
      <c r="B23" s="95"/>
      <c r="C23" s="95"/>
    </row>
    <row r="24" spans="1:3" x14ac:dyDescent="0.2">
      <c r="A24" s="451"/>
      <c r="B24" s="95"/>
      <c r="C24" s="95"/>
    </row>
    <row r="25" spans="1:3" x14ac:dyDescent="0.2">
      <c r="A25" s="451"/>
      <c r="B25" s="95"/>
      <c r="C25" s="95"/>
    </row>
    <row r="26" spans="1:3" x14ac:dyDescent="0.2">
      <c r="A26" s="451"/>
      <c r="B26" s="95"/>
      <c r="C26" s="95"/>
    </row>
    <row r="27" spans="1:3" x14ac:dyDescent="0.2">
      <c r="A27" s="451"/>
      <c r="B27" s="95"/>
      <c r="C27" s="95"/>
    </row>
    <row r="28" spans="1:3" x14ac:dyDescent="0.2">
      <c r="A28" s="451"/>
      <c r="B28" s="95"/>
      <c r="C28" s="95"/>
    </row>
    <row r="29" spans="1:3" x14ac:dyDescent="0.2">
      <c r="A29" s="451"/>
      <c r="B29" s="95"/>
      <c r="C29" s="95"/>
    </row>
    <row r="30" spans="1:3" x14ac:dyDescent="0.2">
      <c r="A30" s="451"/>
      <c r="B30" s="95"/>
      <c r="C30" s="95"/>
    </row>
    <row r="31" spans="1:3" x14ac:dyDescent="0.2">
      <c r="A31" s="451"/>
      <c r="B31" s="95"/>
      <c r="C31" s="95"/>
    </row>
    <row r="32" spans="1:3" x14ac:dyDescent="0.2">
      <c r="A32" s="451"/>
      <c r="B32" s="95"/>
      <c r="C32" s="95"/>
    </row>
    <row r="33" spans="1:3" x14ac:dyDescent="0.2">
      <c r="A33" s="451"/>
      <c r="B33" s="95"/>
      <c r="C33" s="95"/>
    </row>
    <row r="34" spans="1:3" x14ac:dyDescent="0.2">
      <c r="A34" s="451"/>
      <c r="B34" s="95"/>
      <c r="C34" s="95"/>
    </row>
    <row r="35" spans="1:3" x14ac:dyDescent="0.2">
      <c r="A35" s="451"/>
      <c r="B35" s="95"/>
      <c r="C35" s="95"/>
    </row>
    <row r="36" spans="1:3" x14ac:dyDescent="0.2">
      <c r="A36" s="451"/>
      <c r="B36" s="95"/>
      <c r="C36" s="95"/>
    </row>
    <row r="37" spans="1:3" x14ac:dyDescent="0.2">
      <c r="A37" s="451"/>
      <c r="B37" s="95"/>
      <c r="C37" s="95"/>
    </row>
    <row r="38" spans="1:3" x14ac:dyDescent="0.2">
      <c r="A38" s="451"/>
      <c r="B38" s="95"/>
      <c r="C38" s="95"/>
    </row>
    <row r="39" spans="1:3" x14ac:dyDescent="0.2">
      <c r="A39" s="451"/>
      <c r="B39" s="95"/>
      <c r="C39" s="95"/>
    </row>
    <row r="40" spans="1:3" x14ac:dyDescent="0.2">
      <c r="A40" s="451"/>
      <c r="B40" s="95"/>
      <c r="C40" s="95"/>
    </row>
    <row r="41" spans="1:3" x14ac:dyDescent="0.2">
      <c r="A41" s="451"/>
      <c r="B41" s="95"/>
      <c r="C41" s="95"/>
    </row>
    <row r="42" spans="1:3" x14ac:dyDescent="0.2">
      <c r="A42" s="451"/>
      <c r="B42" s="95"/>
      <c r="C42" s="95"/>
    </row>
    <row r="43" spans="1:3" x14ac:dyDescent="0.2">
      <c r="A43" s="451"/>
      <c r="B43" s="95"/>
      <c r="C43" s="95"/>
    </row>
    <row r="44" spans="1:3" x14ac:dyDescent="0.2">
      <c r="A44" s="451"/>
      <c r="B44" s="95"/>
      <c r="C44" s="95"/>
    </row>
    <row r="45" spans="1:3" x14ac:dyDescent="0.2">
      <c r="A45" s="451"/>
      <c r="B45" s="95"/>
      <c r="C45" s="95"/>
    </row>
  </sheetData>
  <sheetProtection password="DFD3" sheet="1" objects="1" scenarios="1"/>
  <customSheetViews>
    <customSheetView guid="{55B80D82-F000-11D6-8735-C8E5A357943D}" showRuler="0">
      <selection activeCell="F24" sqref="F24"/>
      <pageMargins left="0.75" right="0.75" top="1" bottom="1" header="0.5" footer="0.5"/>
      <pageSetup orientation="portrait" horizontalDpi="0" verticalDpi="0" copies="0" r:id="rId1"/>
      <headerFooter alignWithMargins="0"/>
    </customSheetView>
  </customSheetViews>
  <phoneticPr fontId="0" type="noConversion"/>
  <pageMargins left="0.75" right="0.75" top="1" bottom="1" header="0.5" footer="0.5"/>
  <pageSetup orientation="portrait" horizontalDpi="4294967293"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9" r:id="rId5" name="Button 5">
              <controlPr defaultSize="0" print="0" autoFill="0" autoPict="0" macro="[0]!Start">
                <anchor moveWithCells="1" sizeWithCells="1">
                  <from>
                    <xdr:col>0</xdr:col>
                    <xdr:colOff>5676900</xdr:colOff>
                    <xdr:row>22</xdr:row>
                    <xdr:rowOff>133350</xdr:rowOff>
                  </from>
                  <to>
                    <xdr:col>0</xdr:col>
                    <xdr:colOff>7324725</xdr:colOff>
                    <xdr:row>25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83"/>
  <sheetViews>
    <sheetView workbookViewId="0">
      <selection activeCell="D1" sqref="D1"/>
    </sheetView>
  </sheetViews>
  <sheetFormatPr defaultRowHeight="12.75" x14ac:dyDescent="0.2"/>
  <cols>
    <col min="1" max="1" width="34.42578125" style="707" customWidth="1"/>
    <col min="2" max="2" width="140.7109375" customWidth="1"/>
    <col min="3" max="3" width="56.5703125" customWidth="1"/>
  </cols>
  <sheetData>
    <row r="1" spans="1:3" x14ac:dyDescent="0.2">
      <c r="A1" s="451"/>
      <c r="B1" s="38"/>
      <c r="C1" s="451"/>
    </row>
    <row r="2" spans="1:3" ht="23.25" x14ac:dyDescent="0.35">
      <c r="A2" s="451"/>
      <c r="B2" s="163" t="s">
        <v>360</v>
      </c>
      <c r="C2" s="451"/>
    </row>
    <row r="3" spans="1:3" x14ac:dyDescent="0.2">
      <c r="A3" s="451"/>
      <c r="B3" s="38"/>
      <c r="C3" s="451"/>
    </row>
    <row r="4" spans="1:3" ht="23.25" x14ac:dyDescent="0.35">
      <c r="A4" s="451"/>
      <c r="B4" s="163" t="s">
        <v>170</v>
      </c>
      <c r="C4" s="451"/>
    </row>
    <row r="5" spans="1:3" ht="23.25" x14ac:dyDescent="0.35">
      <c r="A5" s="451"/>
      <c r="B5" s="163"/>
      <c r="C5" s="451"/>
    </row>
    <row r="6" spans="1:3" ht="20.25" x14ac:dyDescent="0.3">
      <c r="A6" s="451"/>
      <c r="B6" s="164" t="s">
        <v>169</v>
      </c>
      <c r="C6" s="451"/>
    </row>
    <row r="7" spans="1:3" x14ac:dyDescent="0.2">
      <c r="A7" s="451"/>
      <c r="B7" s="38"/>
      <c r="C7" s="451"/>
    </row>
    <row r="8" spans="1:3" x14ac:dyDescent="0.2">
      <c r="A8" s="706"/>
      <c r="B8" s="571"/>
      <c r="C8" s="706"/>
    </row>
    <row r="9" spans="1:3" x14ac:dyDescent="0.2">
      <c r="A9" s="706"/>
      <c r="B9" s="599" t="s">
        <v>176</v>
      </c>
      <c r="C9" s="706"/>
    </row>
    <row r="10" spans="1:3" x14ac:dyDescent="0.2">
      <c r="A10" s="706"/>
      <c r="B10" s="600" t="s">
        <v>177</v>
      </c>
      <c r="C10" s="706"/>
    </row>
    <row r="11" spans="1:3" x14ac:dyDescent="0.2">
      <c r="A11" s="706"/>
      <c r="B11" s="600"/>
      <c r="C11" s="706"/>
    </row>
    <row r="12" spans="1:3" x14ac:dyDescent="0.2">
      <c r="A12" s="706"/>
      <c r="B12" s="599" t="s">
        <v>207</v>
      </c>
      <c r="C12" s="706"/>
    </row>
    <row r="13" spans="1:3" x14ac:dyDescent="0.2">
      <c r="A13" s="706"/>
      <c r="B13" s="599" t="s">
        <v>174</v>
      </c>
      <c r="C13" s="706"/>
    </row>
    <row r="14" spans="1:3" x14ac:dyDescent="0.2">
      <c r="A14" s="706"/>
      <c r="B14" s="601" t="s">
        <v>196</v>
      </c>
      <c r="C14" s="706"/>
    </row>
    <row r="15" spans="1:3" x14ac:dyDescent="0.2">
      <c r="A15" s="706"/>
      <c r="B15" s="602" t="s">
        <v>197</v>
      </c>
      <c r="C15" s="706"/>
    </row>
    <row r="16" spans="1:3" x14ac:dyDescent="0.2">
      <c r="A16" s="706"/>
      <c r="B16" s="602" t="s">
        <v>173</v>
      </c>
      <c r="C16" s="706"/>
    </row>
    <row r="17" spans="1:3" x14ac:dyDescent="0.2">
      <c r="A17" s="706"/>
      <c r="B17" s="602"/>
      <c r="C17" s="706"/>
    </row>
    <row r="18" spans="1:3" x14ac:dyDescent="0.2">
      <c r="A18" s="706"/>
      <c r="B18" s="599" t="s">
        <v>172</v>
      </c>
      <c r="C18" s="706"/>
    </row>
    <row r="19" spans="1:3" x14ac:dyDescent="0.2">
      <c r="A19" s="706"/>
      <c r="B19" s="600" t="s">
        <v>178</v>
      </c>
      <c r="C19" s="706"/>
    </row>
    <row r="20" spans="1:3" x14ac:dyDescent="0.2">
      <c r="A20" s="706"/>
      <c r="B20" s="600" t="s">
        <v>183</v>
      </c>
      <c r="C20" s="706"/>
    </row>
    <row r="21" spans="1:3" x14ac:dyDescent="0.2">
      <c r="A21" s="706"/>
      <c r="B21" s="600" t="s">
        <v>193</v>
      </c>
      <c r="C21" s="706"/>
    </row>
    <row r="22" spans="1:3" x14ac:dyDescent="0.2">
      <c r="A22" s="706"/>
      <c r="B22" s="600" t="s">
        <v>192</v>
      </c>
      <c r="C22" s="706"/>
    </row>
    <row r="23" spans="1:3" x14ac:dyDescent="0.2">
      <c r="A23" s="706"/>
      <c r="B23" s="600"/>
      <c r="C23" s="706"/>
    </row>
    <row r="24" spans="1:3" x14ac:dyDescent="0.2">
      <c r="A24" s="706"/>
      <c r="B24" s="599" t="s">
        <v>188</v>
      </c>
      <c r="C24" s="706"/>
    </row>
    <row r="25" spans="1:3" x14ac:dyDescent="0.2">
      <c r="A25" s="706"/>
      <c r="B25" s="600" t="s">
        <v>179</v>
      </c>
      <c r="C25" s="706"/>
    </row>
    <row r="26" spans="1:3" x14ac:dyDescent="0.2">
      <c r="A26" s="706"/>
      <c r="B26" s="600" t="s">
        <v>180</v>
      </c>
      <c r="C26" s="706"/>
    </row>
    <row r="27" spans="1:3" x14ac:dyDescent="0.2">
      <c r="A27" s="706"/>
      <c r="B27" s="600" t="s">
        <v>181</v>
      </c>
      <c r="C27" s="706"/>
    </row>
    <row r="28" spans="1:3" x14ac:dyDescent="0.2">
      <c r="A28" s="706"/>
      <c r="B28" s="600"/>
      <c r="C28" s="706"/>
    </row>
    <row r="29" spans="1:3" x14ac:dyDescent="0.2">
      <c r="A29" s="706"/>
      <c r="B29" s="599" t="s">
        <v>189</v>
      </c>
      <c r="C29" s="706"/>
    </row>
    <row r="30" spans="1:3" x14ac:dyDescent="0.2">
      <c r="A30" s="706"/>
      <c r="B30" s="600" t="s">
        <v>190</v>
      </c>
      <c r="C30" s="706"/>
    </row>
    <row r="31" spans="1:3" x14ac:dyDescent="0.2">
      <c r="A31" s="706"/>
      <c r="B31" s="600" t="s">
        <v>182</v>
      </c>
      <c r="C31" s="706"/>
    </row>
    <row r="32" spans="1:3" x14ac:dyDescent="0.2">
      <c r="A32" s="706"/>
      <c r="B32" s="600"/>
      <c r="C32" s="706"/>
    </row>
    <row r="33" spans="1:3" x14ac:dyDescent="0.2">
      <c r="A33" s="706"/>
      <c r="B33" s="599" t="s">
        <v>184</v>
      </c>
      <c r="C33" s="706"/>
    </row>
    <row r="34" spans="1:3" x14ac:dyDescent="0.2">
      <c r="A34" s="706"/>
      <c r="B34" s="600" t="s">
        <v>185</v>
      </c>
      <c r="C34" s="706"/>
    </row>
    <row r="35" spans="1:3" x14ac:dyDescent="0.2">
      <c r="A35" s="706"/>
      <c r="B35" s="600" t="s">
        <v>186</v>
      </c>
      <c r="C35" s="706"/>
    </row>
    <row r="36" spans="1:3" x14ac:dyDescent="0.2">
      <c r="A36" s="706"/>
      <c r="B36" s="600"/>
      <c r="C36" s="706"/>
    </row>
    <row r="37" spans="1:3" x14ac:dyDescent="0.2">
      <c r="A37" s="706"/>
      <c r="B37" s="599" t="s">
        <v>208</v>
      </c>
      <c r="C37" s="706"/>
    </row>
    <row r="38" spans="1:3" x14ac:dyDescent="0.2">
      <c r="A38" s="706"/>
      <c r="B38" s="599" t="s">
        <v>209</v>
      </c>
      <c r="C38" s="706"/>
    </row>
    <row r="39" spans="1:3" x14ac:dyDescent="0.2">
      <c r="A39" s="706"/>
      <c r="B39" s="600" t="s">
        <v>187</v>
      </c>
      <c r="C39" s="706"/>
    </row>
    <row r="40" spans="1:3" x14ac:dyDescent="0.2">
      <c r="A40" s="706"/>
      <c r="B40" s="600" t="s">
        <v>210</v>
      </c>
      <c r="C40" s="706"/>
    </row>
    <row r="41" spans="1:3" x14ac:dyDescent="0.2">
      <c r="A41" s="706"/>
      <c r="B41" s="600" t="s">
        <v>211</v>
      </c>
      <c r="C41" s="706"/>
    </row>
    <row r="42" spans="1:3" x14ac:dyDescent="0.2">
      <c r="A42" s="706"/>
      <c r="B42" s="600"/>
      <c r="C42" s="706"/>
    </row>
    <row r="43" spans="1:3" x14ac:dyDescent="0.2">
      <c r="A43" s="706"/>
      <c r="B43" s="599" t="s">
        <v>212</v>
      </c>
      <c r="C43" s="706"/>
    </row>
    <row r="44" spans="1:3" x14ac:dyDescent="0.2">
      <c r="A44" s="706"/>
      <c r="B44" s="599" t="s">
        <v>209</v>
      </c>
      <c r="C44" s="706"/>
    </row>
    <row r="45" spans="1:3" x14ac:dyDescent="0.2">
      <c r="A45" s="706"/>
      <c r="B45" s="600" t="s">
        <v>213</v>
      </c>
      <c r="C45" s="706"/>
    </row>
    <row r="46" spans="1:3" x14ac:dyDescent="0.2">
      <c r="A46" s="706"/>
      <c r="B46" s="600" t="s">
        <v>214</v>
      </c>
      <c r="C46" s="706"/>
    </row>
    <row r="47" spans="1:3" x14ac:dyDescent="0.2">
      <c r="A47" s="706"/>
      <c r="B47" s="603" t="s">
        <v>215</v>
      </c>
      <c r="C47" s="706"/>
    </row>
    <row r="48" spans="1:3" x14ac:dyDescent="0.2">
      <c r="A48" s="706"/>
      <c r="B48" s="603" t="s">
        <v>216</v>
      </c>
      <c r="C48" s="706"/>
    </row>
    <row r="49" spans="1:3" x14ac:dyDescent="0.2">
      <c r="A49" s="706"/>
      <c r="B49" s="603"/>
      <c r="C49" s="706"/>
    </row>
    <row r="50" spans="1:3" x14ac:dyDescent="0.2">
      <c r="A50" s="706"/>
      <c r="B50" s="599" t="s">
        <v>171</v>
      </c>
      <c r="C50" s="706"/>
    </row>
    <row r="51" spans="1:3" ht="12.75" customHeight="1" x14ac:dyDescent="0.2">
      <c r="A51" s="706"/>
      <c r="B51" s="604" t="s">
        <v>228</v>
      </c>
      <c r="C51" s="706"/>
    </row>
    <row r="52" spans="1:3" ht="12.75" customHeight="1" x14ac:dyDescent="0.2">
      <c r="A52" s="706"/>
      <c r="B52" s="604" t="s">
        <v>229</v>
      </c>
      <c r="C52" s="706"/>
    </row>
    <row r="53" spans="1:3" ht="12.75" customHeight="1" x14ac:dyDescent="0.2">
      <c r="A53" s="706"/>
      <c r="B53" s="604" t="s">
        <v>230</v>
      </c>
      <c r="C53" s="706"/>
    </row>
    <row r="54" spans="1:3" x14ac:dyDescent="0.2">
      <c r="A54" s="706"/>
      <c r="B54" s="604" t="s">
        <v>231</v>
      </c>
      <c r="C54" s="706"/>
    </row>
    <row r="55" spans="1:3" x14ac:dyDescent="0.2">
      <c r="A55" s="706"/>
      <c r="B55" s="600"/>
      <c r="C55" s="706"/>
    </row>
    <row r="56" spans="1:3" x14ac:dyDescent="0.2">
      <c r="A56" s="706"/>
      <c r="B56" s="599" t="s">
        <v>175</v>
      </c>
      <c r="C56" s="706"/>
    </row>
    <row r="57" spans="1:3" x14ac:dyDescent="0.2">
      <c r="A57" s="706"/>
      <c r="B57" s="600" t="s">
        <v>583</v>
      </c>
      <c r="C57" s="706"/>
    </row>
    <row r="58" spans="1:3" x14ac:dyDescent="0.2">
      <c r="A58" s="706"/>
      <c r="B58" s="571"/>
      <c r="C58" s="706"/>
    </row>
    <row r="59" spans="1:3" x14ac:dyDescent="0.2">
      <c r="A59" s="706"/>
      <c r="B59" s="571"/>
      <c r="C59" s="706"/>
    </row>
    <row r="60" spans="1:3" x14ac:dyDescent="0.2">
      <c r="A60" s="706"/>
      <c r="B60" s="571"/>
      <c r="C60" s="706"/>
    </row>
    <row r="61" spans="1:3" x14ac:dyDescent="0.2">
      <c r="A61" s="706"/>
      <c r="B61" s="571"/>
      <c r="C61" s="706"/>
    </row>
    <row r="62" spans="1:3" x14ac:dyDescent="0.2">
      <c r="A62" s="706"/>
      <c r="B62" s="571"/>
      <c r="C62" s="706"/>
    </row>
    <row r="63" spans="1:3" x14ac:dyDescent="0.2">
      <c r="A63" s="706"/>
      <c r="B63" s="571"/>
      <c r="C63" s="706"/>
    </row>
    <row r="64" spans="1:3" x14ac:dyDescent="0.2">
      <c r="A64" s="706"/>
      <c r="B64" s="571"/>
      <c r="C64" s="706"/>
    </row>
    <row r="65" spans="1:3" x14ac:dyDescent="0.2">
      <c r="A65" s="706"/>
      <c r="B65" s="571"/>
      <c r="C65" s="706"/>
    </row>
    <row r="66" spans="1:3" x14ac:dyDescent="0.2">
      <c r="A66" s="706"/>
      <c r="B66" s="571"/>
      <c r="C66" s="706"/>
    </row>
    <row r="67" spans="1:3" x14ac:dyDescent="0.2">
      <c r="A67" s="706"/>
      <c r="C67" s="706"/>
    </row>
    <row r="68" spans="1:3" x14ac:dyDescent="0.2">
      <c r="A68" s="451"/>
      <c r="B68" s="451"/>
      <c r="C68" s="451"/>
    </row>
    <row r="69" spans="1:3" x14ac:dyDescent="0.2">
      <c r="A69" s="451"/>
      <c r="B69" s="451"/>
      <c r="C69" s="451"/>
    </row>
    <row r="70" spans="1:3" x14ac:dyDescent="0.2">
      <c r="A70" s="451"/>
      <c r="B70" s="451"/>
      <c r="C70" s="451"/>
    </row>
    <row r="71" spans="1:3" x14ac:dyDescent="0.2">
      <c r="A71" s="451"/>
      <c r="B71" s="451"/>
      <c r="C71" s="451"/>
    </row>
    <row r="72" spans="1:3" x14ac:dyDescent="0.2">
      <c r="A72" s="451"/>
      <c r="B72" s="451"/>
      <c r="C72" s="451"/>
    </row>
    <row r="73" spans="1:3" x14ac:dyDescent="0.2">
      <c r="A73" s="451"/>
      <c r="B73" s="451"/>
      <c r="C73" s="451"/>
    </row>
    <row r="74" spans="1:3" x14ac:dyDescent="0.2">
      <c r="A74" s="451"/>
      <c r="B74" s="451"/>
      <c r="C74" s="451"/>
    </row>
    <row r="75" spans="1:3" x14ac:dyDescent="0.2">
      <c r="A75" s="451"/>
      <c r="B75" s="451"/>
      <c r="C75" s="451"/>
    </row>
    <row r="76" spans="1:3" x14ac:dyDescent="0.2">
      <c r="A76" s="451"/>
      <c r="B76" s="451"/>
      <c r="C76" s="451"/>
    </row>
    <row r="77" spans="1:3" x14ac:dyDescent="0.2">
      <c r="A77" s="451"/>
      <c r="B77" s="451"/>
      <c r="C77" s="451"/>
    </row>
    <row r="78" spans="1:3" x14ac:dyDescent="0.2">
      <c r="A78" s="451"/>
      <c r="B78" s="451"/>
      <c r="C78" s="451"/>
    </row>
    <row r="79" spans="1:3" x14ac:dyDescent="0.2">
      <c r="A79" s="451"/>
      <c r="B79" s="451"/>
      <c r="C79" s="451"/>
    </row>
    <row r="80" spans="1:3" x14ac:dyDescent="0.2">
      <c r="A80" s="451"/>
      <c r="B80" s="451"/>
      <c r="C80" s="451"/>
    </row>
    <row r="81" spans="1:3" x14ac:dyDescent="0.2">
      <c r="A81" s="451"/>
      <c r="B81" s="451"/>
      <c r="C81" s="451"/>
    </row>
    <row r="82" spans="1:3" x14ac:dyDescent="0.2">
      <c r="A82" s="451"/>
      <c r="B82" s="451"/>
      <c r="C82" s="451"/>
    </row>
    <row r="83" spans="1:3" x14ac:dyDescent="0.2">
      <c r="A83" s="451"/>
      <c r="B83" s="451"/>
      <c r="C83" s="451"/>
    </row>
  </sheetData>
  <sheetProtection password="DFD3" sheet="1" objects="1" scenarios="1"/>
  <phoneticPr fontId="0" type="noConversion"/>
  <pageMargins left="0.75" right="0.75" top="1" bottom="1" header="0.5" footer="0.5"/>
  <pageSetup orientation="portrait" horizontalDpi="4294967293"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F880"/>
  <sheetViews>
    <sheetView workbookViewId="0"/>
  </sheetViews>
  <sheetFormatPr defaultRowHeight="12.75" x14ac:dyDescent="0.2"/>
  <cols>
    <col min="1" max="1" width="58.140625" customWidth="1"/>
    <col min="2" max="2" width="20.28515625" customWidth="1"/>
    <col min="3" max="3" width="12" customWidth="1"/>
    <col min="4" max="4" width="12.5703125" style="462" customWidth="1"/>
    <col min="5" max="5" width="10.85546875" customWidth="1"/>
    <col min="6" max="6" width="11.42578125" customWidth="1"/>
    <col min="7" max="7" width="6.7109375" customWidth="1"/>
    <col min="8" max="8" width="8.28515625" style="131" customWidth="1"/>
    <col min="9" max="9" width="12.140625" style="131" bestFit="1" customWidth="1"/>
    <col min="10" max="10" width="12.140625" style="131" customWidth="1"/>
    <col min="11" max="13" width="9.140625" style="131"/>
    <col min="14" max="14" width="10.140625" style="131" bestFit="1" customWidth="1"/>
    <col min="15" max="15" width="9.140625" style="131"/>
    <col min="16" max="16" width="24" customWidth="1"/>
    <col min="17" max="17" width="16.140625" customWidth="1"/>
    <col min="25" max="25" width="39.7109375" customWidth="1"/>
    <col min="26" max="26" width="18.42578125" customWidth="1"/>
    <col min="27" max="27" width="15.140625" customWidth="1"/>
    <col min="28" max="28" width="14" customWidth="1"/>
    <col min="29" max="29" width="11.140625" customWidth="1"/>
    <col min="30" max="30" width="10.5703125" customWidth="1"/>
  </cols>
  <sheetData>
    <row r="1" spans="1:21" ht="18" x14ac:dyDescent="0.25">
      <c r="A1" s="114" t="s">
        <v>293</v>
      </c>
      <c r="B1" s="95"/>
      <c r="C1" s="95"/>
      <c r="D1" s="95"/>
      <c r="E1" s="95"/>
      <c r="F1" s="95"/>
      <c r="G1" s="95"/>
      <c r="H1" s="95"/>
      <c r="I1" s="95"/>
      <c r="J1" s="95"/>
      <c r="K1" s="95"/>
      <c r="L1" s="95"/>
      <c r="M1" s="95"/>
      <c r="N1" s="95"/>
      <c r="O1" s="95"/>
    </row>
    <row r="2" spans="1:21" ht="21.75" customHeight="1" x14ac:dyDescent="0.2">
      <c r="A2" s="212" t="s">
        <v>217</v>
      </c>
      <c r="B2" s="95"/>
      <c r="C2" s="95"/>
      <c r="D2" s="95"/>
      <c r="E2" s="95"/>
      <c r="F2" s="95"/>
      <c r="G2" s="95"/>
      <c r="H2" s="95"/>
      <c r="I2" s="95"/>
      <c r="J2" s="95"/>
      <c r="K2" s="95"/>
      <c r="L2" s="95"/>
      <c r="M2" s="95"/>
      <c r="N2" s="95"/>
      <c r="O2" s="95"/>
    </row>
    <row r="3" spans="1:21" ht="13.5" customHeight="1" x14ac:dyDescent="0.2">
      <c r="A3" s="212"/>
      <c r="B3" s="95"/>
      <c r="C3" s="95"/>
      <c r="D3" s="95"/>
      <c r="E3" s="95"/>
      <c r="F3" s="95"/>
      <c r="G3" s="95"/>
      <c r="H3" s="95"/>
      <c r="I3" s="95"/>
      <c r="J3" s="95"/>
      <c r="K3" s="95"/>
      <c r="L3" s="95"/>
      <c r="M3" s="95"/>
      <c r="N3" s="95"/>
      <c r="O3" s="95"/>
    </row>
    <row r="4" spans="1:21" ht="21" customHeight="1" x14ac:dyDescent="0.2">
      <c r="A4" s="732" t="s">
        <v>218</v>
      </c>
      <c r="B4" s="733"/>
      <c r="C4" s="733"/>
      <c r="D4" s="733"/>
      <c r="E4" s="733"/>
      <c r="F4" s="733"/>
      <c r="G4" s="733"/>
      <c r="H4" s="733"/>
      <c r="I4" s="95"/>
      <c r="J4" s="95"/>
      <c r="K4" s="95"/>
      <c r="L4" s="95"/>
      <c r="M4" s="95"/>
      <c r="N4" s="95"/>
      <c r="O4" s="95"/>
    </row>
    <row r="5" spans="1:21" ht="32.25" customHeight="1" x14ac:dyDescent="0.2">
      <c r="A5" s="732" t="s">
        <v>235</v>
      </c>
      <c r="B5" s="733"/>
      <c r="C5" s="733"/>
      <c r="D5" s="733"/>
      <c r="E5" s="733"/>
      <c r="F5" s="733"/>
      <c r="G5" s="733"/>
      <c r="H5" s="733"/>
      <c r="I5" s="95"/>
      <c r="J5" s="95"/>
      <c r="K5" s="95"/>
      <c r="L5" s="95"/>
      <c r="M5" s="95"/>
      <c r="N5" s="95"/>
      <c r="O5" s="95"/>
    </row>
    <row r="6" spans="1:21" ht="14.25" customHeight="1" x14ac:dyDescent="0.2">
      <c r="A6" s="738" t="s">
        <v>492</v>
      </c>
      <c r="B6" s="739"/>
      <c r="C6" s="739"/>
      <c r="D6" s="739"/>
      <c r="E6" s="739"/>
      <c r="F6" s="739"/>
      <c r="G6" s="739"/>
      <c r="H6" s="571"/>
      <c r="I6" s="95"/>
      <c r="J6" s="95"/>
      <c r="K6" s="95"/>
      <c r="L6" s="95"/>
      <c r="M6" s="95"/>
      <c r="N6" s="95"/>
      <c r="O6" s="95"/>
    </row>
    <row r="7" spans="1:21" s="439" customFormat="1" ht="18" customHeight="1" x14ac:dyDescent="0.2">
      <c r="A7" s="572" t="s">
        <v>627</v>
      </c>
      <c r="B7" s="571"/>
      <c r="C7" s="571"/>
      <c r="D7" s="571"/>
      <c r="E7" s="571"/>
      <c r="F7" s="571"/>
      <c r="G7" s="571"/>
      <c r="H7" s="571"/>
      <c r="I7" s="95"/>
      <c r="J7" s="95"/>
      <c r="K7" s="95"/>
      <c r="L7" s="95"/>
      <c r="M7" s="95"/>
      <c r="N7" s="95"/>
      <c r="O7" s="95"/>
    </row>
    <row r="8" spans="1:21" s="439" customFormat="1" ht="15.75" customHeight="1" x14ac:dyDescent="0.2">
      <c r="A8" s="572" t="s">
        <v>490</v>
      </c>
      <c r="B8" s="571"/>
      <c r="C8" s="571"/>
      <c r="D8" s="571"/>
      <c r="E8" s="571"/>
      <c r="F8" s="571"/>
      <c r="G8" s="571"/>
      <c r="H8" s="571"/>
      <c r="I8" s="95"/>
      <c r="J8" s="95"/>
      <c r="K8" s="95"/>
      <c r="L8" s="95"/>
      <c r="M8" s="95"/>
      <c r="N8" s="95"/>
      <c r="O8" s="95"/>
    </row>
    <row r="9" spans="1:21" s="439" customFormat="1" ht="30" customHeight="1" x14ac:dyDescent="0.2">
      <c r="A9" s="740" t="s">
        <v>491</v>
      </c>
      <c r="B9" s="735"/>
      <c r="C9" s="735"/>
      <c r="D9" s="735"/>
      <c r="E9" s="735"/>
      <c r="F9" s="735"/>
      <c r="G9" s="735"/>
      <c r="H9" s="571"/>
      <c r="I9" s="95"/>
      <c r="J9" s="95"/>
      <c r="K9" s="95"/>
      <c r="L9" s="95"/>
      <c r="M9" s="95"/>
      <c r="N9" s="95"/>
      <c r="O9" s="95"/>
    </row>
    <row r="10" spans="1:21" ht="24.75" customHeight="1" x14ac:dyDescent="0.2">
      <c r="A10" s="573" t="s">
        <v>232</v>
      </c>
      <c r="B10" s="571"/>
      <c r="C10" s="571"/>
      <c r="D10" s="571"/>
      <c r="E10" s="571"/>
      <c r="F10" s="571"/>
      <c r="G10" s="571"/>
      <c r="H10" s="571"/>
      <c r="I10" s="95"/>
      <c r="J10" s="95"/>
      <c r="K10" s="95"/>
      <c r="L10" s="95"/>
      <c r="M10" s="95"/>
      <c r="N10" s="95"/>
      <c r="O10" s="95"/>
    </row>
    <row r="11" spans="1:21" x14ac:dyDescent="0.2">
      <c r="A11" s="734" t="s">
        <v>630</v>
      </c>
      <c r="B11" s="735"/>
      <c r="C11" s="735"/>
      <c r="D11" s="735"/>
      <c r="E11" s="735"/>
      <c r="F11" s="735"/>
      <c r="G11" s="735"/>
      <c r="H11" s="735"/>
      <c r="I11" s="95"/>
      <c r="J11" s="95"/>
      <c r="K11" s="95"/>
      <c r="L11" s="95"/>
      <c r="M11" s="95"/>
      <c r="N11" s="95"/>
      <c r="O11" s="95"/>
    </row>
    <row r="12" spans="1:21" x14ac:dyDescent="0.2">
      <c r="A12" s="735"/>
      <c r="B12" s="735"/>
      <c r="C12" s="735"/>
      <c r="D12" s="735"/>
      <c r="E12" s="735"/>
      <c r="F12" s="735"/>
      <c r="G12" s="735"/>
      <c r="H12" s="735"/>
      <c r="I12" s="95"/>
      <c r="J12" s="95"/>
      <c r="K12" s="95"/>
      <c r="L12" s="95"/>
      <c r="M12" s="95"/>
      <c r="N12" s="95"/>
      <c r="O12" s="95"/>
    </row>
    <row r="13" spans="1:21" ht="6.75" customHeight="1" x14ac:dyDescent="0.2">
      <c r="A13" s="574"/>
      <c r="B13" s="571"/>
      <c r="C13" s="571"/>
      <c r="D13" s="571"/>
      <c r="E13" s="571"/>
      <c r="F13" s="571"/>
      <c r="G13" s="571"/>
      <c r="H13" s="571"/>
      <c r="I13" s="95"/>
      <c r="J13" s="95"/>
      <c r="K13" s="95"/>
      <c r="L13" s="95"/>
      <c r="M13" s="95"/>
      <c r="N13" s="95"/>
      <c r="O13" s="95"/>
    </row>
    <row r="14" spans="1:21" x14ac:dyDescent="0.2">
      <c r="A14" s="63"/>
      <c r="B14" s="38"/>
      <c r="C14" s="38"/>
      <c r="D14" s="461"/>
      <c r="E14" s="38"/>
      <c r="F14" s="38"/>
      <c r="G14" s="38"/>
      <c r="H14" s="95"/>
      <c r="I14" s="95"/>
      <c r="J14" s="95"/>
      <c r="K14" s="95"/>
      <c r="L14" s="95"/>
      <c r="M14" s="95"/>
      <c r="N14" s="95"/>
      <c r="O14" s="95"/>
    </row>
    <row r="15" spans="1:21" ht="15.75" x14ac:dyDescent="0.25">
      <c r="A15" s="115" t="s">
        <v>237</v>
      </c>
      <c r="B15" s="38"/>
      <c r="C15" s="223"/>
      <c r="D15" s="223"/>
      <c r="E15" s="223"/>
      <c r="F15" s="38"/>
      <c r="G15" s="38"/>
      <c r="H15" s="95"/>
      <c r="I15" s="95"/>
      <c r="J15" s="95"/>
      <c r="K15" s="95"/>
      <c r="L15" s="95"/>
      <c r="M15" s="95"/>
      <c r="N15" s="95"/>
      <c r="O15" s="95"/>
      <c r="U15" s="200">
        <f>IF(B16="MYCOUNTY",IF(B17="",2,1),IF(B16="MYREGION",IF(B17="",2,1),0))</f>
        <v>0</v>
      </c>
    </row>
    <row r="16" spans="1:21" ht="14.25" customHeight="1" x14ac:dyDescent="0.2">
      <c r="A16" s="63" t="s">
        <v>203</v>
      </c>
      <c r="B16" s="60" t="s">
        <v>56</v>
      </c>
      <c r="C16" s="454" t="str">
        <f>IF(B16="MYREGION",IF('User Add-in Location'!F24=0,"    Error - No Regional multiplier data in User Add-in Location",""),IF(B16="MYCOUNTY",IF('User Add-in Location'!E24=0,"    Error - No County multiplier data in User Add-in Location",""),""))</f>
        <v/>
      </c>
      <c r="D16" s="158"/>
      <c r="E16" s="223"/>
      <c r="F16" s="38"/>
      <c r="G16" s="38"/>
      <c r="H16" s="222"/>
      <c r="I16" s="95"/>
      <c r="J16" s="95"/>
      <c r="K16" s="95"/>
      <c r="L16" s="95"/>
      <c r="M16" s="95"/>
      <c r="N16" s="95"/>
      <c r="O16" s="95"/>
    </row>
    <row r="17" spans="1:32" ht="14.25" customHeight="1" x14ac:dyDescent="0.2">
      <c r="A17" s="192" t="s">
        <v>219</v>
      </c>
      <c r="B17" s="52"/>
      <c r="C17" s="540" t="str">
        <f>IF(B16="MYREGION",IF('User Add-in Location'!F24=0,"",IF(B16="MYREGION","Enter Region Population","")),IF(B16="MYCOUNTY",IF('User Add-in Location'!E24=0,"",IF(B16="MYCOUNTY","Enter County Population","")),""))</f>
        <v/>
      </c>
      <c r="D17" s="203"/>
      <c r="E17" s="451"/>
      <c r="F17" s="38"/>
      <c r="G17" s="38"/>
      <c r="H17" s="222"/>
      <c r="I17" s="95"/>
      <c r="J17" s="95"/>
      <c r="K17" s="95"/>
      <c r="L17" s="95"/>
      <c r="M17" s="95"/>
      <c r="N17" s="95"/>
      <c r="O17" s="95"/>
    </row>
    <row r="18" spans="1:32" ht="14.25" customHeight="1" x14ac:dyDescent="0.2">
      <c r="A18" s="63" t="s">
        <v>311</v>
      </c>
      <c r="B18" s="51">
        <v>2014</v>
      </c>
      <c r="C18" s="454" t="str">
        <f>IF(C17="","",IF(B17&lt;1,"**Error - Population Data Missing**",""))</f>
        <v/>
      </c>
      <c r="D18" s="158"/>
      <c r="E18" s="59"/>
      <c r="F18" s="38"/>
      <c r="G18" s="38"/>
      <c r="H18" s="222"/>
      <c r="I18" s="95"/>
      <c r="J18" s="95"/>
      <c r="K18" s="95"/>
      <c r="L18" s="95"/>
      <c r="M18" s="95"/>
      <c r="N18" s="95"/>
      <c r="O18" s="95"/>
    </row>
    <row r="19" spans="1:32" ht="14.25" customHeight="1" x14ac:dyDescent="0.2">
      <c r="A19" s="192" t="s">
        <v>319</v>
      </c>
      <c r="B19" s="195" t="s">
        <v>364</v>
      </c>
      <c r="C19" s="62" t="str">
        <f>IF(B19="500 kV HVDC","   Please note: HVDC is a Bi-Pole line.","")</f>
        <v/>
      </c>
      <c r="D19" s="158"/>
      <c r="E19" s="59"/>
      <c r="F19" s="62"/>
      <c r="G19" s="38"/>
      <c r="H19" s="222"/>
      <c r="I19" s="95"/>
      <c r="J19" s="95"/>
      <c r="K19" s="95"/>
      <c r="L19" s="95"/>
      <c r="M19" s="95"/>
      <c r="N19" s="95"/>
      <c r="O19" s="95"/>
      <c r="U19">
        <f>IF(B19=DefaultData!AN11,1,0)</f>
        <v>0</v>
      </c>
    </row>
    <row r="20" spans="1:32" ht="14.25" customHeight="1" x14ac:dyDescent="0.2">
      <c r="A20" s="63" t="s">
        <v>463</v>
      </c>
      <c r="B20" s="52">
        <v>20</v>
      </c>
      <c r="C20" s="62"/>
      <c r="D20" s="62"/>
      <c r="E20" s="59"/>
      <c r="F20" s="62"/>
      <c r="G20" s="38"/>
      <c r="H20" s="222"/>
      <c r="I20" s="95"/>
      <c r="J20" s="95"/>
      <c r="K20" s="95"/>
      <c r="L20" s="95"/>
      <c r="M20" s="95"/>
      <c r="N20" s="95"/>
      <c r="O20" s="95"/>
      <c r="U20" s="350"/>
    </row>
    <row r="21" spans="1:32" s="439" customFormat="1" ht="14.25" customHeight="1" x14ac:dyDescent="0.2">
      <c r="A21" s="63" t="s">
        <v>452</v>
      </c>
      <c r="B21" s="52" t="s">
        <v>487</v>
      </c>
      <c r="C21" s="62"/>
      <c r="D21" s="62"/>
      <c r="E21" s="59"/>
      <c r="F21" s="62"/>
      <c r="G21" s="437"/>
      <c r="H21" s="222"/>
      <c r="I21" s="95"/>
      <c r="J21" s="95"/>
      <c r="K21" s="95"/>
      <c r="L21" s="95"/>
      <c r="M21" s="95"/>
      <c r="N21" s="95"/>
      <c r="O21" s="95"/>
      <c r="U21" s="350"/>
    </row>
    <row r="22" spans="1:32" s="439" customFormat="1" ht="14.25" customHeight="1" x14ac:dyDescent="0.2">
      <c r="A22" s="63" t="s">
        <v>454</v>
      </c>
      <c r="B22" s="52" t="s">
        <v>448</v>
      </c>
      <c r="C22" s="62"/>
      <c r="D22" s="62"/>
      <c r="E22" s="59"/>
      <c r="F22" s="62"/>
      <c r="G22" s="437"/>
      <c r="H22" s="222"/>
      <c r="I22" s="95"/>
      <c r="J22" s="95"/>
      <c r="K22" s="95"/>
      <c r="L22" s="95"/>
      <c r="M22" s="95"/>
      <c r="N22" s="95"/>
      <c r="O22" s="95"/>
      <c r="U22" s="350"/>
    </row>
    <row r="23" spans="1:32" s="439" customFormat="1" ht="14.25" customHeight="1" x14ac:dyDescent="0.2">
      <c r="A23" s="63"/>
      <c r="B23" s="62"/>
      <c r="C23" s="539"/>
      <c r="D23" s="62"/>
      <c r="E23" s="59"/>
      <c r="F23" s="62"/>
      <c r="G23" s="437"/>
      <c r="H23" s="222"/>
      <c r="I23" s="95"/>
      <c r="J23" s="95"/>
      <c r="K23" s="95"/>
      <c r="L23" s="95"/>
      <c r="M23" s="95"/>
      <c r="N23" s="95"/>
      <c r="O23" s="95"/>
      <c r="U23"/>
      <c r="V23" s="438" t="s">
        <v>483</v>
      </c>
    </row>
    <row r="24" spans="1:32" s="439" customFormat="1" ht="14.25" customHeight="1" x14ac:dyDescent="0.2">
      <c r="A24" s="458" t="s">
        <v>485</v>
      </c>
      <c r="B24" s="622" t="s">
        <v>484</v>
      </c>
      <c r="C24" s="539" t="str">
        <f>IF(U$24="y","    Press 'Go To Summary Impacts' Button",IF(U$24="N","    Review and or Edit default data below","Error - Choose 'Simple' or 'Advanced'"))</f>
        <v xml:space="preserve">    Review and or Edit default data below</v>
      </c>
      <c r="D24" s="236"/>
      <c r="E24" s="38"/>
      <c r="F24" s="38"/>
      <c r="G24" s="158"/>
      <c r="H24" s="222"/>
      <c r="I24" s="95"/>
      <c r="J24" s="95"/>
      <c r="K24" s="95"/>
      <c r="L24" s="95"/>
      <c r="M24" s="95"/>
      <c r="N24" s="95"/>
      <c r="O24" s="95"/>
      <c r="U24" s="456" t="str">
        <f>IF(B24="Simple","Y","N")</f>
        <v>N</v>
      </c>
      <c r="V24" s="438" t="s">
        <v>484</v>
      </c>
    </row>
    <row r="25" spans="1:32" s="439" customFormat="1" ht="14.25" customHeight="1" x14ac:dyDescent="0.25">
      <c r="A25" s="58"/>
      <c r="B25" s="58"/>
      <c r="C25" s="235"/>
      <c r="D25" s="235"/>
      <c r="E25" s="115"/>
      <c r="F25" s="38"/>
      <c r="G25" s="38"/>
      <c r="H25" s="222"/>
      <c r="I25" s="95"/>
      <c r="J25" s="95"/>
      <c r="K25" s="95"/>
      <c r="L25" s="95"/>
      <c r="M25" s="95"/>
      <c r="N25" s="95"/>
      <c r="O25" s="95"/>
      <c r="U25" s="350"/>
    </row>
    <row r="26" spans="1:32" s="439" customFormat="1" ht="14.25" customHeight="1" x14ac:dyDescent="0.2">
      <c r="A26" s="63"/>
      <c r="B26" s="63"/>
      <c r="C26" s="62"/>
      <c r="D26" s="62"/>
      <c r="E26" s="59"/>
      <c r="F26" s="62"/>
      <c r="G26" s="437"/>
      <c r="H26" s="222"/>
      <c r="I26" s="95"/>
      <c r="J26" s="95"/>
      <c r="K26" s="95"/>
      <c r="L26" s="95"/>
      <c r="M26" s="95"/>
      <c r="N26" s="95"/>
      <c r="O26" s="95"/>
      <c r="U26" s="350"/>
    </row>
    <row r="27" spans="1:32" s="439" customFormat="1" ht="55.5" customHeight="1" thickBot="1" x14ac:dyDescent="0.25">
      <c r="A27" s="736" t="s">
        <v>631</v>
      </c>
      <c r="B27" s="737"/>
      <c r="C27" s="737"/>
      <c r="D27" s="737"/>
      <c r="E27" s="737"/>
      <c r="F27" s="737"/>
      <c r="G27" s="437"/>
      <c r="H27" s="95"/>
      <c r="I27" s="95"/>
      <c r="J27" s="95"/>
      <c r="K27" s="95"/>
      <c r="L27" s="95"/>
      <c r="M27" s="95"/>
      <c r="N27" s="95"/>
      <c r="O27" s="95"/>
      <c r="U27" s="350"/>
    </row>
    <row r="28" spans="1:32" s="439" customFormat="1" ht="14.25" customHeight="1" thickTop="1" x14ac:dyDescent="0.2">
      <c r="A28" s="691"/>
      <c r="B28" s="691"/>
      <c r="C28" s="692"/>
      <c r="D28" s="692"/>
      <c r="E28" s="693"/>
      <c r="F28" s="692"/>
      <c r="G28" s="640"/>
      <c r="H28" s="694"/>
      <c r="I28" s="95"/>
      <c r="J28" s="95"/>
      <c r="K28" s="95"/>
      <c r="L28" s="95"/>
      <c r="M28" s="95"/>
      <c r="N28" s="95"/>
      <c r="O28" s="95"/>
      <c r="U28" s="350"/>
    </row>
    <row r="29" spans="1:32" s="439" customFormat="1" ht="14.25" customHeight="1" x14ac:dyDescent="0.25">
      <c r="A29" s="115" t="s">
        <v>486</v>
      </c>
      <c r="B29" s="63"/>
      <c r="C29" s="62"/>
      <c r="D29" s="62"/>
      <c r="E29" s="59"/>
      <c r="F29" s="62"/>
      <c r="G29" s="437"/>
      <c r="H29" s="222"/>
      <c r="I29" s="95"/>
      <c r="J29" s="95"/>
      <c r="K29" s="95"/>
      <c r="L29" s="95"/>
      <c r="M29" s="95"/>
      <c r="N29" s="95"/>
      <c r="O29" s="95"/>
      <c r="U29" s="350"/>
    </row>
    <row r="30" spans="1:32" s="439" customFormat="1" ht="14.25" customHeight="1" x14ac:dyDescent="0.2">
      <c r="A30" s="63" t="s">
        <v>462</v>
      </c>
      <c r="B30" s="452">
        <f>'Line Config Data'!$E12</f>
        <v>4</v>
      </c>
      <c r="C30" s="62"/>
      <c r="D30" s="62"/>
      <c r="E30" s="59"/>
      <c r="F30" s="62"/>
      <c r="G30" s="437"/>
      <c r="H30" s="222"/>
      <c r="I30" s="95"/>
      <c r="J30" s="95"/>
      <c r="K30" s="95"/>
      <c r="L30" s="95"/>
      <c r="M30" s="95"/>
      <c r="N30" s="95"/>
      <c r="O30" s="95"/>
      <c r="U30" s="350"/>
      <c r="Z30" s="452">
        <f>'Line Config Data'!$E12</f>
        <v>4</v>
      </c>
      <c r="AA30" s="74"/>
      <c r="AB30" s="74"/>
      <c r="AC30" s="146"/>
      <c r="AD30" s="74"/>
      <c r="AE30" s="131"/>
      <c r="AF30" s="170"/>
    </row>
    <row r="31" spans="1:32" s="439" customFormat="1" ht="14.25" customHeight="1" x14ac:dyDescent="0.2">
      <c r="A31" s="192" t="s">
        <v>341</v>
      </c>
      <c r="B31" s="623">
        <f>$B20/'Line Config Data'!$E13</f>
        <v>5</v>
      </c>
      <c r="C31" s="62"/>
      <c r="D31" s="62"/>
      <c r="E31" s="59"/>
      <c r="F31" s="62"/>
      <c r="G31" s="437"/>
      <c r="H31" s="222"/>
      <c r="I31" s="95"/>
      <c r="J31" s="95"/>
      <c r="K31" s="95"/>
      <c r="L31" s="95"/>
      <c r="M31" s="95"/>
      <c r="N31" s="95"/>
      <c r="O31" s="95"/>
      <c r="U31" s="350"/>
      <c r="Z31" s="623">
        <f>$B20/'Line Config Data'!$E13</f>
        <v>5</v>
      </c>
      <c r="AA31" s="74"/>
      <c r="AB31" s="74"/>
      <c r="AC31" s="146"/>
      <c r="AD31" s="74"/>
      <c r="AE31" s="131"/>
      <c r="AF31" s="170"/>
    </row>
    <row r="32" spans="1:32" s="439" customFormat="1" ht="15" customHeight="1" x14ac:dyDescent="0.2">
      <c r="A32" s="63"/>
      <c r="B32" s="63"/>
      <c r="C32" s="62"/>
      <c r="D32" s="62"/>
      <c r="E32" s="59"/>
      <c r="F32" s="62"/>
      <c r="G32" s="437"/>
      <c r="H32" s="222"/>
      <c r="I32" s="95"/>
      <c r="J32" s="95"/>
      <c r="K32" s="95"/>
      <c r="L32" s="95"/>
      <c r="M32" s="95"/>
      <c r="N32" s="95"/>
      <c r="O32" s="95"/>
      <c r="U32" s="350"/>
      <c r="Z32" s="63"/>
      <c r="AA32" s="74"/>
      <c r="AB32" s="74"/>
      <c r="AC32" s="146"/>
      <c r="AD32" s="74"/>
      <c r="AE32" s="131"/>
      <c r="AF32" s="170"/>
    </row>
    <row r="33" spans="1:32" s="439" customFormat="1" ht="14.25" customHeight="1" x14ac:dyDescent="0.2">
      <c r="A33" s="63" t="s">
        <v>482</v>
      </c>
      <c r="B33" s="52">
        <v>1</v>
      </c>
      <c r="C33" s="454" t="str">
        <f>IF(B$33=0,"    Error - choose 1 for a Bi-Pole line with two poles -","")</f>
        <v/>
      </c>
      <c r="D33" s="454"/>
      <c r="E33" s="59"/>
      <c r="F33" s="62"/>
      <c r="G33" s="437"/>
      <c r="H33" s="222"/>
      <c r="I33" s="95"/>
      <c r="J33" s="95"/>
      <c r="K33" s="95"/>
      <c r="L33" s="95"/>
      <c r="M33" s="95"/>
      <c r="N33" s="95"/>
      <c r="O33" s="95"/>
      <c r="U33" s="350"/>
      <c r="Z33" s="52">
        <v>1</v>
      </c>
      <c r="AA33" s="649" t="str">
        <f>IF(Z$33=0,"    Error - choose 1 for a Bi-Pole line with two poles -","")</f>
        <v/>
      </c>
      <c r="AB33" s="649"/>
      <c r="AC33" s="146"/>
      <c r="AD33" s="74"/>
      <c r="AE33" s="131"/>
      <c r="AF33" s="170"/>
    </row>
    <row r="34" spans="1:32" s="439" customFormat="1" ht="14.25" customHeight="1" x14ac:dyDescent="0.2">
      <c r="A34" s="63" t="s">
        <v>455</v>
      </c>
      <c r="B34" s="52">
        <v>1</v>
      </c>
      <c r="C34" s="454" t="str">
        <f>IF(B$33=0,"    please revise. Model does not allow two Bi-Pole","")</f>
        <v/>
      </c>
      <c r="D34" s="454"/>
      <c r="E34" s="59"/>
      <c r="F34" s="62"/>
      <c r="G34" s="437"/>
      <c r="H34" s="222"/>
      <c r="I34" s="95"/>
      <c r="J34" s="95"/>
      <c r="K34" s="95"/>
      <c r="L34" s="95"/>
      <c r="M34" s="95"/>
      <c r="N34" s="95"/>
      <c r="O34" s="95"/>
      <c r="U34" s="350"/>
      <c r="Z34" s="52">
        <v>1</v>
      </c>
      <c r="AA34" s="649" t="str">
        <f>IF(Z$33=0,"    please revise. Model does not allow two Bi-Pole","")</f>
        <v/>
      </c>
      <c r="AB34" s="649"/>
      <c r="AC34" s="146"/>
      <c r="AD34" s="74"/>
      <c r="AE34" s="131"/>
      <c r="AF34" s="170"/>
    </row>
    <row r="35" spans="1:32" s="439" customFormat="1" ht="14.25" customHeight="1" x14ac:dyDescent="0.2">
      <c r="A35" s="63" t="s">
        <v>481</v>
      </c>
      <c r="B35" s="52">
        <f>IF(B33=1,2,3)</f>
        <v>2</v>
      </c>
      <c r="C35" s="454" t="str">
        <f>IF(B$33=0,"    lines on the same structure.","")</f>
        <v/>
      </c>
      <c r="D35" s="62"/>
      <c r="E35" s="59"/>
      <c r="F35" s="62"/>
      <c r="G35" s="437"/>
      <c r="H35" s="222"/>
      <c r="I35" s="95"/>
      <c r="J35" s="95"/>
      <c r="K35" s="95"/>
      <c r="L35" s="95"/>
      <c r="M35" s="95"/>
      <c r="N35" s="95"/>
      <c r="O35" s="95"/>
      <c r="U35" s="350"/>
      <c r="Z35" s="52">
        <f>IF(Z33=1,2,3)</f>
        <v>2</v>
      </c>
      <c r="AA35" s="649" t="str">
        <f>IF(Z$33=0,"    lines on the same structure.","")</f>
        <v/>
      </c>
      <c r="AB35" s="74"/>
      <c r="AC35" s="146"/>
      <c r="AD35" s="74"/>
      <c r="AE35" s="131"/>
      <c r="AF35" s="170"/>
    </row>
    <row r="36" spans="1:32" s="439" customFormat="1" ht="14.25" customHeight="1" x14ac:dyDescent="0.2">
      <c r="A36" s="63" t="s">
        <v>480</v>
      </c>
      <c r="B36" s="52">
        <v>1</v>
      </c>
      <c r="C36" s="62"/>
      <c r="D36" s="62"/>
      <c r="E36" s="59"/>
      <c r="F36" s="62"/>
      <c r="G36" s="437"/>
      <c r="H36" s="222"/>
      <c r="I36" s="95"/>
      <c r="J36" s="95"/>
      <c r="K36" s="95"/>
      <c r="L36" s="95"/>
      <c r="M36" s="95"/>
      <c r="N36" s="95"/>
      <c r="O36" s="95"/>
      <c r="U36" s="350"/>
      <c r="Z36" s="52">
        <v>1</v>
      </c>
      <c r="AA36" s="74"/>
      <c r="AB36" s="74"/>
      <c r="AC36" s="146"/>
      <c r="AD36" s="74"/>
      <c r="AE36" s="131"/>
      <c r="AF36" s="170"/>
    </row>
    <row r="37" spans="1:32" s="439" customFormat="1" ht="14.25" customHeight="1" x14ac:dyDescent="0.2">
      <c r="A37" s="63" t="s">
        <v>479</v>
      </c>
      <c r="B37" s="52">
        <f>B33</f>
        <v>1</v>
      </c>
      <c r="C37" s="62"/>
      <c r="D37" s="62"/>
      <c r="E37" s="59"/>
      <c r="F37" s="62"/>
      <c r="G37" s="437"/>
      <c r="H37" s="222"/>
      <c r="I37" s="95"/>
      <c r="J37" s="95"/>
      <c r="K37" s="95"/>
      <c r="L37" s="95"/>
      <c r="M37" s="95"/>
      <c r="N37" s="95"/>
      <c r="O37" s="95"/>
      <c r="U37" s="350"/>
      <c r="Z37" s="52">
        <f>Z33</f>
        <v>1</v>
      </c>
      <c r="AA37" s="74"/>
      <c r="AB37" s="74"/>
      <c r="AC37" s="146"/>
      <c r="AD37" s="74"/>
      <c r="AE37" s="131"/>
      <c r="AF37" s="170"/>
    </row>
    <row r="38" spans="1:32" s="439" customFormat="1" ht="14.25" customHeight="1" x14ac:dyDescent="0.2">
      <c r="A38" s="63" t="s">
        <v>464</v>
      </c>
      <c r="B38" s="505">
        <f>DefaultData!$E5</f>
        <v>0</v>
      </c>
      <c r="C38" s="454" t="str">
        <f>IF(B19="500 kV HVDC",IF(B38=2,"","  Error, Transmission Line Type entered above"),"")</f>
        <v/>
      </c>
      <c r="D38" s="454"/>
      <c r="E38" s="59"/>
      <c r="F38" s="62"/>
      <c r="G38" s="437"/>
      <c r="H38" s="222"/>
      <c r="I38" s="95"/>
      <c r="J38" s="95"/>
      <c r="K38" s="95"/>
      <c r="L38" s="95"/>
      <c r="M38" s="95"/>
      <c r="N38" s="95"/>
      <c r="O38" s="95"/>
      <c r="U38" s="350"/>
      <c r="Z38" s="684">
        <f>DefaultData!$E5</f>
        <v>0</v>
      </c>
      <c r="AA38" s="649" t="str">
        <f>IF(Z19="500 kV HVDC",IF(Z38=2,"","  Error, Transmission Line Type entered above"),"")</f>
        <v/>
      </c>
      <c r="AB38" s="649"/>
      <c r="AC38" s="146"/>
      <c r="AD38" s="74"/>
      <c r="AE38" s="131"/>
      <c r="AF38" s="170"/>
    </row>
    <row r="39" spans="1:32" ht="12.75" customHeight="1" x14ac:dyDescent="0.2">
      <c r="A39" s="192" t="s">
        <v>559</v>
      </c>
      <c r="B39" s="446">
        <v>115</v>
      </c>
      <c r="C39" s="454" t="str">
        <f>IF(B19="500 kV HVDC",IF(B38=2,"","  requires two converter stations, please revise."),"")</f>
        <v/>
      </c>
      <c r="D39" s="454"/>
      <c r="E39" s="59"/>
      <c r="F39" s="38"/>
      <c r="G39" s="38"/>
      <c r="H39" s="95"/>
      <c r="I39" s="95"/>
      <c r="J39" s="95"/>
      <c r="K39" s="95"/>
      <c r="L39" s="95"/>
      <c r="M39" s="95"/>
      <c r="N39" s="95"/>
      <c r="O39" s="95"/>
      <c r="Z39" s="446">
        <v>115</v>
      </c>
      <c r="AA39" s="649" t="str">
        <f>IF(Z19="500 kV HVDC",IF(Z38=2,"","  requires two converter stations, please revise."),"")</f>
        <v/>
      </c>
      <c r="AB39" s="649"/>
      <c r="AC39" s="146"/>
      <c r="AD39" s="131"/>
      <c r="AE39" s="131"/>
      <c r="AF39" s="131"/>
    </row>
    <row r="40" spans="1:32" s="439" customFormat="1" ht="14.25" customHeight="1" x14ac:dyDescent="0.2">
      <c r="A40" s="192" t="s">
        <v>459</v>
      </c>
      <c r="B40" s="40" t="s">
        <v>557</v>
      </c>
      <c r="C40" s="40" t="s">
        <v>558</v>
      </c>
      <c r="D40" s="40"/>
      <c r="E40" s="59"/>
      <c r="F40" s="437"/>
      <c r="G40" s="437"/>
      <c r="H40" s="95"/>
      <c r="I40" s="95"/>
      <c r="J40" s="95"/>
      <c r="K40" s="95"/>
      <c r="L40" s="95"/>
      <c r="M40" s="95"/>
      <c r="N40" s="95"/>
      <c r="O40" s="95"/>
      <c r="Z40" s="162" t="s">
        <v>557</v>
      </c>
      <c r="AA40" s="162" t="s">
        <v>558</v>
      </c>
      <c r="AB40" s="162"/>
      <c r="AC40" s="146"/>
      <c r="AD40" s="131"/>
      <c r="AE40" s="131"/>
      <c r="AF40" s="131"/>
    </row>
    <row r="41" spans="1:32" s="439" customFormat="1" ht="17.25" customHeight="1" x14ac:dyDescent="0.2">
      <c r="A41" s="192" t="s">
        <v>457</v>
      </c>
      <c r="B41" s="195">
        <v>0.5</v>
      </c>
      <c r="C41" s="150">
        <f>1-B41</f>
        <v>0.5</v>
      </c>
      <c r="D41" s="150"/>
      <c r="E41" s="59"/>
      <c r="F41" s="437"/>
      <c r="G41" s="437"/>
      <c r="H41" s="95"/>
      <c r="I41" s="95"/>
      <c r="J41" s="95"/>
      <c r="K41" s="95"/>
      <c r="L41" s="95"/>
      <c r="M41" s="95"/>
      <c r="N41" s="95"/>
      <c r="O41" s="95"/>
      <c r="Z41" s="195">
        <v>0.5</v>
      </c>
      <c r="AA41" s="178">
        <f>1-Z41</f>
        <v>0.5</v>
      </c>
      <c r="AB41" s="178"/>
      <c r="AC41" s="146"/>
      <c r="AD41" s="131"/>
      <c r="AE41" s="131"/>
      <c r="AF41" s="131"/>
    </row>
    <row r="42" spans="1:32" s="439" customFormat="1" ht="12.75" customHeight="1" x14ac:dyDescent="0.2">
      <c r="A42" s="192" t="s">
        <v>478</v>
      </c>
      <c r="B42" s="455">
        <f>B41*$B20</f>
        <v>10</v>
      </c>
      <c r="C42" s="455">
        <f>C41*$B20</f>
        <v>10</v>
      </c>
      <c r="D42" s="455"/>
      <c r="E42" s="59"/>
      <c r="F42" s="437"/>
      <c r="G42" s="437"/>
      <c r="H42" s="95"/>
      <c r="I42" s="95"/>
      <c r="J42" s="95"/>
      <c r="K42" s="95"/>
      <c r="L42" s="95"/>
      <c r="M42" s="95"/>
      <c r="N42" s="95"/>
      <c r="O42" s="95"/>
      <c r="Z42" s="650">
        <f>Z41*$B20</f>
        <v>10</v>
      </c>
      <c r="AA42" s="650">
        <f>AA41*$B20</f>
        <v>10</v>
      </c>
      <c r="AB42" s="650"/>
      <c r="AC42" s="146"/>
      <c r="AD42" s="131"/>
      <c r="AE42" s="131"/>
      <c r="AF42" s="131"/>
    </row>
    <row r="43" spans="1:32" s="439" customFormat="1" ht="14.25" customHeight="1" x14ac:dyDescent="0.2">
      <c r="A43" s="192" t="s">
        <v>458</v>
      </c>
      <c r="B43" s="52">
        <f>'Line Config Data'!$E10</f>
        <v>150</v>
      </c>
      <c r="C43" s="52">
        <f>'Line Config Data'!$E10</f>
        <v>150</v>
      </c>
      <c r="D43" s="455"/>
      <c r="E43" s="59"/>
      <c r="F43" s="437"/>
      <c r="G43" s="437"/>
      <c r="H43" s="95"/>
      <c r="I43" s="95"/>
      <c r="J43" s="95"/>
      <c r="K43" s="95"/>
      <c r="L43" s="95"/>
      <c r="M43" s="95"/>
      <c r="N43" s="95"/>
      <c r="O43" s="95"/>
      <c r="Z43" s="52">
        <f>'Line Config Data'!$E10</f>
        <v>150</v>
      </c>
      <c r="AA43" s="52">
        <f>'Line Config Data'!$E10</f>
        <v>150</v>
      </c>
      <c r="AB43" s="650"/>
      <c r="AC43" s="146"/>
      <c r="AD43" s="131"/>
      <c r="AE43" s="131"/>
      <c r="AF43" s="131"/>
    </row>
    <row r="44" spans="1:32" s="439" customFormat="1" ht="14.25" customHeight="1" x14ac:dyDescent="0.2">
      <c r="A44" s="192" t="s">
        <v>460</v>
      </c>
      <c r="B44" s="52">
        <f>B43*5280/43560*$B20*B41</f>
        <v>181.81818181818184</v>
      </c>
      <c r="C44" s="52">
        <f>((C43*5280*$B20)/43560)*C41</f>
        <v>181.81818181818181</v>
      </c>
      <c r="D44" s="455"/>
      <c r="E44" s="59"/>
      <c r="F44" s="437"/>
      <c r="G44" s="437"/>
      <c r="H44" s="95"/>
      <c r="I44" s="95"/>
      <c r="J44" s="95"/>
      <c r="K44" s="95"/>
      <c r="L44" s="95"/>
      <c r="M44" s="95"/>
      <c r="N44" s="95"/>
      <c r="O44" s="95"/>
      <c r="Z44" s="52">
        <f>Z43*5280/43560*$B20*Z41</f>
        <v>181.81818181818184</v>
      </c>
      <c r="AA44" s="52">
        <f>((AA43*5280*$B20)/43560)*AA41</f>
        <v>181.81818181818181</v>
      </c>
      <c r="AB44" s="650"/>
      <c r="AC44" s="146"/>
      <c r="AD44" s="131"/>
      <c r="AE44" s="131"/>
      <c r="AF44" s="131"/>
    </row>
    <row r="45" spans="1:32" s="439" customFormat="1" ht="14.25" customHeight="1" x14ac:dyDescent="0.2">
      <c r="A45" s="192" t="s">
        <v>461</v>
      </c>
      <c r="B45" s="450">
        <f>'Line Config Data'!$D42</f>
        <v>100</v>
      </c>
      <c r="C45" s="450">
        <f>'Line Config Data'!$E42</f>
        <v>2000</v>
      </c>
      <c r="D45" s="455"/>
      <c r="E45" s="59"/>
      <c r="F45" s="437"/>
      <c r="G45" s="437"/>
      <c r="H45" s="95"/>
      <c r="I45" s="95"/>
      <c r="J45" s="95"/>
      <c r="K45" s="95"/>
      <c r="L45" s="95"/>
      <c r="M45" s="95"/>
      <c r="N45" s="95"/>
      <c r="O45" s="95"/>
      <c r="Z45" s="450">
        <f>'Line Config Data'!$D42</f>
        <v>100</v>
      </c>
      <c r="AA45" s="450">
        <f>'Line Config Data'!$E42</f>
        <v>2000</v>
      </c>
      <c r="AB45" s="650"/>
      <c r="AC45" s="146"/>
      <c r="AD45" s="131"/>
      <c r="AE45" s="131"/>
      <c r="AF45" s="131"/>
    </row>
    <row r="46" spans="1:32" s="439" customFormat="1" ht="13.5" customHeight="1" x14ac:dyDescent="0.2">
      <c r="A46" s="192"/>
      <c r="B46" s="192"/>
      <c r="C46" s="192"/>
      <c r="D46" s="192"/>
      <c r="E46" s="59"/>
      <c r="F46" s="437"/>
      <c r="G46" s="437"/>
      <c r="H46" s="95"/>
      <c r="I46" s="95"/>
      <c r="J46" s="95"/>
      <c r="K46" s="95"/>
      <c r="L46" s="95"/>
      <c r="M46" s="95"/>
      <c r="N46" s="95"/>
      <c r="O46" s="95"/>
      <c r="Z46" s="221"/>
      <c r="AA46" s="221"/>
      <c r="AB46" s="221"/>
      <c r="AC46" s="146"/>
      <c r="AD46" s="131"/>
      <c r="AE46" s="131"/>
      <c r="AF46" s="131"/>
    </row>
    <row r="47" spans="1:32" ht="14.25" customHeight="1" x14ac:dyDescent="0.2">
      <c r="A47" s="192" t="s">
        <v>372</v>
      </c>
      <c r="B47" s="622" t="s">
        <v>385</v>
      </c>
      <c r="C47" s="451"/>
      <c r="D47" s="451"/>
      <c r="E47" s="451"/>
      <c r="F47" s="451"/>
      <c r="G47" s="451"/>
      <c r="H47" s="451"/>
      <c r="I47" s="95"/>
      <c r="J47" s="95"/>
      <c r="K47" s="95"/>
      <c r="L47" s="95"/>
      <c r="M47" s="95"/>
      <c r="N47" s="95"/>
      <c r="O47" s="95"/>
      <c r="R47" s="10" t="s">
        <v>206</v>
      </c>
      <c r="S47" s="31" t="s">
        <v>385</v>
      </c>
      <c r="Z47" s="622" t="s">
        <v>385</v>
      </c>
      <c r="AA47" s="131"/>
      <c r="AB47" s="131"/>
      <c r="AC47" s="131"/>
      <c r="AD47" s="131"/>
      <c r="AE47" s="131"/>
      <c r="AF47" s="131"/>
    </row>
    <row r="48" spans="1:32" ht="14.25" customHeight="1" x14ac:dyDescent="0.2">
      <c r="A48" s="63" t="s">
        <v>617</v>
      </c>
      <c r="B48" s="355">
        <f>DefaultData!$C65/DefaultData!$D5/10^6</f>
        <v>1.492971827174624</v>
      </c>
      <c r="C48" s="563" t="str">
        <f>IF(U$24="N"," User Revised Project Cost ($Million/Mile)","")</f>
        <v xml:space="preserve"> User Revised Project Cost ($Million/Mile)</v>
      </c>
      <c r="D48" s="564"/>
      <c r="E48" s="565"/>
      <c r="F48" s="565"/>
      <c r="G48" s="566">
        <f>IF(U24="N",B107/B20/10^6,"")</f>
        <v>1.492971827174624</v>
      </c>
      <c r="H48" s="451"/>
      <c r="I48" s="95"/>
      <c r="J48" s="95"/>
      <c r="K48" s="95"/>
      <c r="L48" s="95"/>
      <c r="M48" s="95"/>
      <c r="N48" s="95"/>
      <c r="O48" s="95"/>
      <c r="R48" s="10" t="s">
        <v>201</v>
      </c>
      <c r="S48" s="31" t="s">
        <v>386</v>
      </c>
      <c r="Z48" s="685">
        <f>DefaultData!$C65/DefaultData!$D5/10^6</f>
        <v>1.492971827174624</v>
      </c>
      <c r="AA48" s="657" t="str">
        <f>IF(AS$24="N"," User Revised Project Cost ($Million/Mile)","")</f>
        <v/>
      </c>
      <c r="AB48" s="651"/>
      <c r="AC48" s="652"/>
      <c r="AD48" s="652"/>
      <c r="AE48" s="653" t="str">
        <f>IF(AS24="N",Z107/Z20/10^6,"")</f>
        <v/>
      </c>
      <c r="AF48" s="131"/>
    </row>
    <row r="49" spans="1:32" ht="14.25" customHeight="1" x14ac:dyDescent="0.2">
      <c r="A49" s="63" t="s">
        <v>616</v>
      </c>
      <c r="B49" s="400">
        <f>DefaultData!$E83</f>
        <v>8.0062587467713258E-3</v>
      </c>
      <c r="C49" s="567" t="str">
        <f>IF(U$24="N"," User Revised Annual Direct O&amp;M Cost (% of Cap Cost)","")</f>
        <v xml:space="preserve"> User Revised Annual Direct O&amp;M Cost (% of Cap Cost)</v>
      </c>
      <c r="D49" s="568"/>
      <c r="E49" s="569"/>
      <c r="F49" s="569"/>
      <c r="G49" s="570">
        <f>IF(U24="N",(B125-B124)/B107,"")</f>
        <v>8.0062587467713258E-3</v>
      </c>
      <c r="H49" s="451"/>
      <c r="I49" s="95"/>
      <c r="J49" s="95"/>
      <c r="K49" s="95"/>
      <c r="L49" s="95"/>
      <c r="M49" s="95"/>
      <c r="N49" s="95"/>
      <c r="O49" s="95"/>
      <c r="Z49" s="686">
        <f>DefaultData!$E83</f>
        <v>8.0062587467713258E-3</v>
      </c>
      <c r="AA49" s="658" t="str">
        <f>IF(AS$24="N"," User Revised Annual Direct O&amp;M Cost (% of Cap Cost)","")</f>
        <v/>
      </c>
      <c r="AB49" s="654"/>
      <c r="AC49" s="655"/>
      <c r="AD49" s="655"/>
      <c r="AE49" s="656" t="str">
        <f>IF(AS24="N",(Z125-Z124)/Z107,"")</f>
        <v/>
      </c>
      <c r="AF49" s="131"/>
    </row>
    <row r="50" spans="1:32" ht="14.25" customHeight="1" x14ac:dyDescent="0.2">
      <c r="A50" s="192" t="s">
        <v>316</v>
      </c>
      <c r="B50" s="51">
        <v>2012</v>
      </c>
      <c r="C50" s="158" t="str">
        <f>IF(B50&gt;2030, "    Dollar Year exceeds 2030, please revise.","")</f>
        <v/>
      </c>
      <c r="D50" s="158"/>
      <c r="E50" s="62"/>
      <c r="F50" s="38"/>
      <c r="G50" s="38"/>
      <c r="H50" s="95"/>
      <c r="I50" s="95"/>
      <c r="J50" s="95"/>
      <c r="K50" s="95"/>
      <c r="L50" s="95"/>
      <c r="M50" s="95"/>
      <c r="N50" s="95"/>
      <c r="O50" s="95"/>
      <c r="Z50" s="51">
        <v>2012</v>
      </c>
      <c r="AA50" s="170" t="str">
        <f>IF(Z50&gt;2030, "    Dollar Year exceeds 2030, please revise.","")</f>
        <v/>
      </c>
      <c r="AB50" s="170"/>
      <c r="AC50" s="74"/>
      <c r="AD50" s="131"/>
      <c r="AE50" s="131"/>
      <c r="AF50" s="131"/>
    </row>
    <row r="51" spans="1:32" ht="14.25" customHeight="1" thickBot="1" x14ac:dyDescent="0.3">
      <c r="A51" s="95"/>
      <c r="B51" s="156"/>
      <c r="C51" s="95"/>
      <c r="D51" s="95"/>
      <c r="E51" s="59"/>
      <c r="F51" s="38"/>
      <c r="G51" s="38"/>
      <c r="H51" s="95"/>
      <c r="I51" s="95"/>
      <c r="J51" s="95"/>
      <c r="K51" s="95"/>
      <c r="L51" s="95"/>
      <c r="M51" s="95"/>
      <c r="N51" s="95"/>
      <c r="O51" s="95"/>
      <c r="Z51" s="659"/>
      <c r="AA51" s="131"/>
      <c r="AB51" s="131"/>
      <c r="AC51" s="146"/>
      <c r="AD51" s="131"/>
      <c r="AE51" s="131"/>
      <c r="AF51" s="131"/>
    </row>
    <row r="52" spans="1:32" ht="29.25" customHeight="1" thickTop="1" x14ac:dyDescent="0.25">
      <c r="A52" s="639" t="s">
        <v>236</v>
      </c>
      <c r="B52" s="727"/>
      <c r="C52" s="728"/>
      <c r="D52" s="728"/>
      <c r="E52" s="728"/>
      <c r="F52" s="728"/>
      <c r="G52" s="728"/>
      <c r="H52" s="729"/>
      <c r="I52" s="730"/>
      <c r="J52" s="731"/>
      <c r="K52" s="731"/>
      <c r="L52" s="95"/>
      <c r="M52" s="95"/>
      <c r="N52" s="95"/>
      <c r="O52" s="95"/>
      <c r="Y52" s="1"/>
      <c r="Z52" s="724"/>
      <c r="AA52" s="725"/>
      <c r="AB52" s="725"/>
      <c r="AC52" s="725"/>
      <c r="AD52" s="725"/>
      <c r="AE52" s="725"/>
      <c r="AF52" s="726"/>
    </row>
    <row r="53" spans="1:32" ht="25.5" x14ac:dyDescent="0.2">
      <c r="A53" s="641" t="str">
        <f>DefaultData!B13</f>
        <v>Transmission Line Costs</v>
      </c>
      <c r="B53" s="642" t="s">
        <v>64</v>
      </c>
      <c r="C53" s="643" t="s">
        <v>628</v>
      </c>
      <c r="D53" s="643" t="s">
        <v>420</v>
      </c>
      <c r="E53" s="644" t="s">
        <v>419</v>
      </c>
      <c r="F53" s="645" t="s">
        <v>418</v>
      </c>
      <c r="G53" s="646"/>
      <c r="H53" s="647"/>
      <c r="I53" s="210"/>
      <c r="J53" s="210"/>
      <c r="K53" s="95"/>
      <c r="L53" s="95"/>
      <c r="M53" s="95"/>
      <c r="N53" s="95"/>
      <c r="O53" s="95"/>
      <c r="Y53" s="74"/>
      <c r="Z53" s="660"/>
      <c r="AA53" s="661" t="s">
        <v>628</v>
      </c>
      <c r="AB53" s="661"/>
      <c r="AC53" s="662"/>
      <c r="AD53" s="661" t="s">
        <v>418</v>
      </c>
      <c r="AE53" s="663"/>
      <c r="AF53" s="172"/>
    </row>
    <row r="54" spans="1:32" s="439" customFormat="1" x14ac:dyDescent="0.2">
      <c r="A54" s="62" t="str">
        <f>DefaultData!B14</f>
        <v xml:space="preserve">  Development and Preconstruction Activites</v>
      </c>
      <c r="B54" s="437"/>
      <c r="C54" s="96"/>
      <c r="D54" s="96"/>
      <c r="E54" s="65"/>
      <c r="F54" s="40"/>
      <c r="G54" s="192"/>
      <c r="H54" s="95"/>
      <c r="I54" s="210"/>
      <c r="J54" s="210"/>
      <c r="K54" s="95"/>
      <c r="L54" s="95"/>
      <c r="M54" s="95"/>
      <c r="N54" s="95"/>
      <c r="O54" s="95"/>
      <c r="Y54" s="74"/>
      <c r="Z54" s="131"/>
      <c r="AA54" s="162"/>
      <c r="AB54" s="162"/>
      <c r="AC54" s="215"/>
      <c r="AD54" s="162"/>
      <c r="AE54" s="221"/>
      <c r="AF54" s="131"/>
    </row>
    <row r="55" spans="1:32" s="439" customFormat="1" x14ac:dyDescent="0.2">
      <c r="A55" s="43" t="str">
        <f>DefaultData!B15</f>
        <v xml:space="preserve">     Land Acquisition Services</v>
      </c>
      <c r="B55" s="381">
        <f>C55*DefaultData!AH$13</f>
        <v>375000</v>
      </c>
      <c r="C55" s="248">
        <f>DefaultData!$D15</f>
        <v>2.5000000000000001E-2</v>
      </c>
      <c r="D55" s="531">
        <f>B55/B$20</f>
        <v>18750</v>
      </c>
      <c r="E55" s="93">
        <f>B55/(B$107)</f>
        <v>1.2558843816553094E-2</v>
      </c>
      <c r="F55" s="53">
        <f t="shared" ref="F55:F58" si="0">$U55</f>
        <v>0.5</v>
      </c>
      <c r="G55" s="457"/>
      <c r="H55" s="95"/>
      <c r="I55" s="210"/>
      <c r="J55" s="210"/>
      <c r="K55" s="95"/>
      <c r="L55" s="95"/>
      <c r="M55" s="95"/>
      <c r="N55" s="95"/>
      <c r="O55" s="95"/>
      <c r="P55" s="8"/>
      <c r="U55" s="53">
        <f>IF(U$15=0,DefaultData!$F15,IF(U$15=2,"Pop. Data Missing",IF($B$17&lt;DefaultData!$G$12,DefaultData!$G15,IF($B$17&lt;DefaultData!$H$12,DefaultData!$N15,IF($B$17&lt;DefaultData!$I$12,DefaultData!$Q15,DefaultData!$T15)))))</f>
        <v>0.5</v>
      </c>
      <c r="Y55" s="74"/>
      <c r="Z55" s="325"/>
      <c r="AA55" s="248">
        <f>DefaultData!$D15</f>
        <v>2.5000000000000001E-2</v>
      </c>
      <c r="AB55" s="664"/>
      <c r="AC55" s="184"/>
      <c r="AD55" s="53">
        <f t="shared" ref="AD55:AD58" si="1">$U55</f>
        <v>0.5</v>
      </c>
      <c r="AE55" s="673"/>
      <c r="AF55" s="131"/>
    </row>
    <row r="56" spans="1:32" s="439" customFormat="1" x14ac:dyDescent="0.2">
      <c r="A56" s="43" t="str">
        <f>DefaultData!B16</f>
        <v xml:space="preserve">     Private Land Acquisition Payment</v>
      </c>
      <c r="B56" s="381">
        <f>C56*DefaultData!AH$13</f>
        <v>363636.36363636365</v>
      </c>
      <c r="C56" s="248">
        <f>DefaultData!$D16</f>
        <v>2.4242424242424242E-2</v>
      </c>
      <c r="D56" s="531">
        <f t="shared" ref="D56:D58" si="2">B56/B$20</f>
        <v>18181.818181818184</v>
      </c>
      <c r="E56" s="93">
        <f>B56/(B$107)</f>
        <v>1.2178272791809061E-2</v>
      </c>
      <c r="F56" s="53">
        <f t="shared" si="0"/>
        <v>1</v>
      </c>
      <c r="G56" s="457"/>
      <c r="H56" s="95"/>
      <c r="I56" s="210"/>
      <c r="J56" s="210"/>
      <c r="K56" s="95"/>
      <c r="L56" s="95"/>
      <c r="M56" s="95"/>
      <c r="N56" s="95"/>
      <c r="O56" s="95"/>
      <c r="P56" s="8"/>
      <c r="U56" s="53">
        <f>IF(U$15=0,DefaultData!$F16,IF(U$15=2,"Pop. Data Missing",IF($B$17&lt;DefaultData!$G$12,DefaultData!$G16,IF($B$17&lt;DefaultData!$H$12,DefaultData!$N16,IF($B$17&lt;DefaultData!$I$12,DefaultData!$Q16,DefaultData!$T16)))))</f>
        <v>1</v>
      </c>
      <c r="Y56" s="74"/>
      <c r="Z56" s="325"/>
      <c r="AA56" s="248">
        <f>DefaultData!$D16</f>
        <v>2.4242424242424242E-2</v>
      </c>
      <c r="AB56" s="664"/>
      <c r="AC56" s="184"/>
      <c r="AD56" s="53">
        <f t="shared" si="1"/>
        <v>1</v>
      </c>
      <c r="AE56" s="673"/>
      <c r="AF56" s="131"/>
    </row>
    <row r="57" spans="1:32" s="439" customFormat="1" ht="14.25" customHeight="1" x14ac:dyDescent="0.2">
      <c r="A57" s="43" t="str">
        <f>DefaultData!B17</f>
        <v xml:space="preserve">     Engineering/Surveying/Geotechnical Consulting Services</v>
      </c>
      <c r="B57" s="381">
        <f>C57*DefaultData!AH$13</f>
        <v>900000</v>
      </c>
      <c r="C57" s="248">
        <f>DefaultData!$D17</f>
        <v>0.06</v>
      </c>
      <c r="D57" s="531">
        <f t="shared" si="2"/>
        <v>45000</v>
      </c>
      <c r="E57" s="93">
        <f>B57/(B$107)</f>
        <v>3.0141225159727426E-2</v>
      </c>
      <c r="F57" s="53">
        <f t="shared" si="0"/>
        <v>0.2</v>
      </c>
      <c r="G57" s="457"/>
      <c r="H57" s="95"/>
      <c r="I57" s="210"/>
      <c r="J57" s="210"/>
      <c r="K57" s="95"/>
      <c r="L57" s="95"/>
      <c r="M57" s="95"/>
      <c r="N57" s="95"/>
      <c r="O57" s="95"/>
      <c r="P57" s="8"/>
      <c r="U57" s="53">
        <f>IF(U$15=0,DefaultData!$F17,IF(U$15=2,"Pop. Data Missing",IF($B$17&lt;DefaultData!$G$12,DefaultData!$G17,IF($B$17&lt;DefaultData!$H$12,DefaultData!$N17,IF($B$17&lt;DefaultData!$I$12,DefaultData!$Q17,DefaultData!$T17)))))</f>
        <v>0.2</v>
      </c>
      <c r="Y57" s="74"/>
      <c r="Z57" s="325"/>
      <c r="AA57" s="248">
        <f>DefaultData!$D17</f>
        <v>0.06</v>
      </c>
      <c r="AB57" s="664"/>
      <c r="AC57" s="184"/>
      <c r="AD57" s="53">
        <f t="shared" si="1"/>
        <v>0.2</v>
      </c>
      <c r="AE57" s="673"/>
      <c r="AF57" s="131"/>
    </row>
    <row r="58" spans="1:32" s="439" customFormat="1" x14ac:dyDescent="0.2">
      <c r="A58" s="43" t="str">
        <f>DefaultData!B18</f>
        <v xml:space="preserve">     Environmental &amp; Permitting Services</v>
      </c>
      <c r="B58" s="381">
        <f>C58*DefaultData!AH$13</f>
        <v>675000</v>
      </c>
      <c r="C58" s="248">
        <f>DefaultData!$D18</f>
        <v>4.4999999999999998E-2</v>
      </c>
      <c r="D58" s="531">
        <f t="shared" si="2"/>
        <v>33750</v>
      </c>
      <c r="E58" s="93">
        <f>B58/(B$107)</f>
        <v>2.2605918869795572E-2</v>
      </c>
      <c r="F58" s="53">
        <f t="shared" si="0"/>
        <v>0.15</v>
      </c>
      <c r="G58" s="457"/>
      <c r="H58" s="95"/>
      <c r="I58" s="210"/>
      <c r="J58" s="210"/>
      <c r="K58" s="95"/>
      <c r="L58" s="95"/>
      <c r="M58" s="95"/>
      <c r="N58" s="95"/>
      <c r="O58" s="95"/>
      <c r="P58" s="8"/>
      <c r="U58" s="53">
        <f>IF(U$15=0,DefaultData!$F18,IF(U$15=2,"Pop. Data Missing",IF($B$17&lt;DefaultData!$G$12,DefaultData!$G18,IF($B$17&lt;DefaultData!$H$12,DefaultData!$N18,IF($B$17&lt;DefaultData!$I$12,DefaultData!$Q18,DefaultData!$T18)))))</f>
        <v>0.15</v>
      </c>
      <c r="Y58" s="74"/>
      <c r="Z58" s="325"/>
      <c r="AA58" s="248">
        <f>DefaultData!$D18</f>
        <v>4.4999999999999998E-2</v>
      </c>
      <c r="AB58" s="664"/>
      <c r="AC58" s="184"/>
      <c r="AD58" s="53">
        <f t="shared" si="1"/>
        <v>0.15</v>
      </c>
      <c r="AE58" s="673"/>
      <c r="AF58" s="131"/>
    </row>
    <row r="59" spans="1:32" s="439" customFormat="1" x14ac:dyDescent="0.2">
      <c r="A59" s="43" t="str">
        <f>DefaultData!B19</f>
        <v xml:space="preserve">  Subtotal Development and Preconstruction</v>
      </c>
      <c r="B59" s="381">
        <f>SUM(B55:B58)</f>
        <v>2313636.3636363638</v>
      </c>
      <c r="C59" s="94">
        <f>SUM(C55:C58)</f>
        <v>0.15424242424242424</v>
      </c>
      <c r="D59" s="538">
        <f>SUM(D55:D58)</f>
        <v>115681.81818181818</v>
      </c>
      <c r="E59" s="537">
        <f>SUM(E55:E58)</f>
        <v>7.7484260637885161E-2</v>
      </c>
      <c r="F59" s="40"/>
      <c r="G59" s="457"/>
      <c r="H59" s="95"/>
      <c r="I59" s="210"/>
      <c r="J59" s="210"/>
      <c r="K59" s="95"/>
      <c r="L59" s="95"/>
      <c r="M59" s="95"/>
      <c r="N59" s="95"/>
      <c r="O59" s="95"/>
      <c r="P59" s="8"/>
      <c r="U59" s="53"/>
      <c r="Y59" s="74"/>
      <c r="Z59" s="325"/>
      <c r="AA59" s="184">
        <f>SUM(AA55:AA58)</f>
        <v>0.15424242424242424</v>
      </c>
      <c r="AB59" s="665"/>
      <c r="AC59" s="666"/>
      <c r="AD59" s="162"/>
      <c r="AE59" s="673"/>
      <c r="AF59" s="131"/>
    </row>
    <row r="60" spans="1:32" s="462" customFormat="1" x14ac:dyDescent="0.2">
      <c r="A60" s="62" t="str">
        <f>DefaultData!B20</f>
        <v xml:space="preserve"> Construction Activities</v>
      </c>
      <c r="B60" s="381"/>
      <c r="C60" s="94"/>
      <c r="D60" s="538"/>
      <c r="E60" s="537"/>
      <c r="F60" s="40"/>
      <c r="G60" s="192"/>
      <c r="H60" s="95"/>
      <c r="I60" s="210"/>
      <c r="J60" s="210"/>
      <c r="K60" s="95"/>
      <c r="L60" s="95"/>
      <c r="M60" s="95"/>
      <c r="N60" s="95"/>
      <c r="O60" s="95"/>
      <c r="P60" s="8"/>
      <c r="U60" s="53"/>
      <c r="Y60" s="74"/>
      <c r="Z60" s="325"/>
      <c r="AA60" s="184"/>
      <c r="AB60" s="665"/>
      <c r="AC60" s="666"/>
      <c r="AD60" s="162"/>
      <c r="AE60" s="221"/>
      <c r="AF60" s="131"/>
    </row>
    <row r="61" spans="1:32" ht="13.5" customHeight="1" x14ac:dyDescent="0.2">
      <c r="A61" s="62" t="str">
        <f>DefaultData!B21</f>
        <v xml:space="preserve">  Materials &amp; Equipment</v>
      </c>
      <c r="B61" s="532"/>
      <c r="C61" s="529"/>
      <c r="D61" s="535"/>
      <c r="E61" s="65"/>
      <c r="F61" s="40"/>
      <c r="G61" s="192"/>
      <c r="H61" s="95"/>
      <c r="I61" s="95"/>
      <c r="J61" s="95"/>
      <c r="K61" s="95"/>
      <c r="L61" s="95"/>
      <c r="M61" s="95"/>
      <c r="N61" s="95"/>
      <c r="O61" s="95"/>
      <c r="P61" s="8"/>
      <c r="U61" s="53"/>
      <c r="Y61" s="74"/>
      <c r="Z61" s="670"/>
      <c r="AA61" s="683"/>
      <c r="AB61" s="667"/>
      <c r="AC61" s="215"/>
      <c r="AD61" s="162"/>
      <c r="AE61" s="221"/>
      <c r="AF61" s="131"/>
    </row>
    <row r="62" spans="1:32" ht="11.25" customHeight="1" x14ac:dyDescent="0.2">
      <c r="A62" s="43" t="str">
        <f>DefaultData!B22</f>
        <v xml:space="preserve">    Concrete, gravel, asphalt</v>
      </c>
      <c r="B62" s="381">
        <f>C62*DefaultData!AH$13</f>
        <v>600000</v>
      </c>
      <c r="C62" s="248">
        <f>DefaultData!$D22</f>
        <v>0.04</v>
      </c>
      <c r="D62" s="531">
        <f t="shared" ref="D62:D64" si="3">B62/B$20</f>
        <v>30000</v>
      </c>
      <c r="E62" s="93">
        <f>B62/(B$107)</f>
        <v>2.0094150106484951E-2</v>
      </c>
      <c r="F62" s="53">
        <f>$U62</f>
        <v>1</v>
      </c>
      <c r="G62" s="457"/>
      <c r="H62" s="95"/>
      <c r="I62" s="95"/>
      <c r="J62" s="95"/>
      <c r="K62" s="95"/>
      <c r="L62" s="95"/>
      <c r="M62" s="95"/>
      <c r="N62" s="95"/>
      <c r="O62" s="95"/>
      <c r="P62" s="8">
        <f t="shared" ref="P62:P64" si="4">F62*B62</f>
        <v>600000</v>
      </c>
      <c r="U62" s="53">
        <f>IF(U$15=0,DefaultData!$F22,IF(U$15=2,"Pop. Data Missing",IF($B$17&lt;DefaultData!$G$12,DefaultData!$G22,IF($B$17&lt;DefaultData!$H$12,DefaultData!$N22,IF($B$17&lt;DefaultData!$I$12,DefaultData!$Q22,DefaultData!$T22)))))</f>
        <v>1</v>
      </c>
      <c r="Y62" s="171"/>
      <c r="Z62" s="325"/>
      <c r="AA62" s="248">
        <f>DefaultData!$D22</f>
        <v>0.04</v>
      </c>
      <c r="AB62" s="664"/>
      <c r="AC62" s="184"/>
      <c r="AD62" s="53">
        <f>$U62</f>
        <v>1</v>
      </c>
      <c r="AE62" s="673"/>
      <c r="AF62" s="131"/>
    </row>
    <row r="63" spans="1:32" x14ac:dyDescent="0.2">
      <c r="A63" s="43" t="str">
        <f>DefaultData!B23</f>
        <v xml:space="preserve">    Steel structures and poles</v>
      </c>
      <c r="B63" s="381">
        <f>C63*DefaultData!AH$13</f>
        <v>4950000</v>
      </c>
      <c r="C63" s="248">
        <f>DefaultData!$D23</f>
        <v>0.33</v>
      </c>
      <c r="D63" s="531">
        <f t="shared" si="3"/>
        <v>247500</v>
      </c>
      <c r="E63" s="93">
        <f>B63/(B$107)</f>
        <v>0.16577673837850085</v>
      </c>
      <c r="F63" s="53">
        <f>$U63</f>
        <v>0</v>
      </c>
      <c r="G63" s="457"/>
      <c r="H63" s="95"/>
      <c r="I63" s="95"/>
      <c r="J63" s="95"/>
      <c r="K63" s="95"/>
      <c r="L63" s="95"/>
      <c r="M63" s="95"/>
      <c r="N63" s="95"/>
      <c r="O63" s="95"/>
      <c r="P63" s="8">
        <f t="shared" si="4"/>
        <v>0</v>
      </c>
      <c r="U63" s="53">
        <f>IF(U$15=0,DefaultData!$F23,IF(U$15=2,"Pop. Data Missing",IF($B$17&lt;DefaultData!$G$12,DefaultData!$G23,IF($B$17&lt;DefaultData!$H$12,DefaultData!$N23,IF($B$17&lt;DefaultData!$I$12,DefaultData!$Q23,DefaultData!$T23)))))</f>
        <v>0</v>
      </c>
      <c r="Y63" s="171"/>
      <c r="Z63" s="325"/>
      <c r="AA63" s="248">
        <f>DefaultData!$D23</f>
        <v>0.33</v>
      </c>
      <c r="AB63" s="664"/>
      <c r="AC63" s="184"/>
      <c r="AD63" s="53">
        <f>$U63</f>
        <v>0</v>
      </c>
      <c r="AE63" s="673"/>
      <c r="AF63" s="131"/>
    </row>
    <row r="64" spans="1:32" x14ac:dyDescent="0.2">
      <c r="A64" s="43" t="str">
        <f>DefaultData!B24</f>
        <v xml:space="preserve">    Overhead wires (conductor and insulators and shield wire)</v>
      </c>
      <c r="B64" s="381">
        <f>C64*DefaultData!AH$13</f>
        <v>3300000</v>
      </c>
      <c r="C64" s="248">
        <f>DefaultData!$D24</f>
        <v>0.22</v>
      </c>
      <c r="D64" s="531">
        <f t="shared" si="3"/>
        <v>165000</v>
      </c>
      <c r="E64" s="93">
        <f>B64/(B$107)</f>
        <v>0.11051782558566724</v>
      </c>
      <c r="F64" s="53">
        <f>$U64</f>
        <v>0</v>
      </c>
      <c r="G64" s="457"/>
      <c r="H64" s="95"/>
      <c r="I64" s="95"/>
      <c r="J64" s="95"/>
      <c r="K64" s="95"/>
      <c r="L64" s="95"/>
      <c r="M64" s="95"/>
      <c r="N64" s="95"/>
      <c r="O64" s="95"/>
      <c r="P64" s="8">
        <f t="shared" si="4"/>
        <v>0</v>
      </c>
      <c r="U64" s="53">
        <f>IF(U$15=0,DefaultData!$F24,IF(U$15=2,"Pop. Data Missing",IF($B$17&lt;DefaultData!$G$12,DefaultData!$G24,IF($B$17&lt;DefaultData!$H$12,DefaultData!$N24,IF($B$17&lt;DefaultData!$I$12,DefaultData!$Q24,DefaultData!$T24)))))</f>
        <v>0</v>
      </c>
      <c r="Y64" s="171"/>
      <c r="Z64" s="325"/>
      <c r="AA64" s="248">
        <f>DefaultData!$D24</f>
        <v>0.22</v>
      </c>
      <c r="AB64" s="664"/>
      <c r="AC64" s="184"/>
      <c r="AD64" s="53">
        <f>$U64</f>
        <v>0</v>
      </c>
      <c r="AE64" s="673"/>
      <c r="AF64" s="131"/>
    </row>
    <row r="65" spans="1:32" x14ac:dyDescent="0.2">
      <c r="A65" s="43" t="str">
        <f>DefaultData!B25</f>
        <v xml:space="preserve">  Subtotal Materials &amp; Equipment</v>
      </c>
      <c r="B65" s="381">
        <f>SUM(B62:B64)</f>
        <v>8850000</v>
      </c>
      <c r="C65" s="94">
        <f>SUM(C62:C64)</f>
        <v>0.59</v>
      </c>
      <c r="D65" s="538">
        <f>SUM(D62:D64)</f>
        <v>442500</v>
      </c>
      <c r="E65" s="93">
        <f>SUM(E62:E64)</f>
        <v>0.29638871407065304</v>
      </c>
      <c r="F65" s="241"/>
      <c r="G65" s="238"/>
      <c r="H65" s="95"/>
      <c r="I65" s="95"/>
      <c r="J65" s="95"/>
      <c r="K65" s="95"/>
      <c r="L65" s="95"/>
      <c r="M65" s="95"/>
      <c r="N65" s="95"/>
      <c r="O65" s="95"/>
      <c r="P65" s="8">
        <f>SUM(P62:P64)</f>
        <v>600000</v>
      </c>
      <c r="U65" s="53"/>
      <c r="Y65" s="171"/>
      <c r="Z65" s="325"/>
      <c r="AA65" s="184">
        <f>SUM(AA62:AA64)</f>
        <v>0.59</v>
      </c>
      <c r="AB65" s="665"/>
      <c r="AC65" s="184"/>
      <c r="AD65" s="681"/>
      <c r="AE65" s="674"/>
      <c r="AF65" s="131"/>
    </row>
    <row r="66" spans="1:32" x14ac:dyDescent="0.2">
      <c r="A66" s="62" t="str">
        <f>DefaultData!B26</f>
        <v xml:space="preserve">  Labor/Installation</v>
      </c>
      <c r="B66" s="381"/>
      <c r="C66" s="93"/>
      <c r="D66" s="536"/>
      <c r="E66" s="93"/>
      <c r="F66" s="241"/>
      <c r="G66" s="238"/>
      <c r="H66" s="95"/>
      <c r="I66" s="95"/>
      <c r="J66" s="95"/>
      <c r="K66" s="95"/>
      <c r="L66" s="95"/>
      <c r="M66" s="95"/>
      <c r="N66" s="95"/>
      <c r="O66" s="95"/>
      <c r="P66" s="8"/>
      <c r="U66" s="53"/>
      <c r="Y66" s="74"/>
      <c r="Z66" s="325"/>
      <c r="AA66" s="184"/>
      <c r="AB66" s="668"/>
      <c r="AC66" s="184"/>
      <c r="AD66" s="681"/>
      <c r="AE66" s="674"/>
      <c r="AF66" s="131"/>
    </row>
    <row r="67" spans="1:32" x14ac:dyDescent="0.2">
      <c r="A67" s="43" t="str">
        <f>DefaultData!B27</f>
        <v xml:space="preserve">    Civil (grading, roads, site prep, foundations, fencing)</v>
      </c>
      <c r="B67" s="381">
        <f>C67*DefaultData!AH$13</f>
        <v>1765400.1798561153</v>
      </c>
      <c r="C67" s="248">
        <f>DefaultData!$D27</f>
        <v>0.11769334532374101</v>
      </c>
      <c r="D67" s="531">
        <f t="shared" ref="D67:D68" si="5">B67/B$20</f>
        <v>88270.008992805757</v>
      </c>
      <c r="E67" s="93">
        <f>B67/(B$107)</f>
        <v>5.9123693686740517E-2</v>
      </c>
      <c r="F67" s="53">
        <f>$U67</f>
        <v>0.8</v>
      </c>
      <c r="G67" s="457"/>
      <c r="H67" s="95"/>
      <c r="I67" s="95"/>
      <c r="J67" s="95"/>
      <c r="K67" s="95"/>
      <c r="L67" s="95"/>
      <c r="M67" s="95"/>
      <c r="N67" s="95"/>
      <c r="O67" s="95"/>
      <c r="P67" s="8"/>
      <c r="U67" s="53">
        <f>IF(U$15=0,DefaultData!$F27,IF(U$15=2,"Pop. Data Missing",IF($B$17&lt;DefaultData!$G$12,DefaultData!$G27,IF($B$17&lt;DefaultData!$H$12,DefaultData!$N27,IF($B$17&lt;DefaultData!$I$12,DefaultData!$Q27,DefaultData!$T27)))))</f>
        <v>0.8</v>
      </c>
      <c r="Y67" s="171"/>
      <c r="Z67" s="325"/>
      <c r="AA67" s="248">
        <f>DefaultData!$D27</f>
        <v>0.11769334532374101</v>
      </c>
      <c r="AB67" s="664"/>
      <c r="AC67" s="184"/>
      <c r="AD67" s="53">
        <f>$U67</f>
        <v>0.8</v>
      </c>
      <c r="AE67" s="673"/>
      <c r="AF67" s="131"/>
    </row>
    <row r="68" spans="1:32" x14ac:dyDescent="0.2">
      <c r="A68" s="43" t="str">
        <f>DefaultData!B28</f>
        <v xml:space="preserve">    Heavy Construction (Tower erection, Conductor stringing)</v>
      </c>
      <c r="B68" s="381">
        <f>C68*DefaultData!AH$13</f>
        <v>3276000</v>
      </c>
      <c r="C68" s="248">
        <f>DefaultData!$D28</f>
        <v>0.21840000000000001</v>
      </c>
      <c r="D68" s="531">
        <f t="shared" si="5"/>
        <v>163800</v>
      </c>
      <c r="E68" s="93">
        <f>B68/(B$107)</f>
        <v>0.10971405958140783</v>
      </c>
      <c r="F68" s="53">
        <f>$U68</f>
        <v>0.5</v>
      </c>
      <c r="G68" s="457"/>
      <c r="H68" s="95"/>
      <c r="I68" s="95"/>
      <c r="J68" s="95"/>
      <c r="K68" s="95"/>
      <c r="L68" s="95"/>
      <c r="M68" s="95"/>
      <c r="N68" s="95"/>
      <c r="O68" s="95"/>
      <c r="P68" s="8"/>
      <c r="U68" s="53">
        <f>IF(U$15=0,DefaultData!$F28,IF(U$15=2,"Pop. Data Missing",IF($B$17&lt;DefaultData!$G$12,DefaultData!$G28,IF($B$17&lt;DefaultData!$H$12,DefaultData!$N28,IF($B$17&lt;DefaultData!$I$12,DefaultData!$Q28,DefaultData!$T28)))))</f>
        <v>0.5</v>
      </c>
      <c r="Y68" s="171"/>
      <c r="Z68" s="325"/>
      <c r="AA68" s="248">
        <f>DefaultData!$D28</f>
        <v>0.21840000000000001</v>
      </c>
      <c r="AB68" s="664"/>
      <c r="AC68" s="184"/>
      <c r="AD68" s="53">
        <f>$U68</f>
        <v>0.5</v>
      </c>
      <c r="AE68" s="673"/>
      <c r="AF68" s="131"/>
    </row>
    <row r="69" spans="1:32" x14ac:dyDescent="0.2">
      <c r="A69" s="43" t="str">
        <f>DefaultData!B29</f>
        <v xml:space="preserve">  Subtotal Labor/Installation</v>
      </c>
      <c r="B69" s="534">
        <f>SUM(B67:B68)</f>
        <v>5041400.179856115</v>
      </c>
      <c r="C69" s="93">
        <f>SUM(C67:C68)</f>
        <v>0.33609334532374102</v>
      </c>
      <c r="D69" s="534">
        <f>SUM(D67:D68)</f>
        <v>252070.00899280576</v>
      </c>
      <c r="E69" s="93">
        <f>SUM(E67:E68)</f>
        <v>0.16883775326814834</v>
      </c>
      <c r="F69" s="241"/>
      <c r="G69" s="238"/>
      <c r="H69" s="95"/>
      <c r="I69" s="95"/>
      <c r="J69" s="95"/>
      <c r="K69" s="95"/>
      <c r="L69" s="95"/>
      <c r="M69" s="95"/>
      <c r="N69" s="95"/>
      <c r="O69" s="95"/>
      <c r="P69" s="8"/>
      <c r="U69" s="53"/>
      <c r="Y69" s="171"/>
      <c r="Z69" s="669"/>
      <c r="AA69" s="184">
        <f>SUM(AA67:AA68)</f>
        <v>0.33609334532374102</v>
      </c>
      <c r="AB69" s="669"/>
      <c r="AC69" s="184"/>
      <c r="AD69" s="681"/>
      <c r="AE69" s="674"/>
      <c r="AF69" s="131"/>
    </row>
    <row r="70" spans="1:32" x14ac:dyDescent="0.2">
      <c r="A70" s="62" t="str">
        <f>DefaultData!B30</f>
        <v xml:space="preserve">  Total Transmission Line Cost</v>
      </c>
      <c r="B70" s="381">
        <f>B69+B65+B59</f>
        <v>16205036.543492477</v>
      </c>
      <c r="C70" s="94">
        <f>C69+C65+C59</f>
        <v>1.0803357695661653</v>
      </c>
      <c r="D70" s="381">
        <f>D69+D65+D59</f>
        <v>810251.82717462396</v>
      </c>
      <c r="E70" s="94">
        <f>E69+E65+E59</f>
        <v>0.54271072797668651</v>
      </c>
      <c r="F70" s="241"/>
      <c r="G70" s="238"/>
      <c r="H70" s="95"/>
      <c r="I70" s="95"/>
      <c r="J70" s="95"/>
      <c r="K70" s="95"/>
      <c r="L70" s="95"/>
      <c r="M70" s="95"/>
      <c r="N70" s="95"/>
      <c r="O70" s="95"/>
      <c r="P70" s="8"/>
      <c r="U70" s="53"/>
      <c r="Y70" s="171"/>
      <c r="Z70" s="325"/>
      <c r="AA70" s="184">
        <f>AA69+AA65+AA59</f>
        <v>1.0803357695661653</v>
      </c>
      <c r="AB70" s="325"/>
      <c r="AC70" s="184"/>
      <c r="AD70" s="681"/>
      <c r="AE70" s="674"/>
      <c r="AF70" s="131"/>
    </row>
    <row r="71" spans="1:32" s="462" customFormat="1" ht="6" customHeight="1" x14ac:dyDescent="0.2">
      <c r="A71" s="62"/>
      <c r="B71" s="381"/>
      <c r="C71" s="94"/>
      <c r="D71" s="381"/>
      <c r="E71" s="94"/>
      <c r="F71" s="241"/>
      <c r="G71" s="238"/>
      <c r="H71" s="95"/>
      <c r="I71" s="95"/>
      <c r="J71" s="95"/>
      <c r="K71" s="95"/>
      <c r="L71" s="95"/>
      <c r="M71" s="95"/>
      <c r="N71" s="95"/>
      <c r="O71" s="95"/>
      <c r="P71" s="8"/>
      <c r="U71" s="53"/>
      <c r="Y71" s="171"/>
      <c r="Z71" s="325"/>
      <c r="AA71" s="184"/>
      <c r="AB71" s="325"/>
      <c r="AC71" s="184"/>
      <c r="AD71" s="681"/>
      <c r="AE71" s="674"/>
      <c r="AF71" s="131"/>
    </row>
    <row r="72" spans="1:32" ht="25.5" x14ac:dyDescent="0.2">
      <c r="A72" s="62" t="str">
        <f>DefaultData!B31</f>
        <v xml:space="preserve"> Infrastructure Costs</v>
      </c>
      <c r="B72" s="546" t="s">
        <v>64</v>
      </c>
      <c r="C72" s="545" t="s">
        <v>553</v>
      </c>
      <c r="D72" s="545" t="s">
        <v>420</v>
      </c>
      <c r="E72" s="444" t="s">
        <v>419</v>
      </c>
      <c r="F72" s="645" t="s">
        <v>418</v>
      </c>
      <c r="G72" s="238"/>
      <c r="H72" s="95"/>
      <c r="I72" s="95"/>
      <c r="J72" s="95"/>
      <c r="K72" s="95"/>
      <c r="L72" s="95"/>
      <c r="M72" s="95"/>
      <c r="N72" s="95"/>
      <c r="O72" s="95"/>
      <c r="P72" s="8"/>
      <c r="U72" s="53"/>
      <c r="Y72" s="74"/>
      <c r="Z72" s="327"/>
      <c r="AA72" s="677" t="s">
        <v>553</v>
      </c>
      <c r="AB72" s="677"/>
      <c r="AC72" s="678"/>
      <c r="AD72" s="682" t="s">
        <v>418</v>
      </c>
      <c r="AE72" s="674"/>
      <c r="AF72" s="131"/>
    </row>
    <row r="73" spans="1:32" x14ac:dyDescent="0.2">
      <c r="A73" s="62" t="str">
        <f>DefaultData!B32</f>
        <v xml:space="preserve">  Materials &amp; Equipment</v>
      </c>
      <c r="B73" s="237"/>
      <c r="C73" s="352"/>
      <c r="D73" s="352"/>
      <c r="E73" s="65"/>
      <c r="F73" s="40"/>
      <c r="G73" s="238"/>
      <c r="H73" s="95"/>
      <c r="I73" s="95"/>
      <c r="J73" s="95"/>
      <c r="K73" s="95"/>
      <c r="L73" s="95"/>
      <c r="M73" s="95"/>
      <c r="N73" s="95"/>
      <c r="O73" s="95"/>
      <c r="P73" s="8"/>
      <c r="Y73" s="74"/>
      <c r="Z73" s="671"/>
      <c r="AA73" s="679"/>
      <c r="AB73" s="679"/>
      <c r="AC73" s="215"/>
      <c r="AD73" s="162"/>
      <c r="AE73" s="674"/>
      <c r="AF73" s="131"/>
    </row>
    <row r="74" spans="1:32" s="439" customFormat="1" x14ac:dyDescent="0.2">
      <c r="A74" s="43" t="str">
        <f>DefaultData!B33</f>
        <v xml:space="preserve">    Positions (new bays/circuits)</v>
      </c>
      <c r="B74" s="381">
        <f>C74*(B$35+B$37)</f>
        <v>1800000</v>
      </c>
      <c r="C74" s="530">
        <f>DefaultData!$D33</f>
        <v>600000</v>
      </c>
      <c r="D74" s="531">
        <f t="shared" ref="D74:D79" si="6">B74/B$20</f>
        <v>90000</v>
      </c>
      <c r="E74" s="93">
        <f>B74/(B$107)</f>
        <v>6.0282450319454853E-2</v>
      </c>
      <c r="F74" s="53">
        <f t="shared" ref="F74:F76" si="7">$U74</f>
        <v>0.05</v>
      </c>
      <c r="G74" s="238"/>
      <c r="H74" s="95"/>
      <c r="I74" s="95"/>
      <c r="J74" s="95"/>
      <c r="K74" s="95"/>
      <c r="L74" s="95"/>
      <c r="M74" s="95"/>
      <c r="N74" s="95"/>
      <c r="O74" s="95"/>
      <c r="P74" s="8">
        <f t="shared" ref="P74:P78" si="8">F74*B74</f>
        <v>90000</v>
      </c>
      <c r="U74" s="53">
        <f>IF(U$15=0,DefaultData!$F33,IF(U$15=2,"Pop. Data Missing",IF($B$17&lt;DefaultData!$G$12,DefaultData!$G33,IF($B$17&lt;DefaultData!$H$12,DefaultData!$N33,IF($B$17&lt;DefaultData!$I$12,DefaultData!$Q33,DefaultData!$T33)))))</f>
        <v>0.05</v>
      </c>
      <c r="Y74" s="74"/>
      <c r="Z74" s="325"/>
      <c r="AA74" s="530">
        <f>DefaultData!$D33</f>
        <v>600000</v>
      </c>
      <c r="AB74" s="664"/>
      <c r="AC74" s="184"/>
      <c r="AD74" s="53">
        <f t="shared" ref="AD74:AD76" si="9">$U74</f>
        <v>0.05</v>
      </c>
      <c r="AE74" s="674"/>
      <c r="AF74" s="131"/>
    </row>
    <row r="75" spans="1:32" s="439" customFormat="1" x14ac:dyDescent="0.2">
      <c r="A75" s="43" t="str">
        <f>DefaultData!B34</f>
        <v xml:space="preserve">    New Substation Facilities</v>
      </c>
      <c r="B75" s="381">
        <f>C75*B$34</f>
        <v>650000</v>
      </c>
      <c r="C75" s="530">
        <f>DefaultData!$D34</f>
        <v>650000</v>
      </c>
      <c r="D75" s="531">
        <f t="shared" si="6"/>
        <v>32500</v>
      </c>
      <c r="E75" s="93">
        <f>B75/(B$107)</f>
        <v>2.1768662615358696E-2</v>
      </c>
      <c r="F75" s="53">
        <f t="shared" si="7"/>
        <v>0.1</v>
      </c>
      <c r="G75" s="238"/>
      <c r="H75" s="95"/>
      <c r="I75" s="95"/>
      <c r="J75" s="95"/>
      <c r="K75" s="95"/>
      <c r="L75" s="95"/>
      <c r="M75" s="95"/>
      <c r="N75" s="95"/>
      <c r="O75" s="95"/>
      <c r="P75" s="8">
        <f t="shared" si="8"/>
        <v>65000</v>
      </c>
      <c r="U75" s="53">
        <f>IF(U$15=0,DefaultData!$F34,IF(U$15=2,"Pop. Data Missing",IF($B$17&lt;DefaultData!$G$12,DefaultData!$G34,IF($B$17&lt;DefaultData!$H$12,DefaultData!$N34,IF($B$17&lt;DefaultData!$I$12,DefaultData!$Q34,DefaultData!$T34)))))</f>
        <v>0.1</v>
      </c>
      <c r="Y75" s="74"/>
      <c r="Z75" s="325"/>
      <c r="AA75" s="530">
        <f>DefaultData!$D34</f>
        <v>650000</v>
      </c>
      <c r="AB75" s="664"/>
      <c r="AC75" s="184"/>
      <c r="AD75" s="53">
        <f t="shared" si="9"/>
        <v>0.1</v>
      </c>
      <c r="AE75" s="674"/>
      <c r="AF75" s="131"/>
    </row>
    <row r="76" spans="1:32" s="439" customFormat="1" x14ac:dyDescent="0.2">
      <c r="A76" s="43" t="str">
        <f>DefaultData!B35</f>
        <v xml:space="preserve">    Existing Substation Facilities (upgrades)</v>
      </c>
      <c r="B76" s="381">
        <f t="shared" ref="B76" si="10">C76*B$36</f>
        <v>20000</v>
      </c>
      <c r="C76" s="530">
        <f>DefaultData!$D35</f>
        <v>20000</v>
      </c>
      <c r="D76" s="531">
        <f t="shared" si="6"/>
        <v>1000</v>
      </c>
      <c r="E76" s="93">
        <f>B76/(B$107)</f>
        <v>6.6980500354949836E-4</v>
      </c>
      <c r="F76" s="53">
        <f t="shared" si="7"/>
        <v>0.1</v>
      </c>
      <c r="G76" s="238"/>
      <c r="H76" s="95"/>
      <c r="I76" s="95"/>
      <c r="J76" s="95"/>
      <c r="K76" s="95"/>
      <c r="L76" s="95"/>
      <c r="M76" s="95"/>
      <c r="N76" s="95"/>
      <c r="O76" s="95"/>
      <c r="P76" s="8">
        <f t="shared" si="8"/>
        <v>2000</v>
      </c>
      <c r="U76" s="53">
        <f>IF(U$15=0,DefaultData!$F35,IF(U$15=2,"Pop. Data Missing",IF($B$17&lt;DefaultData!$G$12,DefaultData!$G35,IF($B$17&lt;DefaultData!$H$12,DefaultData!$N35,IF($B$17&lt;DefaultData!$I$12,DefaultData!$Q35,DefaultData!$T35)))))</f>
        <v>0.1</v>
      </c>
      <c r="Y76" s="74"/>
      <c r="Z76" s="325"/>
      <c r="AA76" s="530">
        <f>DefaultData!$D35</f>
        <v>20000</v>
      </c>
      <c r="AB76" s="664"/>
      <c r="AC76" s="184"/>
      <c r="AD76" s="53">
        <f t="shared" si="9"/>
        <v>0.1</v>
      </c>
      <c r="AE76" s="674"/>
      <c r="AF76" s="131"/>
    </row>
    <row r="77" spans="1:32" x14ac:dyDescent="0.2">
      <c r="A77" s="43" t="str">
        <f>DefaultData!B36</f>
        <v xml:space="preserve">    Transformers, Series Compensation, etc.</v>
      </c>
      <c r="B77" s="381">
        <f>C77</f>
        <v>4800000</v>
      </c>
      <c r="C77" s="530">
        <f>DefaultData!$D36</f>
        <v>4800000</v>
      </c>
      <c r="D77" s="531">
        <f t="shared" si="6"/>
        <v>240000</v>
      </c>
      <c r="E77" s="93">
        <f>B77/(B$107)</f>
        <v>0.16075320085187961</v>
      </c>
      <c r="F77" s="53">
        <f>$U77</f>
        <v>0</v>
      </c>
      <c r="G77" s="238"/>
      <c r="H77" s="95"/>
      <c r="I77" s="95"/>
      <c r="J77" s="95"/>
      <c r="K77" s="95"/>
      <c r="L77" s="95"/>
      <c r="M77" s="95"/>
      <c r="N77" s="95"/>
      <c r="O77" s="95"/>
      <c r="P77" s="8">
        <f t="shared" si="8"/>
        <v>0</v>
      </c>
      <c r="U77" s="53">
        <f>IF(U$15=0,DefaultData!$F36,IF(U$15=2,"Pop. Data Missing",IF($B$17&lt;DefaultData!$G$12,DefaultData!$G36,IF($B$17&lt;DefaultData!$H$12,DefaultData!$N36,IF($B$17&lt;DefaultData!$I$12,DefaultData!$Q36,DefaultData!$T36)))))</f>
        <v>0</v>
      </c>
      <c r="Y77" s="171"/>
      <c r="Z77" s="325"/>
      <c r="AA77" s="530">
        <f>DefaultData!$D36</f>
        <v>4800000</v>
      </c>
      <c r="AB77" s="664"/>
      <c r="AC77" s="184"/>
      <c r="AD77" s="53">
        <f>$U77</f>
        <v>0</v>
      </c>
      <c r="AE77" s="674"/>
      <c r="AF77" s="131"/>
    </row>
    <row r="78" spans="1:32" x14ac:dyDescent="0.2">
      <c r="A78" s="43" t="str">
        <f>DefaultData!B37</f>
        <v xml:space="preserve">    Converter Station (includes ground electrode)</v>
      </c>
      <c r="B78" s="381">
        <f>C78*DefaultData!E$5</f>
        <v>0</v>
      </c>
      <c r="C78" s="530">
        <f>DefaultData!$D37</f>
        <v>0</v>
      </c>
      <c r="D78" s="531">
        <f t="shared" si="6"/>
        <v>0</v>
      </c>
      <c r="E78" s="93">
        <f>B78/(B$107)</f>
        <v>0</v>
      </c>
      <c r="F78" s="53">
        <f>$U78</f>
        <v>0</v>
      </c>
      <c r="G78" s="255"/>
      <c r="H78" s="95"/>
      <c r="I78" s="95"/>
      <c r="J78" s="95"/>
      <c r="K78" s="95"/>
      <c r="L78" s="95"/>
      <c r="M78" s="95"/>
      <c r="N78" s="95"/>
      <c r="O78" s="95"/>
      <c r="P78" s="8">
        <f t="shared" si="8"/>
        <v>0</v>
      </c>
      <c r="U78" s="53">
        <f>IF(U$15=0,DefaultData!$F37,IF(U$15=2,"Pop. Data Missing",IF($B$17&lt;DefaultData!$G$12,DefaultData!$G37,IF($B$17&lt;DefaultData!$H$12,DefaultData!$N37,IF($B$17&lt;DefaultData!$I$12,DefaultData!$Q37,DefaultData!$T37)))))</f>
        <v>0</v>
      </c>
      <c r="Y78" s="171"/>
      <c r="Z78" s="325"/>
      <c r="AA78" s="530">
        <f>DefaultData!$D37</f>
        <v>0</v>
      </c>
      <c r="AB78" s="664"/>
      <c r="AC78" s="184"/>
      <c r="AD78" s="53">
        <f>$U78</f>
        <v>0</v>
      </c>
      <c r="AE78" s="675"/>
      <c r="AF78" s="131"/>
    </row>
    <row r="79" spans="1:32" x14ac:dyDescent="0.2">
      <c r="A79" s="43" t="str">
        <f>DefaultData!B38</f>
        <v xml:space="preserve">  Subtotal Materials &amp; Equipment</v>
      </c>
      <c r="B79" s="381">
        <f>SUM(B74:B78)</f>
        <v>7270000</v>
      </c>
      <c r="C79" s="381">
        <f>SUM(C74:C78)</f>
        <v>6070000</v>
      </c>
      <c r="D79" s="531">
        <f t="shared" si="6"/>
        <v>363500</v>
      </c>
      <c r="E79" s="93">
        <f>SUM(E74:E78)</f>
        <v>0.24347411879024267</v>
      </c>
      <c r="F79" s="241"/>
      <c r="G79" s="238"/>
      <c r="H79" s="95"/>
      <c r="I79" s="95"/>
      <c r="J79" s="95"/>
      <c r="K79" s="95"/>
      <c r="L79" s="95"/>
      <c r="M79" s="95"/>
      <c r="N79" s="95"/>
      <c r="O79" s="95"/>
      <c r="P79" s="8">
        <f>SUM(P74:P78)</f>
        <v>157000</v>
      </c>
      <c r="U79" s="53"/>
      <c r="Y79" s="171"/>
      <c r="Z79" s="325"/>
      <c r="AA79" s="325">
        <f>SUM(AA74:AA78)</f>
        <v>6070000</v>
      </c>
      <c r="AB79" s="664"/>
      <c r="AC79" s="184"/>
      <c r="AD79" s="681"/>
      <c r="AE79" s="674"/>
      <c r="AF79" s="131"/>
    </row>
    <row r="80" spans="1:32" x14ac:dyDescent="0.2">
      <c r="A80" s="62" t="str">
        <f>DefaultData!B39</f>
        <v xml:space="preserve">  Labor</v>
      </c>
      <c r="B80" s="381"/>
      <c r="C80" s="381"/>
      <c r="D80" s="381"/>
      <c r="E80" s="93"/>
      <c r="F80" s="241"/>
      <c r="G80" s="238"/>
      <c r="H80" s="95"/>
      <c r="I80" s="95"/>
      <c r="J80" s="95"/>
      <c r="K80" s="95"/>
      <c r="L80" s="95"/>
      <c r="M80" s="95"/>
      <c r="N80" s="95"/>
      <c r="O80" s="95"/>
      <c r="P80" s="8"/>
      <c r="U80" s="53"/>
      <c r="Y80" s="171"/>
      <c r="Z80" s="325"/>
      <c r="AA80" s="325"/>
      <c r="AB80" s="325"/>
      <c r="AC80" s="184"/>
      <c r="AD80" s="681"/>
      <c r="AE80" s="674"/>
      <c r="AF80" s="131"/>
    </row>
    <row r="81" spans="1:32" x14ac:dyDescent="0.2">
      <c r="A81" s="43" t="str">
        <f>DefaultData!B40</f>
        <v xml:space="preserve">    Positions (new bays/circuits)</v>
      </c>
      <c r="B81" s="381">
        <f>C81*(B$35+B$37)</f>
        <v>2092500</v>
      </c>
      <c r="C81" s="530">
        <f>DefaultData!$D40</f>
        <v>697500</v>
      </c>
      <c r="D81" s="531">
        <f t="shared" ref="D81:D85" si="11">B81/B$20</f>
        <v>104625</v>
      </c>
      <c r="E81" s="93">
        <f>B81/(B$107)</f>
        <v>7.0078348496366266E-2</v>
      </c>
      <c r="F81" s="53">
        <f>$U81</f>
        <v>0.2</v>
      </c>
      <c r="G81" s="238"/>
      <c r="H81" s="95"/>
      <c r="I81" s="95"/>
      <c r="J81" s="95"/>
      <c r="K81" s="95"/>
      <c r="L81" s="95"/>
      <c r="M81" s="95"/>
      <c r="N81" s="95"/>
      <c r="O81" s="95"/>
      <c r="P81" s="8">
        <f t="shared" ref="P81:P86" si="12">F81*B81</f>
        <v>418500</v>
      </c>
      <c r="U81" s="53">
        <f>IF(U$15=0,DefaultData!$F40,IF(U$15=2,"Pop. Data Missing",IF($B$17&lt;DefaultData!$G$12,DefaultData!$G40,IF($B$17&lt;DefaultData!$H$12,DefaultData!$N40,IF($B$17&lt;DefaultData!$I$12,DefaultData!$Q40,DefaultData!$T40)))))</f>
        <v>0.2</v>
      </c>
      <c r="Y81" s="171"/>
      <c r="Z81" s="325"/>
      <c r="AA81" s="530">
        <f>DefaultData!$D40</f>
        <v>697500</v>
      </c>
      <c r="AB81" s="664"/>
      <c r="AC81" s="184"/>
      <c r="AD81" s="53">
        <f>$U81</f>
        <v>0.2</v>
      </c>
      <c r="AE81" s="674"/>
      <c r="AF81" s="131"/>
    </row>
    <row r="82" spans="1:32" s="439" customFormat="1" x14ac:dyDescent="0.2">
      <c r="A82" s="43" t="str">
        <f>DefaultData!B41</f>
        <v xml:space="preserve">    New Substation</v>
      </c>
      <c r="B82" s="381">
        <f>C82*B$34</f>
        <v>744000</v>
      </c>
      <c r="C82" s="530">
        <f>DefaultData!$D41</f>
        <v>744000</v>
      </c>
      <c r="D82" s="531">
        <f t="shared" si="11"/>
        <v>37200</v>
      </c>
      <c r="E82" s="93">
        <f>B82/(B$107)</f>
        <v>2.491674613204134E-2</v>
      </c>
      <c r="F82" s="53">
        <f>$U82</f>
        <v>0.3</v>
      </c>
      <c r="G82" s="238"/>
      <c r="H82" s="95"/>
      <c r="I82" s="95"/>
      <c r="J82" s="95"/>
      <c r="K82" s="95"/>
      <c r="L82" s="95"/>
      <c r="M82" s="95"/>
      <c r="N82" s="95"/>
      <c r="O82" s="95"/>
      <c r="P82" s="8">
        <f t="shared" si="12"/>
        <v>223200</v>
      </c>
      <c r="U82" s="53">
        <f>IF(U$15=0,DefaultData!$F41,IF(U$15=2,"Pop. Data Missing",IF($B$17&lt;DefaultData!$G$12,DefaultData!$G41,IF($B$17&lt;DefaultData!$H$12,DefaultData!$N41,IF($B$17&lt;DefaultData!$I$12,DefaultData!$Q41,DefaultData!$T41)))))</f>
        <v>0.3</v>
      </c>
      <c r="Y82" s="171"/>
      <c r="Z82" s="325"/>
      <c r="AA82" s="530">
        <f>DefaultData!$D41</f>
        <v>744000</v>
      </c>
      <c r="AB82" s="664"/>
      <c r="AC82" s="184"/>
      <c r="AD82" s="53">
        <f>$U82</f>
        <v>0.3</v>
      </c>
      <c r="AE82" s="674"/>
      <c r="AF82" s="131"/>
    </row>
    <row r="83" spans="1:32" x14ac:dyDescent="0.2">
      <c r="A83" s="43" t="str">
        <f>DefaultData!B42</f>
        <v xml:space="preserve">    Existing Substation Facilities (upgrades)</v>
      </c>
      <c r="B83" s="381">
        <f t="shared" ref="B83" si="13">C83*B$36</f>
        <v>27900</v>
      </c>
      <c r="C83" s="530">
        <f>DefaultData!$D42</f>
        <v>27900</v>
      </c>
      <c r="D83" s="531">
        <f t="shared" si="11"/>
        <v>1395</v>
      </c>
      <c r="E83" s="93">
        <f>B83/(B$107)</f>
        <v>9.3437797995155026E-4</v>
      </c>
      <c r="F83" s="53">
        <f>$U83</f>
        <v>0.2</v>
      </c>
      <c r="G83" s="238"/>
      <c r="H83" s="95"/>
      <c r="I83" s="95"/>
      <c r="J83" s="95"/>
      <c r="K83" s="95"/>
      <c r="L83" s="95"/>
      <c r="M83" s="95"/>
      <c r="N83" s="95"/>
      <c r="O83" s="95"/>
      <c r="P83" s="8">
        <f t="shared" si="12"/>
        <v>5580</v>
      </c>
      <c r="U83" s="53">
        <f>IF(U$15=0,DefaultData!$F42,IF(U$15=2,"Pop. Data Missing",IF($B$17&lt;DefaultData!$G$12,DefaultData!$G42,IF($B$17&lt;DefaultData!$H$12,DefaultData!$N42,IF($B$17&lt;DefaultData!$I$12,DefaultData!$Q42,DefaultData!$T42)))))</f>
        <v>0.2</v>
      </c>
      <c r="Y83" s="171"/>
      <c r="Z83" s="325"/>
      <c r="AA83" s="530">
        <f>DefaultData!$D42</f>
        <v>27900</v>
      </c>
      <c r="AB83" s="664"/>
      <c r="AC83" s="184"/>
      <c r="AD83" s="53">
        <f>$U83</f>
        <v>0.2</v>
      </c>
      <c r="AE83" s="674"/>
      <c r="AF83" s="131"/>
    </row>
    <row r="84" spans="1:32" s="462" customFormat="1" x14ac:dyDescent="0.2">
      <c r="A84" s="43" t="str">
        <f>DefaultData!B43</f>
        <v xml:space="preserve">    Transformers, Series Compensation, etc.</v>
      </c>
      <c r="B84" s="381">
        <f>C84</f>
        <v>0</v>
      </c>
      <c r="C84" s="530">
        <f>DefaultData!$D43</f>
        <v>0</v>
      </c>
      <c r="D84" s="531">
        <f t="shared" si="11"/>
        <v>0</v>
      </c>
      <c r="E84" s="93">
        <f>B84/(B$107)</f>
        <v>0</v>
      </c>
      <c r="F84" s="53">
        <f>$U84</f>
        <v>0.2</v>
      </c>
      <c r="G84" s="238"/>
      <c r="H84" s="95"/>
      <c r="I84" s="95"/>
      <c r="J84" s="95"/>
      <c r="K84" s="95"/>
      <c r="L84" s="95"/>
      <c r="M84" s="95"/>
      <c r="N84" s="95"/>
      <c r="O84" s="95"/>
      <c r="P84" s="8">
        <f t="shared" si="12"/>
        <v>0</v>
      </c>
      <c r="U84" s="53">
        <f>IF(U$15=0,DefaultData!$F43,IF(U$15=2,"Pop. Data Missing",IF($B$17&lt;DefaultData!$G$12,DefaultData!$G43,IF($B$17&lt;DefaultData!$H$12,DefaultData!$N43,IF($B$17&lt;DefaultData!$I$12,DefaultData!$Q43,DefaultData!$T43)))))</f>
        <v>0.2</v>
      </c>
      <c r="Y84" s="171"/>
      <c r="Z84" s="325"/>
      <c r="AA84" s="530">
        <f>DefaultData!$D43</f>
        <v>0</v>
      </c>
      <c r="AB84" s="664"/>
      <c r="AC84" s="184"/>
      <c r="AD84" s="53">
        <f>$U84</f>
        <v>0.2</v>
      </c>
      <c r="AE84" s="674"/>
      <c r="AF84" s="131"/>
    </row>
    <row r="85" spans="1:32" x14ac:dyDescent="0.2">
      <c r="A85" s="43" t="str">
        <f>DefaultData!B44</f>
        <v xml:space="preserve">    Converter Station</v>
      </c>
      <c r="B85" s="381">
        <f>C85*DefaultData!E$5</f>
        <v>0</v>
      </c>
      <c r="C85" s="530">
        <f>DefaultData!$D44</f>
        <v>0</v>
      </c>
      <c r="D85" s="531">
        <f t="shared" si="11"/>
        <v>0</v>
      </c>
      <c r="E85" s="93">
        <f>B85/(B$107)</f>
        <v>0</v>
      </c>
      <c r="F85" s="53">
        <f>$U85</f>
        <v>0.05</v>
      </c>
      <c r="G85" s="238"/>
      <c r="H85" s="95"/>
      <c r="I85" s="95"/>
      <c r="J85" s="95"/>
      <c r="K85" s="95"/>
      <c r="L85" s="95"/>
      <c r="M85" s="95"/>
      <c r="N85" s="95"/>
      <c r="O85" s="95"/>
      <c r="P85" s="8">
        <f t="shared" si="12"/>
        <v>0</v>
      </c>
      <c r="U85" s="53">
        <f>IF(U$15=0,DefaultData!$F44,IF(U$15=2,"Pop. Data Missing",IF($B$17&lt;DefaultData!$G$12,DefaultData!$G44,IF($B$17&lt;DefaultData!$H$12,DefaultData!$N44,IF($B$17&lt;DefaultData!$I$12,DefaultData!$Q44,DefaultData!$T44)))))</f>
        <v>0.05</v>
      </c>
      <c r="Y85" s="171"/>
      <c r="Z85" s="325"/>
      <c r="AA85" s="530">
        <f>DefaultData!$D44</f>
        <v>0</v>
      </c>
      <c r="AB85" s="664"/>
      <c r="AC85" s="184"/>
      <c r="AD85" s="53">
        <f>$U85</f>
        <v>0.05</v>
      </c>
      <c r="AE85" s="674"/>
      <c r="AF85" s="131"/>
    </row>
    <row r="86" spans="1:32" x14ac:dyDescent="0.2">
      <c r="A86" s="43" t="str">
        <f>DefaultData!B45</f>
        <v xml:space="preserve">  Subtotal Labor</v>
      </c>
      <c r="B86" s="381">
        <f>SUM(B81:B85)</f>
        <v>2864400</v>
      </c>
      <c r="C86" s="381">
        <f>SUM(C81:C85)</f>
        <v>1469400</v>
      </c>
      <c r="D86" s="381">
        <f>SUM(D81:D85)</f>
        <v>143220</v>
      </c>
      <c r="E86" s="93">
        <f>SUM(E81:E85)</f>
        <v>9.5929472608359156E-2</v>
      </c>
      <c r="F86" s="241"/>
      <c r="G86" s="238"/>
      <c r="H86" s="95"/>
      <c r="I86" s="95"/>
      <c r="J86" s="95"/>
      <c r="K86" s="95"/>
      <c r="L86" s="95"/>
      <c r="M86" s="95"/>
      <c r="N86" s="95"/>
      <c r="O86" s="95"/>
      <c r="P86" s="8">
        <f t="shared" si="12"/>
        <v>0</v>
      </c>
      <c r="U86" s="53"/>
      <c r="Y86" s="74"/>
      <c r="Z86" s="325"/>
      <c r="AA86" s="325">
        <f>SUM(AA81:AA85)</f>
        <v>1469400</v>
      </c>
      <c r="AB86" s="325"/>
      <c r="AC86" s="184"/>
      <c r="AD86" s="681"/>
      <c r="AE86" s="674"/>
      <c r="AF86" s="131"/>
    </row>
    <row r="87" spans="1:32" x14ac:dyDescent="0.2">
      <c r="A87" s="62" t="str">
        <f>DefaultData!B46</f>
        <v xml:space="preserve">  Total Infrastructure Costs</v>
      </c>
      <c r="B87" s="381">
        <f>B86+B79</f>
        <v>10134400</v>
      </c>
      <c r="C87" s="381">
        <f>C86+C79</f>
        <v>7539400</v>
      </c>
      <c r="D87" s="381">
        <f>D86+D79</f>
        <v>506720</v>
      </c>
      <c r="E87" s="94">
        <f>E86+E79</f>
        <v>0.33940359139860182</v>
      </c>
      <c r="F87" s="241"/>
      <c r="G87" s="238"/>
      <c r="H87" s="95"/>
      <c r="I87" s="95"/>
      <c r="J87" s="95"/>
      <c r="K87" s="95"/>
      <c r="L87" s="95"/>
      <c r="M87" s="95"/>
      <c r="N87" s="95"/>
      <c r="O87" s="95"/>
      <c r="P87" s="8"/>
      <c r="U87" s="53"/>
      <c r="Y87" s="74"/>
      <c r="Z87" s="325"/>
      <c r="AA87" s="325">
        <f>AA86+AA79</f>
        <v>7539400</v>
      </c>
      <c r="AB87" s="325"/>
      <c r="AC87" s="184"/>
      <c r="AD87" s="681"/>
      <c r="AE87" s="674"/>
      <c r="AF87" s="131"/>
    </row>
    <row r="88" spans="1:32" s="462" customFormat="1" ht="8.25" customHeight="1" x14ac:dyDescent="0.2">
      <c r="A88" s="62"/>
      <c r="B88" s="381"/>
      <c r="C88" s="381"/>
      <c r="D88" s="381"/>
      <c r="E88" s="94"/>
      <c r="F88" s="241"/>
      <c r="G88" s="238"/>
      <c r="H88" s="95"/>
      <c r="I88" s="95"/>
      <c r="J88" s="95"/>
      <c r="K88" s="95"/>
      <c r="L88" s="95"/>
      <c r="M88" s="95"/>
      <c r="N88" s="95"/>
      <c r="O88" s="95"/>
      <c r="P88" s="8"/>
      <c r="U88" s="53"/>
      <c r="Y88" s="74"/>
      <c r="Z88" s="325"/>
      <c r="AA88" s="325"/>
      <c r="AB88" s="325"/>
      <c r="AC88" s="184"/>
      <c r="AD88" s="681"/>
      <c r="AE88" s="674"/>
      <c r="AF88" s="131"/>
    </row>
    <row r="89" spans="1:32" ht="25.5" x14ac:dyDescent="0.2">
      <c r="A89" s="62" t="str">
        <f>DefaultData!B47</f>
        <v>Services/Other Costs</v>
      </c>
      <c r="B89" s="546" t="s">
        <v>64</v>
      </c>
      <c r="C89" s="643" t="s">
        <v>628</v>
      </c>
      <c r="D89" s="544" t="s">
        <v>420</v>
      </c>
      <c r="E89" s="444" t="s">
        <v>419</v>
      </c>
      <c r="F89" s="645" t="s">
        <v>418</v>
      </c>
      <c r="G89" s="238"/>
      <c r="H89" s="95"/>
      <c r="I89" s="95"/>
      <c r="J89" s="95"/>
      <c r="K89" s="95"/>
      <c r="L89" s="95"/>
      <c r="M89" s="95"/>
      <c r="N89" s="95"/>
      <c r="O89" s="95"/>
      <c r="P89" s="8"/>
      <c r="Y89" s="74"/>
      <c r="Z89" s="327"/>
      <c r="AA89" s="661" t="s">
        <v>628</v>
      </c>
      <c r="AB89" s="677"/>
      <c r="AC89" s="678"/>
      <c r="AD89" s="682" t="s">
        <v>418</v>
      </c>
      <c r="AE89" s="674"/>
      <c r="AF89" s="131"/>
    </row>
    <row r="90" spans="1:32" s="462" customFormat="1" x14ac:dyDescent="0.2">
      <c r="A90" s="62" t="str">
        <f>DefaultData!B48</f>
        <v xml:space="preserve"> Transmission Line Services</v>
      </c>
      <c r="B90" s="532"/>
      <c r="C90" s="443"/>
      <c r="D90" s="544"/>
      <c r="E90" s="444"/>
      <c r="F90" s="445"/>
      <c r="G90" s="238"/>
      <c r="H90" s="95"/>
      <c r="I90" s="95"/>
      <c r="J90" s="95"/>
      <c r="K90" s="95"/>
      <c r="L90" s="95"/>
      <c r="M90" s="95"/>
      <c r="N90" s="95"/>
      <c r="O90" s="95"/>
      <c r="P90" s="8"/>
      <c r="Y90" s="74"/>
      <c r="Z90" s="670"/>
      <c r="AA90" s="682"/>
      <c r="AB90" s="677"/>
      <c r="AC90" s="678"/>
      <c r="AD90" s="682"/>
      <c r="AE90" s="674"/>
      <c r="AF90" s="131"/>
    </row>
    <row r="91" spans="1:32" s="462" customFormat="1" x14ac:dyDescent="0.2">
      <c r="A91" s="43" t="str">
        <f>DefaultData!B49</f>
        <v xml:space="preserve">  T-Line Management Services (Site mgmt, legal, lands, ins, PR, etc.)</v>
      </c>
      <c r="B91" s="381">
        <f>C91*DefaultData!AH$13</f>
        <v>375000</v>
      </c>
      <c r="C91" s="248">
        <f>DefaultData!$D49</f>
        <v>2.5000000000000001E-2</v>
      </c>
      <c r="D91" s="531">
        <f t="shared" ref="D91:D102" si="14">B91/B$20</f>
        <v>18750</v>
      </c>
      <c r="E91" s="93">
        <f>B91/(B$107)</f>
        <v>1.2558843816553094E-2</v>
      </c>
      <c r="F91" s="53">
        <f t="shared" ref="F91" si="15">$U91</f>
        <v>0.6</v>
      </c>
      <c r="G91" s="457"/>
      <c r="H91" s="95"/>
      <c r="I91" s="95"/>
      <c r="J91" s="95"/>
      <c r="K91" s="95"/>
      <c r="L91" s="95"/>
      <c r="M91" s="95"/>
      <c r="N91" s="95"/>
      <c r="O91" s="95"/>
      <c r="P91" s="8">
        <f t="shared" ref="P91:P92" si="16">F91*B91</f>
        <v>225000</v>
      </c>
      <c r="U91" s="53">
        <f>IF(U$15=0,DefaultData!$F49,IF(U$15=2,"Pop. Data Missing",IF($B$17&lt;DefaultData!$G$12,DefaultData!$G49,IF($B$17&lt;DefaultData!$H$12,DefaultData!$N49,IF($B$17&lt;DefaultData!$I$12,DefaultData!$Q49,DefaultData!$T49)))))</f>
        <v>0.6</v>
      </c>
      <c r="Y91" s="74"/>
      <c r="Z91" s="325"/>
      <c r="AA91" s="248">
        <f>DefaultData!$D49</f>
        <v>2.5000000000000001E-2</v>
      </c>
      <c r="AB91" s="664"/>
      <c r="AC91" s="184"/>
      <c r="AD91" s="53">
        <f t="shared" ref="AD91:AD102" si="17">$U91</f>
        <v>0.6</v>
      </c>
      <c r="AE91" s="673"/>
      <c r="AF91" s="131"/>
    </row>
    <row r="92" spans="1:32" s="462" customFormat="1" x14ac:dyDescent="0.2">
      <c r="A92" s="43" t="str">
        <f>DefaultData!B50</f>
        <v xml:space="preserve">  T-Line Engineering, Const Mgmt, &amp; Environmental Monitoring</v>
      </c>
      <c r="B92" s="381">
        <f>C92*DefaultData!AH$13</f>
        <v>750000</v>
      </c>
      <c r="C92" s="248">
        <f>DefaultData!$D50</f>
        <v>0.05</v>
      </c>
      <c r="D92" s="531">
        <f>B92/B$20</f>
        <v>37500</v>
      </c>
      <c r="E92" s="93">
        <f>B92/(B$107)</f>
        <v>2.5117687633106189E-2</v>
      </c>
      <c r="F92" s="53">
        <f>$U92</f>
        <v>0.6</v>
      </c>
      <c r="G92" s="457"/>
      <c r="H92" s="95"/>
      <c r="I92" s="95"/>
      <c r="J92" s="95"/>
      <c r="K92" s="95"/>
      <c r="L92" s="95"/>
      <c r="M92" s="95"/>
      <c r="N92" s="95"/>
      <c r="O92" s="95"/>
      <c r="P92" s="8">
        <f t="shared" si="16"/>
        <v>450000</v>
      </c>
      <c r="U92" s="53">
        <f>IF(U$15=0,DefaultData!$F50,IF(U$15=2,"Pop. Data Missing",IF($B$17&lt;DefaultData!$G$12,DefaultData!$G50,IF($B$17&lt;DefaultData!$H$12,DefaultData!$N50,IF($B$17&lt;DefaultData!$I$12,DefaultData!$Q50,DefaultData!$T50)))))</f>
        <v>0.6</v>
      </c>
      <c r="Y92" s="74"/>
      <c r="Z92" s="325"/>
      <c r="AA92" s="248">
        <f>DefaultData!$D50</f>
        <v>0.05</v>
      </c>
      <c r="AB92" s="664"/>
      <c r="AC92" s="184"/>
      <c r="AD92" s="53">
        <f>$U92</f>
        <v>0.6</v>
      </c>
      <c r="AE92" s="673"/>
      <c r="AF92" s="131"/>
    </row>
    <row r="93" spans="1:32" s="462" customFormat="1" x14ac:dyDescent="0.2">
      <c r="A93" s="191" t="str">
        <f>DefaultData!B51</f>
        <v xml:space="preserve"> Subtotal</v>
      </c>
      <c r="B93" s="551">
        <f>SUM(B91:B92)</f>
        <v>1125000</v>
      </c>
      <c r="C93" s="94">
        <f>SUM(C91:C92)</f>
        <v>7.5000000000000011E-2</v>
      </c>
      <c r="D93" s="531">
        <f>SUM(D91:D92)</f>
        <v>56250</v>
      </c>
      <c r="E93" s="93">
        <f>SUM(E91:E92)</f>
        <v>3.7676531449659281E-2</v>
      </c>
      <c r="F93" s="549"/>
      <c r="G93" s="238"/>
      <c r="H93" s="95"/>
      <c r="I93" s="95"/>
      <c r="J93" s="95"/>
      <c r="K93" s="95"/>
      <c r="L93" s="95"/>
      <c r="M93" s="95"/>
      <c r="N93" s="95"/>
      <c r="O93" s="95"/>
      <c r="P93" s="8"/>
      <c r="Y93" s="74"/>
      <c r="Z93" s="669"/>
      <c r="AA93" s="181">
        <f>SUM(AA91:AA92)</f>
        <v>7.5000000000000011E-2</v>
      </c>
      <c r="AB93" s="664"/>
      <c r="AC93" s="184"/>
      <c r="AD93" s="53"/>
      <c r="AE93" s="674"/>
      <c r="AF93" s="131"/>
    </row>
    <row r="94" spans="1:32" s="462" customFormat="1" ht="51" x14ac:dyDescent="0.2">
      <c r="A94" s="62" t="str">
        <f>DefaultData!B52</f>
        <v xml:space="preserve"> Infrastructure Services</v>
      </c>
      <c r="B94" s="547"/>
      <c r="C94" s="550" t="s">
        <v>629</v>
      </c>
      <c r="D94" s="531"/>
      <c r="E94" s="548"/>
      <c r="F94" s="549"/>
      <c r="G94" s="238"/>
      <c r="H94" s="95"/>
      <c r="I94" s="95"/>
      <c r="J94" s="95"/>
      <c r="K94" s="95"/>
      <c r="L94" s="95"/>
      <c r="M94" s="95"/>
      <c r="N94" s="95"/>
      <c r="O94" s="95"/>
      <c r="P94" s="8"/>
      <c r="Y94" s="74"/>
      <c r="Z94" s="530"/>
      <c r="AA94" s="677" t="s">
        <v>629</v>
      </c>
      <c r="AB94" s="664"/>
      <c r="AC94" s="184"/>
      <c r="AD94" s="53"/>
      <c r="AE94" s="674"/>
      <c r="AF94" s="131"/>
    </row>
    <row r="95" spans="1:32" s="462" customFormat="1" x14ac:dyDescent="0.2">
      <c r="A95" s="43" t="str">
        <f>DefaultData!B53</f>
        <v xml:space="preserve">  Substation Management Services (Site mgmt, legal, lands, PR, etc.)</v>
      </c>
      <c r="B95" s="381">
        <f>C95*DefaultData!AH$14</f>
        <v>222000</v>
      </c>
      <c r="C95" s="248">
        <f>DefaultData!$D53</f>
        <v>0.04</v>
      </c>
      <c r="D95" s="531">
        <f t="shared" si="14"/>
        <v>11100</v>
      </c>
      <c r="E95" s="93">
        <f>B95/(B$107)</f>
        <v>7.4348355393994321E-3</v>
      </c>
      <c r="F95" s="53">
        <f t="shared" ref="F95:F96" si="18">$U95</f>
        <v>0.5</v>
      </c>
      <c r="G95" s="238"/>
      <c r="H95" s="95"/>
      <c r="I95" s="95"/>
      <c r="J95" s="95"/>
      <c r="K95" s="95"/>
      <c r="L95" s="95"/>
      <c r="M95" s="95"/>
      <c r="N95" s="95"/>
      <c r="O95" s="95"/>
      <c r="P95" s="8">
        <f t="shared" ref="P95:P96" si="19">F95*B95</f>
        <v>111000</v>
      </c>
      <c r="U95" s="53">
        <f>IF(U$15=0,DefaultData!$F53,IF(U$15=2,"Pop. Data Missing",IF($B$17&lt;DefaultData!$G$12,DefaultData!$G53,IF($B$17&lt;DefaultData!$H$12,DefaultData!$N53,IF($B$17&lt;DefaultData!$I$12,DefaultData!$Q53,DefaultData!$T53)))))</f>
        <v>0.5</v>
      </c>
      <c r="Y95" s="74"/>
      <c r="Z95" s="325"/>
      <c r="AA95" s="248">
        <f>DefaultData!$D53</f>
        <v>0.04</v>
      </c>
      <c r="AB95" s="664"/>
      <c r="AC95" s="184"/>
      <c r="AD95" s="53">
        <f t="shared" si="17"/>
        <v>0.5</v>
      </c>
      <c r="AE95" s="674"/>
      <c r="AF95" s="131"/>
    </row>
    <row r="96" spans="1:32" x14ac:dyDescent="0.2">
      <c r="A96" s="43" t="str">
        <f>DefaultData!B54</f>
        <v xml:space="preserve">  Substation Engineering, Const Mgmt, &amp; Environmental Monitoring</v>
      </c>
      <c r="B96" s="381">
        <f>C96*DefaultData!AH$14</f>
        <v>1110000</v>
      </c>
      <c r="C96" s="248">
        <f>DefaultData!$D54</f>
        <v>0.2</v>
      </c>
      <c r="D96" s="531">
        <f t="shared" si="14"/>
        <v>55500</v>
      </c>
      <c r="E96" s="93">
        <f>B96/(B$107)</f>
        <v>3.7174177696997157E-2</v>
      </c>
      <c r="F96" s="53">
        <f t="shared" si="18"/>
        <v>0.2</v>
      </c>
      <c r="G96" s="238"/>
      <c r="H96" s="95"/>
      <c r="I96" s="95"/>
      <c r="J96" s="95"/>
      <c r="K96" s="95"/>
      <c r="L96" s="95"/>
      <c r="M96" s="95"/>
      <c r="N96" s="95"/>
      <c r="O96" s="95"/>
      <c r="P96" s="8">
        <f t="shared" si="19"/>
        <v>222000</v>
      </c>
      <c r="U96" s="53">
        <f>IF(U$15=0,DefaultData!$F54,IF(U$15=2,"Pop. Data Missing",IF($B$17&lt;DefaultData!$G$12,DefaultData!$G54,IF($B$17&lt;DefaultData!$H$12,DefaultData!$N54,IF($B$17&lt;DefaultData!$I$12,DefaultData!$Q54,DefaultData!$T54)))))</f>
        <v>0.2</v>
      </c>
      <c r="Y96" s="74"/>
      <c r="Z96" s="325"/>
      <c r="AA96" s="248">
        <f>DefaultData!$D54</f>
        <v>0.2</v>
      </c>
      <c r="AB96" s="664"/>
      <c r="AC96" s="184"/>
      <c r="AD96" s="53">
        <f t="shared" si="17"/>
        <v>0.2</v>
      </c>
      <c r="AE96" s="674"/>
      <c r="AF96" s="131"/>
    </row>
    <row r="97" spans="1:32" s="462" customFormat="1" x14ac:dyDescent="0.2">
      <c r="A97" s="43" t="str">
        <f>DefaultData!B55</f>
        <v xml:space="preserve"> Subtotal</v>
      </c>
      <c r="B97" s="551">
        <f>SUM(B95:B96)</f>
        <v>1332000</v>
      </c>
      <c r="C97" s="94">
        <f>SUM(C95:C96)</f>
        <v>0.24000000000000002</v>
      </c>
      <c r="D97" s="531">
        <f>SUM(D95:D96)</f>
        <v>66600</v>
      </c>
      <c r="E97" s="93">
        <f>SUM(E95:E96)</f>
        <v>4.4609013236396586E-2</v>
      </c>
      <c r="F97" s="549"/>
      <c r="G97" s="238"/>
      <c r="H97" s="95"/>
      <c r="I97" s="95"/>
      <c r="J97" s="95"/>
      <c r="K97" s="95"/>
      <c r="L97" s="95"/>
      <c r="M97" s="95"/>
      <c r="N97" s="95"/>
      <c r="O97" s="95"/>
      <c r="P97" s="8"/>
      <c r="U97" s="53"/>
      <c r="Y97" s="74"/>
      <c r="Z97" s="669"/>
      <c r="AA97" s="184">
        <f>SUM(AA95:AA96)</f>
        <v>0.24000000000000002</v>
      </c>
      <c r="AB97" s="664"/>
      <c r="AC97" s="184"/>
      <c r="AD97" s="53"/>
      <c r="AE97" s="674"/>
      <c r="AF97" s="131"/>
    </row>
    <row r="98" spans="1:32" s="462" customFormat="1" x14ac:dyDescent="0.2">
      <c r="A98" s="62" t="str">
        <f>DefaultData!B56</f>
        <v xml:space="preserve"> Other Costs</v>
      </c>
      <c r="B98" s="549"/>
      <c r="C98" s="549"/>
      <c r="D98" s="549"/>
      <c r="E98" s="549"/>
      <c r="F98" s="549"/>
      <c r="G98" s="238"/>
      <c r="H98" s="95"/>
      <c r="I98" s="95"/>
      <c r="J98" s="95"/>
      <c r="K98" s="95"/>
      <c r="L98" s="95"/>
      <c r="M98" s="95"/>
      <c r="N98" s="95"/>
      <c r="O98" s="95"/>
      <c r="P98" s="8"/>
      <c r="U98" s="53"/>
      <c r="Y98" s="74"/>
      <c r="Z98" s="53"/>
      <c r="AA98" s="53"/>
      <c r="AB98" s="53"/>
      <c r="AC98" s="53"/>
      <c r="AD98" s="53"/>
      <c r="AE98" s="674"/>
      <c r="AF98" s="131"/>
    </row>
    <row r="99" spans="1:32" s="439" customFormat="1" x14ac:dyDescent="0.2">
      <c r="A99" s="43" t="str">
        <f>DefaultData!B57</f>
        <v xml:space="preserve">  Environmental Mitigation</v>
      </c>
      <c r="B99" s="530">
        <f>DefaultData!C57</f>
        <v>0</v>
      </c>
      <c r="C99" s="381"/>
      <c r="D99" s="531">
        <f t="shared" si="14"/>
        <v>0</v>
      </c>
      <c r="E99" s="93">
        <f>B99/(B$107)</f>
        <v>0</v>
      </c>
      <c r="F99" s="53">
        <f t="shared" ref="F99:F102" si="20">$U99</f>
        <v>0.7</v>
      </c>
      <c r="G99" s="238"/>
      <c r="H99" s="95"/>
      <c r="I99" s="95"/>
      <c r="J99" s="95"/>
      <c r="K99" s="95"/>
      <c r="L99" s="95"/>
      <c r="M99" s="95"/>
      <c r="N99" s="95"/>
      <c r="O99" s="95"/>
      <c r="P99" s="8">
        <f t="shared" ref="P99:P102" si="21">F99*B99</f>
        <v>0</v>
      </c>
      <c r="U99" s="53">
        <f>IF(U$15=0,DefaultData!$F57,IF(U$15=2,"Pop. Data Missing",IF($B$17&lt;DefaultData!$G$12,DefaultData!$G57,IF($B$17&lt;DefaultData!$H$12,DefaultData!$N57,IF($B$17&lt;DefaultData!$I$12,DefaultData!$Q57,DefaultData!$T57)))))</f>
        <v>0.7</v>
      </c>
      <c r="Y99" s="74"/>
      <c r="Z99" s="530">
        <f>DefaultData!AA57</f>
        <v>0</v>
      </c>
      <c r="AA99" s="325"/>
      <c r="AB99" s="664"/>
      <c r="AC99" s="184"/>
      <c r="AD99" s="53">
        <f t="shared" si="17"/>
        <v>0.7</v>
      </c>
      <c r="AE99" s="674"/>
      <c r="AF99" s="131"/>
    </row>
    <row r="100" spans="1:32" s="439" customFormat="1" x14ac:dyDescent="0.2">
      <c r="A100" s="43" t="str">
        <f>DefaultData!B58</f>
        <v xml:space="preserve">  System Operator and Regulator Fees</v>
      </c>
      <c r="B100" s="530">
        <f>DefaultData!C58</f>
        <v>0</v>
      </c>
      <c r="C100" s="381"/>
      <c r="D100" s="531">
        <f t="shared" si="14"/>
        <v>0</v>
      </c>
      <c r="E100" s="93">
        <f>B100/(B$107)</f>
        <v>0</v>
      </c>
      <c r="F100" s="53">
        <f t="shared" si="20"/>
        <v>0.1</v>
      </c>
      <c r="G100" s="238"/>
      <c r="H100" s="95"/>
      <c r="I100" s="95"/>
      <c r="J100" s="95"/>
      <c r="K100" s="95"/>
      <c r="L100" s="95"/>
      <c r="M100" s="95"/>
      <c r="N100" s="95"/>
      <c r="O100" s="95"/>
      <c r="P100" s="8">
        <f t="shared" si="21"/>
        <v>0</v>
      </c>
      <c r="U100" s="53">
        <f>IF(U$15=0,DefaultData!$F58,IF(U$15=2,"Pop. Data Missing",IF($B$17&lt;DefaultData!$G$12,DefaultData!$G58,IF($B$17&lt;DefaultData!$H$12,DefaultData!$N58,IF($B$17&lt;DefaultData!$I$12,DefaultData!$Q58,DefaultData!$T58)))))</f>
        <v>0.1</v>
      </c>
      <c r="Y100" s="74"/>
      <c r="Z100" s="530">
        <f>DefaultData!AA58</f>
        <v>0</v>
      </c>
      <c r="AA100" s="325"/>
      <c r="AB100" s="664"/>
      <c r="AC100" s="184"/>
      <c r="AD100" s="53">
        <f t="shared" si="17"/>
        <v>0.1</v>
      </c>
      <c r="AE100" s="674"/>
      <c r="AF100" s="131"/>
    </row>
    <row r="101" spans="1:32" x14ac:dyDescent="0.2">
      <c r="A101" s="43" t="str">
        <f>DefaultData!B59</f>
        <v xml:space="preserve">  Miscellanous Business Services and Utilities</v>
      </c>
      <c r="B101" s="530">
        <f>DefaultData!C59</f>
        <v>0</v>
      </c>
      <c r="C101" s="381"/>
      <c r="D101" s="531">
        <f t="shared" si="14"/>
        <v>0</v>
      </c>
      <c r="E101" s="93">
        <f>B101/(B$107)</f>
        <v>0</v>
      </c>
      <c r="F101" s="53">
        <f t="shared" si="20"/>
        <v>0.2</v>
      </c>
      <c r="G101" s="238"/>
      <c r="H101" s="95"/>
      <c r="I101" s="95"/>
      <c r="J101" s="95"/>
      <c r="K101" s="95"/>
      <c r="L101" s="95"/>
      <c r="M101" s="95"/>
      <c r="N101" s="95"/>
      <c r="O101" s="95"/>
      <c r="P101" s="8">
        <f t="shared" si="21"/>
        <v>0</v>
      </c>
      <c r="U101" s="53">
        <f>IF(U$15=0,DefaultData!$F59,IF(U$15=2,"Pop. Data Missing",IF($B$17&lt;DefaultData!$G$12,DefaultData!$G59,IF($B$17&lt;DefaultData!$H$12,DefaultData!$N59,IF($B$17&lt;DefaultData!$I$12,DefaultData!$Q59,DefaultData!$T59)))))</f>
        <v>0.2</v>
      </c>
      <c r="Y101" s="74"/>
      <c r="Z101" s="530">
        <f>DefaultData!AA59</f>
        <v>0</v>
      </c>
      <c r="AA101" s="325"/>
      <c r="AB101" s="664"/>
      <c r="AC101" s="184"/>
      <c r="AD101" s="53">
        <f t="shared" si="17"/>
        <v>0.2</v>
      </c>
      <c r="AE101" s="674"/>
      <c r="AF101" s="131"/>
    </row>
    <row r="102" spans="1:32" x14ac:dyDescent="0.2">
      <c r="A102" s="43" t="str">
        <f>DefaultData!B60</f>
        <v xml:space="preserve">  Construction Insurance (Substation)</v>
      </c>
      <c r="B102" s="381">
        <f>C102*DefaultData!AH$14</f>
        <v>55500</v>
      </c>
      <c r="C102" s="248">
        <f>DefaultData!$D60</f>
        <v>0.01</v>
      </c>
      <c r="D102" s="531">
        <f t="shared" si="14"/>
        <v>2775</v>
      </c>
      <c r="E102" s="93">
        <f>B102/(B$107)</f>
        <v>1.858708884849858E-3</v>
      </c>
      <c r="F102" s="53">
        <f t="shared" si="20"/>
        <v>0</v>
      </c>
      <c r="G102" s="238"/>
      <c r="H102" s="95"/>
      <c r="I102" s="95"/>
      <c r="J102" s="95"/>
      <c r="K102" s="95"/>
      <c r="L102" s="95"/>
      <c r="M102" s="95"/>
      <c r="N102" s="95"/>
      <c r="O102" s="95"/>
      <c r="P102" s="8">
        <f t="shared" si="21"/>
        <v>0</v>
      </c>
      <c r="U102" s="53">
        <f>IF(U$15=0,DefaultData!$F60,IF(U$15=2,"Pop. Data Missing",IF($B$17&lt;DefaultData!$G$12,DefaultData!$G60,IF($B$17&lt;DefaultData!$H$12,DefaultData!$N60,IF($B$17&lt;DefaultData!$I$12,DefaultData!$Q60,DefaultData!$T60)))))</f>
        <v>0</v>
      </c>
      <c r="Y102" s="74"/>
      <c r="Z102" s="325"/>
      <c r="AA102" s="248">
        <f>DefaultData!$D60</f>
        <v>0.01</v>
      </c>
      <c r="AB102" s="664"/>
      <c r="AC102" s="184"/>
      <c r="AD102" s="53">
        <f t="shared" si="17"/>
        <v>0</v>
      </c>
      <c r="AE102" s="674"/>
      <c r="AF102" s="131"/>
    </row>
    <row r="103" spans="1:32" x14ac:dyDescent="0.2">
      <c r="A103" s="43" t="str">
        <f>DefaultData!B61</f>
        <v xml:space="preserve"> Subtotal Other Costs</v>
      </c>
      <c r="B103" s="381">
        <f>SUM(B99:B102)</f>
        <v>55500</v>
      </c>
      <c r="C103" s="381"/>
      <c r="D103" s="381">
        <f>SUM(D96:D102)</f>
        <v>124875</v>
      </c>
      <c r="E103" s="93">
        <f>SUM(E99:E102)</f>
        <v>1.858708884849858E-3</v>
      </c>
      <c r="F103" s="241"/>
      <c r="G103" s="238"/>
      <c r="H103" s="95"/>
      <c r="I103" s="95"/>
      <c r="J103" s="95"/>
      <c r="K103" s="95"/>
      <c r="L103" s="95"/>
      <c r="M103" s="95"/>
      <c r="N103" s="95"/>
      <c r="O103" s="95"/>
      <c r="P103" s="8"/>
      <c r="U103" s="53"/>
      <c r="Y103" s="74"/>
      <c r="Z103" s="325"/>
      <c r="AA103" s="325"/>
      <c r="AB103" s="325"/>
      <c r="AC103" s="184"/>
      <c r="AD103" s="681"/>
      <c r="AE103" s="674"/>
      <c r="AF103" s="131"/>
    </row>
    <row r="104" spans="1:32" s="462" customFormat="1" x14ac:dyDescent="0.2">
      <c r="A104" s="62" t="str">
        <f>DefaultData!B62</f>
        <v xml:space="preserve"> Total Services/Other Costs</v>
      </c>
      <c r="B104" s="381">
        <f>B103+B97+B93</f>
        <v>2512500</v>
      </c>
      <c r="C104" s="533"/>
      <c r="D104" s="381">
        <f>D103+D97+D93</f>
        <v>247725</v>
      </c>
      <c r="E104" s="94">
        <f>E103+E97+E93</f>
        <v>8.4144253570905728E-2</v>
      </c>
      <c r="F104" s="241"/>
      <c r="G104" s="238"/>
      <c r="H104" s="95"/>
      <c r="I104" s="95"/>
      <c r="J104" s="95"/>
      <c r="K104" s="95"/>
      <c r="L104" s="95"/>
      <c r="M104" s="95"/>
      <c r="N104" s="95"/>
      <c r="O104" s="95"/>
      <c r="P104" s="8"/>
      <c r="U104" s="53"/>
      <c r="Y104" s="74"/>
      <c r="Z104" s="325"/>
      <c r="AA104" s="680"/>
      <c r="AB104" s="325"/>
      <c r="AC104" s="181"/>
      <c r="AD104" s="681"/>
      <c r="AE104" s="674"/>
      <c r="AF104" s="131"/>
    </row>
    <row r="105" spans="1:32" x14ac:dyDescent="0.2">
      <c r="A105" s="62" t="str">
        <f>DefaultData!B63</f>
        <v>Subtotal All Costs (without sales tax)</v>
      </c>
      <c r="B105" s="381">
        <f>B104+B87+B70</f>
        <v>28851936.543492477</v>
      </c>
      <c r="C105" s="533"/>
      <c r="D105" s="381">
        <f>D104+D87+D70</f>
        <v>1564696.827174624</v>
      </c>
      <c r="E105" s="94">
        <f>E104+E87+E70</f>
        <v>0.96625857294619411</v>
      </c>
      <c r="F105" s="241"/>
      <c r="G105" s="238"/>
      <c r="H105" s="95"/>
      <c r="I105" s="95"/>
      <c r="J105" s="95"/>
      <c r="K105" s="95"/>
      <c r="L105" s="95"/>
      <c r="M105" s="95"/>
      <c r="N105" s="95"/>
      <c r="O105" s="95"/>
      <c r="P105" s="524"/>
      <c r="U105" s="53"/>
      <c r="Y105" s="74"/>
      <c r="Z105" s="325"/>
      <c r="AA105" s="680"/>
      <c r="AB105" s="325"/>
      <c r="AC105" s="181"/>
      <c r="AD105" s="681"/>
      <c r="AE105" s="674"/>
      <c r="AF105" s="131"/>
    </row>
    <row r="106" spans="1:32" x14ac:dyDescent="0.2">
      <c r="A106" s="396" t="s">
        <v>612</v>
      </c>
      <c r="B106" s="530">
        <f>(B79+B65)*B$146</f>
        <v>1007500</v>
      </c>
      <c r="C106" s="381"/>
      <c r="D106" s="531">
        <f t="shared" ref="D106" si="22">B106/B$20</f>
        <v>50375</v>
      </c>
      <c r="E106" s="93">
        <f>B106/(B$107)</f>
        <v>3.3741427053805978E-2</v>
      </c>
      <c r="F106" s="555">
        <f>$E$146</f>
        <v>1</v>
      </c>
      <c r="G106" s="238"/>
      <c r="H106" s="95"/>
      <c r="I106" s="95"/>
      <c r="J106" s="95"/>
      <c r="K106" s="95"/>
      <c r="L106" s="95"/>
      <c r="M106" s="95"/>
      <c r="N106" s="95"/>
      <c r="O106" s="95"/>
      <c r="P106" s="8">
        <f>P79+P65</f>
        <v>757000</v>
      </c>
      <c r="U106" s="53">
        <f>DefaultData!E105</f>
        <v>1</v>
      </c>
      <c r="Y106" s="74"/>
      <c r="Z106" s="530">
        <f>(Z79+Z65)*Z$146</f>
        <v>0</v>
      </c>
      <c r="AA106" s="325"/>
      <c r="AB106" s="664"/>
      <c r="AC106" s="184"/>
      <c r="AD106" s="681">
        <f>$E$146</f>
        <v>1</v>
      </c>
      <c r="AE106" s="674"/>
      <c r="AF106" s="131"/>
    </row>
    <row r="107" spans="1:32" x14ac:dyDescent="0.2">
      <c r="A107" s="62" t="s">
        <v>312</v>
      </c>
      <c r="B107" s="381">
        <f>B106+B105</f>
        <v>29859436.543492477</v>
      </c>
      <c r="C107" s="381"/>
      <c r="D107" s="381">
        <f>D106+D105</f>
        <v>1615071.827174624</v>
      </c>
      <c r="E107" s="94">
        <f>E106+E105</f>
        <v>1</v>
      </c>
      <c r="F107" s="241"/>
      <c r="G107" s="238"/>
      <c r="H107" s="95"/>
      <c r="I107" s="95"/>
      <c r="J107" s="95"/>
      <c r="K107" s="95"/>
      <c r="L107" s="95"/>
      <c r="M107" s="95"/>
      <c r="N107" s="95"/>
      <c r="O107" s="95"/>
      <c r="P107" s="8"/>
      <c r="Y107" s="74"/>
      <c r="Z107" s="325"/>
      <c r="AA107" s="325"/>
      <c r="AB107" s="325"/>
      <c r="AC107" s="184"/>
      <c r="AD107" s="681"/>
      <c r="AE107" s="674"/>
      <c r="AF107" s="131"/>
    </row>
    <row r="108" spans="1:32" x14ac:dyDescent="0.2">
      <c r="A108" s="43"/>
      <c r="B108" s="45"/>
      <c r="C108" s="42"/>
      <c r="D108" s="42"/>
      <c r="E108" s="94"/>
      <c r="F108" s="241"/>
      <c r="G108" s="238"/>
      <c r="H108" s="95"/>
      <c r="I108" s="95"/>
      <c r="J108" s="95"/>
      <c r="K108" s="95"/>
      <c r="L108" s="95"/>
      <c r="M108" s="95"/>
      <c r="N108" s="95"/>
      <c r="O108" s="95"/>
      <c r="P108" s="8"/>
      <c r="U108" s="53"/>
      <c r="Y108" s="171"/>
      <c r="Z108" s="180"/>
      <c r="AA108" s="145"/>
      <c r="AB108" s="145"/>
      <c r="AC108" s="184"/>
      <c r="AD108" s="681"/>
      <c r="AE108" s="674"/>
      <c r="AF108" s="131"/>
    </row>
    <row r="109" spans="1:32" ht="15.75" x14ac:dyDescent="0.25">
      <c r="A109" s="64" t="str">
        <f>DefaultData!B68</f>
        <v>Annual Operating and Maintenance Costs</v>
      </c>
      <c r="B109" s="45"/>
      <c r="C109" s="95"/>
      <c r="D109" s="95"/>
      <c r="E109" s="46"/>
      <c r="F109" s="242"/>
      <c r="G109" s="238"/>
      <c r="H109" s="95"/>
      <c r="I109" s="95"/>
      <c r="J109" s="95"/>
      <c r="K109" s="95"/>
      <c r="L109" s="95"/>
      <c r="M109" s="95"/>
      <c r="N109" s="95"/>
      <c r="O109" s="95"/>
      <c r="P109" s="8"/>
      <c r="U109" s="53"/>
      <c r="Y109" s="214"/>
      <c r="Z109" s="180"/>
      <c r="AA109" s="131"/>
      <c r="AB109" s="131"/>
      <c r="AC109" s="161"/>
      <c r="AD109" s="676"/>
      <c r="AE109" s="674"/>
      <c r="AF109" s="131"/>
    </row>
    <row r="110" spans="1:32" x14ac:dyDescent="0.2">
      <c r="A110" s="46"/>
      <c r="B110" s="546" t="s">
        <v>64</v>
      </c>
      <c r="C110" s="95"/>
      <c r="D110" s="443" t="s">
        <v>64</v>
      </c>
      <c r="E110" s="63" t="s">
        <v>118</v>
      </c>
      <c r="F110" s="40" t="s">
        <v>315</v>
      </c>
      <c r="G110" s="192"/>
      <c r="H110" s="95"/>
      <c r="I110" s="95"/>
      <c r="J110" s="95"/>
      <c r="K110" s="95"/>
      <c r="L110" s="95"/>
      <c r="M110" s="95"/>
      <c r="N110" s="95"/>
      <c r="O110" s="95"/>
      <c r="P110" s="8"/>
      <c r="U110" s="53"/>
      <c r="Y110" s="161"/>
      <c r="Z110" s="327"/>
      <c r="AA110" s="131"/>
      <c r="AB110" s="687" t="s">
        <v>64</v>
      </c>
      <c r="AC110" s="142"/>
      <c r="AD110" s="162" t="s">
        <v>315</v>
      </c>
      <c r="AE110" s="221"/>
      <c r="AF110" s="131"/>
    </row>
    <row r="111" spans="1:32" x14ac:dyDescent="0.2">
      <c r="A111" s="65" t="str">
        <f>DefaultData!B69</f>
        <v xml:space="preserve">  Transmission Line and ROW</v>
      </c>
      <c r="B111" s="554"/>
      <c r="C111" s="95"/>
      <c r="D111" s="96" t="s">
        <v>552</v>
      </c>
      <c r="E111" s="218" t="s">
        <v>354</v>
      </c>
      <c r="F111" s="237" t="s">
        <v>250</v>
      </c>
      <c r="G111" s="192"/>
      <c r="H111" s="95"/>
      <c r="I111" s="95"/>
      <c r="J111" s="95"/>
      <c r="K111" s="95"/>
      <c r="L111" s="95"/>
      <c r="M111" s="95"/>
      <c r="N111" s="95"/>
      <c r="O111" s="95"/>
      <c r="P111" s="8"/>
      <c r="U111" s="53"/>
      <c r="Y111" s="215"/>
      <c r="Z111" s="672"/>
      <c r="AA111" s="131"/>
      <c r="AB111" s="328" t="s">
        <v>552</v>
      </c>
      <c r="AC111" s="143"/>
      <c r="AD111" s="671" t="s">
        <v>250</v>
      </c>
      <c r="AE111" s="221"/>
      <c r="AF111" s="131"/>
    </row>
    <row r="112" spans="1:32" x14ac:dyDescent="0.2">
      <c r="A112" s="87" t="str">
        <f>DefaultData!B70</f>
        <v xml:space="preserve">    T-Line/ROW Labor</v>
      </c>
      <c r="B112" s="381">
        <f>D112*B$20</f>
        <v>139104</v>
      </c>
      <c r="C112" s="95"/>
      <c r="D112" s="695">
        <f>DefaultData!D70</f>
        <v>6955.2</v>
      </c>
      <c r="E112" s="94">
        <f>B112/B$125</f>
        <v>0.54074689997640646</v>
      </c>
      <c r="F112" s="53">
        <f>$U112</f>
        <v>0.6</v>
      </c>
      <c r="G112" s="238"/>
      <c r="H112" s="95"/>
      <c r="I112" s="95"/>
      <c r="J112" s="95"/>
      <c r="K112" s="95"/>
      <c r="L112" s="95"/>
      <c r="M112" s="95"/>
      <c r="N112" s="95"/>
      <c r="O112" s="95"/>
      <c r="P112" s="8">
        <f t="shared" ref="P112:P116" si="23">F112*B112</f>
        <v>83462.399999999994</v>
      </c>
      <c r="U112" s="53">
        <f>IF(U$15=0,DefaultData!$F70,IF(U$15=2,"Pop. Data Missing",IF($B$17&lt;DefaultData!$G$12,DefaultData!$G70,IF($B$17&lt;DefaultData!$H$12,DefaultData!$N70,IF($B$17&lt;DefaultData!$I$12,DefaultData!$Q70,DefaultData!$T70)))))</f>
        <v>0.6</v>
      </c>
      <c r="Y112" s="216"/>
      <c r="Z112" s="325"/>
      <c r="AA112" s="131"/>
      <c r="AB112" s="695">
        <f>DefaultData!AB70</f>
        <v>0</v>
      </c>
      <c r="AC112" s="184"/>
      <c r="AD112" s="53">
        <f>$U112</f>
        <v>0.6</v>
      </c>
      <c r="AE112" s="674"/>
      <c r="AF112" s="131"/>
    </row>
    <row r="113" spans="1:32" s="462" customFormat="1" x14ac:dyDescent="0.2">
      <c r="A113" s="87" t="str">
        <f>DefaultData!B71</f>
        <v xml:space="preserve">    T-Line/ROW Maintenance Materials</v>
      </c>
      <c r="B113" s="381">
        <f>D113*B$20</f>
        <v>34400</v>
      </c>
      <c r="C113" s="95"/>
      <c r="D113" s="695">
        <f>DefaultData!D71</f>
        <v>1720</v>
      </c>
      <c r="E113" s="94">
        <f>B113/B$125</f>
        <v>0.13372507878413548</v>
      </c>
      <c r="F113" s="53">
        <f t="shared" ref="F113:F115" si="24">$U113</f>
        <v>0.1</v>
      </c>
      <c r="G113" s="238"/>
      <c r="H113" s="95"/>
      <c r="I113" s="95"/>
      <c r="J113" s="95"/>
      <c r="K113" s="95"/>
      <c r="L113" s="95"/>
      <c r="M113" s="95"/>
      <c r="N113" s="95"/>
      <c r="O113" s="95"/>
      <c r="P113" s="8">
        <f t="shared" si="23"/>
        <v>3440</v>
      </c>
      <c r="U113" s="53">
        <f>IF(U$15=0,DefaultData!$F71,IF(U$15=2,"Pop. Data Missing",IF($B$17&lt;DefaultData!$G$12,DefaultData!$G71,IF($B$17&lt;DefaultData!$H$12,DefaultData!$N71,IF($B$17&lt;DefaultData!$I$12,DefaultData!$Q71,DefaultData!$T71)))))</f>
        <v>0.1</v>
      </c>
      <c r="Y113" s="216"/>
      <c r="Z113" s="325"/>
      <c r="AA113" s="131"/>
      <c r="AB113" s="695">
        <f>DefaultData!AB71</f>
        <v>0</v>
      </c>
      <c r="AC113" s="184"/>
      <c r="AD113" s="53">
        <f t="shared" ref="AD113:AD115" si="25">$U113</f>
        <v>0.1</v>
      </c>
      <c r="AE113" s="674"/>
      <c r="AF113" s="131"/>
    </row>
    <row r="114" spans="1:32" s="462" customFormat="1" x14ac:dyDescent="0.2">
      <c r="A114" s="87" t="str">
        <f>DefaultData!B72</f>
        <v xml:space="preserve">    Insurance</v>
      </c>
      <c r="B114" s="381">
        <f>D114*B$20</f>
        <v>20000</v>
      </c>
      <c r="C114" s="95"/>
      <c r="D114" s="695">
        <f>DefaultData!D72</f>
        <v>1000</v>
      </c>
      <c r="E114" s="94">
        <f>B114/B$125</f>
        <v>7.7747138827985743E-2</v>
      </c>
      <c r="F114" s="53">
        <f t="shared" si="24"/>
        <v>0</v>
      </c>
      <c r="G114" s="238"/>
      <c r="H114" s="95"/>
      <c r="I114" s="95"/>
      <c r="J114" s="95"/>
      <c r="K114" s="95"/>
      <c r="L114" s="95"/>
      <c r="M114" s="95"/>
      <c r="N114" s="95"/>
      <c r="O114" s="95"/>
      <c r="P114" s="8">
        <f t="shared" si="23"/>
        <v>0</v>
      </c>
      <c r="U114" s="53">
        <f>IF(U$15=0,DefaultData!$F72,IF(U$15=2,"Pop. Data Missing",IF($B$17&lt;DefaultData!$G$12,DefaultData!$G72,IF($B$17&lt;DefaultData!$H$12,DefaultData!$N72,IF($B$17&lt;DefaultData!$I$12,DefaultData!$Q72,DefaultData!$T72)))))</f>
        <v>0</v>
      </c>
      <c r="Y114" s="216"/>
      <c r="Z114" s="325"/>
      <c r="AA114" s="131"/>
      <c r="AB114" s="695">
        <f>DefaultData!AB72</f>
        <v>0</v>
      </c>
      <c r="AC114" s="184"/>
      <c r="AD114" s="53">
        <f t="shared" si="25"/>
        <v>0</v>
      </c>
      <c r="AE114" s="674"/>
      <c r="AF114" s="131"/>
    </row>
    <row r="115" spans="1:32" s="462" customFormat="1" x14ac:dyDescent="0.2">
      <c r="A115" s="87" t="str">
        <f>DefaultData!B73</f>
        <v xml:space="preserve">    Replacement Parts/Equipment/ Spare Parts Inventory</v>
      </c>
      <c r="B115" s="381">
        <f>D115*B$20</f>
        <v>20000</v>
      </c>
      <c r="C115" s="95"/>
      <c r="D115" s="695">
        <f>DefaultData!D73</f>
        <v>1000</v>
      </c>
      <c r="E115" s="94">
        <f>B115/B$125</f>
        <v>7.7747138827985743E-2</v>
      </c>
      <c r="F115" s="53">
        <f t="shared" si="24"/>
        <v>0</v>
      </c>
      <c r="G115" s="238"/>
      <c r="H115" s="95"/>
      <c r="I115" s="95"/>
      <c r="J115" s="95"/>
      <c r="K115" s="95"/>
      <c r="L115" s="95"/>
      <c r="M115" s="95"/>
      <c r="N115" s="95"/>
      <c r="O115" s="95"/>
      <c r="P115" s="8">
        <f t="shared" si="23"/>
        <v>0</v>
      </c>
      <c r="U115" s="53">
        <f>IF(U$15=0,DefaultData!$F73,IF(U$15=2,"Pop. Data Missing",IF($B$17&lt;DefaultData!$G$12,DefaultData!$G73,IF($B$17&lt;DefaultData!$H$12,DefaultData!$N73,IF($B$17&lt;DefaultData!$I$12,DefaultData!$Q73,DefaultData!$T73)))))</f>
        <v>0</v>
      </c>
      <c r="Y115" s="216"/>
      <c r="Z115" s="325"/>
      <c r="AA115" s="131"/>
      <c r="AB115" s="695">
        <f>DefaultData!AB73</f>
        <v>0</v>
      </c>
      <c r="AC115" s="184"/>
      <c r="AD115" s="53">
        <f t="shared" si="25"/>
        <v>0</v>
      </c>
      <c r="AE115" s="674"/>
      <c r="AF115" s="131"/>
    </row>
    <row r="116" spans="1:32" s="462" customFormat="1" x14ac:dyDescent="0.2">
      <c r="A116" s="87" t="str">
        <f>DefaultData!B74</f>
        <v xml:space="preserve">    Subtotal</v>
      </c>
      <c r="B116" s="381">
        <f>SUM(B112:B115)</f>
        <v>213504</v>
      </c>
      <c r="C116" s="95"/>
      <c r="D116" s="42">
        <f>SUM(D112:D115)</f>
        <v>10675.2</v>
      </c>
      <c r="E116" s="94">
        <f>B116/B$125</f>
        <v>0.82996625641651334</v>
      </c>
      <c r="F116" s="238"/>
      <c r="G116" s="238"/>
      <c r="H116" s="95"/>
      <c r="I116" s="95"/>
      <c r="J116" s="95"/>
      <c r="K116" s="95"/>
      <c r="L116" s="95"/>
      <c r="M116" s="95"/>
      <c r="N116" s="95"/>
      <c r="O116" s="95"/>
      <c r="P116" s="8">
        <f t="shared" si="23"/>
        <v>0</v>
      </c>
      <c r="U116" s="53">
        <f>IF(U$15=0,DefaultData!$F74,IF(U$15=2,"Pop. Data Missing",IF($B$17&lt;DefaultData!$G$12,DefaultData!$G74,IF($B$17&lt;DefaultData!$H$12,DefaultData!$N74,IF($B$17&lt;DefaultData!$I$12,DefaultData!$Q74,DefaultData!$T74)))))</f>
        <v>0</v>
      </c>
      <c r="Y116" s="216"/>
      <c r="Z116" s="325"/>
      <c r="AA116" s="131"/>
      <c r="AB116" s="325">
        <f>SUM(AB112:AB115)</f>
        <v>0</v>
      </c>
      <c r="AC116" s="184"/>
      <c r="AD116" s="238"/>
      <c r="AE116" s="674"/>
      <c r="AF116" s="131"/>
    </row>
    <row r="117" spans="1:32" ht="51" x14ac:dyDescent="0.2">
      <c r="A117" s="65" t="str">
        <f>DefaultData!B75</f>
        <v xml:space="preserve">  Substation/Converter Station</v>
      </c>
      <c r="B117" s="381"/>
      <c r="C117" s="550" t="s">
        <v>629</v>
      </c>
      <c r="D117" s="506"/>
      <c r="E117" s="38"/>
      <c r="F117" s="40"/>
      <c r="G117" s="192"/>
      <c r="H117" s="95"/>
      <c r="I117" s="95"/>
      <c r="J117" s="95"/>
      <c r="K117" s="95"/>
      <c r="L117" s="95"/>
      <c r="M117" s="95"/>
      <c r="N117" s="95"/>
      <c r="O117" s="95"/>
      <c r="P117" s="8"/>
      <c r="U117" s="53"/>
      <c r="Y117" s="215"/>
      <c r="Z117" s="325"/>
      <c r="AA117" s="677" t="s">
        <v>629</v>
      </c>
      <c r="AB117" s="688"/>
      <c r="AC117" s="131"/>
      <c r="AD117" s="162"/>
      <c r="AE117" s="221"/>
      <c r="AF117" s="131"/>
    </row>
    <row r="118" spans="1:32" x14ac:dyDescent="0.2">
      <c r="A118" s="87" t="str">
        <f>DefaultData!B76</f>
        <v xml:space="preserve">    Labor/Personnel</v>
      </c>
      <c r="B118" s="381">
        <f>C118*DefaultData!AH$14</f>
        <v>5161.5</v>
      </c>
      <c r="C118" s="248">
        <f>DefaultData!D76</f>
        <v>9.3000000000000005E-4</v>
      </c>
      <c r="D118" s="531">
        <f t="shared" ref="D118:D124" si="26">B118/B$20</f>
        <v>258.07499999999999</v>
      </c>
      <c r="E118" s="94">
        <f>B118/B$125</f>
        <v>2.0064592853032418E-2</v>
      </c>
      <c r="F118" s="53">
        <f>$U118</f>
        <v>0.5</v>
      </c>
      <c r="G118" s="192"/>
      <c r="H118" s="95"/>
      <c r="I118" s="95"/>
      <c r="J118" s="95"/>
      <c r="K118" s="95"/>
      <c r="L118" s="95"/>
      <c r="M118" s="95"/>
      <c r="N118" s="95"/>
      <c r="O118" s="95"/>
      <c r="P118" s="8">
        <f t="shared" ref="P118:P121" si="27">F118*B118</f>
        <v>2580.75</v>
      </c>
      <c r="U118" s="53">
        <f>IF(U$15=0,DefaultData!$F76,IF(U$15=2,"Pop. Data Missing",IF($B$17&lt;DefaultData!$G$12,DefaultData!$G76,IF($B$17&lt;DefaultData!$H$12,DefaultData!$N76,IF($B$17&lt;DefaultData!$I$12,DefaultData!$Q76,DefaultData!$T76)))))</f>
        <v>0.5</v>
      </c>
      <c r="Y118" s="215"/>
      <c r="Z118" s="325"/>
      <c r="AA118" s="248">
        <f>DefaultData!AB76</f>
        <v>0</v>
      </c>
      <c r="AB118" s="664"/>
      <c r="AC118" s="184"/>
      <c r="AD118" s="53">
        <f>$U118</f>
        <v>0.5</v>
      </c>
      <c r="AE118" s="221"/>
      <c r="AF118" s="131"/>
    </row>
    <row r="119" spans="1:32" s="462" customFormat="1" x14ac:dyDescent="0.2">
      <c r="A119" s="87" t="str">
        <f>DefaultData!B77</f>
        <v xml:space="preserve">    Insurance</v>
      </c>
      <c r="B119" s="381">
        <f>C119*DefaultData!AH$14</f>
        <v>11100</v>
      </c>
      <c r="C119" s="248">
        <f>DefaultData!D77</f>
        <v>2E-3</v>
      </c>
      <c r="D119" s="531">
        <f t="shared" si="26"/>
        <v>555</v>
      </c>
      <c r="E119" s="94">
        <f>B119/B$125</f>
        <v>4.3149662049532085E-2</v>
      </c>
      <c r="F119" s="53">
        <f>$U119</f>
        <v>0</v>
      </c>
      <c r="G119" s="192"/>
      <c r="H119" s="95"/>
      <c r="I119" s="95"/>
      <c r="J119" s="95"/>
      <c r="K119" s="95"/>
      <c r="L119" s="95"/>
      <c r="M119" s="95"/>
      <c r="N119" s="95"/>
      <c r="O119" s="95"/>
      <c r="P119" s="8">
        <f t="shared" si="27"/>
        <v>0</v>
      </c>
      <c r="U119" s="53">
        <f>IF(U$15=0,DefaultData!$F77,IF(U$15=2,"Pop. Data Missing",IF($B$17&lt;DefaultData!$G$12,DefaultData!$G77,IF($B$17&lt;DefaultData!$H$12,DefaultData!$N77,IF($B$17&lt;DefaultData!$I$12,DefaultData!$Q77,DefaultData!$T77)))))</f>
        <v>0</v>
      </c>
      <c r="Y119" s="215"/>
      <c r="Z119" s="325"/>
      <c r="AA119" s="248">
        <f>DefaultData!AB77</f>
        <v>0</v>
      </c>
      <c r="AB119" s="664"/>
      <c r="AC119" s="184"/>
      <c r="AD119" s="53">
        <f>$U119</f>
        <v>0</v>
      </c>
      <c r="AE119" s="221"/>
      <c r="AF119" s="131"/>
    </row>
    <row r="120" spans="1:32" x14ac:dyDescent="0.2">
      <c r="A120" s="87" t="str">
        <f>DefaultData!B78</f>
        <v xml:space="preserve">    Replacement Parts/Equipment/ Spare Parts Inventory</v>
      </c>
      <c r="B120" s="381">
        <f>C120*DefaultData!AH$14</f>
        <v>5550</v>
      </c>
      <c r="C120" s="248">
        <f>DefaultData!D78</f>
        <v>1E-3</v>
      </c>
      <c r="D120" s="531">
        <f t="shared" si="26"/>
        <v>277.5</v>
      </c>
      <c r="E120" s="94">
        <f>B120/B$125</f>
        <v>2.1574831024766043E-2</v>
      </c>
      <c r="F120" s="53">
        <f>$U120</f>
        <v>0</v>
      </c>
      <c r="G120" s="192"/>
      <c r="H120" s="95"/>
      <c r="I120" s="95"/>
      <c r="J120" s="95"/>
      <c r="K120" s="95"/>
      <c r="L120" s="95"/>
      <c r="M120" s="95"/>
      <c r="N120" s="95"/>
      <c r="O120" s="95"/>
      <c r="P120" s="8">
        <f t="shared" si="27"/>
        <v>0</v>
      </c>
      <c r="U120" s="53">
        <f>IF(U$15=0,DefaultData!$F78,IF(U$15=2,"Pop. Data Missing",IF($B$17&lt;DefaultData!$G$12,DefaultData!$G78,IF($B$17&lt;DefaultData!$H$12,DefaultData!$N78,IF($B$17&lt;DefaultData!$I$12,DefaultData!$Q78,DefaultData!$T78)))))</f>
        <v>0</v>
      </c>
      <c r="Y120" s="215"/>
      <c r="Z120" s="325"/>
      <c r="AA120" s="248">
        <f>DefaultData!AB78</f>
        <v>0</v>
      </c>
      <c r="AB120" s="664"/>
      <c r="AC120" s="184"/>
      <c r="AD120" s="53">
        <f>$U120</f>
        <v>0</v>
      </c>
      <c r="AE120" s="221"/>
      <c r="AF120" s="131"/>
    </row>
    <row r="121" spans="1:32" x14ac:dyDescent="0.2">
      <c r="A121" s="87" t="str">
        <f>DefaultData!B79</f>
        <v xml:space="preserve">    Subtotal</v>
      </c>
      <c r="B121" s="381">
        <f>SUM(B118:B120)</f>
        <v>21811.5</v>
      </c>
      <c r="C121" s="248">
        <f>SUM(C118:C120)</f>
        <v>3.9300000000000003E-3</v>
      </c>
      <c r="D121" s="531">
        <f t="shared" si="26"/>
        <v>1090.575</v>
      </c>
      <c r="E121" s="94">
        <f>SUM(E118:E120)</f>
        <v>8.4789085927330546E-2</v>
      </c>
      <c r="F121" s="238"/>
      <c r="G121" s="242"/>
      <c r="H121" s="95"/>
      <c r="I121" s="95"/>
      <c r="J121" s="95"/>
      <c r="K121" s="95"/>
      <c r="L121" s="95"/>
      <c r="M121" s="95"/>
      <c r="N121" s="95"/>
      <c r="O121" s="95"/>
      <c r="P121" s="8">
        <f t="shared" si="27"/>
        <v>0</v>
      </c>
      <c r="U121" s="53">
        <f>IF(U$15=0,DefaultData!$F79,IF(U$15=2,"Pop. Data Missing",IF($B$17&lt;DefaultData!$G$12,DefaultData!$G79,IF($B$17&lt;DefaultData!$H$12,DefaultData!$N79,IF($B$17&lt;DefaultData!$I$12,DefaultData!$Q79,DefaultData!$T79)))))</f>
        <v>0</v>
      </c>
      <c r="Y121" s="216"/>
      <c r="Z121" s="325"/>
      <c r="AA121" s="248">
        <f>SUM(AA118:AA120)</f>
        <v>0</v>
      </c>
      <c r="AB121" s="664"/>
      <c r="AC121" s="184"/>
      <c r="AD121" s="238"/>
      <c r="AE121" s="676"/>
      <c r="AF121" s="131"/>
    </row>
    <row r="122" spans="1:32" x14ac:dyDescent="0.2">
      <c r="A122" s="65" t="str">
        <f>DefaultData!B80</f>
        <v xml:space="preserve">  Subtotal All O&amp;M Costs (without sales tax)</v>
      </c>
      <c r="B122" s="381">
        <f>B121+B116</f>
        <v>235315.5</v>
      </c>
      <c r="C122" s="94">
        <f>SUM(C118:C121)</f>
        <v>7.8600000000000007E-3</v>
      </c>
      <c r="D122" s="531">
        <f>SUM(D118:D121)</f>
        <v>2181.15</v>
      </c>
      <c r="E122" s="94">
        <f>E121+E116</f>
        <v>0.91475534234384392</v>
      </c>
      <c r="F122" s="38"/>
      <c r="G122" s="46"/>
      <c r="H122" s="95"/>
      <c r="I122" s="95"/>
      <c r="J122" s="95"/>
      <c r="K122" s="95"/>
      <c r="L122" s="95"/>
      <c r="M122" s="95"/>
      <c r="N122" s="95"/>
      <c r="O122" s="95"/>
      <c r="P122" s="8"/>
      <c r="U122" s="53"/>
      <c r="Y122" s="142"/>
      <c r="Z122" s="325"/>
      <c r="AA122" s="184">
        <f>SUM(AA118:AA121)</f>
        <v>0</v>
      </c>
      <c r="AB122" s="664"/>
      <c r="AC122" s="184"/>
      <c r="AD122" s="131"/>
      <c r="AE122" s="161"/>
      <c r="AF122" s="131"/>
    </row>
    <row r="123" spans="1:32" x14ac:dyDescent="0.2">
      <c r="A123" s="396" t="s">
        <v>613</v>
      </c>
      <c r="B123" s="530">
        <f>(B120+B115+B113)*B$146</f>
        <v>3746.875</v>
      </c>
      <c r="C123" s="94"/>
      <c r="D123" s="531">
        <f t="shared" si="26"/>
        <v>187.34375</v>
      </c>
      <c r="E123" s="94">
        <f>B123/B$125</f>
        <v>1.4565440539805453E-2</v>
      </c>
      <c r="F123" s="555">
        <f>$E$146</f>
        <v>1</v>
      </c>
      <c r="G123" s="46"/>
      <c r="H123" s="95"/>
      <c r="I123" s="95"/>
      <c r="J123" s="95"/>
      <c r="K123" s="95"/>
      <c r="L123" s="95"/>
      <c r="M123" s="95"/>
      <c r="N123" s="95"/>
      <c r="O123" s="95"/>
      <c r="P123" s="530">
        <f>(P113+P115+P120)</f>
        <v>3440</v>
      </c>
      <c r="U123" s="53">
        <f>IF(U$15=0,DefaultData!$F81,IF(U$15=2,"Pop. Data Missing",IF($B$17&lt;DefaultData!$G$12,DefaultData!$G81,IF($B$17&lt;DefaultData!$H$12,DefaultData!$N81,IF($B$17&lt;DefaultData!$I$12,DefaultData!$Q81,DefaultData!$T81)))))</f>
        <v>1</v>
      </c>
      <c r="Y123" s="142"/>
      <c r="Z123" s="530">
        <f>(Z120+Z115+Z113)*Z$146</f>
        <v>0</v>
      </c>
      <c r="AA123" s="184"/>
      <c r="AB123" s="664"/>
      <c r="AC123" s="184"/>
      <c r="AD123" s="681">
        <f>$E$146</f>
        <v>1</v>
      </c>
      <c r="AE123" s="161"/>
      <c r="AF123" s="131"/>
    </row>
    <row r="124" spans="1:32" x14ac:dyDescent="0.2">
      <c r="A124" s="65" t="str">
        <f>DefaultData!B82</f>
        <v xml:space="preserve">  Right of Way/Royalty Payments - Public land</v>
      </c>
      <c r="B124" s="530">
        <f>DefaultData!C82</f>
        <v>18181.818181818184</v>
      </c>
      <c r="C124" s="94"/>
      <c r="D124" s="531">
        <f t="shared" si="26"/>
        <v>909.09090909090924</v>
      </c>
      <c r="E124" s="94">
        <f>B124/B$125</f>
        <v>7.0679217116350682E-2</v>
      </c>
      <c r="F124" s="53">
        <f>$U124</f>
        <v>1</v>
      </c>
      <c r="G124" s="46"/>
      <c r="H124" s="95"/>
      <c r="I124" s="95"/>
      <c r="J124" s="95"/>
      <c r="K124" s="95"/>
      <c r="L124" s="95"/>
      <c r="M124" s="95"/>
      <c r="N124" s="95"/>
      <c r="O124" s="95"/>
      <c r="P124" s="8">
        <f t="shared" ref="P124" si="28">F124*B124</f>
        <v>18181.818181818184</v>
      </c>
      <c r="U124" s="53">
        <f>IF(U$15=0,DefaultData!$F82,IF(U$15=2,"Pop. Data Missing",IF($B$17&lt;DefaultData!$G$12,DefaultData!$G82,IF($B$17&lt;DefaultData!$H$12,DefaultData!$N82,IF($B$17&lt;DefaultData!$I$12,DefaultData!$Q82,DefaultData!$T82)))))</f>
        <v>1</v>
      </c>
      <c r="Y124" s="142"/>
      <c r="Z124" s="530">
        <f>DefaultData!AA82</f>
        <v>0</v>
      </c>
      <c r="AA124" s="184"/>
      <c r="AB124" s="664"/>
      <c r="AC124" s="184"/>
      <c r="AD124" s="53">
        <f>$U124</f>
        <v>1</v>
      </c>
      <c r="AE124" s="161"/>
      <c r="AF124" s="131"/>
    </row>
    <row r="125" spans="1:32" x14ac:dyDescent="0.2">
      <c r="A125" s="65" t="str">
        <f>DefaultData!B83</f>
        <v xml:space="preserve">  Total with Payments</v>
      </c>
      <c r="B125" s="381">
        <f>B124+B123+B122</f>
        <v>257244.19318181818</v>
      </c>
      <c r="C125" s="94">
        <f>C124+C123+C122</f>
        <v>7.8600000000000007E-3</v>
      </c>
      <c r="D125" s="381">
        <f>D124+D123+D122</f>
        <v>3277.5846590909096</v>
      </c>
      <c r="E125" s="94">
        <f>E124+E123+E122</f>
        <v>1</v>
      </c>
      <c r="F125" s="38"/>
      <c r="G125" s="46"/>
      <c r="H125" s="95"/>
      <c r="I125" s="95"/>
      <c r="J125" s="95"/>
      <c r="K125" s="95"/>
      <c r="L125" s="95"/>
      <c r="M125" s="95"/>
      <c r="N125" s="95"/>
      <c r="O125" s="95"/>
      <c r="P125" s="8"/>
      <c r="Y125" s="142"/>
      <c r="Z125" s="325"/>
      <c r="AA125" s="184">
        <f>AA124+AA123+AA122</f>
        <v>0</v>
      </c>
      <c r="AB125" s="325"/>
      <c r="AC125" s="184"/>
      <c r="AD125" s="131"/>
      <c r="AE125" s="161"/>
      <c r="AF125" s="131"/>
    </row>
    <row r="126" spans="1:32" x14ac:dyDescent="0.2">
      <c r="A126" s="63"/>
      <c r="B126" s="98"/>
      <c r="C126" s="116"/>
      <c r="D126" s="116"/>
      <c r="E126" s="38"/>
      <c r="F126" s="38"/>
      <c r="G126" s="46"/>
      <c r="H126" s="95"/>
      <c r="I126" s="95"/>
      <c r="J126" s="95"/>
      <c r="K126" s="95"/>
      <c r="L126" s="95"/>
      <c r="M126" s="95"/>
      <c r="N126" s="95"/>
      <c r="O126" s="95"/>
      <c r="P126" s="8"/>
      <c r="Y126" s="142"/>
      <c r="Z126" s="609"/>
      <c r="AA126" s="263"/>
      <c r="AB126" s="263"/>
      <c r="AC126" s="131"/>
      <c r="AD126" s="131"/>
      <c r="AE126" s="161"/>
      <c r="AF126" s="131"/>
    </row>
    <row r="127" spans="1:32" ht="15.75" x14ac:dyDescent="0.25">
      <c r="A127" s="66" t="str">
        <f>DefaultData!B85</f>
        <v>Other Parameters</v>
      </c>
      <c r="B127" s="38"/>
      <c r="C127" s="46"/>
      <c r="D127" s="46"/>
      <c r="E127" s="46"/>
      <c r="F127" s="46"/>
      <c r="G127" s="46"/>
      <c r="H127" s="95"/>
      <c r="I127" s="95"/>
      <c r="J127" s="95"/>
      <c r="K127" s="95"/>
      <c r="L127" s="95"/>
      <c r="M127" s="95"/>
      <c r="N127" s="95"/>
      <c r="O127" s="95"/>
      <c r="P127" s="8"/>
      <c r="U127" s="53"/>
      <c r="Y127" s="217"/>
      <c r="Z127" s="131"/>
      <c r="AA127" s="161"/>
      <c r="AB127" s="161"/>
      <c r="AC127" s="161"/>
      <c r="AD127" s="161"/>
      <c r="AE127" s="161"/>
      <c r="AF127" s="131"/>
    </row>
    <row r="128" spans="1:32" ht="25.5" x14ac:dyDescent="0.2">
      <c r="A128" s="62" t="str">
        <f>DefaultData!B86</f>
        <v>Financial Parameters</v>
      </c>
      <c r="B128" s="38"/>
      <c r="C128" s="46"/>
      <c r="D128" s="46"/>
      <c r="E128" s="645" t="s">
        <v>418</v>
      </c>
      <c r="F128" s="46"/>
      <c r="G128" s="46"/>
      <c r="H128" s="95"/>
      <c r="I128" s="95"/>
      <c r="J128" s="95"/>
      <c r="K128" s="95"/>
      <c r="L128" s="95"/>
      <c r="M128" s="95"/>
      <c r="N128" s="95"/>
      <c r="O128" s="95"/>
      <c r="P128" s="8"/>
      <c r="U128" s="53"/>
      <c r="Y128" s="74"/>
      <c r="Z128" s="131"/>
      <c r="AA128" s="161"/>
      <c r="AB128" s="161"/>
      <c r="AC128" s="162" t="s">
        <v>5</v>
      </c>
      <c r="AD128" s="161"/>
      <c r="AE128" s="161"/>
      <c r="AF128" s="131"/>
    </row>
    <row r="129" spans="1:32" x14ac:dyDescent="0.2">
      <c r="A129" s="62" t="str">
        <f>DefaultData!B87</f>
        <v>Debt Financing</v>
      </c>
      <c r="B129" s="38"/>
      <c r="C129" s="46"/>
      <c r="D129" s="46"/>
      <c r="E129" s="40"/>
      <c r="F129" s="46"/>
      <c r="G129" s="46"/>
      <c r="H129" s="95"/>
      <c r="I129" s="95"/>
      <c r="J129" s="95"/>
      <c r="K129" s="95"/>
      <c r="L129" s="95"/>
      <c r="M129" s="95"/>
      <c r="N129" s="95"/>
      <c r="O129" s="95"/>
      <c r="P129" s="8"/>
      <c r="U129" s="53"/>
      <c r="Y129" s="74"/>
      <c r="Z129" s="131"/>
      <c r="AA129" s="161"/>
      <c r="AB129" s="161"/>
      <c r="AC129" s="162"/>
      <c r="AD129" s="161"/>
      <c r="AE129" s="161"/>
      <c r="AF129" s="131"/>
    </row>
    <row r="130" spans="1:32" x14ac:dyDescent="0.2">
      <c r="A130" s="43" t="str">
        <f>DefaultData!B88</f>
        <v xml:space="preserve">  Percentage financed</v>
      </c>
      <c r="B130" s="245">
        <f>DefaultData!$C88</f>
        <v>0.48</v>
      </c>
      <c r="C130" s="204"/>
      <c r="D130" s="204"/>
      <c r="E130" s="53">
        <f>DefaultData!$E88</f>
        <v>0</v>
      </c>
      <c r="F130" s="46"/>
      <c r="G130" s="46"/>
      <c r="H130" s="95"/>
      <c r="I130" s="95"/>
      <c r="J130" s="95"/>
      <c r="K130" s="95"/>
      <c r="L130" s="95"/>
      <c r="M130" s="95"/>
      <c r="N130" s="95"/>
      <c r="O130" s="95"/>
      <c r="P130" s="8">
        <f t="shared" ref="P130" si="29">F130*B130</f>
        <v>0</v>
      </c>
      <c r="U130" s="53"/>
      <c r="Y130" s="171"/>
      <c r="Z130" s="245">
        <f>DefaultData!$C88</f>
        <v>0.48</v>
      </c>
      <c r="AA130" s="689"/>
      <c r="AB130" s="689"/>
      <c r="AC130" s="53">
        <f>DefaultData!$E88</f>
        <v>0</v>
      </c>
      <c r="AD130" s="161"/>
      <c r="AE130" s="161"/>
      <c r="AF130" s="131"/>
    </row>
    <row r="131" spans="1:32" x14ac:dyDescent="0.2">
      <c r="A131" s="43" t="str">
        <f>DefaultData!B89</f>
        <v xml:space="preserve">  Years financed (term)</v>
      </c>
      <c r="B131" s="246">
        <f>DefaultData!$C89</f>
        <v>40</v>
      </c>
      <c r="C131" s="204"/>
      <c r="D131" s="204"/>
      <c r="E131" s="205"/>
      <c r="F131" s="46"/>
      <c r="G131" s="46"/>
      <c r="H131" s="95"/>
      <c r="I131" s="95"/>
      <c r="J131" s="95"/>
      <c r="K131" s="95"/>
      <c r="L131" s="95"/>
      <c r="M131" s="95"/>
      <c r="N131" s="95"/>
      <c r="O131" s="95"/>
      <c r="P131" s="8"/>
      <c r="U131" s="53"/>
      <c r="Y131" s="171"/>
      <c r="Z131" s="246">
        <f>DefaultData!$C89</f>
        <v>40</v>
      </c>
      <c r="AA131" s="689"/>
      <c r="AB131" s="689"/>
      <c r="AC131" s="205"/>
      <c r="AD131" s="161"/>
      <c r="AE131" s="161"/>
      <c r="AF131" s="131"/>
    </row>
    <row r="132" spans="1:32" x14ac:dyDescent="0.2">
      <c r="A132" s="43" t="str">
        <f>DefaultData!B90</f>
        <v xml:space="preserve">  Interest rate</v>
      </c>
      <c r="B132" s="248">
        <f>DefaultData!$C90</f>
        <v>6.3E-2</v>
      </c>
      <c r="C132" s="204"/>
      <c r="D132" s="204"/>
      <c r="E132" s="205"/>
      <c r="F132" s="46"/>
      <c r="G132" s="46"/>
      <c r="H132" s="95"/>
      <c r="I132" s="95"/>
      <c r="J132" s="95"/>
      <c r="K132" s="95"/>
      <c r="L132" s="95"/>
      <c r="M132" s="95"/>
      <c r="N132" s="95"/>
      <c r="O132" s="95"/>
      <c r="P132" s="8"/>
      <c r="Y132" s="171"/>
      <c r="Z132" s="248">
        <f>DefaultData!$C90</f>
        <v>6.3E-2</v>
      </c>
      <c r="AA132" s="689"/>
      <c r="AB132" s="689"/>
      <c r="AC132" s="205"/>
      <c r="AD132" s="161"/>
      <c r="AE132" s="161"/>
      <c r="AF132" s="131"/>
    </row>
    <row r="133" spans="1:32" x14ac:dyDescent="0.2">
      <c r="A133" s="62" t="str">
        <f>DefaultData!B92</f>
        <v>Equity Financing/Repayment</v>
      </c>
      <c r="B133" s="204"/>
      <c r="C133" s="204"/>
      <c r="D133" s="204"/>
      <c r="E133" s="205"/>
      <c r="F133" s="46"/>
      <c r="G133" s="46"/>
      <c r="H133" s="95"/>
      <c r="I133" s="95"/>
      <c r="J133" s="95"/>
      <c r="K133" s="95"/>
      <c r="L133" s="95"/>
      <c r="M133" s="95"/>
      <c r="N133" s="95"/>
      <c r="O133" s="95"/>
      <c r="P133" s="8"/>
      <c r="Y133" s="171"/>
      <c r="Z133" s="689"/>
      <c r="AA133" s="689"/>
      <c r="AB133" s="689"/>
      <c r="AC133" s="205"/>
      <c r="AD133" s="161"/>
      <c r="AE133" s="161"/>
      <c r="AF133" s="131"/>
    </row>
    <row r="134" spans="1:32" x14ac:dyDescent="0.2">
      <c r="A134" s="43" t="str">
        <f>DefaultData!B93</f>
        <v xml:space="preserve">  Percentage equity</v>
      </c>
      <c r="B134" s="361">
        <f>1-B130</f>
        <v>0.52</v>
      </c>
      <c r="C134" s="204"/>
      <c r="D134" s="204"/>
      <c r="E134" s="205"/>
      <c r="F134" s="46"/>
      <c r="G134" s="46"/>
      <c r="H134" s="95"/>
      <c r="I134" s="95"/>
      <c r="J134" s="95"/>
      <c r="K134" s="95"/>
      <c r="L134" s="95"/>
      <c r="M134" s="95"/>
      <c r="N134" s="95"/>
      <c r="O134" s="95"/>
      <c r="P134" s="8"/>
      <c r="Y134" s="171"/>
      <c r="Z134" s="690">
        <f>1-Z130</f>
        <v>0.52</v>
      </c>
      <c r="AA134" s="689"/>
      <c r="AB134" s="689"/>
      <c r="AC134" s="205"/>
      <c r="AD134" s="161"/>
      <c r="AE134" s="161"/>
      <c r="AF134" s="131"/>
    </row>
    <row r="135" spans="1:32" x14ac:dyDescent="0.2">
      <c r="A135" s="43" t="str">
        <f>DefaultData!B94</f>
        <v xml:space="preserve">  Individual Investors (percent of equity)</v>
      </c>
      <c r="B135" s="245">
        <f>DefaultData!$C94</f>
        <v>0</v>
      </c>
      <c r="C135" s="204"/>
      <c r="D135" s="204"/>
      <c r="E135" s="53">
        <f>DefaultData!$E94</f>
        <v>0</v>
      </c>
      <c r="F135" s="46"/>
      <c r="G135" s="46"/>
      <c r="H135" s="95"/>
      <c r="I135" s="95"/>
      <c r="J135" s="95"/>
      <c r="K135" s="95"/>
      <c r="L135" s="95"/>
      <c r="M135" s="95"/>
      <c r="N135" s="95"/>
      <c r="O135" s="95"/>
      <c r="P135" s="8">
        <f t="shared" ref="P135:P136" si="30">F135*B135</f>
        <v>0</v>
      </c>
      <c r="Y135" s="171"/>
      <c r="Z135" s="245">
        <f>DefaultData!$C94</f>
        <v>0</v>
      </c>
      <c r="AA135" s="689"/>
      <c r="AB135" s="689"/>
      <c r="AC135" s="53">
        <f>DefaultData!$E94</f>
        <v>0</v>
      </c>
      <c r="AD135" s="161"/>
      <c r="AE135" s="161"/>
      <c r="AF135" s="131"/>
    </row>
    <row r="136" spans="1:32" x14ac:dyDescent="0.2">
      <c r="A136" s="43" t="str">
        <f>DefaultData!B95</f>
        <v xml:space="preserve">  Corporate Investors (percent of equity)</v>
      </c>
      <c r="B136" s="361">
        <f>1-B135</f>
        <v>1</v>
      </c>
      <c r="C136" s="204"/>
      <c r="D136" s="204"/>
      <c r="E136" s="53">
        <f>DefaultData!$E95</f>
        <v>0</v>
      </c>
      <c r="F136" s="46"/>
      <c r="G136" s="46"/>
      <c r="H136" s="95"/>
      <c r="I136" s="95"/>
      <c r="J136" s="95"/>
      <c r="K136" s="95"/>
      <c r="L136" s="95"/>
      <c r="M136" s="95"/>
      <c r="N136" s="95"/>
      <c r="O136" s="95"/>
      <c r="P136" s="8">
        <f t="shared" si="30"/>
        <v>0</v>
      </c>
      <c r="Y136" s="171"/>
      <c r="Z136" s="690">
        <f>1-Z135</f>
        <v>1</v>
      </c>
      <c r="AA136" s="689"/>
      <c r="AB136" s="689"/>
      <c r="AC136" s="53">
        <f>DefaultData!$E95</f>
        <v>0</v>
      </c>
      <c r="AD136" s="161"/>
      <c r="AE136" s="161"/>
      <c r="AF136" s="131"/>
    </row>
    <row r="137" spans="1:32" x14ac:dyDescent="0.2">
      <c r="A137" s="43" t="str">
        <f>DefaultData!B96</f>
        <v xml:space="preserve">  Return on equity</v>
      </c>
      <c r="B137" s="245">
        <f>DefaultData!$C96</f>
        <v>0.114</v>
      </c>
      <c r="C137" s="204"/>
      <c r="D137" s="204"/>
      <c r="E137" s="205"/>
      <c r="F137" s="46"/>
      <c r="G137" s="46"/>
      <c r="H137" s="95"/>
      <c r="I137" s="95"/>
      <c r="J137" s="95"/>
      <c r="K137" s="95"/>
      <c r="L137" s="95"/>
      <c r="M137" s="95"/>
      <c r="N137" s="95"/>
      <c r="O137" s="95"/>
      <c r="P137" s="8"/>
      <c r="Y137" s="171"/>
      <c r="Z137" s="245">
        <f>DefaultData!$C96</f>
        <v>0.114</v>
      </c>
      <c r="AA137" s="689"/>
      <c r="AB137" s="689"/>
      <c r="AC137" s="205"/>
      <c r="AD137" s="161"/>
      <c r="AE137" s="161"/>
      <c r="AF137" s="131"/>
    </row>
    <row r="138" spans="1:32" x14ac:dyDescent="0.2">
      <c r="A138" s="43" t="str">
        <f>DefaultData!B97</f>
        <v xml:space="preserve">  Repayment term (years)</v>
      </c>
      <c r="B138" s="359">
        <f>DefaultData!$C97</f>
        <v>10</v>
      </c>
      <c r="C138" s="204"/>
      <c r="D138" s="204"/>
      <c r="E138" s="205"/>
      <c r="F138" s="46"/>
      <c r="G138" s="46"/>
      <c r="H138" s="95"/>
      <c r="I138" s="95"/>
      <c r="J138" s="95"/>
      <c r="K138" s="95"/>
      <c r="L138" s="95"/>
      <c r="M138" s="95"/>
      <c r="N138" s="95"/>
      <c r="O138" s="95"/>
      <c r="P138" s="8"/>
      <c r="Y138" s="171"/>
      <c r="Z138" s="359">
        <f>DefaultData!$C97</f>
        <v>10</v>
      </c>
      <c r="AA138" s="689"/>
      <c r="AB138" s="689"/>
      <c r="AC138" s="205"/>
      <c r="AD138" s="161"/>
      <c r="AE138" s="161"/>
      <c r="AF138" s="131"/>
    </row>
    <row r="139" spans="1:32" x14ac:dyDescent="0.2">
      <c r="A139" s="62" t="str">
        <f>DefaultData!B98</f>
        <v>Tax Parameters</v>
      </c>
      <c r="B139" s="204"/>
      <c r="C139" s="204"/>
      <c r="D139" s="204"/>
      <c r="E139" s="204"/>
      <c r="F139" s="46"/>
      <c r="G139" s="46"/>
      <c r="H139" s="96"/>
      <c r="I139" s="95"/>
      <c r="J139" s="95"/>
      <c r="K139" s="95"/>
      <c r="L139" s="95"/>
      <c r="M139" s="95"/>
      <c r="N139" s="95"/>
      <c r="O139" s="95"/>
      <c r="P139" s="8"/>
      <c r="U139" s="53"/>
      <c r="Y139" s="74"/>
      <c r="Z139" s="689"/>
      <c r="AA139" s="689"/>
      <c r="AB139" s="689"/>
      <c r="AC139" s="204"/>
      <c r="AD139" s="161"/>
      <c r="AE139" s="161"/>
      <c r="AF139" s="162"/>
    </row>
    <row r="140" spans="1:32" x14ac:dyDescent="0.2">
      <c r="A140" s="598" t="s">
        <v>582</v>
      </c>
      <c r="B140" s="247">
        <f>DefaultData!$C99</f>
        <v>0</v>
      </c>
      <c r="C140" s="204"/>
      <c r="D140" s="204"/>
      <c r="E140" s="205"/>
      <c r="F140" s="46"/>
      <c r="G140" s="46"/>
      <c r="H140" s="95"/>
      <c r="I140" s="95"/>
      <c r="J140" s="95"/>
      <c r="K140" s="95"/>
      <c r="L140" s="95"/>
      <c r="M140" s="95"/>
      <c r="N140" s="95"/>
      <c r="O140" s="95"/>
      <c r="P140" s="8"/>
      <c r="U140" s="53"/>
      <c r="Y140" s="119"/>
      <c r="Z140" s="247">
        <f>DefaultData!$C99</f>
        <v>0</v>
      </c>
      <c r="AA140" s="689"/>
      <c r="AB140" s="689"/>
      <c r="AC140" s="205"/>
      <c r="AD140" s="161"/>
      <c r="AE140" s="161"/>
      <c r="AF140" s="131"/>
    </row>
    <row r="141" spans="1:32" x14ac:dyDescent="0.2">
      <c r="A141" s="47" t="str">
        <f>DefaultData!B100</f>
        <v xml:space="preserve">  Assessed Value (percent of construction cost)</v>
      </c>
      <c r="B141" s="247">
        <f>DefaultData!$C100</f>
        <v>1</v>
      </c>
      <c r="C141" s="204"/>
      <c r="D141" s="204"/>
      <c r="E141" s="205"/>
      <c r="F141" s="46"/>
      <c r="G141" s="46"/>
      <c r="H141" s="97"/>
      <c r="I141" s="95"/>
      <c r="J141" s="95"/>
      <c r="K141" s="95"/>
      <c r="L141" s="95"/>
      <c r="M141" s="95"/>
      <c r="N141" s="95"/>
      <c r="O141" s="95"/>
      <c r="P141" s="8"/>
      <c r="U141" s="53"/>
      <c r="Y141" s="119"/>
      <c r="Z141" s="247">
        <f>DefaultData!$C100</f>
        <v>1</v>
      </c>
      <c r="AA141" s="689"/>
      <c r="AB141" s="689"/>
      <c r="AC141" s="205"/>
      <c r="AD141" s="161"/>
      <c r="AE141" s="161"/>
      <c r="AF141" s="161"/>
    </row>
    <row r="142" spans="1:32" x14ac:dyDescent="0.2">
      <c r="A142" s="47" t="str">
        <f>DefaultData!B101</f>
        <v xml:space="preserve">  Taxable Value (percent of assessed value)</v>
      </c>
      <c r="B142" s="247">
        <f>DefaultData!$C101</f>
        <v>1</v>
      </c>
      <c r="C142" s="204"/>
      <c r="D142" s="204"/>
      <c r="E142" s="205"/>
      <c r="F142" s="46"/>
      <c r="G142" s="46"/>
      <c r="H142" s="97"/>
      <c r="I142" s="95"/>
      <c r="J142" s="95"/>
      <c r="K142" s="95"/>
      <c r="L142" s="95"/>
      <c r="M142" s="95"/>
      <c r="N142" s="95"/>
      <c r="O142" s="95"/>
      <c r="P142" s="8"/>
      <c r="U142" s="53"/>
      <c r="Y142" s="119"/>
      <c r="Z142" s="247">
        <f>DefaultData!$C101</f>
        <v>1</v>
      </c>
      <c r="AA142" s="689"/>
      <c r="AB142" s="689"/>
      <c r="AC142" s="205"/>
      <c r="AD142" s="161"/>
      <c r="AE142" s="161"/>
      <c r="AF142" s="161"/>
    </row>
    <row r="143" spans="1:32" x14ac:dyDescent="0.2">
      <c r="A143" s="47" t="str">
        <f>DefaultData!B102</f>
        <v xml:space="preserve">  Taxable Value</v>
      </c>
      <c r="B143" s="243">
        <f>+B142*B141*B107</f>
        <v>29859436.543492477</v>
      </c>
      <c r="C143" s="204"/>
      <c r="D143" s="204"/>
      <c r="E143" s="205"/>
      <c r="F143" s="46"/>
      <c r="G143" s="46"/>
      <c r="H143" s="97"/>
      <c r="I143" s="95"/>
      <c r="J143" s="95"/>
      <c r="K143" s="95"/>
      <c r="L143" s="95"/>
      <c r="M143" s="95"/>
      <c r="N143" s="95"/>
      <c r="O143" s="95"/>
      <c r="P143" s="8"/>
      <c r="U143" s="53"/>
      <c r="Y143" s="119"/>
      <c r="Z143" s="243">
        <f>+Z142*Z141*Z107</f>
        <v>0</v>
      </c>
      <c r="AA143" s="689"/>
      <c r="AB143" s="689"/>
      <c r="AC143" s="205"/>
      <c r="AD143" s="161"/>
      <c r="AE143" s="161"/>
      <c r="AF143" s="161"/>
    </row>
    <row r="144" spans="1:32" x14ac:dyDescent="0.2">
      <c r="A144" s="76" t="s">
        <v>277</v>
      </c>
      <c r="B144" s="247">
        <f>DefaultData!$C103</f>
        <v>0</v>
      </c>
      <c r="C144" s="204"/>
      <c r="D144" s="204"/>
      <c r="E144" s="205"/>
      <c r="F144" s="46"/>
      <c r="G144" s="46"/>
      <c r="H144" s="97"/>
      <c r="I144" s="95"/>
      <c r="J144" s="95"/>
      <c r="K144" s="95"/>
      <c r="L144" s="95"/>
      <c r="M144" s="95"/>
      <c r="N144" s="95"/>
      <c r="O144" s="95"/>
      <c r="P144" s="8"/>
      <c r="U144" s="53"/>
      <c r="Y144" s="119"/>
      <c r="Z144" s="247">
        <f>DefaultData!$C103</f>
        <v>0</v>
      </c>
      <c r="AA144" s="689"/>
      <c r="AB144" s="689"/>
      <c r="AC144" s="205"/>
      <c r="AD144" s="161"/>
      <c r="AE144" s="161"/>
      <c r="AF144" s="161"/>
    </row>
    <row r="145" spans="1:32" x14ac:dyDescent="0.2">
      <c r="A145" s="76" t="s">
        <v>278</v>
      </c>
      <c r="B145" s="243">
        <f>B143*B140*(1-B144)</f>
        <v>0</v>
      </c>
      <c r="C145" s="204"/>
      <c r="D145" s="204"/>
      <c r="E145" s="53">
        <f>DefaultData!$E104</f>
        <v>1</v>
      </c>
      <c r="F145" s="46"/>
      <c r="G145" s="46"/>
      <c r="H145" s="97"/>
      <c r="I145" s="95"/>
      <c r="J145" s="95"/>
      <c r="K145" s="95"/>
      <c r="L145" s="95"/>
      <c r="M145" s="95"/>
      <c r="N145" s="95"/>
      <c r="O145" s="95"/>
      <c r="P145" s="8">
        <f t="shared" ref="P145:P146" si="31">F145*B145</f>
        <v>0</v>
      </c>
      <c r="U145" s="53"/>
      <c r="Y145" s="119"/>
      <c r="Z145" s="243">
        <f>Z143*Z140*(1-Z144)</f>
        <v>0</v>
      </c>
      <c r="AA145" s="689"/>
      <c r="AB145" s="689"/>
      <c r="AC145" s="53">
        <f>DefaultData!$E104</f>
        <v>1</v>
      </c>
      <c r="AD145" s="161"/>
      <c r="AE145" s="161"/>
      <c r="AF145" s="161"/>
    </row>
    <row r="146" spans="1:32" x14ac:dyDescent="0.2">
      <c r="A146" s="256" t="s">
        <v>239</v>
      </c>
      <c r="B146" s="257">
        <f>DefaultData!$C105</f>
        <v>6.25E-2</v>
      </c>
      <c r="C146" s="38"/>
      <c r="D146" s="461"/>
      <c r="E146" s="53">
        <f>DefaultData!$E105</f>
        <v>1</v>
      </c>
      <c r="F146" s="46"/>
      <c r="G146" s="46"/>
      <c r="H146" s="97"/>
      <c r="I146" s="95"/>
      <c r="J146" s="95"/>
      <c r="K146" s="95"/>
      <c r="L146" s="95"/>
      <c r="M146" s="95"/>
      <c r="N146" s="95"/>
      <c r="O146" s="95"/>
      <c r="P146" s="8">
        <f t="shared" si="31"/>
        <v>0</v>
      </c>
      <c r="U146" s="53"/>
      <c r="Y146" s="119"/>
      <c r="Z146" s="257">
        <f>DefaultData!$C105</f>
        <v>6.25E-2</v>
      </c>
      <c r="AA146" s="131"/>
      <c r="AB146" s="131"/>
      <c r="AC146" s="53">
        <f>DefaultData!$E105</f>
        <v>1</v>
      </c>
      <c r="AD146" s="161"/>
      <c r="AE146" s="161"/>
      <c r="AF146" s="161"/>
    </row>
    <row r="147" spans="1:32" x14ac:dyDescent="0.2">
      <c r="A147" s="275" t="s">
        <v>240</v>
      </c>
      <c r="B147" s="38"/>
      <c r="C147" s="38"/>
      <c r="D147" s="461"/>
      <c r="E147" s="101"/>
      <c r="F147" s="46"/>
      <c r="G147" s="46"/>
      <c r="H147" s="97"/>
      <c r="I147" s="95"/>
      <c r="J147" s="95"/>
      <c r="K147" s="95"/>
      <c r="L147" s="95"/>
      <c r="M147" s="95"/>
      <c r="N147" s="95"/>
      <c r="O147" s="95"/>
      <c r="U147" s="53"/>
      <c r="Z147" s="131"/>
      <c r="AA147" s="131"/>
      <c r="AB147" s="131"/>
      <c r="AC147" s="119"/>
      <c r="AD147" s="161"/>
      <c r="AE147" s="161"/>
      <c r="AF147" s="161"/>
    </row>
    <row r="148" spans="1:32" ht="15" x14ac:dyDescent="0.2">
      <c r="A148" s="275" t="s">
        <v>286</v>
      </c>
      <c r="B148" s="277" t="s">
        <v>249</v>
      </c>
      <c r="C148" s="38"/>
      <c r="D148" s="461"/>
      <c r="E148" s="292" t="s">
        <v>254</v>
      </c>
      <c r="F148" s="46"/>
      <c r="G148" s="46"/>
      <c r="H148" s="97"/>
      <c r="I148" s="95"/>
      <c r="J148" s="95"/>
      <c r="K148" s="95"/>
      <c r="L148" s="95"/>
      <c r="M148" s="95"/>
      <c r="N148" s="95"/>
      <c r="O148" s="95"/>
      <c r="P148" s="92"/>
      <c r="U148" s="53"/>
      <c r="Z148" s="173" t="s">
        <v>249</v>
      </c>
      <c r="AA148" s="131"/>
      <c r="AB148" s="131"/>
      <c r="AC148" s="375" t="s">
        <v>254</v>
      </c>
      <c r="AD148" s="161"/>
      <c r="AE148" s="161"/>
      <c r="AF148" s="161"/>
    </row>
    <row r="149" spans="1:32" x14ac:dyDescent="0.2">
      <c r="A149" s="276" t="s">
        <v>301</v>
      </c>
      <c r="B149" s="244">
        <f>Calculations!$E68</f>
        <v>17.45</v>
      </c>
      <c r="C149" s="46"/>
      <c r="D149" s="46"/>
      <c r="E149" s="248">
        <f>Calculations!$K$62</f>
        <v>0.37606110248282032</v>
      </c>
      <c r="F149" s="46"/>
      <c r="G149" s="46"/>
      <c r="H149" s="97"/>
      <c r="I149" s="95"/>
      <c r="J149" s="95"/>
      <c r="K149" s="95"/>
      <c r="L149" s="95"/>
      <c r="M149" s="95"/>
      <c r="N149" s="100"/>
      <c r="O149" s="95"/>
      <c r="U149" s="53"/>
      <c r="Z149" s="244">
        <f>Calculations!$E68</f>
        <v>17.45</v>
      </c>
      <c r="AA149" s="161"/>
      <c r="AB149" s="161"/>
      <c r="AC149" s="248">
        <f>Calculations!$K$62</f>
        <v>0.37606110248282032</v>
      </c>
      <c r="AD149" s="161"/>
      <c r="AE149" s="161"/>
      <c r="AF149" s="161"/>
    </row>
    <row r="150" spans="1:32" x14ac:dyDescent="0.2">
      <c r="A150" s="276" t="s">
        <v>302</v>
      </c>
      <c r="B150" s="244">
        <f>Calculations!$E69</f>
        <v>25.27</v>
      </c>
      <c r="C150" s="46"/>
      <c r="D150" s="46"/>
      <c r="E150" s="248">
        <f>Calculations!$K$62</f>
        <v>0.37606110248282032</v>
      </c>
      <c r="F150" s="46"/>
      <c r="G150" s="46"/>
      <c r="H150" s="97"/>
      <c r="I150" s="95"/>
      <c r="J150" s="95"/>
      <c r="K150" s="95"/>
      <c r="L150" s="95"/>
      <c r="M150" s="95"/>
      <c r="N150" s="100"/>
      <c r="O150" s="95"/>
      <c r="U150" s="53"/>
      <c r="Z150" s="244">
        <f>Calculations!$E69</f>
        <v>25.27</v>
      </c>
      <c r="AA150" s="161"/>
      <c r="AB150" s="161"/>
      <c r="AC150" s="248">
        <f>Calculations!$K$62</f>
        <v>0.37606110248282032</v>
      </c>
      <c r="AD150" s="161"/>
      <c r="AE150" s="161"/>
      <c r="AF150" s="161"/>
    </row>
    <row r="151" spans="1:32" x14ac:dyDescent="0.2">
      <c r="A151" s="561" t="s">
        <v>560</v>
      </c>
      <c r="B151" s="244">
        <f>Calculations!$E70</f>
        <v>29.98</v>
      </c>
      <c r="C151" s="46"/>
      <c r="D151" s="46"/>
      <c r="E151" s="248">
        <f>Calculations!$K$62</f>
        <v>0.37606110248282032</v>
      </c>
      <c r="F151" s="46"/>
      <c r="G151" s="46"/>
      <c r="H151" s="97"/>
      <c r="I151" s="95"/>
      <c r="J151" s="95"/>
      <c r="K151" s="95"/>
      <c r="L151" s="95"/>
      <c r="M151" s="95"/>
      <c r="N151" s="100"/>
      <c r="O151" s="95"/>
      <c r="U151" s="53"/>
      <c r="Z151" s="244">
        <f>Calculations!$E70</f>
        <v>29.98</v>
      </c>
      <c r="AA151" s="161"/>
      <c r="AB151" s="161"/>
      <c r="AC151" s="248">
        <f>Calculations!$K$62</f>
        <v>0.37606110248282032</v>
      </c>
      <c r="AD151" s="161"/>
      <c r="AE151" s="161"/>
      <c r="AF151" s="161"/>
    </row>
    <row r="152" spans="1:32" x14ac:dyDescent="0.2">
      <c r="A152" s="275" t="s">
        <v>246</v>
      </c>
      <c r="B152" s="277"/>
      <c r="C152" s="46"/>
      <c r="D152" s="46"/>
      <c r="E152" s="46"/>
      <c r="F152" s="46"/>
      <c r="G152" s="46"/>
      <c r="H152" s="97"/>
      <c r="I152" s="95"/>
      <c r="J152" s="95"/>
      <c r="K152" s="95"/>
      <c r="L152" s="95"/>
      <c r="M152" s="95"/>
      <c r="N152" s="100"/>
      <c r="O152" s="95"/>
      <c r="U152" s="53"/>
      <c r="Z152" s="173"/>
      <c r="AA152" s="161"/>
      <c r="AB152" s="161"/>
      <c r="AC152" s="161"/>
      <c r="AD152" s="161"/>
      <c r="AE152" s="161"/>
      <c r="AF152" s="161"/>
    </row>
    <row r="153" spans="1:32" x14ac:dyDescent="0.2">
      <c r="A153" s="191" t="s">
        <v>565</v>
      </c>
      <c r="B153" s="244">
        <f>Calculations!$E78</f>
        <v>23.16</v>
      </c>
      <c r="C153" s="38"/>
      <c r="D153" s="461"/>
      <c r="E153" s="248">
        <f>Calculations!$K62</f>
        <v>0.37606110248282032</v>
      </c>
      <c r="F153" s="38"/>
      <c r="G153" s="46"/>
      <c r="H153" s="97"/>
      <c r="I153" s="95"/>
      <c r="J153" s="95"/>
      <c r="K153" s="95"/>
      <c r="L153" s="95"/>
      <c r="M153" s="95"/>
      <c r="N153" s="100"/>
      <c r="O153" s="95"/>
      <c r="Z153" s="244">
        <f>Calculations!$E78</f>
        <v>23.16</v>
      </c>
      <c r="AA153" s="131"/>
      <c r="AB153" s="131"/>
      <c r="AC153" s="248">
        <f>Calculations!$K62</f>
        <v>0.37606110248282032</v>
      </c>
      <c r="AD153" s="131"/>
      <c r="AE153" s="161"/>
      <c r="AF153" s="161"/>
    </row>
    <row r="154" spans="1:32" s="462" customFormat="1" x14ac:dyDescent="0.2">
      <c r="A154" s="191" t="s">
        <v>566</v>
      </c>
      <c r="B154" s="244">
        <f>Calculations!$E79</f>
        <v>23.16</v>
      </c>
      <c r="C154" s="461"/>
      <c r="D154" s="461"/>
      <c r="E154" s="248">
        <f>Calculations!$K62</f>
        <v>0.37606110248282032</v>
      </c>
      <c r="F154" s="461"/>
      <c r="G154" s="46"/>
      <c r="H154" s="97"/>
      <c r="I154" s="95"/>
      <c r="J154" s="95"/>
      <c r="K154" s="95"/>
      <c r="L154" s="95"/>
      <c r="M154" s="95"/>
      <c r="N154" s="100"/>
      <c r="O154" s="95"/>
      <c r="Z154" s="244">
        <f>Calculations!$E79</f>
        <v>23.16</v>
      </c>
      <c r="AA154" s="131"/>
      <c r="AB154" s="131"/>
      <c r="AC154" s="248">
        <f>Calculations!$K62</f>
        <v>0.37606110248282032</v>
      </c>
      <c r="AD154" s="131"/>
      <c r="AE154" s="161"/>
      <c r="AF154" s="161"/>
    </row>
    <row r="155" spans="1:32" x14ac:dyDescent="0.2">
      <c r="A155" s="38"/>
      <c r="B155" s="38"/>
      <c r="C155" s="38"/>
      <c r="D155" s="461"/>
      <c r="E155" s="38"/>
      <c r="F155" s="38"/>
      <c r="G155" s="46"/>
      <c r="H155" s="97"/>
      <c r="I155" s="95"/>
      <c r="J155" s="95"/>
      <c r="K155" s="95"/>
      <c r="L155" s="95"/>
      <c r="M155" s="95"/>
      <c r="N155" s="95"/>
      <c r="O155" s="95"/>
      <c r="Z155" s="257"/>
      <c r="AA155" s="131"/>
      <c r="AD155" s="131"/>
    </row>
    <row r="156" spans="1:32" x14ac:dyDescent="0.2">
      <c r="A156" s="38"/>
      <c r="B156" s="38"/>
      <c r="C156" s="38"/>
      <c r="D156" s="461"/>
      <c r="E156" s="38"/>
      <c r="F156" s="38"/>
      <c r="G156" s="46"/>
      <c r="H156" s="97"/>
      <c r="I156" s="95"/>
      <c r="J156" s="95"/>
      <c r="K156" s="95"/>
      <c r="L156" s="95"/>
      <c r="M156" s="95"/>
      <c r="N156" s="95"/>
      <c r="O156" s="95"/>
      <c r="Z156" s="257"/>
    </row>
    <row r="157" spans="1:32" x14ac:dyDescent="0.2">
      <c r="A157" s="38"/>
      <c r="B157" s="38"/>
      <c r="C157" s="38"/>
      <c r="D157" s="461"/>
      <c r="E157" s="38"/>
      <c r="F157" s="38"/>
      <c r="G157" s="46"/>
      <c r="H157" s="97"/>
      <c r="I157" s="95"/>
      <c r="J157" s="95"/>
      <c r="K157" s="95"/>
      <c r="L157" s="95"/>
      <c r="M157" s="95"/>
      <c r="N157" s="95"/>
      <c r="O157" s="95"/>
    </row>
    <row r="158" spans="1:32" x14ac:dyDescent="0.2">
      <c r="A158" s="38"/>
      <c r="B158" s="38"/>
      <c r="C158" s="38"/>
      <c r="D158" s="461"/>
      <c r="E158" s="38"/>
      <c r="F158" s="38"/>
      <c r="G158" s="38"/>
      <c r="H158" s="97"/>
      <c r="I158" s="95"/>
      <c r="J158" s="95"/>
      <c r="K158" s="95"/>
      <c r="L158" s="95"/>
      <c r="M158" s="95"/>
      <c r="N158" s="95"/>
      <c r="O158" s="95"/>
    </row>
    <row r="159" spans="1:32" x14ac:dyDescent="0.2">
      <c r="A159" s="38"/>
      <c r="B159" s="38"/>
      <c r="C159" s="38"/>
      <c r="D159" s="461"/>
      <c r="E159" s="38"/>
      <c r="F159" s="38"/>
      <c r="G159" s="38"/>
      <c r="H159" s="97"/>
      <c r="I159" s="95"/>
      <c r="J159" s="95"/>
      <c r="K159" s="95"/>
      <c r="L159" s="95"/>
      <c r="M159" s="95"/>
      <c r="N159" s="95"/>
      <c r="O159" s="95"/>
    </row>
    <row r="160" spans="1:32" x14ac:dyDescent="0.2">
      <c r="A160" s="38"/>
      <c r="B160" s="38"/>
      <c r="C160" s="38"/>
      <c r="D160" s="461"/>
      <c r="E160" s="38"/>
      <c r="F160" s="38"/>
      <c r="G160" s="46"/>
      <c r="H160" s="97"/>
      <c r="I160" s="95"/>
      <c r="J160" s="95"/>
      <c r="K160" s="95"/>
      <c r="L160" s="95"/>
      <c r="M160" s="95"/>
      <c r="N160" s="95"/>
      <c r="O160" s="95"/>
    </row>
    <row r="161" spans="1:15" x14ac:dyDescent="0.2">
      <c r="A161" s="38"/>
      <c r="B161" s="38"/>
      <c r="C161" s="38"/>
      <c r="D161" s="461"/>
      <c r="E161" s="38"/>
      <c r="F161" s="38"/>
      <c r="G161" s="46"/>
      <c r="H161" s="97"/>
      <c r="I161" s="95"/>
      <c r="J161" s="95"/>
      <c r="K161" s="95"/>
      <c r="L161" s="95"/>
      <c r="M161" s="95"/>
      <c r="N161" s="95"/>
      <c r="O161" s="95"/>
    </row>
    <row r="162" spans="1:15" x14ac:dyDescent="0.2">
      <c r="A162" s="38"/>
      <c r="B162" s="38"/>
      <c r="C162" s="38"/>
      <c r="D162" s="461"/>
      <c r="E162" s="38"/>
      <c r="F162" s="38"/>
      <c r="G162" s="38"/>
      <c r="H162" s="97"/>
      <c r="I162" s="95"/>
      <c r="J162" s="95"/>
      <c r="K162" s="95"/>
      <c r="L162" s="95"/>
      <c r="M162" s="95"/>
      <c r="N162" s="95"/>
      <c r="O162" s="95"/>
    </row>
    <row r="163" spans="1:15" x14ac:dyDescent="0.2">
      <c r="A163" s="38"/>
      <c r="B163" s="38"/>
      <c r="C163" s="38"/>
      <c r="D163" s="461"/>
      <c r="E163" s="38"/>
      <c r="F163" s="38"/>
      <c r="G163" s="38"/>
      <c r="H163" s="97"/>
      <c r="I163" s="95"/>
      <c r="J163" s="95"/>
      <c r="K163" s="95"/>
      <c r="L163" s="95"/>
      <c r="M163" s="95"/>
      <c r="N163" s="95"/>
      <c r="O163" s="95"/>
    </row>
    <row r="164" spans="1:15" x14ac:dyDescent="0.2">
      <c r="A164" s="38"/>
      <c r="B164" s="38"/>
      <c r="C164" s="38"/>
      <c r="D164" s="461"/>
      <c r="E164" s="38"/>
      <c r="F164" s="38"/>
      <c r="G164" s="38"/>
      <c r="H164" s="97"/>
      <c r="I164" s="95"/>
      <c r="J164" s="95"/>
      <c r="K164" s="95"/>
      <c r="L164" s="95"/>
      <c r="M164" s="95"/>
      <c r="N164" s="95"/>
      <c r="O164" s="95"/>
    </row>
    <row r="165" spans="1:15" x14ac:dyDescent="0.2">
      <c r="A165" s="38"/>
      <c r="B165" s="38"/>
      <c r="C165" s="38"/>
      <c r="D165" s="461"/>
      <c r="E165" s="38"/>
      <c r="F165" s="38"/>
      <c r="G165" s="38"/>
      <c r="H165" s="97"/>
      <c r="I165" s="95"/>
      <c r="J165" s="95"/>
      <c r="K165" s="95"/>
      <c r="L165" s="95"/>
      <c r="M165" s="95"/>
      <c r="N165" s="95"/>
      <c r="O165" s="95"/>
    </row>
    <row r="166" spans="1:15" x14ac:dyDescent="0.2">
      <c r="A166" s="46"/>
      <c r="B166" s="46"/>
      <c r="C166" s="46"/>
      <c r="D166" s="46"/>
      <c r="E166" s="46"/>
      <c r="F166" s="46"/>
      <c r="G166" s="38"/>
      <c r="H166" s="97"/>
      <c r="I166" s="95"/>
      <c r="J166" s="95"/>
      <c r="K166" s="95"/>
      <c r="L166" s="95"/>
      <c r="M166" s="95"/>
      <c r="N166" s="95"/>
      <c r="O166" s="95"/>
    </row>
    <row r="167" spans="1:15" x14ac:dyDescent="0.2">
      <c r="A167" s="46"/>
      <c r="B167" s="46"/>
      <c r="C167" s="46"/>
      <c r="D167" s="46"/>
      <c r="E167" s="46"/>
      <c r="F167" s="46"/>
      <c r="G167" s="38"/>
      <c r="H167" s="97"/>
      <c r="I167" s="95"/>
      <c r="J167" s="95"/>
      <c r="K167" s="95"/>
      <c r="L167" s="95"/>
      <c r="M167" s="95"/>
      <c r="N167" s="95"/>
      <c r="O167" s="95"/>
    </row>
    <row r="168" spans="1:15" x14ac:dyDescent="0.2">
      <c r="A168" s="38"/>
      <c r="B168" s="38"/>
      <c r="C168" s="38"/>
      <c r="D168" s="461"/>
      <c r="E168" s="38"/>
      <c r="F168" s="38"/>
      <c r="G168" s="38"/>
      <c r="H168" s="97"/>
      <c r="I168" s="95"/>
      <c r="J168" s="95"/>
      <c r="K168" s="95"/>
      <c r="L168" s="95"/>
      <c r="M168" s="95"/>
      <c r="N168" s="95"/>
      <c r="O168" s="95"/>
    </row>
    <row r="169" spans="1:15" x14ac:dyDescent="0.2">
      <c r="A169" s="38"/>
      <c r="B169" s="38"/>
      <c r="C169" s="38"/>
      <c r="D169" s="461"/>
      <c r="E169" s="38"/>
      <c r="F169" s="38"/>
      <c r="G169" s="38"/>
      <c r="H169" s="97"/>
      <c r="I169" s="95"/>
      <c r="J169" s="95"/>
      <c r="K169" s="95"/>
      <c r="L169" s="95"/>
      <c r="M169" s="95"/>
      <c r="N169" s="95"/>
      <c r="O169" s="95"/>
    </row>
    <row r="170" spans="1:15" x14ac:dyDescent="0.2">
      <c r="A170" s="38"/>
      <c r="B170" s="38"/>
      <c r="C170" s="38"/>
      <c r="D170" s="461"/>
      <c r="E170" s="38"/>
      <c r="F170" s="38"/>
      <c r="G170" s="38"/>
      <c r="H170" s="97"/>
      <c r="I170" s="95"/>
      <c r="J170" s="95"/>
      <c r="K170" s="95"/>
      <c r="L170" s="95"/>
      <c r="M170" s="95"/>
      <c r="N170" s="95"/>
      <c r="O170" s="95"/>
    </row>
    <row r="171" spans="1:15" x14ac:dyDescent="0.2">
      <c r="A171" s="38"/>
      <c r="B171" s="38"/>
      <c r="C171" s="38"/>
      <c r="D171" s="461"/>
      <c r="E171" s="38"/>
      <c r="F171" s="38"/>
      <c r="G171" s="38"/>
      <c r="H171" s="97"/>
      <c r="I171" s="95"/>
      <c r="J171" s="95"/>
      <c r="K171" s="95"/>
      <c r="L171" s="95"/>
      <c r="M171" s="95"/>
      <c r="N171" s="95"/>
      <c r="O171" s="95"/>
    </row>
    <row r="172" spans="1:15" x14ac:dyDescent="0.2">
      <c r="A172" s="38"/>
      <c r="B172" s="38"/>
      <c r="C172" s="38"/>
      <c r="D172" s="461"/>
      <c r="E172" s="38"/>
      <c r="F172" s="38"/>
      <c r="G172" s="46"/>
      <c r="H172" s="97"/>
      <c r="I172" s="95"/>
      <c r="J172" s="95"/>
      <c r="K172" s="95"/>
      <c r="L172" s="95"/>
      <c r="M172" s="95"/>
      <c r="N172" s="95"/>
      <c r="O172" s="95"/>
    </row>
    <row r="173" spans="1:15" x14ac:dyDescent="0.2">
      <c r="A173" s="38"/>
      <c r="B173" s="38"/>
      <c r="C173" s="38"/>
      <c r="D173" s="461"/>
      <c r="E173" s="38"/>
      <c r="F173" s="38"/>
      <c r="G173" s="38"/>
      <c r="H173" s="97"/>
      <c r="I173" s="95"/>
      <c r="J173" s="95"/>
      <c r="K173" s="95"/>
      <c r="L173" s="95"/>
      <c r="M173" s="95"/>
      <c r="N173" s="95"/>
      <c r="O173" s="95"/>
    </row>
    <row r="174" spans="1:15" x14ac:dyDescent="0.2">
      <c r="A174" s="46"/>
      <c r="B174" s="46"/>
      <c r="C174" s="46"/>
      <c r="D174" s="46"/>
      <c r="E174" s="46"/>
      <c r="F174" s="46"/>
      <c r="G174" s="38"/>
      <c r="H174" s="97"/>
      <c r="I174" s="95"/>
      <c r="J174" s="95"/>
      <c r="K174" s="95"/>
      <c r="L174" s="95"/>
      <c r="M174" s="95"/>
      <c r="N174" s="95"/>
      <c r="O174" s="95"/>
    </row>
    <row r="175" spans="1:15" x14ac:dyDescent="0.2">
      <c r="A175" s="46"/>
      <c r="B175" s="46"/>
      <c r="C175" s="46"/>
      <c r="D175" s="46"/>
      <c r="E175" s="46"/>
      <c r="F175" s="46"/>
      <c r="G175" s="46"/>
      <c r="H175" s="97"/>
      <c r="I175" s="95"/>
      <c r="J175" s="95"/>
      <c r="K175" s="95"/>
      <c r="L175" s="95"/>
      <c r="M175" s="95"/>
      <c r="N175" s="95"/>
      <c r="O175" s="95"/>
    </row>
    <row r="176" spans="1:15" x14ac:dyDescent="0.2">
      <c r="A176" s="46"/>
      <c r="B176" s="46"/>
      <c r="C176" s="46"/>
      <c r="D176" s="46"/>
      <c r="E176" s="46"/>
      <c r="F176" s="46"/>
      <c r="G176" s="46"/>
      <c r="H176" s="97"/>
      <c r="I176" s="95"/>
      <c r="J176" s="95"/>
      <c r="K176" s="95"/>
      <c r="L176" s="95"/>
      <c r="M176" s="95"/>
      <c r="N176" s="95"/>
      <c r="O176" s="95"/>
    </row>
    <row r="177" spans="1:15" x14ac:dyDescent="0.2">
      <c r="A177" s="46"/>
      <c r="B177" s="46"/>
      <c r="C177" s="46"/>
      <c r="D177" s="46"/>
      <c r="E177" s="46"/>
      <c r="F177" s="46"/>
      <c r="G177" s="46"/>
      <c r="H177" s="97"/>
      <c r="I177" s="95"/>
      <c r="J177" s="95"/>
      <c r="K177" s="95"/>
      <c r="L177" s="95"/>
      <c r="M177" s="95"/>
      <c r="N177" s="95"/>
      <c r="O177" s="95"/>
    </row>
    <row r="178" spans="1:15" x14ac:dyDescent="0.2">
      <c r="A178" s="46"/>
      <c r="B178" s="46"/>
      <c r="C178" s="46"/>
      <c r="D178" s="46"/>
      <c r="E178" s="46"/>
      <c r="F178" s="46"/>
      <c r="G178" s="46"/>
      <c r="H178" s="97"/>
      <c r="I178" s="95"/>
      <c r="J178" s="95"/>
      <c r="K178" s="95"/>
      <c r="L178" s="95"/>
      <c r="M178" s="95"/>
      <c r="N178" s="95"/>
      <c r="O178" s="95"/>
    </row>
    <row r="179" spans="1:15" x14ac:dyDescent="0.2">
      <c r="A179" s="46"/>
      <c r="B179" s="46"/>
      <c r="C179" s="46"/>
      <c r="D179" s="46"/>
      <c r="E179" s="46"/>
      <c r="F179" s="46"/>
      <c r="G179" s="46"/>
      <c r="H179" s="97"/>
      <c r="I179" s="95"/>
      <c r="J179" s="95"/>
      <c r="K179" s="95"/>
      <c r="L179" s="95"/>
      <c r="M179" s="95"/>
      <c r="N179" s="95"/>
      <c r="O179" s="95"/>
    </row>
    <row r="180" spans="1:15" x14ac:dyDescent="0.2">
      <c r="A180" s="46"/>
      <c r="B180" s="46"/>
      <c r="C180" s="46"/>
      <c r="D180" s="46"/>
      <c r="E180" s="46"/>
      <c r="F180" s="46"/>
      <c r="G180" s="46"/>
      <c r="H180" s="97"/>
      <c r="I180" s="95"/>
      <c r="J180" s="95"/>
      <c r="K180" s="95"/>
      <c r="L180" s="95"/>
      <c r="M180" s="95"/>
      <c r="N180" s="95"/>
      <c r="O180" s="95"/>
    </row>
    <row r="181" spans="1:15" x14ac:dyDescent="0.2">
      <c r="A181" s="46"/>
      <c r="B181" s="46"/>
      <c r="C181" s="46"/>
      <c r="D181" s="46"/>
      <c r="E181" s="46"/>
      <c r="F181" s="46"/>
      <c r="G181" s="46"/>
      <c r="H181" s="97"/>
      <c r="I181" s="95"/>
      <c r="J181" s="95"/>
      <c r="K181" s="95"/>
      <c r="L181" s="95"/>
      <c r="M181" s="95"/>
      <c r="N181" s="95"/>
      <c r="O181" s="95"/>
    </row>
    <row r="182" spans="1:15" x14ac:dyDescent="0.2">
      <c r="A182" s="46"/>
      <c r="B182" s="46"/>
      <c r="C182" s="46"/>
      <c r="D182" s="46"/>
      <c r="E182" s="46"/>
      <c r="F182" s="46"/>
      <c r="G182" s="46"/>
      <c r="H182" s="97"/>
      <c r="I182" s="95"/>
      <c r="J182" s="95"/>
      <c r="K182" s="95"/>
      <c r="L182" s="95"/>
      <c r="M182" s="95"/>
      <c r="N182" s="95"/>
      <c r="O182" s="95"/>
    </row>
    <row r="183" spans="1:15" x14ac:dyDescent="0.2">
      <c r="A183" s="46"/>
      <c r="B183" s="46"/>
      <c r="C183" s="46"/>
      <c r="D183" s="46"/>
      <c r="E183" s="46"/>
      <c r="F183" s="46"/>
      <c r="G183" s="46"/>
      <c r="H183" s="97"/>
      <c r="I183" s="95"/>
      <c r="J183" s="95"/>
      <c r="K183" s="95"/>
      <c r="L183" s="95"/>
      <c r="M183" s="95"/>
      <c r="N183" s="95"/>
      <c r="O183" s="95"/>
    </row>
    <row r="184" spans="1:15" x14ac:dyDescent="0.2">
      <c r="A184" s="46"/>
      <c r="B184" s="46"/>
      <c r="C184" s="46"/>
      <c r="D184" s="46"/>
      <c r="E184" s="46"/>
      <c r="F184" s="46"/>
      <c r="G184" s="46"/>
      <c r="H184" s="97"/>
      <c r="I184" s="95"/>
      <c r="J184" s="95"/>
      <c r="K184" s="95"/>
      <c r="L184" s="95"/>
      <c r="M184" s="95"/>
      <c r="N184" s="95"/>
      <c r="O184" s="95"/>
    </row>
    <row r="185" spans="1:15" x14ac:dyDescent="0.2">
      <c r="A185" s="46"/>
      <c r="B185" s="46"/>
      <c r="C185" s="46"/>
      <c r="D185" s="46"/>
      <c r="E185" s="46"/>
      <c r="F185" s="46"/>
      <c r="G185" s="46"/>
      <c r="H185" s="97"/>
      <c r="I185" s="95"/>
      <c r="J185" s="95"/>
      <c r="K185" s="95"/>
      <c r="L185" s="95"/>
      <c r="M185" s="95"/>
      <c r="N185" s="95"/>
      <c r="O185" s="95"/>
    </row>
    <row r="186" spans="1:15" x14ac:dyDescent="0.2">
      <c r="A186" s="46"/>
      <c r="B186" s="46"/>
      <c r="C186" s="46"/>
      <c r="D186" s="46"/>
      <c r="E186" s="46"/>
      <c r="F186" s="46"/>
      <c r="G186" s="46"/>
      <c r="H186" s="97"/>
      <c r="I186" s="95"/>
      <c r="J186" s="95"/>
      <c r="K186" s="95"/>
      <c r="L186" s="95"/>
      <c r="M186" s="95"/>
      <c r="N186" s="95"/>
      <c r="O186" s="95"/>
    </row>
    <row r="187" spans="1:15" x14ac:dyDescent="0.2">
      <c r="A187" s="46"/>
      <c r="B187" s="46"/>
      <c r="C187" s="46"/>
      <c r="D187" s="46"/>
      <c r="E187" s="46"/>
      <c r="F187" s="46"/>
      <c r="G187" s="46"/>
      <c r="H187" s="97"/>
      <c r="I187" s="95"/>
      <c r="J187" s="95"/>
      <c r="K187" s="95"/>
      <c r="L187" s="95"/>
      <c r="M187" s="95"/>
      <c r="N187" s="95"/>
      <c r="O187" s="95"/>
    </row>
    <row r="188" spans="1:15" x14ac:dyDescent="0.2">
      <c r="A188" s="46"/>
      <c r="B188" s="46"/>
      <c r="C188" s="46"/>
      <c r="D188" s="46"/>
      <c r="E188" s="46"/>
      <c r="F188" s="46"/>
      <c r="G188" s="46"/>
      <c r="H188" s="97"/>
      <c r="I188" s="95"/>
      <c r="J188" s="95"/>
      <c r="K188" s="95"/>
      <c r="L188" s="95"/>
      <c r="M188" s="95"/>
      <c r="N188" s="95"/>
      <c r="O188" s="95"/>
    </row>
    <row r="189" spans="1:15" x14ac:dyDescent="0.2">
      <c r="A189" s="46"/>
      <c r="B189" s="46"/>
      <c r="C189" s="46"/>
      <c r="D189" s="46"/>
      <c r="E189" s="46"/>
      <c r="F189" s="46"/>
      <c r="G189" s="46"/>
      <c r="H189" s="97"/>
      <c r="I189" s="95"/>
      <c r="J189" s="95"/>
      <c r="K189" s="95"/>
      <c r="L189" s="95"/>
      <c r="M189" s="95"/>
      <c r="N189" s="95"/>
      <c r="O189" s="95"/>
    </row>
    <row r="190" spans="1:15" x14ac:dyDescent="0.2">
      <c r="A190" s="46"/>
      <c r="B190" s="46"/>
      <c r="C190" s="46"/>
      <c r="D190" s="46"/>
      <c r="E190" s="46"/>
      <c r="F190" s="46"/>
      <c r="G190" s="46"/>
      <c r="H190" s="97"/>
      <c r="I190" s="95"/>
      <c r="J190" s="95"/>
      <c r="K190" s="95"/>
      <c r="L190" s="95"/>
      <c r="M190" s="95"/>
      <c r="N190" s="95"/>
      <c r="O190" s="95"/>
    </row>
    <row r="191" spans="1:15" x14ac:dyDescent="0.2">
      <c r="A191" s="46"/>
      <c r="B191" s="46"/>
      <c r="C191" s="46"/>
      <c r="D191" s="46"/>
      <c r="E191" s="46"/>
      <c r="F191" s="46"/>
      <c r="G191" s="46"/>
      <c r="H191" s="97"/>
      <c r="I191" s="95"/>
      <c r="J191" s="95"/>
      <c r="K191" s="95"/>
      <c r="L191" s="95"/>
      <c r="M191" s="95"/>
      <c r="N191" s="95"/>
      <c r="O191" s="95"/>
    </row>
    <row r="192" spans="1:15" x14ac:dyDescent="0.2">
      <c r="A192" s="46"/>
      <c r="B192" s="46"/>
      <c r="C192" s="46"/>
      <c r="D192" s="46"/>
      <c r="E192" s="46"/>
      <c r="F192" s="46"/>
      <c r="G192" s="46"/>
      <c r="H192" s="97"/>
      <c r="I192" s="95"/>
      <c r="J192" s="95"/>
      <c r="K192" s="95"/>
      <c r="L192" s="95"/>
      <c r="M192" s="95"/>
      <c r="N192" s="95"/>
      <c r="O192" s="95"/>
    </row>
    <row r="193" spans="1:15" x14ac:dyDescent="0.2">
      <c r="A193" s="46"/>
      <c r="B193" s="46"/>
      <c r="C193" s="46"/>
      <c r="D193" s="46"/>
      <c r="E193" s="46"/>
      <c r="F193" s="46"/>
      <c r="G193" s="46"/>
      <c r="H193" s="97"/>
      <c r="I193" s="95"/>
      <c r="J193" s="95"/>
      <c r="K193" s="95"/>
      <c r="L193" s="95"/>
      <c r="M193" s="95"/>
      <c r="N193" s="95"/>
      <c r="O193" s="95"/>
    </row>
    <row r="194" spans="1:15" x14ac:dyDescent="0.2">
      <c r="A194" s="46"/>
      <c r="B194" s="46"/>
      <c r="C194" s="46"/>
      <c r="D194" s="46"/>
      <c r="E194" s="46"/>
      <c r="F194" s="46"/>
      <c r="G194" s="46"/>
      <c r="H194" s="95"/>
      <c r="I194" s="95"/>
      <c r="J194" s="95"/>
      <c r="K194" s="95"/>
      <c r="L194" s="95"/>
      <c r="M194" s="95"/>
      <c r="N194" s="95"/>
      <c r="O194" s="95"/>
    </row>
    <row r="195" spans="1:15" x14ac:dyDescent="0.2">
      <c r="A195" s="46"/>
      <c r="B195" s="46"/>
      <c r="C195" s="46"/>
      <c r="D195" s="46"/>
      <c r="E195" s="46"/>
      <c r="F195" s="46"/>
      <c r="G195" s="46"/>
      <c r="H195" s="95"/>
      <c r="I195" s="95"/>
      <c r="J195" s="95"/>
      <c r="K195" s="95"/>
      <c r="L195" s="95"/>
      <c r="M195" s="95"/>
      <c r="N195" s="95"/>
      <c r="O195" s="95"/>
    </row>
    <row r="196" spans="1:15" x14ac:dyDescent="0.2">
      <c r="A196" s="46"/>
      <c r="B196" s="46"/>
      <c r="C196" s="46"/>
      <c r="D196" s="46"/>
      <c r="E196" s="46"/>
      <c r="F196" s="46"/>
      <c r="G196" s="46"/>
      <c r="H196" s="95"/>
      <c r="I196" s="95"/>
      <c r="J196" s="95"/>
      <c r="K196" s="95"/>
      <c r="L196" s="95"/>
      <c r="M196" s="95"/>
      <c r="N196" s="95"/>
      <c r="O196" s="95"/>
    </row>
    <row r="197" spans="1:15" x14ac:dyDescent="0.2">
      <c r="A197" s="46"/>
      <c r="B197" s="46"/>
      <c r="C197" s="46"/>
      <c r="D197" s="46"/>
      <c r="E197" s="46"/>
      <c r="F197" s="46"/>
      <c r="G197" s="46"/>
      <c r="H197" s="95"/>
      <c r="I197" s="95"/>
      <c r="J197" s="95"/>
      <c r="K197" s="95"/>
      <c r="L197" s="95"/>
      <c r="M197" s="95"/>
      <c r="N197" s="95"/>
      <c r="O197" s="95"/>
    </row>
    <row r="198" spans="1:15" x14ac:dyDescent="0.2">
      <c r="A198" s="46"/>
      <c r="B198" s="46"/>
      <c r="C198" s="46"/>
      <c r="D198" s="46"/>
      <c r="E198" s="46"/>
      <c r="F198" s="46"/>
      <c r="G198" s="46"/>
      <c r="H198" s="95"/>
      <c r="I198" s="95"/>
      <c r="J198" s="95"/>
      <c r="K198" s="95"/>
      <c r="L198" s="95"/>
      <c r="M198" s="95"/>
      <c r="N198" s="95"/>
      <c r="O198" s="95"/>
    </row>
    <row r="199" spans="1:15" x14ac:dyDescent="0.2">
      <c r="A199" s="46"/>
      <c r="B199" s="46"/>
      <c r="C199" s="46"/>
      <c r="D199" s="46"/>
      <c r="E199" s="46"/>
      <c r="F199" s="46"/>
      <c r="G199" s="46"/>
      <c r="H199" s="95"/>
      <c r="I199" s="95"/>
      <c r="J199" s="95"/>
      <c r="K199" s="95"/>
      <c r="L199" s="95"/>
      <c r="M199" s="95"/>
      <c r="N199" s="95"/>
      <c r="O199" s="95"/>
    </row>
    <row r="200" spans="1:15" x14ac:dyDescent="0.2">
      <c r="A200" s="46"/>
      <c r="B200" s="46"/>
      <c r="C200" s="46"/>
      <c r="D200" s="46"/>
      <c r="E200" s="46"/>
      <c r="F200" s="46"/>
      <c r="G200" s="46"/>
      <c r="H200" s="95"/>
      <c r="I200" s="95"/>
      <c r="J200" s="95"/>
      <c r="K200" s="95"/>
      <c r="L200" s="95"/>
      <c r="M200" s="95"/>
      <c r="N200" s="95"/>
      <c r="O200" s="95"/>
    </row>
    <row r="201" spans="1:15" x14ac:dyDescent="0.2">
      <c r="A201" s="46"/>
      <c r="B201" s="46"/>
      <c r="C201" s="46"/>
      <c r="D201" s="46"/>
      <c r="E201" s="46"/>
      <c r="F201" s="46"/>
      <c r="G201" s="46"/>
      <c r="H201" s="95"/>
      <c r="I201" s="95"/>
      <c r="J201" s="95"/>
      <c r="K201" s="95"/>
      <c r="L201" s="95"/>
      <c r="M201" s="95"/>
      <c r="N201" s="95"/>
      <c r="O201" s="95"/>
    </row>
    <row r="202" spans="1:15" x14ac:dyDescent="0.2">
      <c r="A202" s="46"/>
      <c r="B202" s="46"/>
      <c r="C202" s="46"/>
      <c r="D202" s="46"/>
      <c r="E202" s="46"/>
      <c r="F202" s="46"/>
      <c r="G202" s="46"/>
      <c r="H202" s="95"/>
      <c r="I202" s="95"/>
      <c r="J202" s="95"/>
      <c r="K202" s="95"/>
      <c r="L202" s="95"/>
      <c r="M202" s="95"/>
      <c r="N202" s="95"/>
      <c r="O202" s="95"/>
    </row>
    <row r="203" spans="1:15" x14ac:dyDescent="0.2">
      <c r="A203" s="46"/>
      <c r="B203" s="46"/>
      <c r="C203" s="46"/>
      <c r="D203" s="46"/>
      <c r="E203" s="46"/>
      <c r="F203" s="46"/>
      <c r="G203" s="46"/>
      <c r="H203" s="95"/>
      <c r="I203" s="95"/>
      <c r="J203" s="95"/>
      <c r="K203" s="95"/>
      <c r="L203" s="95"/>
      <c r="M203" s="95"/>
      <c r="N203" s="95"/>
      <c r="O203" s="95"/>
    </row>
    <row r="204" spans="1:15" x14ac:dyDescent="0.2">
      <c r="A204" s="46"/>
      <c r="B204" s="46"/>
      <c r="C204" s="46"/>
      <c r="D204" s="46"/>
      <c r="E204" s="46"/>
      <c r="F204" s="46"/>
      <c r="G204" s="46"/>
      <c r="H204" s="95"/>
      <c r="I204" s="95"/>
      <c r="J204" s="95"/>
      <c r="K204" s="95"/>
      <c r="L204" s="95"/>
      <c r="M204" s="95"/>
      <c r="N204" s="95"/>
      <c r="O204" s="95"/>
    </row>
    <row r="205" spans="1:15" x14ac:dyDescent="0.2">
      <c r="A205" s="46"/>
      <c r="B205" s="46"/>
      <c r="C205" s="46"/>
      <c r="D205" s="46"/>
      <c r="E205" s="46"/>
      <c r="F205" s="46"/>
      <c r="G205" s="46"/>
      <c r="H205" s="95"/>
      <c r="I205" s="95"/>
      <c r="J205" s="95"/>
      <c r="K205" s="95"/>
      <c r="L205" s="95"/>
      <c r="M205" s="95"/>
      <c r="N205" s="95"/>
      <c r="O205" s="95"/>
    </row>
    <row r="206" spans="1:15" x14ac:dyDescent="0.2">
      <c r="A206" s="46"/>
      <c r="B206" s="46"/>
      <c r="C206" s="46"/>
      <c r="D206" s="46"/>
      <c r="E206" s="46"/>
      <c r="F206" s="46"/>
      <c r="G206" s="46"/>
      <c r="H206" s="95"/>
      <c r="I206" s="95"/>
      <c r="J206" s="95"/>
      <c r="K206" s="95"/>
      <c r="L206" s="95"/>
      <c r="M206" s="95"/>
      <c r="N206" s="95"/>
      <c r="O206" s="95"/>
    </row>
    <row r="207" spans="1:15" x14ac:dyDescent="0.2">
      <c r="A207" s="46"/>
      <c r="B207" s="46"/>
      <c r="C207" s="46"/>
      <c r="D207" s="46"/>
      <c r="E207" s="46"/>
      <c r="F207" s="46"/>
      <c r="G207" s="46"/>
      <c r="H207" s="95"/>
      <c r="I207" s="95"/>
      <c r="J207" s="95"/>
      <c r="K207" s="95"/>
      <c r="L207" s="95"/>
      <c r="M207" s="95"/>
      <c r="N207" s="95"/>
      <c r="O207" s="95"/>
    </row>
    <row r="208" spans="1:15" x14ac:dyDescent="0.2">
      <c r="A208" s="46"/>
      <c r="B208" s="46"/>
      <c r="C208" s="46"/>
      <c r="D208" s="46"/>
      <c r="E208" s="46"/>
      <c r="F208" s="46"/>
      <c r="G208" s="46"/>
      <c r="H208" s="95"/>
      <c r="I208" s="95"/>
      <c r="J208" s="95"/>
      <c r="K208" s="95"/>
      <c r="L208" s="95"/>
      <c r="M208" s="95"/>
      <c r="N208" s="95"/>
      <c r="O208" s="95"/>
    </row>
    <row r="209" spans="1:15" x14ac:dyDescent="0.2">
      <c r="A209" s="46"/>
      <c r="B209" s="46"/>
      <c r="C209" s="46"/>
      <c r="D209" s="46"/>
      <c r="E209" s="46"/>
      <c r="F209" s="46"/>
      <c r="G209" s="46"/>
      <c r="H209" s="95"/>
      <c r="I209" s="95"/>
      <c r="J209" s="95"/>
      <c r="K209" s="95"/>
      <c r="L209" s="95"/>
      <c r="M209" s="95"/>
      <c r="N209" s="95"/>
      <c r="O209" s="95"/>
    </row>
    <row r="210" spans="1:15" x14ac:dyDescent="0.2">
      <c r="A210" s="46"/>
      <c r="B210" s="46"/>
      <c r="C210" s="46"/>
      <c r="D210" s="46"/>
      <c r="E210" s="46"/>
      <c r="F210" s="46"/>
      <c r="G210" s="46"/>
      <c r="H210" s="95"/>
      <c r="I210" s="95"/>
      <c r="J210" s="95"/>
      <c r="K210" s="95"/>
      <c r="L210" s="95"/>
      <c r="M210" s="95"/>
      <c r="N210" s="95"/>
      <c r="O210" s="95"/>
    </row>
    <row r="211" spans="1:15" x14ac:dyDescent="0.2">
      <c r="A211" s="46"/>
      <c r="B211" s="46"/>
      <c r="C211" s="46"/>
      <c r="D211" s="46"/>
      <c r="E211" s="46"/>
      <c r="F211" s="46"/>
      <c r="G211" s="46"/>
      <c r="H211" s="95"/>
      <c r="I211" s="95"/>
      <c r="J211" s="95"/>
      <c r="K211" s="95"/>
      <c r="L211" s="95"/>
      <c r="M211" s="95"/>
      <c r="N211" s="95"/>
      <c r="O211" s="95"/>
    </row>
    <row r="212" spans="1:15" x14ac:dyDescent="0.2">
      <c r="A212" s="46"/>
      <c r="B212" s="46"/>
      <c r="C212" s="46"/>
      <c r="D212" s="46"/>
      <c r="E212" s="46"/>
      <c r="F212" s="46"/>
      <c r="G212" s="46"/>
      <c r="H212" s="95"/>
      <c r="I212" s="95"/>
      <c r="J212" s="95"/>
      <c r="K212" s="95"/>
      <c r="L212" s="95"/>
      <c r="M212" s="95"/>
      <c r="N212" s="95"/>
      <c r="O212" s="95"/>
    </row>
    <row r="213" spans="1:15" x14ac:dyDescent="0.2">
      <c r="A213" s="46"/>
      <c r="B213" s="46"/>
      <c r="C213" s="46"/>
      <c r="D213" s="46"/>
      <c r="E213" s="46"/>
      <c r="F213" s="46"/>
      <c r="G213" s="46"/>
      <c r="H213" s="95"/>
      <c r="I213" s="95"/>
      <c r="J213" s="95"/>
      <c r="K213" s="95"/>
      <c r="L213" s="95"/>
      <c r="M213" s="95"/>
      <c r="N213" s="95"/>
      <c r="O213" s="95"/>
    </row>
    <row r="214" spans="1:15" x14ac:dyDescent="0.2">
      <c r="A214" s="46"/>
      <c r="B214" s="46"/>
      <c r="C214" s="46"/>
      <c r="D214" s="46"/>
      <c r="E214" s="46"/>
      <c r="F214" s="46"/>
      <c r="G214" s="46"/>
      <c r="H214" s="95"/>
      <c r="I214" s="95"/>
      <c r="J214" s="95"/>
      <c r="K214" s="95"/>
      <c r="L214" s="95"/>
      <c r="M214" s="95"/>
      <c r="N214" s="95"/>
      <c r="O214" s="95"/>
    </row>
    <row r="215" spans="1:15" x14ac:dyDescent="0.2">
      <c r="A215" s="46"/>
      <c r="B215" s="46"/>
      <c r="C215" s="46"/>
      <c r="D215" s="46"/>
      <c r="E215" s="46"/>
      <c r="F215" s="46"/>
      <c r="G215" s="46"/>
      <c r="H215" s="95"/>
      <c r="I215" s="95"/>
      <c r="J215" s="95"/>
      <c r="K215" s="95"/>
      <c r="L215" s="95"/>
      <c r="M215" s="95"/>
      <c r="N215" s="95"/>
      <c r="O215" s="95"/>
    </row>
    <row r="216" spans="1:15" x14ac:dyDescent="0.2">
      <c r="A216" s="46"/>
      <c r="B216" s="46"/>
      <c r="C216" s="46"/>
      <c r="D216" s="46"/>
      <c r="E216" s="46"/>
      <c r="F216" s="46"/>
      <c r="G216" s="38"/>
      <c r="H216" s="95"/>
      <c r="I216" s="95"/>
      <c r="J216" s="95"/>
      <c r="K216" s="95"/>
      <c r="L216" s="95"/>
      <c r="M216" s="95"/>
      <c r="N216" s="95"/>
      <c r="O216" s="95"/>
    </row>
    <row r="217" spans="1:15" x14ac:dyDescent="0.2">
      <c r="A217" s="46"/>
      <c r="B217" s="46"/>
      <c r="C217" s="46"/>
      <c r="D217" s="46"/>
      <c r="E217" s="46"/>
      <c r="F217" s="46"/>
      <c r="G217" s="38"/>
      <c r="H217" s="95"/>
      <c r="I217" s="95"/>
      <c r="J217" s="95"/>
      <c r="K217" s="95"/>
      <c r="L217" s="95"/>
      <c r="M217" s="95"/>
      <c r="N217" s="95"/>
      <c r="O217" s="95"/>
    </row>
    <row r="218" spans="1:15" x14ac:dyDescent="0.2">
      <c r="A218" s="46"/>
      <c r="B218" s="46"/>
      <c r="C218" s="46"/>
      <c r="D218" s="46"/>
      <c r="E218" s="46"/>
      <c r="F218" s="46"/>
      <c r="G218" s="38"/>
      <c r="H218" s="95"/>
      <c r="I218" s="95"/>
      <c r="J218" s="95"/>
      <c r="K218" s="95"/>
      <c r="L218" s="95"/>
      <c r="M218" s="95"/>
      <c r="N218" s="95"/>
      <c r="O218" s="95"/>
    </row>
    <row r="219" spans="1:15" x14ac:dyDescent="0.2">
      <c r="A219" s="46"/>
      <c r="B219" s="46"/>
      <c r="C219" s="46"/>
      <c r="D219" s="46"/>
      <c r="E219" s="46"/>
      <c r="F219" s="46"/>
      <c r="G219" s="38"/>
      <c r="H219" s="95"/>
      <c r="I219" s="95"/>
      <c r="J219" s="95"/>
      <c r="K219" s="95"/>
      <c r="L219" s="95"/>
      <c r="M219" s="95"/>
      <c r="N219" s="95"/>
      <c r="O219" s="95"/>
    </row>
    <row r="220" spans="1:15" x14ac:dyDescent="0.2">
      <c r="A220" s="46"/>
      <c r="B220" s="46"/>
      <c r="C220" s="46"/>
      <c r="D220" s="46"/>
      <c r="E220" s="46"/>
      <c r="F220" s="46"/>
      <c r="G220" s="38"/>
      <c r="H220" s="95"/>
      <c r="I220" s="95"/>
      <c r="J220" s="95"/>
      <c r="K220" s="95"/>
      <c r="L220" s="95"/>
      <c r="M220" s="95"/>
      <c r="N220" s="95"/>
      <c r="O220" s="95"/>
    </row>
    <row r="221" spans="1:15" x14ac:dyDescent="0.2">
      <c r="A221" s="46"/>
      <c r="B221" s="46"/>
      <c r="C221" s="46"/>
      <c r="D221" s="46"/>
      <c r="E221" s="46"/>
      <c r="F221" s="46"/>
      <c r="G221" s="46"/>
      <c r="H221" s="97"/>
      <c r="I221" s="95"/>
      <c r="J221" s="95"/>
      <c r="K221" s="95"/>
      <c r="L221" s="95"/>
      <c r="M221" s="95"/>
      <c r="N221" s="95"/>
      <c r="O221" s="95"/>
    </row>
    <row r="222" spans="1:15" x14ac:dyDescent="0.2">
      <c r="A222" s="46"/>
      <c r="B222" s="46"/>
      <c r="C222" s="46"/>
      <c r="D222" s="46"/>
      <c r="E222" s="46"/>
      <c r="F222" s="46"/>
      <c r="G222" s="38"/>
      <c r="H222" s="95"/>
      <c r="I222" s="95"/>
      <c r="J222" s="95"/>
      <c r="K222" s="95"/>
      <c r="L222" s="95"/>
      <c r="M222" s="95"/>
      <c r="N222" s="95"/>
      <c r="O222" s="95"/>
    </row>
    <row r="223" spans="1:15" x14ac:dyDescent="0.2">
      <c r="A223" s="46"/>
      <c r="B223" s="46"/>
      <c r="C223" s="46"/>
      <c r="D223" s="46"/>
      <c r="E223" s="46"/>
      <c r="F223" s="46"/>
      <c r="G223" s="38"/>
      <c r="H223" s="95"/>
      <c r="I223" s="95"/>
      <c r="J223" s="95"/>
      <c r="K223" s="95"/>
      <c r="L223" s="95"/>
      <c r="M223" s="95"/>
      <c r="N223" s="95"/>
      <c r="O223" s="95"/>
    </row>
    <row r="224" spans="1:15" x14ac:dyDescent="0.2">
      <c r="A224" s="46"/>
      <c r="B224" s="46"/>
      <c r="C224" s="46"/>
      <c r="D224" s="46"/>
      <c r="E224" s="46"/>
      <c r="F224" s="46"/>
      <c r="G224" s="38"/>
      <c r="H224" s="95"/>
      <c r="I224" s="95"/>
      <c r="J224" s="95"/>
      <c r="K224" s="95"/>
      <c r="L224" s="95"/>
      <c r="M224" s="95"/>
      <c r="N224" s="95"/>
      <c r="O224" s="95"/>
    </row>
    <row r="225" spans="1:15" x14ac:dyDescent="0.2">
      <c r="A225" s="46"/>
      <c r="B225" s="46"/>
      <c r="C225" s="46"/>
      <c r="D225" s="46"/>
      <c r="E225" s="46"/>
      <c r="F225" s="46"/>
      <c r="G225" s="38"/>
      <c r="H225" s="95"/>
      <c r="I225" s="95"/>
      <c r="J225" s="95"/>
      <c r="K225" s="95"/>
      <c r="L225" s="95"/>
      <c r="M225" s="95"/>
      <c r="N225" s="95"/>
      <c r="O225" s="95"/>
    </row>
    <row r="226" spans="1:15" x14ac:dyDescent="0.2">
      <c r="A226" s="46"/>
      <c r="B226" s="46"/>
      <c r="C226" s="46"/>
      <c r="D226" s="46"/>
      <c r="E226" s="46"/>
      <c r="F226" s="46"/>
      <c r="G226" s="38"/>
      <c r="H226" s="95"/>
      <c r="I226" s="95"/>
      <c r="J226" s="95"/>
      <c r="K226" s="95"/>
      <c r="L226" s="95"/>
      <c r="M226" s="95"/>
      <c r="N226" s="95"/>
      <c r="O226" s="95"/>
    </row>
    <row r="254" spans="11:11" x14ac:dyDescent="0.2">
      <c r="K254" s="161"/>
    </row>
    <row r="827" spans="16:22" x14ac:dyDescent="0.2">
      <c r="P827" s="459" t="s">
        <v>151</v>
      </c>
      <c r="Q827" t="s">
        <v>362</v>
      </c>
      <c r="R827">
        <v>1995</v>
      </c>
      <c r="S827">
        <v>2007</v>
      </c>
      <c r="T827" s="438">
        <v>69</v>
      </c>
      <c r="U827" s="439" t="s">
        <v>363</v>
      </c>
      <c r="V827" s="13">
        <v>115</v>
      </c>
    </row>
    <row r="828" spans="16:22" x14ac:dyDescent="0.2">
      <c r="P828" s="459" t="s">
        <v>150</v>
      </c>
      <c r="Q828" t="s">
        <v>363</v>
      </c>
      <c r="R828">
        <f>R827+1</f>
        <v>1996</v>
      </c>
      <c r="S828">
        <f t="shared" ref="S828:S835" si="32">S827+1</f>
        <v>2008</v>
      </c>
      <c r="T828" s="438">
        <v>115</v>
      </c>
      <c r="U828" s="439" t="s">
        <v>364</v>
      </c>
      <c r="V828" s="13">
        <v>230</v>
      </c>
    </row>
    <row r="829" spans="16:22" x14ac:dyDescent="0.2">
      <c r="P829" s="459" t="s">
        <v>13</v>
      </c>
      <c r="Q829" t="s">
        <v>364</v>
      </c>
      <c r="R829">
        <f t="shared" ref="R829:R862" si="33">R828+1</f>
        <v>1997</v>
      </c>
      <c r="S829">
        <f t="shared" si="32"/>
        <v>2009</v>
      </c>
      <c r="T829" s="438">
        <v>230</v>
      </c>
      <c r="U829" s="439" t="s">
        <v>365</v>
      </c>
      <c r="V829" s="13">
        <v>345</v>
      </c>
    </row>
    <row r="830" spans="16:22" x14ac:dyDescent="0.2">
      <c r="P830" s="459" t="s">
        <v>14</v>
      </c>
      <c r="Q830" t="s">
        <v>365</v>
      </c>
      <c r="R830">
        <f t="shared" si="33"/>
        <v>1998</v>
      </c>
      <c r="S830">
        <f t="shared" si="32"/>
        <v>2010</v>
      </c>
      <c r="T830" s="438">
        <v>345</v>
      </c>
      <c r="U830" s="439" t="s">
        <v>366</v>
      </c>
      <c r="V830" s="13">
        <v>500</v>
      </c>
    </row>
    <row r="831" spans="16:22" x14ac:dyDescent="0.2">
      <c r="P831" s="459" t="s">
        <v>15</v>
      </c>
      <c r="Q831" t="s">
        <v>366</v>
      </c>
      <c r="R831">
        <f t="shared" si="33"/>
        <v>1999</v>
      </c>
      <c r="S831">
        <f t="shared" si="32"/>
        <v>2011</v>
      </c>
      <c r="T831" s="438">
        <v>500</v>
      </c>
      <c r="U831" s="438" t="s">
        <v>417</v>
      </c>
      <c r="V831" s="438">
        <v>500</v>
      </c>
    </row>
    <row r="832" spans="16:22" x14ac:dyDescent="0.2">
      <c r="P832" s="459" t="s">
        <v>16</v>
      </c>
      <c r="Q832" t="s">
        <v>367</v>
      </c>
      <c r="R832">
        <f t="shared" si="33"/>
        <v>2000</v>
      </c>
      <c r="S832">
        <f t="shared" si="32"/>
        <v>2012</v>
      </c>
      <c r="T832" s="438">
        <v>765</v>
      </c>
      <c r="U832" s="439" t="s">
        <v>362</v>
      </c>
      <c r="V832" s="13">
        <v>69</v>
      </c>
    </row>
    <row r="833" spans="16:22" x14ac:dyDescent="0.2">
      <c r="P833" s="459" t="s">
        <v>17</v>
      </c>
      <c r="Q833" s="438" t="s">
        <v>417</v>
      </c>
      <c r="R833">
        <f t="shared" si="33"/>
        <v>2001</v>
      </c>
      <c r="S833">
        <f t="shared" si="32"/>
        <v>2013</v>
      </c>
      <c r="T833" s="13"/>
      <c r="U833" s="439" t="s">
        <v>367</v>
      </c>
      <c r="V833" s="13">
        <v>765</v>
      </c>
    </row>
    <row r="834" spans="16:22" x14ac:dyDescent="0.2">
      <c r="P834" s="459" t="s">
        <v>18</v>
      </c>
      <c r="R834">
        <f t="shared" si="33"/>
        <v>2002</v>
      </c>
      <c r="S834">
        <f t="shared" si="32"/>
        <v>2014</v>
      </c>
    </row>
    <row r="835" spans="16:22" x14ac:dyDescent="0.2">
      <c r="P835" s="459" t="s">
        <v>19</v>
      </c>
      <c r="R835">
        <f t="shared" si="33"/>
        <v>2003</v>
      </c>
      <c r="S835">
        <f t="shared" si="32"/>
        <v>2015</v>
      </c>
    </row>
    <row r="836" spans="16:22" x14ac:dyDescent="0.2">
      <c r="P836" s="459" t="s">
        <v>20</v>
      </c>
      <c r="R836">
        <f t="shared" si="33"/>
        <v>2004</v>
      </c>
    </row>
    <row r="837" spans="16:22" x14ac:dyDescent="0.2">
      <c r="P837" s="459" t="s">
        <v>21</v>
      </c>
      <c r="R837">
        <f t="shared" si="33"/>
        <v>2005</v>
      </c>
    </row>
    <row r="838" spans="16:22" x14ac:dyDescent="0.2">
      <c r="P838" s="459" t="s">
        <v>22</v>
      </c>
      <c r="R838">
        <f t="shared" si="33"/>
        <v>2006</v>
      </c>
    </row>
    <row r="839" spans="16:22" x14ac:dyDescent="0.2">
      <c r="P839" s="459" t="s">
        <v>23</v>
      </c>
      <c r="R839">
        <f t="shared" si="33"/>
        <v>2007</v>
      </c>
    </row>
    <row r="840" spans="16:22" x14ac:dyDescent="0.2">
      <c r="P840" s="459" t="s">
        <v>24</v>
      </c>
      <c r="R840">
        <f t="shared" si="33"/>
        <v>2008</v>
      </c>
    </row>
    <row r="841" spans="16:22" x14ac:dyDescent="0.2">
      <c r="P841" s="459" t="s">
        <v>25</v>
      </c>
      <c r="R841">
        <f t="shared" si="33"/>
        <v>2009</v>
      </c>
    </row>
    <row r="842" spans="16:22" x14ac:dyDescent="0.2">
      <c r="P842" s="459" t="s">
        <v>26</v>
      </c>
      <c r="R842">
        <f t="shared" si="33"/>
        <v>2010</v>
      </c>
    </row>
    <row r="843" spans="16:22" x14ac:dyDescent="0.2">
      <c r="P843" s="459" t="s">
        <v>27</v>
      </c>
      <c r="R843">
        <f t="shared" si="33"/>
        <v>2011</v>
      </c>
    </row>
    <row r="844" spans="16:22" x14ac:dyDescent="0.2">
      <c r="P844" s="459" t="s">
        <v>28</v>
      </c>
      <c r="R844">
        <f t="shared" si="33"/>
        <v>2012</v>
      </c>
    </row>
    <row r="845" spans="16:22" x14ac:dyDescent="0.2">
      <c r="P845" s="459" t="s">
        <v>29</v>
      </c>
      <c r="R845">
        <f t="shared" si="33"/>
        <v>2013</v>
      </c>
    </row>
    <row r="846" spans="16:22" x14ac:dyDescent="0.2">
      <c r="P846" s="459" t="s">
        <v>30</v>
      </c>
      <c r="R846">
        <f t="shared" si="33"/>
        <v>2014</v>
      </c>
    </row>
    <row r="847" spans="16:22" x14ac:dyDescent="0.2">
      <c r="P847" s="459" t="s">
        <v>31</v>
      </c>
      <c r="R847">
        <f t="shared" si="33"/>
        <v>2015</v>
      </c>
    </row>
    <row r="848" spans="16:22" x14ac:dyDescent="0.2">
      <c r="P848" s="459" t="s">
        <v>32</v>
      </c>
      <c r="R848">
        <f t="shared" si="33"/>
        <v>2016</v>
      </c>
    </row>
    <row r="849" spans="16:18" x14ac:dyDescent="0.2">
      <c r="P849" s="459" t="s">
        <v>33</v>
      </c>
      <c r="R849">
        <f t="shared" si="33"/>
        <v>2017</v>
      </c>
    </row>
    <row r="850" spans="16:18" x14ac:dyDescent="0.2">
      <c r="P850" s="459" t="s">
        <v>488</v>
      </c>
      <c r="R850">
        <f t="shared" si="33"/>
        <v>2018</v>
      </c>
    </row>
    <row r="851" spans="16:18" x14ac:dyDescent="0.2">
      <c r="P851" s="459" t="s">
        <v>35</v>
      </c>
      <c r="R851">
        <f t="shared" si="33"/>
        <v>2019</v>
      </c>
    </row>
    <row r="852" spans="16:18" x14ac:dyDescent="0.2">
      <c r="P852" s="459" t="s">
        <v>36</v>
      </c>
      <c r="R852">
        <f t="shared" si="33"/>
        <v>2020</v>
      </c>
    </row>
    <row r="853" spans="16:18" x14ac:dyDescent="0.2">
      <c r="P853" s="459" t="s">
        <v>37</v>
      </c>
      <c r="R853">
        <f t="shared" si="33"/>
        <v>2021</v>
      </c>
    </row>
    <row r="854" spans="16:18" x14ac:dyDescent="0.2">
      <c r="P854" s="459" t="s">
        <v>38</v>
      </c>
      <c r="R854">
        <f t="shared" si="33"/>
        <v>2022</v>
      </c>
    </row>
    <row r="855" spans="16:18" x14ac:dyDescent="0.2">
      <c r="P855" s="459" t="s">
        <v>39</v>
      </c>
      <c r="R855">
        <f t="shared" si="33"/>
        <v>2023</v>
      </c>
    </row>
    <row r="856" spans="16:18" x14ac:dyDescent="0.2">
      <c r="P856" s="459" t="s">
        <v>40</v>
      </c>
      <c r="R856">
        <f t="shared" si="33"/>
        <v>2024</v>
      </c>
    </row>
    <row r="857" spans="16:18" x14ac:dyDescent="0.2">
      <c r="P857" s="459" t="s">
        <v>41</v>
      </c>
      <c r="R857">
        <f t="shared" si="33"/>
        <v>2025</v>
      </c>
    </row>
    <row r="858" spans="16:18" x14ac:dyDescent="0.2">
      <c r="P858" s="459" t="s">
        <v>42</v>
      </c>
      <c r="R858">
        <f t="shared" si="33"/>
        <v>2026</v>
      </c>
    </row>
    <row r="859" spans="16:18" x14ac:dyDescent="0.2">
      <c r="P859" s="459" t="s">
        <v>43</v>
      </c>
      <c r="R859">
        <f t="shared" si="33"/>
        <v>2027</v>
      </c>
    </row>
    <row r="860" spans="16:18" x14ac:dyDescent="0.2">
      <c r="P860" s="459" t="s">
        <v>44</v>
      </c>
      <c r="R860">
        <f t="shared" si="33"/>
        <v>2028</v>
      </c>
    </row>
    <row r="861" spans="16:18" x14ac:dyDescent="0.2">
      <c r="P861" s="459" t="s">
        <v>45</v>
      </c>
      <c r="R861">
        <f t="shared" si="33"/>
        <v>2029</v>
      </c>
    </row>
    <row r="862" spans="16:18" x14ac:dyDescent="0.2">
      <c r="P862" s="459" t="s">
        <v>46</v>
      </c>
      <c r="R862">
        <f t="shared" si="33"/>
        <v>2030</v>
      </c>
    </row>
    <row r="863" spans="16:18" x14ac:dyDescent="0.2">
      <c r="P863" s="459" t="s">
        <v>47</v>
      </c>
    </row>
    <row r="864" spans="16:18" x14ac:dyDescent="0.2">
      <c r="P864" s="459" t="s">
        <v>48</v>
      </c>
    </row>
    <row r="865" spans="4:16" x14ac:dyDescent="0.2">
      <c r="P865" s="459" t="s">
        <v>49</v>
      </c>
    </row>
    <row r="866" spans="4:16" x14ac:dyDescent="0.2">
      <c r="P866" s="459" t="s">
        <v>50</v>
      </c>
    </row>
    <row r="867" spans="4:16" x14ac:dyDescent="0.2">
      <c r="P867" s="459" t="s">
        <v>51</v>
      </c>
    </row>
    <row r="868" spans="4:16" x14ac:dyDescent="0.2">
      <c r="P868" s="459" t="s">
        <v>52</v>
      </c>
    </row>
    <row r="869" spans="4:16" x14ac:dyDescent="0.2">
      <c r="P869" s="459" t="s">
        <v>53</v>
      </c>
    </row>
    <row r="870" spans="4:16" x14ac:dyDescent="0.2">
      <c r="P870" s="459" t="s">
        <v>54</v>
      </c>
    </row>
    <row r="871" spans="4:16" x14ac:dyDescent="0.2">
      <c r="P871" s="459" t="s">
        <v>55</v>
      </c>
    </row>
    <row r="872" spans="4:16" x14ac:dyDescent="0.2">
      <c r="P872" s="459" t="s">
        <v>56</v>
      </c>
    </row>
    <row r="873" spans="4:16" s="439" customFormat="1" x14ac:dyDescent="0.2">
      <c r="D873" s="462"/>
      <c r="H873" s="131"/>
      <c r="I873" s="131"/>
      <c r="J873" s="131"/>
      <c r="K873" s="131"/>
      <c r="L873" s="131"/>
      <c r="M873" s="131"/>
      <c r="N873" s="131"/>
      <c r="O873" s="131"/>
      <c r="P873" s="438" t="s">
        <v>489</v>
      </c>
    </row>
    <row r="874" spans="4:16" x14ac:dyDescent="0.2">
      <c r="P874" s="459" t="s">
        <v>57</v>
      </c>
    </row>
    <row r="875" spans="4:16" x14ac:dyDescent="0.2">
      <c r="P875" s="459" t="s">
        <v>58</v>
      </c>
    </row>
    <row r="876" spans="4:16" x14ac:dyDescent="0.2">
      <c r="P876" s="459" t="s">
        <v>59</v>
      </c>
    </row>
    <row r="877" spans="4:16" x14ac:dyDescent="0.2">
      <c r="P877" s="459" t="s">
        <v>60</v>
      </c>
    </row>
    <row r="878" spans="4:16" x14ac:dyDescent="0.2">
      <c r="P878" s="459" t="s">
        <v>61</v>
      </c>
    </row>
    <row r="879" spans="4:16" x14ac:dyDescent="0.2">
      <c r="P879" s="459" t="s">
        <v>62</v>
      </c>
    </row>
    <row r="880" spans="4:16" x14ac:dyDescent="0.2">
      <c r="P880" s="459" t="s">
        <v>12</v>
      </c>
    </row>
  </sheetData>
  <sheetProtection password="DFD3" sheet="1" objects="1" scenarios="1"/>
  <customSheetViews>
    <customSheetView guid="{55B80D82-F000-11D6-8735-C8E5A357943D}" showRuler="0">
      <selection activeCell="A80" sqref="A79:A80"/>
      <pageMargins left="0.75" right="0.75" top="1" bottom="1" header="0.5" footer="0.5"/>
      <pageSetup orientation="portrait" horizontalDpi="0" verticalDpi="0" copies="0" r:id="rId1"/>
      <headerFooter alignWithMargins="0"/>
    </customSheetView>
  </customSheetViews>
  <mergeCells count="9">
    <mergeCell ref="Z52:AF52"/>
    <mergeCell ref="B52:H52"/>
    <mergeCell ref="I52:K52"/>
    <mergeCell ref="A4:H4"/>
    <mergeCell ref="A11:H12"/>
    <mergeCell ref="A5:H5"/>
    <mergeCell ref="A27:F27"/>
    <mergeCell ref="A6:G6"/>
    <mergeCell ref="A9:G9"/>
  </mergeCells>
  <phoneticPr fontId="0" type="noConversion"/>
  <conditionalFormatting sqref="A17:B17">
    <cfRule type="expression" dxfId="104" priority="965">
      <formula>$U$15&lt;1</formula>
    </cfRule>
  </conditionalFormatting>
  <conditionalFormatting sqref="A156:O157 I27:O155">
    <cfRule type="expression" dxfId="103" priority="959" stopIfTrue="1">
      <formula>$B$24="Simple"</formula>
    </cfRule>
  </conditionalFormatting>
  <conditionalFormatting sqref="I47:O52">
    <cfRule type="expression" dxfId="102" priority="952" stopIfTrue="1">
      <formula>$B$24="Simple"</formula>
    </cfRule>
  </conditionalFormatting>
  <conditionalFormatting sqref="P123">
    <cfRule type="expression" dxfId="101" priority="950">
      <formula>$B$24="Simple"</formula>
    </cfRule>
  </conditionalFormatting>
  <conditionalFormatting sqref="C59:C61 C65:C66 C69:C70">
    <cfRule type="expression" dxfId="100" priority="949">
      <formula>$B$24="Simple"</formula>
    </cfRule>
  </conditionalFormatting>
  <conditionalFormatting sqref="F59:F61 F117 F65:F66 F69:F71 F79:F80 F86:F88 F93:F94 F97:F98 F103:F109 F122:F123 F73 F90">
    <cfRule type="expression" dxfId="99" priority="948">
      <formula>$B$24="Simple"</formula>
    </cfRule>
  </conditionalFormatting>
  <conditionalFormatting sqref="F117 F122:F123">
    <cfRule type="expression" dxfId="98" priority="947">
      <formula>$B$24="Simple"</formula>
    </cfRule>
  </conditionalFormatting>
  <conditionalFormatting sqref="E131:E134 E137:E144">
    <cfRule type="expression" dxfId="97" priority="946">
      <formula>$B$24="Simple"</formula>
    </cfRule>
  </conditionalFormatting>
  <conditionalFormatting sqref="E152">
    <cfRule type="expression" dxfId="96" priority="945">
      <formula>$B$24="Simple"</formula>
    </cfRule>
  </conditionalFormatting>
  <conditionalFormatting sqref="B152">
    <cfRule type="expression" dxfId="95" priority="944">
      <formula>$B$24="Simple"</formula>
    </cfRule>
  </conditionalFormatting>
  <conditionalFormatting sqref="Z138">
    <cfRule type="expression" dxfId="94" priority="867">
      <formula>$B$24="Simple"</formula>
    </cfRule>
  </conditionalFormatting>
  <conditionalFormatting sqref="B133:B134 B139 B136">
    <cfRule type="expression" dxfId="93" priority="942">
      <formula>$B$24="Simple"</formula>
    </cfRule>
  </conditionalFormatting>
  <conditionalFormatting sqref="B90:D90 D89 B108:D109 B91:B98 B116:D116 C110 C123:D124 B117:B122 D117:D122 B79:D80 B74:B78 D74:D78 B86:D88 B81:B85 D81:D85 B102:B105 B107 B111:C115 D91:D107">
    <cfRule type="expression" dxfId="92" priority="934">
      <formula>$B$24="Simple"</formula>
    </cfRule>
  </conditionalFormatting>
  <conditionalFormatting sqref="B38">
    <cfRule type="expression" dxfId="91" priority="917">
      <formula>$B$24="Simple"</formula>
    </cfRule>
  </conditionalFormatting>
  <conditionalFormatting sqref="B42:C42">
    <cfRule type="expression" dxfId="90" priority="915">
      <formula>$B$24="Simple"</formula>
    </cfRule>
  </conditionalFormatting>
  <conditionalFormatting sqref="AA55:AA70">
    <cfRule type="expression" dxfId="89" priority="875">
      <formula>$B$24="Simple"</formula>
    </cfRule>
  </conditionalFormatting>
  <conditionalFormatting sqref="AD55:AD109 AD112:AD115 AD117:AD120 AD122:AD124">
    <cfRule type="expression" dxfId="88" priority="874">
      <formula>$B$24="Simple"</formula>
    </cfRule>
  </conditionalFormatting>
  <conditionalFormatting sqref="AD112:AD115 AD117:AD120 AD122:AD124">
    <cfRule type="expression" dxfId="87" priority="873">
      <formula>$B$24="Simple"</formula>
    </cfRule>
  </conditionalFormatting>
  <conditionalFormatting sqref="AC149:AC154">
    <cfRule type="expression" dxfId="86" priority="871">
      <formula>$B$24="Simple"</formula>
    </cfRule>
  </conditionalFormatting>
  <conditionalFormatting sqref="Z149:Z154">
    <cfRule type="expression" dxfId="85" priority="870">
      <formula>$B$24="Simple"</formula>
    </cfRule>
  </conditionalFormatting>
  <conditionalFormatting sqref="Z132">
    <cfRule type="expression" dxfId="84" priority="863">
      <formula>$B$24="Simple"</formula>
    </cfRule>
  </conditionalFormatting>
  <conditionalFormatting sqref="Z130 Z133:Z137 Z139:Z142">
    <cfRule type="expression" dxfId="83" priority="869">
      <formula>$B$24="Simple"</formula>
    </cfRule>
  </conditionalFormatting>
  <conditionalFormatting sqref="Z131">
    <cfRule type="expression" dxfId="82" priority="868">
      <formula>$B$24="Simple"</formula>
    </cfRule>
  </conditionalFormatting>
  <conditionalFormatting sqref="Z143 Z145">
    <cfRule type="expression" dxfId="81" priority="866">
      <formula>$B$24="Simple"</formula>
    </cfRule>
  </conditionalFormatting>
  <conditionalFormatting sqref="Z144">
    <cfRule type="expression" dxfId="80" priority="865">
      <formula>$B$24="Simple"</formula>
    </cfRule>
  </conditionalFormatting>
  <conditionalFormatting sqref="Z146">
    <cfRule type="expression" dxfId="79" priority="864">
      <formula>$B$24="Simple"</formula>
    </cfRule>
  </conditionalFormatting>
  <conditionalFormatting sqref="Z90:AB90 AB89 Z108:AB109 AB91:AB107 Z112:AB116 AA110 AA123:AB124 Z117:Z122 AB117:AB122 Z111:AA111 Z74:AB88 Z107 Z91:Z105">
    <cfRule type="expression" dxfId="78" priority="862">
      <formula>$B$24="Simple"</formula>
    </cfRule>
  </conditionalFormatting>
  <conditionalFormatting sqref="Z38:Z39">
    <cfRule type="expression" dxfId="77" priority="860">
      <formula>$B$24="Simple"</formula>
    </cfRule>
  </conditionalFormatting>
  <conditionalFormatting sqref="Z41">
    <cfRule type="expression" dxfId="76" priority="859">
      <formula>$B$24="Simple"</formula>
    </cfRule>
  </conditionalFormatting>
  <conditionalFormatting sqref="Z42:AA44">
    <cfRule type="expression" dxfId="75" priority="858">
      <formula>$B$24="Simple"</formula>
    </cfRule>
  </conditionalFormatting>
  <conditionalFormatting sqref="Z45:AA45">
    <cfRule type="expression" dxfId="74" priority="857">
      <formula>$B$24="Simple"</formula>
    </cfRule>
  </conditionalFormatting>
  <conditionalFormatting sqref="Z47">
    <cfRule type="expression" dxfId="73" priority="856">
      <formula>$B$24="Simple"</formula>
    </cfRule>
  </conditionalFormatting>
  <conditionalFormatting sqref="Z50">
    <cfRule type="expression" dxfId="72" priority="855">
      <formula>$B$24="Simple"</formula>
    </cfRule>
  </conditionalFormatting>
  <conditionalFormatting sqref="AA91:AA92">
    <cfRule type="expression" dxfId="71" priority="854">
      <formula>$B$24="Simple"</formula>
    </cfRule>
  </conditionalFormatting>
  <conditionalFormatting sqref="AA95:AA96">
    <cfRule type="expression" dxfId="70" priority="853">
      <formula>$B$24="Simple"</formula>
    </cfRule>
  </conditionalFormatting>
  <conditionalFormatting sqref="AA102">
    <cfRule type="expression" dxfId="69" priority="852">
      <formula>$B$24="Simple"</formula>
    </cfRule>
  </conditionalFormatting>
  <conditionalFormatting sqref="AA118:AA121">
    <cfRule type="expression" dxfId="68" priority="851">
      <formula>$B$24="Simple"</formula>
    </cfRule>
  </conditionalFormatting>
  <conditionalFormatting sqref="A27:F27">
    <cfRule type="expression" dxfId="67" priority="538">
      <formula>$B$24="Simple"</formula>
    </cfRule>
  </conditionalFormatting>
  <conditionalFormatting sqref="C48:G49">
    <cfRule type="expression" dxfId="66" priority="537">
      <formula>$B$24="Simple"</formula>
    </cfRule>
  </conditionalFormatting>
  <conditionalFormatting sqref="Z106">
    <cfRule type="expression" dxfId="65" priority="484">
      <formula>$B$24="Simple"</formula>
    </cfRule>
  </conditionalFormatting>
  <conditionalFormatting sqref="Z123:Z124">
    <cfRule type="expression" dxfId="64" priority="483">
      <formula>$B$24="Simple"</formula>
    </cfRule>
  </conditionalFormatting>
  <conditionalFormatting sqref="E104">
    <cfRule type="expression" dxfId="63" priority="222">
      <formula>$B$24="Simple"</formula>
    </cfRule>
  </conditionalFormatting>
  <conditionalFormatting sqref="E105">
    <cfRule type="expression" dxfId="62" priority="221">
      <formula>$B$24="Simple"</formula>
    </cfRule>
  </conditionalFormatting>
  <conditionalFormatting sqref="Z30:Z31">
    <cfRule type="expression" dxfId="61" priority="168">
      <formula>$B$24="Simple"</formula>
    </cfRule>
  </conditionalFormatting>
  <conditionalFormatting sqref="Z33:Z37">
    <cfRule type="expression" dxfId="60" priority="167">
      <formula>$B$24="Simple"</formula>
    </cfRule>
  </conditionalFormatting>
  <conditionalFormatting sqref="AC131:AC134 AC137:AC144">
    <cfRule type="expression" dxfId="59" priority="165">
      <formula>$B$24="Simple"</formula>
    </cfRule>
  </conditionalFormatting>
  <conditionalFormatting sqref="AC130">
    <cfRule type="expression" dxfId="58" priority="164">
      <formula>$B$24="Simple"</formula>
    </cfRule>
  </conditionalFormatting>
  <conditionalFormatting sqref="AC135:AC136">
    <cfRule type="expression" dxfId="57" priority="163">
      <formula>$B$24="Simple"</formula>
    </cfRule>
  </conditionalFormatting>
  <conditionalFormatting sqref="AC145:AC146">
    <cfRule type="expression" dxfId="56" priority="162">
      <formula>$B$24="Simple"</formula>
    </cfRule>
  </conditionalFormatting>
  <conditionalFormatting sqref="B30:B31">
    <cfRule type="expression" dxfId="55" priority="52">
      <formula>$B$24="Simple"</formula>
    </cfRule>
  </conditionalFormatting>
  <conditionalFormatting sqref="B33:B37">
    <cfRule type="expression" dxfId="54" priority="51">
      <formula>$B$24="Simple"</formula>
    </cfRule>
  </conditionalFormatting>
  <conditionalFormatting sqref="B39">
    <cfRule type="expression" dxfId="53" priority="50">
      <formula>$B$24="Simple"</formula>
    </cfRule>
  </conditionalFormatting>
  <conditionalFormatting sqref="B41">
    <cfRule type="expression" dxfId="52" priority="49">
      <formula>$B$24="Simple"</formula>
    </cfRule>
  </conditionalFormatting>
  <conditionalFormatting sqref="B43:C44">
    <cfRule type="expression" dxfId="51" priority="48">
      <formula>$B$24="Simple"</formula>
    </cfRule>
  </conditionalFormatting>
  <conditionalFormatting sqref="B45:C45">
    <cfRule type="expression" dxfId="50" priority="47">
      <formula>$B$24="Simple"</formula>
    </cfRule>
  </conditionalFormatting>
  <conditionalFormatting sqref="B47">
    <cfRule type="expression" dxfId="49" priority="46">
      <formula>$B$24="Simple"</formula>
    </cfRule>
  </conditionalFormatting>
  <conditionalFormatting sqref="B50">
    <cfRule type="expression" dxfId="48" priority="45">
      <formula>$B$24="Simple"</formula>
    </cfRule>
  </conditionalFormatting>
  <conditionalFormatting sqref="C55:C58">
    <cfRule type="expression" dxfId="47" priority="44">
      <formula>$B$24="Simple"</formula>
    </cfRule>
  </conditionalFormatting>
  <conditionalFormatting sqref="F55:F58">
    <cfRule type="expression" dxfId="46" priority="43">
      <formula>$B$24="Simple"</formula>
    </cfRule>
  </conditionalFormatting>
  <conditionalFormatting sqref="C62:C64">
    <cfRule type="expression" dxfId="45" priority="42">
      <formula>$B$24="Simple"</formula>
    </cfRule>
  </conditionalFormatting>
  <conditionalFormatting sqref="F62:F64">
    <cfRule type="expression" dxfId="44" priority="41">
      <formula>$B$24="Simple"</formula>
    </cfRule>
  </conditionalFormatting>
  <conditionalFormatting sqref="C67:C68">
    <cfRule type="expression" dxfId="43" priority="40">
      <formula>$B$24="Simple"</formula>
    </cfRule>
  </conditionalFormatting>
  <conditionalFormatting sqref="F67:F68">
    <cfRule type="expression" dxfId="42" priority="39">
      <formula>$B$24="Simple"</formula>
    </cfRule>
  </conditionalFormatting>
  <conditionalFormatting sqref="C74:C78">
    <cfRule type="expression" dxfId="41" priority="38">
      <formula>$B$24="Simple"</formula>
    </cfRule>
  </conditionalFormatting>
  <conditionalFormatting sqref="F74:F78">
    <cfRule type="expression" dxfId="40" priority="37">
      <formula>$B$24="Simple"</formula>
    </cfRule>
  </conditionalFormatting>
  <conditionalFormatting sqref="C81:C85">
    <cfRule type="expression" dxfId="39" priority="36">
      <formula>$B$24="Simple"</formula>
    </cfRule>
  </conditionalFormatting>
  <conditionalFormatting sqref="F81:F85">
    <cfRule type="expression" dxfId="38" priority="35">
      <formula>$B$24="Simple"</formula>
    </cfRule>
  </conditionalFormatting>
  <conditionalFormatting sqref="C91:C92">
    <cfRule type="expression" dxfId="37" priority="34">
      <formula>$B$24="Simple"</formula>
    </cfRule>
  </conditionalFormatting>
  <conditionalFormatting sqref="F91:F92">
    <cfRule type="expression" dxfId="36" priority="33">
      <formula>$B$24="Simple"</formula>
    </cfRule>
  </conditionalFormatting>
  <conditionalFormatting sqref="C95:C96">
    <cfRule type="expression" dxfId="35" priority="32">
      <formula>$B$24="Simple"</formula>
    </cfRule>
  </conditionalFormatting>
  <conditionalFormatting sqref="F95:F96">
    <cfRule type="expression" dxfId="34" priority="31">
      <formula>$B$24="Simple"</formula>
    </cfRule>
  </conditionalFormatting>
  <conditionalFormatting sqref="B99:B101">
    <cfRule type="expression" dxfId="33" priority="30">
      <formula>$B$24="Simple"</formula>
    </cfRule>
  </conditionalFormatting>
  <conditionalFormatting sqref="F99:F102">
    <cfRule type="expression" dxfId="32" priority="29">
      <formula>$B$24="Simple"</formula>
    </cfRule>
  </conditionalFormatting>
  <conditionalFormatting sqref="C102">
    <cfRule type="expression" dxfId="31" priority="28">
      <formula>$B$24="Simple"</formula>
    </cfRule>
  </conditionalFormatting>
  <conditionalFormatting sqref="B106">
    <cfRule type="expression" dxfId="30" priority="27">
      <formula>$B$24="Simple"</formula>
    </cfRule>
  </conditionalFormatting>
  <conditionalFormatting sqref="D112:D115">
    <cfRule type="expression" dxfId="29" priority="26">
      <formula>$B$24="Simple"</formula>
    </cfRule>
  </conditionalFormatting>
  <conditionalFormatting sqref="F112:F115">
    <cfRule type="expression" dxfId="28" priority="25">
      <formula>$B$24="Simple"</formula>
    </cfRule>
  </conditionalFormatting>
  <conditionalFormatting sqref="F112:F115">
    <cfRule type="expression" dxfId="27" priority="24">
      <formula>$B$24="Simple"</formula>
    </cfRule>
  </conditionalFormatting>
  <conditionalFormatting sqref="C118:C121">
    <cfRule type="expression" dxfId="26" priority="23">
      <formula>$B$24="Simple"</formula>
    </cfRule>
  </conditionalFormatting>
  <conditionalFormatting sqref="F118:F120">
    <cfRule type="expression" dxfId="25" priority="22">
      <formula>$B$24="Simple"</formula>
    </cfRule>
  </conditionalFormatting>
  <conditionalFormatting sqref="F118:F120">
    <cfRule type="expression" dxfId="24" priority="21">
      <formula>$B$24="Simple"</formula>
    </cfRule>
  </conditionalFormatting>
  <conditionalFormatting sqref="B123:B124">
    <cfRule type="expression" dxfId="23" priority="20">
      <formula>$B$24="Simple"</formula>
    </cfRule>
  </conditionalFormatting>
  <conditionalFormatting sqref="F124">
    <cfRule type="expression" dxfId="22" priority="19">
      <formula>$B$24="Simple"</formula>
    </cfRule>
  </conditionalFormatting>
  <conditionalFormatting sqref="F124">
    <cfRule type="expression" dxfId="21" priority="18">
      <formula>$B$24="Simple"</formula>
    </cfRule>
  </conditionalFormatting>
  <conditionalFormatting sqref="B132">
    <cfRule type="expression" dxfId="20" priority="15">
      <formula>$B$24="Simple"</formula>
    </cfRule>
  </conditionalFormatting>
  <conditionalFormatting sqref="B130">
    <cfRule type="expression" dxfId="19" priority="17">
      <formula>$B$24="Simple"</formula>
    </cfRule>
  </conditionalFormatting>
  <conditionalFormatting sqref="B131">
    <cfRule type="expression" dxfId="18" priority="16">
      <formula>$B$24="Simple"</formula>
    </cfRule>
  </conditionalFormatting>
  <conditionalFormatting sqref="E130">
    <cfRule type="expression" dxfId="17" priority="14">
      <formula>$B$24="Simple"</formula>
    </cfRule>
  </conditionalFormatting>
  <conditionalFormatting sqref="B135">
    <cfRule type="expression" dxfId="16" priority="13">
      <formula>$B$24="Simple"</formula>
    </cfRule>
  </conditionalFormatting>
  <conditionalFormatting sqref="E135:E136">
    <cfRule type="expression" dxfId="15" priority="12">
      <formula>$B$24="Simple"</formula>
    </cfRule>
  </conditionalFormatting>
  <conditionalFormatting sqref="B138">
    <cfRule type="expression" dxfId="14" priority="10">
      <formula>$B$24="Simple"</formula>
    </cfRule>
  </conditionalFormatting>
  <conditionalFormatting sqref="B137">
    <cfRule type="expression" dxfId="13" priority="11">
      <formula>$B$24="Simple"</formula>
    </cfRule>
  </conditionalFormatting>
  <conditionalFormatting sqref="B140:B142">
    <cfRule type="expression" dxfId="12" priority="9">
      <formula>$B$24="Simple"</formula>
    </cfRule>
  </conditionalFormatting>
  <conditionalFormatting sqref="B143 B145">
    <cfRule type="expression" dxfId="11" priority="8">
      <formula>$B$24="Simple"</formula>
    </cfRule>
  </conditionalFormatting>
  <conditionalFormatting sqref="B144">
    <cfRule type="expression" dxfId="10" priority="7">
      <formula>$B$24="Simple"</formula>
    </cfRule>
  </conditionalFormatting>
  <conditionalFormatting sqref="B146">
    <cfRule type="expression" dxfId="9" priority="6">
      <formula>$B$24="Simple"</formula>
    </cfRule>
  </conditionalFormatting>
  <conditionalFormatting sqref="E145:E146">
    <cfRule type="expression" dxfId="8" priority="5">
      <formula>$B$24="Simple"</formula>
    </cfRule>
  </conditionalFormatting>
  <conditionalFormatting sqref="B149:B151">
    <cfRule type="expression" dxfId="7" priority="4">
      <formula>$B$24="Simple"</formula>
    </cfRule>
  </conditionalFormatting>
  <conditionalFormatting sqref="E149:E151">
    <cfRule type="expression" dxfId="6" priority="3">
      <formula>$B$24="Simple"</formula>
    </cfRule>
  </conditionalFormatting>
  <conditionalFormatting sqref="B153:B154">
    <cfRule type="expression" dxfId="5" priority="2">
      <formula>$B$24="Simple"</formula>
    </cfRule>
  </conditionalFormatting>
  <conditionalFormatting sqref="E153:E154">
    <cfRule type="expression" dxfId="4" priority="1">
      <formula>$B$24="Simple"</formula>
    </cfRule>
  </conditionalFormatting>
  <dataValidations count="9">
    <dataValidation type="list" allowBlank="1" showInputMessage="1" showErrorMessage="1" sqref="B19">
      <formula1>LineVoltages</formula1>
    </dataValidation>
    <dataValidation type="list" allowBlank="1" showInputMessage="1" showErrorMessage="1" sqref="B16">
      <formula1>Location</formula1>
    </dataValidation>
    <dataValidation type="list" allowBlank="1" showInputMessage="1" showErrorMessage="1" sqref="B18">
      <formula1>Years</formula1>
    </dataValidation>
    <dataValidation type="list" allowBlank="1" showInputMessage="1" showErrorMessage="1" sqref="Z50 B50">
      <formula1>MoneyValue</formula1>
    </dataValidation>
    <dataValidation type="list" allowBlank="1" showInputMessage="1" showErrorMessage="1" sqref="Z47 B47">
      <formula1>YesNo</formula1>
    </dataValidation>
    <dataValidation type="list" allowBlank="1" showInputMessage="1" showErrorMessage="1" sqref="Z33 B33">
      <formula1>Circuits</formula1>
    </dataValidation>
    <dataValidation type="list" allowBlank="1" showInputMessage="1" showErrorMessage="1" sqref="Z39 B39">
      <formula1>GridSysVoltage</formula1>
    </dataValidation>
    <dataValidation type="list" allowBlank="1" showInputMessage="1" showErrorMessage="1" sqref="B22">
      <formula1>PopulationDensity</formula1>
    </dataValidation>
    <dataValidation type="list" allowBlank="1" showInputMessage="1" showErrorMessage="1" sqref="B24">
      <formula1>Analysis</formula1>
    </dataValidation>
  </dataValidations>
  <pageMargins left="0.75" right="0.75" top="1" bottom="1" header="0.5" footer="0.5"/>
  <pageSetup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89" r:id="rId5" name="Button 41">
              <controlPr defaultSize="0" print="0" autoFill="0" autoPict="0" macro="[0]!Summary">
                <anchor moveWithCells="1" sizeWithCells="1">
                  <from>
                    <xdr:col>0</xdr:col>
                    <xdr:colOff>257175</xdr:colOff>
                    <xdr:row>154</xdr:row>
                    <xdr:rowOff>152400</xdr:rowOff>
                  </from>
                  <to>
                    <xdr:col>0</xdr:col>
                    <xdr:colOff>1666875</xdr:colOff>
                    <xdr:row>157</xdr:row>
                    <xdr:rowOff>104775</xdr:rowOff>
                  </to>
                </anchor>
              </controlPr>
            </control>
          </mc:Choice>
        </mc:AlternateContent>
        <mc:AlternateContent xmlns:mc="http://schemas.openxmlformats.org/markup-compatibility/2006">
          <mc:Choice Requires="x14">
            <control shapeId="2091" r:id="rId6" name="Button 43">
              <controlPr defaultSize="0" print="0" autoFill="0" autoPict="0" macro="[0]!WindProject">
                <anchor moveWithCells="1" sizeWithCells="1">
                  <from>
                    <xdr:col>0</xdr:col>
                    <xdr:colOff>1933575</xdr:colOff>
                    <xdr:row>155</xdr:row>
                    <xdr:rowOff>0</xdr:rowOff>
                  </from>
                  <to>
                    <xdr:col>1</xdr:col>
                    <xdr:colOff>19050</xdr:colOff>
                    <xdr:row>157</xdr:row>
                    <xdr:rowOff>133350</xdr:rowOff>
                  </to>
                </anchor>
              </controlPr>
            </control>
          </mc:Choice>
        </mc:AlternateContent>
        <mc:AlternateContent xmlns:mc="http://schemas.openxmlformats.org/markup-compatibility/2006">
          <mc:Choice Requires="x14">
            <control shapeId="2179" r:id="rId7" name="Button 131">
              <controlPr defaultSize="0" print="0" autoFill="0" autoPict="0" macro="[0]!RestoreDefaultData">
                <anchor moveWithCells="1" sizeWithCells="1">
                  <from>
                    <xdr:col>1</xdr:col>
                    <xdr:colOff>247650</xdr:colOff>
                    <xdr:row>155</xdr:row>
                    <xdr:rowOff>0</xdr:rowOff>
                  </from>
                  <to>
                    <xdr:col>2</xdr:col>
                    <xdr:colOff>495300</xdr:colOff>
                    <xdr:row>157</xdr:row>
                    <xdr:rowOff>133350</xdr:rowOff>
                  </to>
                </anchor>
              </controlPr>
            </control>
          </mc:Choice>
        </mc:AlternateContent>
        <mc:AlternateContent xmlns:mc="http://schemas.openxmlformats.org/markup-compatibility/2006">
          <mc:Choice Requires="x14">
            <control shapeId="2207" r:id="rId8" name="Button 159">
              <controlPr defaultSize="0" print="0" autoFill="0" autoPict="0" macro="[0]!Summary">
                <anchor moveWithCells="1" sizeWithCells="1">
                  <from>
                    <xdr:col>2</xdr:col>
                    <xdr:colOff>200025</xdr:colOff>
                    <xdr:row>24</xdr:row>
                    <xdr:rowOff>76200</xdr:rowOff>
                  </from>
                  <to>
                    <xdr:col>5</xdr:col>
                    <xdr:colOff>171450</xdr:colOff>
                    <xdr:row>25</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'Terrain and Pop Multipliers'!$B$9:$B$13</xm:f>
          </x14:formula1>
          <xm:sqref>B21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fitToPage="1"/>
  </sheetPr>
  <dimension ref="A1:BN275"/>
  <sheetViews>
    <sheetView workbookViewId="0"/>
  </sheetViews>
  <sheetFormatPr defaultRowHeight="12.75" x14ac:dyDescent="0.2"/>
  <cols>
    <col min="1" max="1" width="60.28515625" customWidth="1"/>
    <col min="2" max="2" width="12.7109375" customWidth="1"/>
    <col min="3" max="3" width="14.42578125" customWidth="1"/>
    <col min="4" max="4" width="11.85546875" customWidth="1"/>
    <col min="5" max="5" width="13.28515625" style="703" customWidth="1"/>
    <col min="6" max="6" width="27" customWidth="1"/>
    <col min="7" max="7" width="7.7109375" customWidth="1"/>
    <col min="8" max="8" width="6.5703125" customWidth="1"/>
    <col min="11" max="18" width="9.140625" style="131"/>
    <col min="26" max="26" width="9.28515625" bestFit="1" customWidth="1"/>
    <col min="54" max="54" width="46.140625" customWidth="1"/>
    <col min="55" max="55" width="9.85546875" customWidth="1"/>
    <col min="56" max="56" width="12.85546875" customWidth="1"/>
    <col min="57" max="57" width="11.5703125" customWidth="1"/>
    <col min="58" max="58" width="13.140625" customWidth="1"/>
    <col min="60" max="60" width="50" customWidth="1"/>
    <col min="61" max="61" width="18.42578125" customWidth="1"/>
    <col min="62" max="62" width="13" customWidth="1"/>
    <col min="63" max="63" width="10.140625" customWidth="1"/>
    <col min="64" max="64" width="11" customWidth="1"/>
    <col min="65" max="65" width="14.140625" customWidth="1"/>
  </cols>
  <sheetData>
    <row r="1" spans="1:66" ht="18" x14ac:dyDescent="0.25">
      <c r="A1" s="380" t="str">
        <f>CONCATENATE("Transmission Line - Project Data Summary based on ",$AE$45, " values")</f>
        <v>Transmission Line - Project Data Summary based on User modifications to default values</v>
      </c>
      <c r="B1" s="38"/>
      <c r="C1" s="158"/>
      <c r="D1" s="57"/>
      <c r="E1" s="57"/>
      <c r="F1" s="57"/>
      <c r="G1" s="38"/>
      <c r="H1" s="38"/>
      <c r="I1" s="38"/>
      <c r="J1" s="38"/>
      <c r="K1" s="95"/>
      <c r="L1" s="95"/>
      <c r="M1" s="95"/>
      <c r="N1" s="95"/>
      <c r="O1" s="95"/>
      <c r="P1" s="95"/>
      <c r="Q1" s="95"/>
      <c r="R1" s="95"/>
      <c r="S1" s="95"/>
      <c r="T1" s="95"/>
      <c r="U1" s="95"/>
      <c r="V1" s="95"/>
      <c r="W1" s="95"/>
      <c r="X1" s="95"/>
      <c r="BB1" s="142" t="str">
        <f>Summary_Results</f>
        <v>Transmission Line - Project Data Summary based on User modifications to default values</v>
      </c>
      <c r="BC1" s="131"/>
      <c r="BD1" s="170"/>
      <c r="BE1" s="172"/>
      <c r="BF1" s="187"/>
      <c r="BH1" s="177" t="s">
        <v>237</v>
      </c>
      <c r="BI1" s="131"/>
      <c r="BJ1" s="167"/>
      <c r="BK1" s="167"/>
      <c r="BL1" s="131"/>
      <c r="BM1" s="131"/>
      <c r="BN1" s="131"/>
    </row>
    <row r="2" spans="1:66" ht="15" x14ac:dyDescent="0.3">
      <c r="A2" s="63" t="s">
        <v>152</v>
      </c>
      <c r="B2" s="155"/>
      <c r="C2" s="553" t="str">
        <f>IF(ProjectData!B16="MyCounty",'User Add-in Location'!B3,IF(ProjectData!B16="MyRegion",'User Add-in Location'!B4,ProjectData!B16))</f>
        <v>Texas</v>
      </c>
      <c r="D2" s="57"/>
      <c r="E2" s="57"/>
      <c r="F2" s="44"/>
      <c r="G2" s="38"/>
      <c r="H2" s="38"/>
      <c r="I2" s="38"/>
      <c r="J2" s="38"/>
      <c r="K2" s="95"/>
      <c r="L2" s="95"/>
      <c r="M2" s="95"/>
      <c r="N2" s="95"/>
      <c r="O2" s="95"/>
      <c r="P2" s="95"/>
      <c r="Q2" s="95"/>
      <c r="R2" s="95"/>
      <c r="S2" s="95"/>
      <c r="T2" s="95"/>
      <c r="U2" s="95"/>
      <c r="V2" s="95"/>
      <c r="W2" s="95"/>
      <c r="X2" s="95"/>
      <c r="BB2" s="627" t="str">
        <f>A2</f>
        <v>Project Location</v>
      </c>
      <c r="BC2" s="131"/>
      <c r="BD2" s="384" t="str">
        <f t="shared" ref="BD2:BD11" si="0">C2</f>
        <v>Texas</v>
      </c>
      <c r="BE2" s="172"/>
      <c r="BF2" s="187"/>
      <c r="BH2" s="108" t="str">
        <f>ProjectData!A16</f>
        <v xml:space="preserve">  Project Location</v>
      </c>
      <c r="BI2" s="336" t="str">
        <f>ProjectData!B16</f>
        <v>Texas</v>
      </c>
      <c r="BJ2" s="337"/>
      <c r="BK2" s="338" t="str">
        <f>IF(BI2="MYREGION",IF('User Add-in Location'!BL13=0,"Error - No Regional multiplier data in User Add-in Location",""),IF(BI2="MYCOUNTY",IF('User Add-in Location'!BK13=0,"Error - No County multiplier data in User Add-in Location",""),""))</f>
        <v/>
      </c>
      <c r="BL2" s="131"/>
      <c r="BM2" s="131"/>
      <c r="BN2" s="170"/>
    </row>
    <row r="3" spans="1:66" ht="15" x14ac:dyDescent="0.3">
      <c r="A3" s="192" t="s">
        <v>287</v>
      </c>
      <c r="B3" s="155"/>
      <c r="C3" s="612">
        <f>ProjectData!B18</f>
        <v>2014</v>
      </c>
      <c r="D3" s="57"/>
      <c r="E3" s="57"/>
      <c r="F3" s="44"/>
      <c r="G3" s="38"/>
      <c r="H3" s="38"/>
      <c r="I3" s="38"/>
      <c r="J3" s="38"/>
      <c r="K3" s="95"/>
      <c r="L3" s="95"/>
      <c r="M3" s="95"/>
      <c r="N3" s="95"/>
      <c r="O3" s="95"/>
      <c r="P3" s="95"/>
      <c r="Q3" s="95"/>
      <c r="R3" s="95"/>
      <c r="S3" s="95"/>
      <c r="T3" s="95"/>
      <c r="U3" s="95"/>
      <c r="V3" s="95"/>
      <c r="W3" s="95"/>
      <c r="X3" s="95"/>
      <c r="BB3" s="627" t="str">
        <f t="shared" ref="BB3:BB25" si="1">A3</f>
        <v>Year of Construction or Installation</v>
      </c>
      <c r="BC3" s="131"/>
      <c r="BD3" s="384">
        <f t="shared" si="0"/>
        <v>2014</v>
      </c>
      <c r="BE3" s="172"/>
      <c r="BF3" s="187"/>
      <c r="BH3" s="108" t="str">
        <f>ProjectData!A17</f>
        <v xml:space="preserve">  Population (only required for County/Region analysis)</v>
      </c>
      <c r="BI3" s="336">
        <f>ProjectData!B17</f>
        <v>0</v>
      </c>
      <c r="BJ3" s="337"/>
      <c r="BK3" s="339" t="str">
        <f>IF(BI2="MYREGION",IF('User Add-in Location'!BL13=0,"",IF(BI2="MYREGION","Enter Region Population","")),IF(BI2="MYCOUNTY",IF('User Add-in Location'!BK13=0,"",IF(BI2="MYCOUNTY","Enter County Population","")),""))</f>
        <v/>
      </c>
      <c r="BL3" s="131"/>
      <c r="BM3" s="131"/>
      <c r="BN3" s="170"/>
    </row>
    <row r="4" spans="1:66" s="462" customFormat="1" ht="15" x14ac:dyDescent="0.3">
      <c r="A4" s="192" t="s">
        <v>339</v>
      </c>
      <c r="B4" s="155"/>
      <c r="C4" s="612" t="str">
        <f>ProjectData!B19</f>
        <v>230 kV AC</v>
      </c>
      <c r="D4" s="57"/>
      <c r="E4" s="57"/>
      <c r="F4" s="44"/>
      <c r="G4" s="461"/>
      <c r="H4" s="461"/>
      <c r="I4" s="461"/>
      <c r="J4" s="461"/>
      <c r="K4" s="95"/>
      <c r="L4" s="95"/>
      <c r="M4" s="95"/>
      <c r="N4" s="95"/>
      <c r="O4" s="95"/>
      <c r="P4" s="95"/>
      <c r="Q4" s="95"/>
      <c r="R4" s="95"/>
      <c r="S4" s="95"/>
      <c r="T4" s="95"/>
      <c r="U4" s="95"/>
      <c r="V4" s="95"/>
      <c r="W4" s="95"/>
      <c r="X4" s="95"/>
      <c r="BB4" s="627" t="str">
        <f t="shared" ref="BB4:BB9" si="2">A4</f>
        <v>Transmission Line Type</v>
      </c>
      <c r="BC4" s="131"/>
      <c r="BD4" s="384" t="str">
        <f t="shared" ref="BD4:BD9" si="3">C4</f>
        <v>230 kV AC</v>
      </c>
      <c r="BE4" s="172"/>
      <c r="BF4" s="187"/>
      <c r="BH4" s="108" t="str">
        <f>ProjectData!A18</f>
        <v xml:space="preserve">  Year of Construction/Installation</v>
      </c>
      <c r="BI4" s="336">
        <f>ProjectData!B18</f>
        <v>2014</v>
      </c>
      <c r="BJ4" s="337"/>
      <c r="BK4" s="339"/>
      <c r="BL4" s="131"/>
      <c r="BM4" s="131"/>
      <c r="BN4" s="170"/>
    </row>
    <row r="5" spans="1:66" ht="15" x14ac:dyDescent="0.3">
      <c r="A5" s="192" t="s">
        <v>338</v>
      </c>
      <c r="B5" s="63"/>
      <c r="C5" s="612">
        <f>ProjectData!B20</f>
        <v>20</v>
      </c>
      <c r="D5" s="189" t="str">
        <f>ProjectData!C16</f>
        <v/>
      </c>
      <c r="E5" s="189"/>
      <c r="F5" s="44"/>
      <c r="G5" s="38"/>
      <c r="H5" s="38"/>
      <c r="I5" s="38"/>
      <c r="J5" s="38"/>
      <c r="K5" s="95"/>
      <c r="L5" s="95"/>
      <c r="M5" s="95"/>
      <c r="N5" s="95"/>
      <c r="O5" s="95"/>
      <c r="P5" s="95"/>
      <c r="Q5" s="95"/>
      <c r="R5" s="95"/>
      <c r="S5" s="95"/>
      <c r="T5" s="95"/>
      <c r="U5" s="95"/>
      <c r="V5" s="95"/>
      <c r="W5" s="95"/>
      <c r="X5" s="95"/>
      <c r="BB5" s="627" t="str">
        <f t="shared" si="2"/>
        <v>Transmission Line Length (Miles)</v>
      </c>
      <c r="BC5" s="131"/>
      <c r="BD5" s="384">
        <f t="shared" si="3"/>
        <v>20</v>
      </c>
      <c r="BE5" s="172"/>
      <c r="BF5" s="187"/>
      <c r="BH5" s="108" t="str">
        <f>ProjectData!A19</f>
        <v xml:space="preserve">  Transmission Line Type</v>
      </c>
      <c r="BI5" s="388" t="str">
        <f>ProjectData!B19</f>
        <v>230 kV AC</v>
      </c>
      <c r="BJ5" s="171"/>
      <c r="BK5" s="340"/>
      <c r="BL5" s="74"/>
      <c r="BM5" s="131"/>
      <c r="BN5" s="170"/>
    </row>
    <row r="6" spans="1:66" s="462" customFormat="1" ht="15" x14ac:dyDescent="0.3">
      <c r="A6" s="63" t="s">
        <v>567</v>
      </c>
      <c r="B6" s="63"/>
      <c r="C6" s="612" t="str">
        <f>ProjectData!B21</f>
        <v>Flat w/access</v>
      </c>
      <c r="D6" s="189"/>
      <c r="E6" s="189"/>
      <c r="F6" s="44"/>
      <c r="G6" s="461"/>
      <c r="H6" s="461"/>
      <c r="I6" s="461"/>
      <c r="J6" s="461"/>
      <c r="K6" s="95"/>
      <c r="L6" s="95"/>
      <c r="M6" s="95"/>
      <c r="N6" s="95"/>
      <c r="O6" s="95"/>
      <c r="P6" s="95"/>
      <c r="Q6" s="95"/>
      <c r="R6" s="95"/>
      <c r="S6" s="95"/>
      <c r="T6" s="95"/>
      <c r="U6" s="95"/>
      <c r="V6" s="95"/>
      <c r="W6" s="95"/>
      <c r="X6" s="95"/>
      <c r="BB6" s="627" t="str">
        <f t="shared" si="2"/>
        <v>Terrain Classification</v>
      </c>
      <c r="BC6" s="131"/>
      <c r="BD6" s="384" t="str">
        <f t="shared" si="3"/>
        <v>Flat w/access</v>
      </c>
      <c r="BE6" s="172"/>
      <c r="BF6" s="187"/>
      <c r="BH6" s="108" t="str">
        <f>ProjectData!A20</f>
        <v xml:space="preserve">  Transmission Line Length (Miles)</v>
      </c>
      <c r="BI6" s="388">
        <f>ProjectData!B20</f>
        <v>20</v>
      </c>
      <c r="BJ6" s="337"/>
      <c r="BK6" s="340"/>
      <c r="BL6" s="131"/>
      <c r="BM6" s="131"/>
      <c r="BN6" s="170"/>
    </row>
    <row r="7" spans="1:66" s="462" customFormat="1" ht="15" x14ac:dyDescent="0.3">
      <c r="A7" s="63" t="s">
        <v>568</v>
      </c>
      <c r="B7" s="63"/>
      <c r="C7" s="612" t="str">
        <f>ProjectData!B22</f>
        <v>Rural</v>
      </c>
      <c r="D7" s="189"/>
      <c r="E7" s="189"/>
      <c r="F7" s="44"/>
      <c r="G7" s="461"/>
      <c r="H7" s="461"/>
      <c r="I7" s="461"/>
      <c r="J7" s="461"/>
      <c r="K7" s="95"/>
      <c r="L7" s="95"/>
      <c r="M7" s="95"/>
      <c r="N7" s="95"/>
      <c r="O7" s="95"/>
      <c r="P7" s="95"/>
      <c r="Q7" s="95"/>
      <c r="R7" s="95"/>
      <c r="S7" s="95"/>
      <c r="T7" s="95"/>
      <c r="U7" s="95"/>
      <c r="V7" s="95"/>
      <c r="W7" s="95"/>
      <c r="X7" s="95"/>
      <c r="BB7" s="627" t="str">
        <f t="shared" si="2"/>
        <v>Population Density Classification (Right of Way access)</v>
      </c>
      <c r="BC7" s="131"/>
      <c r="BD7" s="384" t="str">
        <f t="shared" si="3"/>
        <v>Rural</v>
      </c>
      <c r="BE7" s="172"/>
      <c r="BF7" s="187"/>
      <c r="BH7" s="108" t="str">
        <f>ProjectData!A47</f>
        <v xml:space="preserve">  Project represents a Federal Nexus (triggers NEPA)</v>
      </c>
      <c r="BI7" s="388">
        <f>IF(ProjectData!B24="Advanced",ProjectData!B36,ProjectData!Z36)</f>
        <v>1</v>
      </c>
      <c r="BJ7" s="337"/>
      <c r="BK7" s="340"/>
      <c r="BL7" s="131"/>
      <c r="BM7" s="131"/>
      <c r="BN7" s="170"/>
    </row>
    <row r="8" spans="1:66" ht="15" x14ac:dyDescent="0.3">
      <c r="A8" s="192" t="s">
        <v>606</v>
      </c>
      <c r="B8" s="155"/>
      <c r="C8" s="613" t="str">
        <f>IF(ProjectData!B24="Advanced",ProjectData!B47,ProjectData!Z47)</f>
        <v>Yes</v>
      </c>
      <c r="D8" s="189"/>
      <c r="E8" s="189"/>
      <c r="F8" s="44"/>
      <c r="G8" s="38"/>
      <c r="H8" s="38"/>
      <c r="I8" s="38"/>
      <c r="J8" s="38"/>
      <c r="K8" s="95"/>
      <c r="L8" s="95"/>
      <c r="M8" s="95"/>
      <c r="N8" s="95"/>
      <c r="O8" s="95"/>
      <c r="P8" s="95"/>
      <c r="Q8" s="95"/>
      <c r="R8" s="95"/>
      <c r="S8" s="95"/>
      <c r="T8" s="95"/>
      <c r="U8" s="95"/>
      <c r="V8" s="95"/>
      <c r="W8" s="95"/>
      <c r="X8" s="95"/>
      <c r="BB8" s="627" t="str">
        <f t="shared" si="2"/>
        <v>Project Represents a Federal Nexus (triggers NEPA)</v>
      </c>
      <c r="BC8" s="131"/>
      <c r="BD8" s="384" t="str">
        <f t="shared" si="3"/>
        <v>Yes</v>
      </c>
      <c r="BE8" s="172"/>
      <c r="BF8" s="187"/>
      <c r="BH8" s="108" t="str">
        <f>ProjectData!A48</f>
        <v xml:space="preserve">  Project Cost ($Million/Mile)</v>
      </c>
      <c r="BI8" s="389">
        <f>BJ68/10^6</f>
        <v>0</v>
      </c>
      <c r="BJ8" s="338"/>
      <c r="BK8" s="337"/>
      <c r="BL8" s="131"/>
      <c r="BM8" s="131"/>
      <c r="BN8" s="170"/>
    </row>
    <row r="9" spans="1:66" s="462" customFormat="1" ht="15" x14ac:dyDescent="0.3">
      <c r="A9" s="63" t="s">
        <v>598</v>
      </c>
      <c r="B9" s="155"/>
      <c r="C9" s="613">
        <f>IF(ProjectData!B$24="Advanced",ProjectData!B30,ProjectData!Z30)</f>
        <v>4</v>
      </c>
      <c r="D9" s="189"/>
      <c r="E9" s="189"/>
      <c r="F9" s="44"/>
      <c r="G9" s="461"/>
      <c r="H9" s="461"/>
      <c r="I9" s="461"/>
      <c r="J9" s="461"/>
      <c r="K9" s="95"/>
      <c r="L9" s="95"/>
      <c r="M9" s="95"/>
      <c r="N9" s="95"/>
      <c r="O9" s="95"/>
      <c r="P9" s="95"/>
      <c r="Q9" s="95"/>
      <c r="R9" s="95"/>
      <c r="S9" s="95"/>
      <c r="T9" s="95"/>
      <c r="U9" s="95"/>
      <c r="V9" s="95"/>
      <c r="W9" s="95"/>
      <c r="X9" s="95"/>
      <c r="BB9" s="627" t="str">
        <f t="shared" si="2"/>
        <v>Development and Preconstruction Activities Period (Years)</v>
      </c>
      <c r="BC9" s="131"/>
      <c r="BD9" s="384">
        <f t="shared" si="3"/>
        <v>4</v>
      </c>
      <c r="BE9" s="172"/>
      <c r="BF9" s="187"/>
      <c r="BH9" s="108" t="str">
        <f>ProjectData!A49</f>
        <v xml:space="preserve">  Annual Direct O&amp;M Cost (% of Total Cost)</v>
      </c>
      <c r="BI9" s="398">
        <f>BJ86</f>
        <v>0</v>
      </c>
      <c r="BJ9" s="338"/>
      <c r="BK9" s="337"/>
      <c r="BL9" s="131"/>
      <c r="BM9" s="131"/>
      <c r="BN9" s="170"/>
    </row>
    <row r="10" spans="1:66" ht="15" x14ac:dyDescent="0.3">
      <c r="A10" s="62" t="s">
        <v>340</v>
      </c>
      <c r="B10" s="155"/>
      <c r="C10" s="613">
        <f>IF(ProjectData!B$24="Advanced",ProjectData!B31,ProjectData!Z31)</f>
        <v>5</v>
      </c>
      <c r="D10" s="189"/>
      <c r="E10" s="189"/>
      <c r="F10" s="44"/>
      <c r="G10" s="38"/>
      <c r="H10" s="38"/>
      <c r="I10" s="38"/>
      <c r="J10" s="38"/>
      <c r="K10" s="95"/>
      <c r="L10" s="95"/>
      <c r="M10" s="95"/>
      <c r="N10" s="95"/>
      <c r="O10" s="95"/>
      <c r="P10" s="95"/>
      <c r="Q10" s="95"/>
      <c r="R10" s="95"/>
      <c r="S10" s="95"/>
      <c r="T10" s="95"/>
      <c r="U10" s="95"/>
      <c r="V10" s="95"/>
      <c r="W10" s="95"/>
      <c r="X10" s="95"/>
      <c r="BB10" s="627" t="str">
        <f t="shared" si="1"/>
        <v>Construction Period (Months)</v>
      </c>
      <c r="BD10" s="384">
        <f t="shared" si="0"/>
        <v>5</v>
      </c>
      <c r="BF10" s="187"/>
      <c r="BH10" s="108" t="str">
        <f>ProjectData!A50</f>
        <v xml:space="preserve">  Money Value (Dollar Year) </v>
      </c>
      <c r="BI10" s="336">
        <f>ProjectData!B50</f>
        <v>2012</v>
      </c>
      <c r="BJ10" s="337"/>
      <c r="BK10" s="171"/>
      <c r="BL10" s="131"/>
      <c r="BM10" s="131"/>
      <c r="BN10" s="170"/>
    </row>
    <row r="11" spans="1:66" x14ac:dyDescent="0.2">
      <c r="A11" s="192" t="s">
        <v>339</v>
      </c>
      <c r="B11" s="155"/>
      <c r="C11" s="612" t="str">
        <f>ProjectData!B19</f>
        <v>230 kV AC</v>
      </c>
      <c r="D11" s="57"/>
      <c r="E11" s="57"/>
      <c r="F11" s="44"/>
      <c r="G11" s="38"/>
      <c r="H11" s="38"/>
      <c r="I11" s="38"/>
      <c r="J11" s="38"/>
      <c r="K11" s="95"/>
      <c r="L11" s="95"/>
      <c r="M11" s="95"/>
      <c r="N11" s="95"/>
      <c r="O11" s="95"/>
      <c r="P11" s="95"/>
      <c r="Q11" s="95"/>
      <c r="R11" s="95"/>
      <c r="S11" s="95"/>
      <c r="T11" s="95"/>
      <c r="U11" s="95"/>
      <c r="V11" s="95"/>
      <c r="W11" s="95"/>
      <c r="X11" s="95"/>
      <c r="BB11" s="627" t="str">
        <f t="shared" si="1"/>
        <v>Transmission Line Type</v>
      </c>
      <c r="BD11" s="384" t="str">
        <f t="shared" si="0"/>
        <v>230 kV AC</v>
      </c>
      <c r="BF11" s="187"/>
      <c r="BH11" s="337"/>
      <c r="BI11" s="341"/>
      <c r="BJ11" s="339"/>
      <c r="BK11" s="171"/>
      <c r="BL11" s="131"/>
      <c r="BM11" s="131"/>
      <c r="BN11" s="131"/>
    </row>
    <row r="12" spans="1:66" ht="15.75" customHeight="1" x14ac:dyDescent="0.2">
      <c r="A12" s="192" t="s">
        <v>342</v>
      </c>
      <c r="B12" s="155"/>
      <c r="C12" s="614">
        <f>C15/C5/10^6</f>
        <v>1.492971827174624</v>
      </c>
      <c r="D12" s="57"/>
      <c r="E12" s="57"/>
      <c r="F12" s="44"/>
      <c r="G12" s="38"/>
      <c r="H12" s="38"/>
      <c r="I12" s="38"/>
      <c r="J12" s="38"/>
      <c r="K12" s="95"/>
      <c r="L12" s="95"/>
      <c r="M12" s="95"/>
      <c r="N12" s="95"/>
      <c r="O12" s="95"/>
      <c r="P12" s="95"/>
      <c r="Q12" s="95"/>
      <c r="R12" s="95"/>
      <c r="S12" s="95"/>
      <c r="T12" s="95"/>
      <c r="U12" s="95"/>
      <c r="V12" s="95"/>
      <c r="W12" s="95"/>
      <c r="X12" s="95"/>
      <c r="BB12" s="627" t="str">
        <f t="shared" si="1"/>
        <v>Total Project Cost ($Million/Mile)</v>
      </c>
      <c r="BC12" s="131"/>
      <c r="BD12" s="386">
        <f t="shared" ref="BD12:BD25" si="4">C12</f>
        <v>1.492971827174624</v>
      </c>
      <c r="BE12" s="172"/>
      <c r="BF12" s="187"/>
      <c r="BH12" s="74" t="str">
        <f>A51</f>
        <v>Detailed Transmission Line Project Costs</v>
      </c>
      <c r="BI12" s="74"/>
      <c r="BJ12" s="74"/>
      <c r="BK12" s="74"/>
      <c r="BL12" s="74"/>
      <c r="BM12" s="170"/>
      <c r="BN12" s="131"/>
    </row>
    <row r="13" spans="1:66" x14ac:dyDescent="0.2">
      <c r="A13" s="192" t="s">
        <v>615</v>
      </c>
      <c r="B13" s="155"/>
      <c r="C13" s="615">
        <f>C18/C15</f>
        <v>8.0062587467713258E-3</v>
      </c>
      <c r="D13" s="57"/>
      <c r="E13" s="57"/>
      <c r="F13" s="42"/>
      <c r="G13" s="38"/>
      <c r="H13" s="38"/>
      <c r="I13" s="38"/>
      <c r="J13" s="38"/>
      <c r="K13" s="95"/>
      <c r="L13" s="95"/>
      <c r="M13" s="95"/>
      <c r="N13" s="95"/>
      <c r="O13" s="95"/>
      <c r="P13" s="95"/>
      <c r="Q13" s="95"/>
      <c r="R13" s="95"/>
      <c r="S13" s="95"/>
      <c r="T13" s="95"/>
      <c r="U13" s="95"/>
      <c r="V13" s="95"/>
      <c r="W13" s="95"/>
      <c r="X13" s="95"/>
      <c r="BB13" s="627" t="str">
        <f t="shared" si="1"/>
        <v>Annual Direct Operations and Maintenance Cost (Percent of Project Cost)</v>
      </c>
      <c r="BC13" s="131"/>
      <c r="BD13" s="399">
        <f t="shared" si="4"/>
        <v>8.0062587467713258E-3</v>
      </c>
      <c r="BE13" s="172"/>
      <c r="BF13" s="187"/>
      <c r="BH13" s="74"/>
      <c r="BI13" s="74"/>
      <c r="BJ13" s="328"/>
      <c r="BK13" s="74"/>
      <c r="BL13" s="74"/>
      <c r="BM13" s="330"/>
      <c r="BN13" s="329"/>
    </row>
    <row r="14" spans="1:66" x14ac:dyDescent="0.2">
      <c r="A14" s="192" t="s">
        <v>626</v>
      </c>
      <c r="B14" s="155"/>
      <c r="C14" s="616">
        <f>IF(ProjectData!B24="Advanced",ProjectData!B50,ProjectData!Z50)</f>
        <v>2012</v>
      </c>
      <c r="D14" s="57"/>
      <c r="E14" s="57"/>
      <c r="F14" s="42"/>
      <c r="G14" s="38"/>
      <c r="H14" s="38"/>
      <c r="I14" s="38"/>
      <c r="J14" s="38"/>
      <c r="K14" s="95"/>
      <c r="L14" s="95"/>
      <c r="M14" s="95"/>
      <c r="N14" s="95"/>
      <c r="O14" s="95"/>
      <c r="P14" s="95"/>
      <c r="Q14" s="95"/>
      <c r="R14" s="95"/>
      <c r="S14" s="95"/>
      <c r="T14" s="95"/>
      <c r="U14" s="95"/>
      <c r="V14" s="95"/>
      <c r="W14" s="95"/>
      <c r="X14" s="95"/>
      <c r="BB14" s="627" t="str">
        <f t="shared" si="1"/>
        <v xml:space="preserve">Money Value (Dollar Year) </v>
      </c>
      <c r="BC14" s="131"/>
      <c r="BD14" s="384">
        <f t="shared" si="4"/>
        <v>2012</v>
      </c>
      <c r="BE14" s="172"/>
      <c r="BF14" s="187"/>
      <c r="BH14" s="74" t="str">
        <f t="shared" ref="BH14:BH15" si="5">A53</f>
        <v>Transmission Line Costs</v>
      </c>
      <c r="BI14" s="328" t="str">
        <f t="shared" ref="BI14" si="6">B53</f>
        <v>Cost</v>
      </c>
      <c r="BJ14" s="328" t="str">
        <f t="shared" ref="BJ14" si="7">C53</f>
        <v>Local Share</v>
      </c>
      <c r="BK14" s="328"/>
      <c r="BL14" s="328"/>
      <c r="BM14" s="331"/>
      <c r="BN14" s="131"/>
    </row>
    <row r="15" spans="1:66" x14ac:dyDescent="0.2">
      <c r="A15" s="63" t="s">
        <v>569</v>
      </c>
      <c r="B15" s="155"/>
      <c r="C15" s="546">
        <f>Calculations!D57</f>
        <v>29859436.543492477</v>
      </c>
      <c r="D15" s="57"/>
      <c r="E15" s="57"/>
      <c r="F15" s="42"/>
      <c r="G15" s="38"/>
      <c r="H15" s="38"/>
      <c r="I15" s="38"/>
      <c r="J15" s="38"/>
      <c r="K15" s="95"/>
      <c r="L15" s="95"/>
      <c r="M15" s="95"/>
      <c r="N15" s="95"/>
      <c r="O15" s="95"/>
      <c r="P15" s="95"/>
      <c r="Q15" s="95"/>
      <c r="R15" s="95"/>
      <c r="S15" s="95"/>
      <c r="T15" s="95"/>
      <c r="U15" s="95"/>
      <c r="V15" s="95"/>
      <c r="W15" s="95"/>
      <c r="X15" s="95"/>
      <c r="BB15" s="627" t="str">
        <f t="shared" si="1"/>
        <v>Project Construction and Installation Cost</v>
      </c>
      <c r="BC15" s="131"/>
      <c r="BD15" s="385">
        <f t="shared" si="4"/>
        <v>29859436.543492477</v>
      </c>
      <c r="BE15" s="172"/>
      <c r="BF15" s="187"/>
      <c r="BH15" s="74" t="str">
        <f t="shared" si="5"/>
        <v xml:space="preserve">  Development and Preconstruction Activites</v>
      </c>
      <c r="BM15" s="131"/>
      <c r="BN15" s="131"/>
    </row>
    <row r="16" spans="1:66" x14ac:dyDescent="0.2">
      <c r="A16" s="63" t="s">
        <v>93</v>
      </c>
      <c r="B16" s="155"/>
      <c r="C16" s="546">
        <f>+Calculations!F104</f>
        <v>6938849.5438848929</v>
      </c>
      <c r="D16" s="326"/>
      <c r="E16" s="326"/>
      <c r="F16" s="42"/>
      <c r="G16" s="38"/>
      <c r="H16" s="38"/>
      <c r="I16" s="38"/>
      <c r="J16" s="38"/>
      <c r="K16" s="95"/>
      <c r="L16" s="95"/>
      <c r="M16" s="95"/>
      <c r="N16" s="95"/>
      <c r="O16" s="95"/>
      <c r="P16" s="95"/>
      <c r="Q16" s="95"/>
      <c r="R16" s="95"/>
      <c r="S16" s="95"/>
      <c r="T16" s="95"/>
      <c r="U16" s="95"/>
      <c r="V16" s="95"/>
      <c r="W16" s="95"/>
      <c r="X16" s="95"/>
      <c r="BB16" s="627" t="str">
        <f t="shared" si="1"/>
        <v xml:space="preserve">  Local Spending</v>
      </c>
      <c r="BC16" s="131"/>
      <c r="BD16" s="385">
        <f t="shared" si="4"/>
        <v>6938849.5438848929</v>
      </c>
      <c r="BE16" s="172"/>
      <c r="BF16" s="187"/>
      <c r="BH16" s="589" t="str">
        <f>A55</f>
        <v xml:space="preserve">     Land Acquisition Services</v>
      </c>
      <c r="BI16" s="629">
        <f>B55</f>
        <v>375000</v>
      </c>
      <c r="BJ16" s="630">
        <f t="shared" ref="BJ16" si="8">C55</f>
        <v>0.5</v>
      </c>
      <c r="BK16" s="589"/>
      <c r="BL16" s="589"/>
      <c r="BM16" s="131"/>
      <c r="BN16" s="131"/>
    </row>
    <row r="17" spans="1:66" x14ac:dyDescent="0.2">
      <c r="A17" s="63" t="s">
        <v>142</v>
      </c>
      <c r="B17" s="155"/>
      <c r="C17" s="546">
        <f>C18+C20</f>
        <v>3926920.3067509434</v>
      </c>
      <c r="D17" s="326"/>
      <c r="E17" s="326"/>
      <c r="F17" s="42"/>
      <c r="G17" s="38"/>
      <c r="H17" s="38"/>
      <c r="I17" s="38"/>
      <c r="J17" s="38"/>
      <c r="K17" s="95"/>
      <c r="L17" s="95"/>
      <c r="M17" s="95"/>
      <c r="N17" s="95"/>
      <c r="O17" s="95"/>
      <c r="P17" s="95"/>
      <c r="Q17" s="95"/>
      <c r="R17" s="95"/>
      <c r="S17" s="95"/>
      <c r="T17" s="95"/>
      <c r="U17" s="95"/>
      <c r="V17" s="95"/>
      <c r="W17" s="95"/>
      <c r="X17" s="95"/>
      <c r="BB17" s="627" t="str">
        <f t="shared" si="1"/>
        <v>Total Annual Operational Expenses</v>
      </c>
      <c r="BC17" s="131"/>
      <c r="BD17" s="385">
        <f t="shared" si="4"/>
        <v>3926920.3067509434</v>
      </c>
      <c r="BE17" s="172"/>
      <c r="BF17" s="187"/>
      <c r="BH17" s="589" t="str">
        <f t="shared" ref="BH17:BH80" si="9">A56</f>
        <v xml:space="preserve">     Private Land Acquisition Payment</v>
      </c>
      <c r="BI17" s="629">
        <f t="shared" ref="BI17:BJ17" si="10">B56</f>
        <v>363636.36363636365</v>
      </c>
      <c r="BJ17" s="630">
        <f t="shared" si="10"/>
        <v>1</v>
      </c>
      <c r="BK17" s="589"/>
      <c r="BL17" s="589"/>
      <c r="BM17" s="332"/>
      <c r="BN17" s="131"/>
    </row>
    <row r="18" spans="1:66" x14ac:dyDescent="0.2">
      <c r="A18" s="63" t="s">
        <v>141</v>
      </c>
      <c r="B18" s="155"/>
      <c r="C18" s="546">
        <f>Calculations!D135</f>
        <v>239062.375</v>
      </c>
      <c r="D18" s="326"/>
      <c r="E18" s="326"/>
      <c r="F18" s="42"/>
      <c r="G18" s="38"/>
      <c r="H18" s="38"/>
      <c r="I18" s="38"/>
      <c r="J18" s="38"/>
      <c r="K18" s="95"/>
      <c r="L18" s="95"/>
      <c r="M18" s="95"/>
      <c r="N18" s="95"/>
      <c r="O18" s="95"/>
      <c r="P18" s="95"/>
      <c r="Q18" s="95"/>
      <c r="R18" s="95"/>
      <c r="S18" s="95"/>
      <c r="T18" s="95"/>
      <c r="U18" s="95"/>
      <c r="V18" s="95"/>
      <c r="W18" s="95"/>
      <c r="X18" s="95"/>
      <c r="BB18" s="627" t="str">
        <f t="shared" si="1"/>
        <v xml:space="preserve">  Direct Operating and Maintenance Costs</v>
      </c>
      <c r="BC18" s="131"/>
      <c r="BD18" s="385">
        <f t="shared" si="4"/>
        <v>239062.375</v>
      </c>
      <c r="BE18" s="172"/>
      <c r="BF18" s="187"/>
      <c r="BH18" s="589" t="str">
        <f t="shared" si="9"/>
        <v xml:space="preserve">     Engineering/Surveying/Geotechnical Consulting Services</v>
      </c>
      <c r="BI18" s="629">
        <f t="shared" ref="BI18:BJ18" si="11">B57</f>
        <v>900000</v>
      </c>
      <c r="BJ18" s="630">
        <f t="shared" si="11"/>
        <v>0.2</v>
      </c>
      <c r="BK18" s="589"/>
      <c r="BL18" s="589"/>
      <c r="BM18" s="74"/>
      <c r="BN18" s="131"/>
    </row>
    <row r="19" spans="1:66" ht="12.75" customHeight="1" x14ac:dyDescent="0.2">
      <c r="A19" s="63" t="s">
        <v>135</v>
      </c>
      <c r="B19" s="155"/>
      <c r="C19" s="546">
        <f>Calculations!G135</f>
        <v>93230.024999999994</v>
      </c>
      <c r="D19" s="326"/>
      <c r="E19" s="326"/>
      <c r="F19" s="42"/>
      <c r="G19" s="38"/>
      <c r="H19" s="38"/>
      <c r="I19" s="38"/>
      <c r="J19" s="38"/>
      <c r="K19" s="95"/>
      <c r="L19" s="95"/>
      <c r="M19" s="95"/>
      <c r="N19" s="95"/>
      <c r="O19" s="95"/>
      <c r="P19" s="95"/>
      <c r="Q19" s="95"/>
      <c r="R19" s="95"/>
      <c r="S19" s="95"/>
      <c r="T19" s="95"/>
      <c r="U19" s="95"/>
      <c r="V19" s="95"/>
      <c r="W19" s="95"/>
      <c r="X19" s="95"/>
      <c r="BB19" s="627" t="str">
        <f t="shared" si="1"/>
        <v xml:space="preserve">    Local Spending</v>
      </c>
      <c r="BC19" s="131"/>
      <c r="BD19" s="385">
        <f t="shared" si="4"/>
        <v>93230.024999999994</v>
      </c>
      <c r="BE19" s="172"/>
      <c r="BF19" s="187"/>
      <c r="BH19" s="589" t="str">
        <f t="shared" si="9"/>
        <v xml:space="preserve">     Environmental &amp; Permitting Services</v>
      </c>
      <c r="BI19" s="629">
        <f t="shared" ref="BI19:BJ19" si="12">B58</f>
        <v>675000</v>
      </c>
      <c r="BJ19" s="630">
        <f t="shared" si="12"/>
        <v>0.15</v>
      </c>
      <c r="BK19" s="589"/>
      <c r="BL19" s="589"/>
      <c r="BM19" s="74"/>
      <c r="BN19" s="131"/>
    </row>
    <row r="20" spans="1:66" x14ac:dyDescent="0.2">
      <c r="A20" s="63" t="s">
        <v>136</v>
      </c>
      <c r="B20" s="155"/>
      <c r="C20" s="546">
        <f>Calculations!E135</f>
        <v>3687857.9317509434</v>
      </c>
      <c r="D20" s="326"/>
      <c r="E20" s="326"/>
      <c r="F20" s="42"/>
      <c r="G20" s="38"/>
      <c r="H20" s="38"/>
      <c r="I20" s="38"/>
      <c r="J20" s="38"/>
      <c r="K20" s="95"/>
      <c r="L20" s="95"/>
      <c r="M20" s="95"/>
      <c r="N20" s="95"/>
      <c r="O20" s="95"/>
      <c r="P20" s="95"/>
      <c r="Q20" s="95"/>
      <c r="R20" s="95"/>
      <c r="S20" s="95"/>
      <c r="T20" s="95"/>
      <c r="U20" s="95"/>
      <c r="V20" s="95"/>
      <c r="W20" s="95"/>
      <c r="X20" s="95"/>
      <c r="BB20" s="627" t="str">
        <f t="shared" si="1"/>
        <v xml:space="preserve">  Other Annual Costs</v>
      </c>
      <c r="BC20" s="131"/>
      <c r="BD20" s="385">
        <f t="shared" si="4"/>
        <v>3687857.9317509434</v>
      </c>
      <c r="BE20" s="172"/>
      <c r="BF20" s="187"/>
      <c r="BH20" s="589" t="str">
        <f t="shared" si="9"/>
        <v xml:space="preserve">  Subtotal Development and Preconstruction</v>
      </c>
      <c r="BI20" s="629">
        <f t="shared" ref="BI20" si="13">B59</f>
        <v>2313636.3636363638</v>
      </c>
      <c r="BJ20" s="630"/>
      <c r="BK20" s="589"/>
      <c r="BL20" s="589"/>
      <c r="BM20" s="317"/>
      <c r="BN20" s="131"/>
    </row>
    <row r="21" spans="1:66" x14ac:dyDescent="0.2">
      <c r="A21" s="63" t="s">
        <v>135</v>
      </c>
      <c r="B21" s="155"/>
      <c r="C21" s="546">
        <f>Calculations!H135</f>
        <v>18181.818181818184</v>
      </c>
      <c r="D21" s="326"/>
      <c r="E21" s="326"/>
      <c r="F21" s="42"/>
      <c r="G21" s="38"/>
      <c r="H21" s="38"/>
      <c r="I21" s="38"/>
      <c r="J21" s="38"/>
      <c r="K21" s="95"/>
      <c r="L21" s="95"/>
      <c r="M21" s="95"/>
      <c r="N21" s="95"/>
      <c r="O21" s="95"/>
      <c r="P21" s="95"/>
      <c r="Q21" s="95"/>
      <c r="R21" s="95"/>
      <c r="S21" s="95"/>
      <c r="T21" s="95"/>
      <c r="U21" s="95"/>
      <c r="V21" s="95"/>
      <c r="W21" s="95"/>
      <c r="X21" s="95"/>
      <c r="BB21" s="627" t="str">
        <f t="shared" si="1"/>
        <v xml:space="preserve">    Local Spending</v>
      </c>
      <c r="BC21" s="131"/>
      <c r="BD21" s="385">
        <f t="shared" si="4"/>
        <v>18181.818181818184</v>
      </c>
      <c r="BE21" s="172"/>
      <c r="BF21" s="187"/>
      <c r="BH21" s="589" t="str">
        <f t="shared" si="9"/>
        <v xml:space="preserve"> Materials &amp; Equipment</v>
      </c>
      <c r="BI21" s="629"/>
      <c r="BJ21" s="630"/>
      <c r="BK21" s="589"/>
      <c r="BL21" s="589"/>
      <c r="BM21" s="317"/>
      <c r="BN21" s="131"/>
    </row>
    <row r="22" spans="1:66" x14ac:dyDescent="0.2">
      <c r="A22" s="192" t="s">
        <v>355</v>
      </c>
      <c r="B22" s="155"/>
      <c r="C22" s="546">
        <f>+Calculations!G128</f>
        <v>18181.818181818184</v>
      </c>
      <c r="D22" s="326"/>
      <c r="E22" s="326"/>
      <c r="F22" s="42"/>
      <c r="G22" s="38"/>
      <c r="H22" s="38"/>
      <c r="I22" s="38"/>
      <c r="J22" s="38"/>
      <c r="K22" s="95"/>
      <c r="L22" s="95"/>
      <c r="M22" s="95"/>
      <c r="N22" s="95"/>
      <c r="O22" s="95"/>
      <c r="P22" s="95"/>
      <c r="Q22" s="95"/>
      <c r="R22" s="95"/>
      <c r="S22" s="95"/>
      <c r="T22" s="95"/>
      <c r="U22" s="95"/>
      <c r="V22" s="95"/>
      <c r="W22" s="95"/>
      <c r="X22" s="95"/>
      <c r="BB22" s="627" t="str">
        <f t="shared" si="1"/>
        <v xml:space="preserve">      ROW Payments</v>
      </c>
      <c r="BC22" s="131"/>
      <c r="BD22" s="385">
        <f t="shared" si="4"/>
        <v>18181.818181818184</v>
      </c>
      <c r="BE22" s="172"/>
      <c r="BF22" s="187"/>
      <c r="BH22" s="589" t="str">
        <f t="shared" si="9"/>
        <v xml:space="preserve">    Concrete, gravel, asphalt</v>
      </c>
      <c r="BI22" s="629">
        <f t="shared" ref="BI22:BJ22" si="14">B61</f>
        <v>600000</v>
      </c>
      <c r="BJ22" s="630">
        <f t="shared" si="14"/>
        <v>1</v>
      </c>
      <c r="BK22" s="589"/>
      <c r="BL22" s="589"/>
      <c r="BM22" s="317"/>
      <c r="BN22" s="131"/>
    </row>
    <row r="23" spans="1:66" ht="12.75" customHeight="1" x14ac:dyDescent="0.2">
      <c r="A23" s="63" t="s">
        <v>204</v>
      </c>
      <c r="B23" s="155"/>
      <c r="C23" s="546">
        <f>Calculations!G130</f>
        <v>0</v>
      </c>
      <c r="D23" s="326"/>
      <c r="E23" s="326"/>
      <c r="F23" s="42"/>
      <c r="G23" s="38"/>
      <c r="H23" s="38"/>
      <c r="I23" s="38"/>
      <c r="J23" s="38"/>
      <c r="K23" s="95"/>
      <c r="L23" s="95"/>
      <c r="M23" s="95"/>
      <c r="N23" s="95"/>
      <c r="O23" s="95"/>
      <c r="P23" s="95"/>
      <c r="Q23" s="95"/>
      <c r="R23" s="95"/>
      <c r="S23" s="95"/>
      <c r="T23" s="95"/>
      <c r="U23" s="95"/>
      <c r="V23" s="95"/>
      <c r="W23" s="95"/>
      <c r="X23" s="95"/>
      <c r="BB23" s="627" t="str">
        <f t="shared" si="1"/>
        <v xml:space="preserve">      Debt Payments </v>
      </c>
      <c r="BC23" s="131"/>
      <c r="BD23" s="385">
        <f t="shared" si="4"/>
        <v>0</v>
      </c>
      <c r="BE23" s="172"/>
      <c r="BF23" s="187"/>
      <c r="BH23" s="589" t="str">
        <f t="shared" si="9"/>
        <v xml:space="preserve">    Steel structures and poles</v>
      </c>
      <c r="BI23" s="629">
        <f t="shared" ref="BI23:BJ23" si="15">B62</f>
        <v>4950000</v>
      </c>
      <c r="BJ23" s="630">
        <f t="shared" si="15"/>
        <v>0</v>
      </c>
      <c r="BK23" s="589"/>
      <c r="BL23" s="589"/>
      <c r="BM23" s="317"/>
      <c r="BN23" s="131"/>
    </row>
    <row r="24" spans="1:66" ht="12.75" customHeight="1" x14ac:dyDescent="0.2">
      <c r="A24" s="192" t="s">
        <v>337</v>
      </c>
      <c r="B24" s="155"/>
      <c r="C24" s="546">
        <f>Calculations!G131+Calculations!G132</f>
        <v>0</v>
      </c>
      <c r="D24" s="326"/>
      <c r="E24" s="326"/>
      <c r="F24" s="42"/>
      <c r="G24" s="38"/>
      <c r="H24" s="38"/>
      <c r="I24" s="38"/>
      <c r="J24" s="38"/>
      <c r="K24" s="95"/>
      <c r="L24" s="95"/>
      <c r="M24" s="95"/>
      <c r="N24" s="95"/>
      <c r="O24" s="95"/>
      <c r="P24" s="95"/>
      <c r="Q24" s="95"/>
      <c r="R24" s="95"/>
      <c r="S24" s="95"/>
      <c r="T24" s="95"/>
      <c r="U24" s="95"/>
      <c r="V24" s="95"/>
      <c r="W24" s="95"/>
      <c r="X24" s="95"/>
      <c r="BB24" s="627" t="str">
        <f t="shared" si="1"/>
        <v xml:space="preserve">      Equity Payments</v>
      </c>
      <c r="BC24" s="131"/>
      <c r="BD24" s="385">
        <f t="shared" si="4"/>
        <v>0</v>
      </c>
      <c r="BE24" s="172"/>
      <c r="BF24" s="187"/>
      <c r="BH24" s="589" t="str">
        <f t="shared" si="9"/>
        <v xml:space="preserve">    Overhead wires (conductor and insulators and shield wire)</v>
      </c>
      <c r="BI24" s="629">
        <f t="shared" ref="BI24:BJ24" si="16">B63</f>
        <v>3300000</v>
      </c>
      <c r="BJ24" s="630">
        <f t="shared" si="16"/>
        <v>0</v>
      </c>
      <c r="BK24" s="589"/>
      <c r="BL24" s="589"/>
      <c r="BM24" s="317"/>
      <c r="BN24" s="131"/>
    </row>
    <row r="25" spans="1:66" x14ac:dyDescent="0.2">
      <c r="A25" s="63" t="s">
        <v>137</v>
      </c>
      <c r="B25" s="155"/>
      <c r="C25" s="546">
        <f>Calculations!G133</f>
        <v>0</v>
      </c>
      <c r="D25" s="326"/>
      <c r="E25" s="326"/>
      <c r="F25" s="42"/>
      <c r="G25" s="38"/>
      <c r="H25" s="38"/>
      <c r="I25" s="38"/>
      <c r="J25" s="38"/>
      <c r="K25" s="95"/>
      <c r="L25" s="95"/>
      <c r="M25" s="95"/>
      <c r="N25" s="95"/>
      <c r="O25" s="95"/>
      <c r="P25" s="95"/>
      <c r="Q25" s="95"/>
      <c r="R25" s="95"/>
      <c r="S25" s="95"/>
      <c r="T25" s="95"/>
      <c r="U25" s="95"/>
      <c r="V25" s="95"/>
      <c r="W25" s="95"/>
      <c r="X25" s="95"/>
      <c r="BB25" s="627" t="str">
        <f t="shared" si="1"/>
        <v xml:space="preserve">      Property Taxes</v>
      </c>
      <c r="BC25" s="131"/>
      <c r="BD25" s="385">
        <f t="shared" si="4"/>
        <v>0</v>
      </c>
      <c r="BE25" s="172"/>
      <c r="BF25" s="187"/>
      <c r="BH25" s="589" t="str">
        <f t="shared" si="9"/>
        <v xml:space="preserve">  Subtotal Materials &amp; Equipment</v>
      </c>
      <c r="BI25" s="629">
        <f t="shared" ref="BI25" si="17">B64</f>
        <v>8850000</v>
      </c>
      <c r="BJ25" s="630"/>
      <c r="BK25" s="589"/>
      <c r="BL25" s="589"/>
      <c r="BM25" s="317"/>
      <c r="BN25" s="131"/>
    </row>
    <row r="26" spans="1:66" x14ac:dyDescent="0.2">
      <c r="A26" s="158"/>
      <c r="B26" s="158"/>
      <c r="C26" s="158"/>
      <c r="D26" s="45"/>
      <c r="E26" s="45"/>
      <c r="F26" s="42"/>
      <c r="G26" s="38"/>
      <c r="H26" s="38"/>
      <c r="I26" s="38"/>
      <c r="J26" s="38"/>
      <c r="K26" s="95"/>
      <c r="L26" s="95"/>
      <c r="M26" s="95"/>
      <c r="N26" s="95"/>
      <c r="O26" s="95"/>
      <c r="P26" s="95"/>
      <c r="Q26" s="95"/>
      <c r="R26" s="95"/>
      <c r="S26" s="95"/>
      <c r="T26" s="95"/>
      <c r="U26" s="95"/>
      <c r="V26" s="95"/>
      <c r="W26" s="95"/>
      <c r="X26" s="95"/>
      <c r="BE26" s="131"/>
      <c r="BF26" s="187"/>
      <c r="BH26" s="589" t="str">
        <f t="shared" si="9"/>
        <v xml:space="preserve">  Labor/Installation</v>
      </c>
      <c r="BI26" s="629"/>
      <c r="BJ26" s="630"/>
      <c r="BK26" s="589"/>
      <c r="BL26" s="589"/>
      <c r="BM26" s="171"/>
      <c r="BN26" s="131"/>
    </row>
    <row r="27" spans="1:66" x14ac:dyDescent="0.2">
      <c r="A27" s="158"/>
      <c r="B27" s="56"/>
      <c r="C27" s="190"/>
      <c r="D27" s="38"/>
      <c r="E27" s="461"/>
      <c r="F27" s="42"/>
      <c r="G27" s="38"/>
      <c r="H27" s="38"/>
      <c r="I27" s="38"/>
      <c r="J27" s="38"/>
      <c r="K27" s="95"/>
      <c r="L27" s="95"/>
      <c r="M27" s="95"/>
      <c r="N27" s="95"/>
      <c r="O27" s="95"/>
      <c r="P27" s="95"/>
      <c r="Q27" s="95"/>
      <c r="R27" s="95"/>
      <c r="S27" s="95"/>
      <c r="T27" s="95"/>
      <c r="U27" s="95"/>
      <c r="V27" s="95"/>
      <c r="W27" s="95"/>
      <c r="X27" s="95"/>
      <c r="BB27" s="170"/>
      <c r="BC27" s="162"/>
      <c r="BD27" s="162"/>
      <c r="BE27" s="162"/>
      <c r="BH27" s="589" t="str">
        <f t="shared" si="9"/>
        <v xml:space="preserve">    Civil (grading, roads, site prep, foundations, fencing)</v>
      </c>
      <c r="BI27" s="629">
        <f t="shared" ref="BI27:BJ27" si="18">B66</f>
        <v>1765400.1798561153</v>
      </c>
      <c r="BJ27" s="630">
        <f t="shared" si="18"/>
        <v>0.8</v>
      </c>
      <c r="BK27" s="589"/>
      <c r="BL27" s="589"/>
      <c r="BM27" s="171"/>
      <c r="BN27" s="131"/>
    </row>
    <row r="28" spans="1:66" ht="15.75" x14ac:dyDescent="0.25">
      <c r="A28" s="39" t="s">
        <v>102</v>
      </c>
      <c r="B28" s="40"/>
      <c r="C28" s="40"/>
      <c r="D28" s="40"/>
      <c r="E28" s="40"/>
      <c r="F28" s="40"/>
      <c r="G28" s="40"/>
      <c r="H28" s="40"/>
      <c r="I28" s="38"/>
      <c r="J28" s="38"/>
      <c r="K28" s="95"/>
      <c r="L28" s="95"/>
      <c r="M28" s="95"/>
      <c r="N28" s="95"/>
      <c r="O28" s="95"/>
      <c r="P28" s="95"/>
      <c r="Q28" s="95"/>
      <c r="R28" s="95"/>
      <c r="S28" s="95"/>
      <c r="T28" s="95"/>
      <c r="U28" s="95"/>
      <c r="V28" s="95"/>
      <c r="W28" s="95"/>
      <c r="X28" s="95"/>
      <c r="BB28" s="169" t="s">
        <v>102</v>
      </c>
      <c r="BH28" s="589" t="str">
        <f t="shared" si="9"/>
        <v xml:space="preserve">    Heavy Construction (Tower erection, Conductor stringing)</v>
      </c>
      <c r="BI28" s="629">
        <f t="shared" ref="BI28:BJ28" si="19">B67</f>
        <v>3276000</v>
      </c>
      <c r="BJ28" s="630">
        <f t="shared" si="19"/>
        <v>0.5</v>
      </c>
      <c r="BK28" s="589"/>
      <c r="BL28" s="589"/>
      <c r="BM28" s="171"/>
      <c r="BN28" s="131"/>
    </row>
    <row r="29" spans="1:66" x14ac:dyDescent="0.2">
      <c r="A29" s="40"/>
      <c r="B29" s="40" t="s">
        <v>6</v>
      </c>
      <c r="C29" s="40" t="s">
        <v>100</v>
      </c>
      <c r="D29" s="40" t="s">
        <v>101</v>
      </c>
      <c r="E29" s="40" t="s">
        <v>651</v>
      </c>
      <c r="F29" s="38"/>
      <c r="G29" s="38"/>
      <c r="H29" s="38"/>
      <c r="I29" s="38"/>
      <c r="J29" s="38"/>
      <c r="K29" s="95"/>
      <c r="L29" s="95"/>
      <c r="M29" s="95"/>
      <c r="N29" s="95"/>
      <c r="O29" s="95"/>
      <c r="P29" s="95"/>
      <c r="Q29" s="95"/>
      <c r="R29" s="95"/>
      <c r="S29" s="95"/>
      <c r="T29" s="95"/>
      <c r="U29" s="95"/>
      <c r="V29" s="95"/>
      <c r="W29" s="95"/>
      <c r="X29" s="95"/>
      <c r="BB29" s="162"/>
      <c r="BC29" s="162" t="s">
        <v>6</v>
      </c>
      <c r="BD29" s="162" t="s">
        <v>100</v>
      </c>
      <c r="BE29" s="162" t="s">
        <v>101</v>
      </c>
      <c r="BF29" s="162" t="s">
        <v>651</v>
      </c>
      <c r="BH29" s="589" t="str">
        <f t="shared" si="9"/>
        <v xml:space="preserve">  Subtotal Labor/Installation</v>
      </c>
      <c r="BI29" s="629">
        <f t="shared" ref="BI29:BJ29" si="20">B68</f>
        <v>5041400.179856115</v>
      </c>
      <c r="BJ29" s="630">
        <f t="shared" si="20"/>
        <v>0</v>
      </c>
      <c r="BK29" s="589"/>
      <c r="BL29" s="589"/>
      <c r="BM29" s="171"/>
      <c r="BN29" s="131"/>
    </row>
    <row r="30" spans="1:66" x14ac:dyDescent="0.2">
      <c r="A30" s="192" t="s">
        <v>596</v>
      </c>
      <c r="B30" s="38"/>
      <c r="C30" s="218" t="str">
        <f>CONCATENATE("$MM (",$C$14,")")</f>
        <v>$MM (2012)</v>
      </c>
      <c r="D30" s="218" t="str">
        <f>CONCATENATE("$MM (",$C$14,")")</f>
        <v>$MM (2012)</v>
      </c>
      <c r="E30" s="218" t="str">
        <f>CONCATENATE("$MM (",$C$14,")")</f>
        <v>$MM (2012)</v>
      </c>
      <c r="F30" s="48"/>
      <c r="G30" s="49"/>
      <c r="H30" s="49"/>
      <c r="I30" s="38"/>
      <c r="J30" s="38"/>
      <c r="K30" s="95"/>
      <c r="L30" s="95"/>
      <c r="M30" s="95"/>
      <c r="N30" s="95"/>
      <c r="O30" s="95"/>
      <c r="P30" s="95"/>
      <c r="Q30" s="95"/>
      <c r="R30" s="95"/>
      <c r="S30" s="95"/>
      <c r="T30" s="95"/>
      <c r="U30" s="95"/>
      <c r="V30" s="95"/>
      <c r="W30" s="95"/>
      <c r="X30" s="95"/>
      <c r="BB30" s="221" t="s">
        <v>283</v>
      </c>
      <c r="BC30" s="131"/>
      <c r="BD30" s="174" t="str">
        <f t="shared" ref="BD30:BF37" si="21">C30</f>
        <v>$MM (2012)</v>
      </c>
      <c r="BE30" s="174" t="str">
        <f t="shared" si="21"/>
        <v>$MM (2012)</v>
      </c>
      <c r="BF30" s="174" t="str">
        <f t="shared" si="21"/>
        <v>$MM (2012)</v>
      </c>
      <c r="BH30" s="589" t="str">
        <f t="shared" si="9"/>
        <v xml:space="preserve">  Total Line Cost</v>
      </c>
      <c r="BI30" s="629">
        <f t="shared" ref="BI30" si="22">B69</f>
        <v>16205036.543492477</v>
      </c>
      <c r="BJ30" s="630"/>
      <c r="BK30" s="589"/>
      <c r="BL30" s="589"/>
      <c r="BM30" s="171"/>
      <c r="BN30" s="131"/>
    </row>
    <row r="31" spans="1:66" ht="14.25" customHeight="1" x14ac:dyDescent="0.2">
      <c r="A31" s="343" t="s">
        <v>289</v>
      </c>
      <c r="B31" s="48"/>
      <c r="C31" s="48"/>
      <c r="D31" s="48"/>
      <c r="E31" s="48"/>
      <c r="F31" s="48"/>
      <c r="G31" s="49"/>
      <c r="H31" s="49"/>
      <c r="I31" s="38"/>
      <c r="J31" s="38"/>
      <c r="K31" s="95"/>
      <c r="L31" s="95"/>
      <c r="M31" s="95"/>
      <c r="N31" s="95"/>
      <c r="O31" s="95"/>
      <c r="P31" s="95"/>
      <c r="Q31" s="95"/>
      <c r="R31" s="95"/>
      <c r="S31" s="95"/>
      <c r="T31" s="95"/>
      <c r="U31" s="95"/>
      <c r="V31" s="95"/>
      <c r="W31" s="95"/>
      <c r="X31" s="95"/>
      <c r="BB31" s="229" t="s">
        <v>289</v>
      </c>
      <c r="BF31" s="703"/>
      <c r="BH31" s="589" t="str">
        <f t="shared" si="9"/>
        <v>Infrastructure Costs</v>
      </c>
      <c r="BI31" s="629"/>
      <c r="BJ31" s="630"/>
      <c r="BK31" s="589"/>
      <c r="BL31" s="589"/>
      <c r="BM31" s="171"/>
      <c r="BN31" s="131"/>
    </row>
    <row r="32" spans="1:66" x14ac:dyDescent="0.2">
      <c r="A32" s="344" t="s">
        <v>290</v>
      </c>
      <c r="B32" s="48">
        <f>Calculations!AH89</f>
        <v>58.467324182200748</v>
      </c>
      <c r="C32" s="49">
        <f>Calculations!AI89</f>
        <v>3.7477290031628669</v>
      </c>
      <c r="D32" s="49"/>
      <c r="E32" s="49"/>
      <c r="F32" s="80"/>
      <c r="G32" s="80"/>
      <c r="H32" s="49"/>
      <c r="I32" s="38"/>
      <c r="J32" s="38"/>
      <c r="K32" s="95"/>
      <c r="L32" s="95"/>
      <c r="M32" s="95"/>
      <c r="N32" s="95"/>
      <c r="O32" s="95"/>
      <c r="P32" s="95"/>
      <c r="Q32" s="95"/>
      <c r="R32" s="95"/>
      <c r="S32" s="95"/>
      <c r="T32" s="95"/>
      <c r="U32" s="95"/>
      <c r="V32" s="95"/>
      <c r="W32" s="95"/>
      <c r="X32" s="95"/>
      <c r="BB32" s="345" t="str">
        <f>A32</f>
        <v xml:space="preserve">     Construction and Installation Labor</v>
      </c>
      <c r="BC32" s="383">
        <f t="shared" ref="BC32:BC37" si="23">B32</f>
        <v>58.467324182200748</v>
      </c>
      <c r="BD32" s="347">
        <f t="shared" si="21"/>
        <v>3.7477290031628669</v>
      </c>
      <c r="BE32" s="347"/>
      <c r="BF32" s="347"/>
      <c r="BH32" s="589" t="str">
        <f t="shared" si="9"/>
        <v xml:space="preserve">  Materials &amp; Equipment</v>
      </c>
      <c r="BI32" s="629"/>
      <c r="BJ32" s="630"/>
      <c r="BK32" s="589"/>
      <c r="BL32" s="589"/>
      <c r="BM32" s="171"/>
      <c r="BN32" s="131"/>
    </row>
    <row r="33" spans="1:66" ht="13.5" customHeight="1" x14ac:dyDescent="0.2">
      <c r="A33" s="343" t="s">
        <v>291</v>
      </c>
      <c r="B33" s="48">
        <f>Calculations!AH90</f>
        <v>10.687258167463524</v>
      </c>
      <c r="C33" s="49">
        <f>Calculations!AI90</f>
        <v>0.54165677828645231</v>
      </c>
      <c r="D33" s="49"/>
      <c r="E33" s="49"/>
      <c r="F33" s="80"/>
      <c r="G33" s="80"/>
      <c r="H33" s="49"/>
      <c r="I33" s="38"/>
      <c r="J33" s="38"/>
      <c r="K33" s="95"/>
      <c r="L33" s="95"/>
      <c r="M33" s="95"/>
      <c r="N33" s="95"/>
      <c r="O33" s="95"/>
      <c r="P33" s="95"/>
      <c r="Q33" s="95"/>
      <c r="R33" s="95"/>
      <c r="S33" s="95"/>
      <c r="T33" s="95"/>
      <c r="U33" s="95"/>
      <c r="V33" s="95"/>
      <c r="W33" s="95"/>
      <c r="X33" s="95"/>
      <c r="Z33" s="368">
        <f>IF(C10&lt;12,B37*(C10/12),B37/(C10/12))</f>
        <v>45.460002901469309</v>
      </c>
      <c r="BB33" s="229" t="s">
        <v>291</v>
      </c>
      <c r="BC33" s="383">
        <f t="shared" si="23"/>
        <v>10.687258167463524</v>
      </c>
      <c r="BD33" s="347">
        <f>C33</f>
        <v>0.54165677828645231</v>
      </c>
      <c r="BE33" s="347"/>
      <c r="BF33" s="347"/>
      <c r="BH33" s="589" t="str">
        <f t="shared" si="9"/>
        <v xml:space="preserve">    Positions (new bays/circuits)</v>
      </c>
      <c r="BI33" s="629">
        <f t="shared" ref="BI33:BJ33" si="24">B72</f>
        <v>1800000</v>
      </c>
      <c r="BJ33" s="630">
        <f t="shared" si="24"/>
        <v>0.05</v>
      </c>
      <c r="BK33" s="589"/>
      <c r="BL33" s="589"/>
      <c r="BM33" s="171"/>
      <c r="BN33" s="131"/>
    </row>
    <row r="34" spans="1:66" s="462" customFormat="1" ht="13.5" customHeight="1" x14ac:dyDescent="0.2">
      <c r="A34" s="343" t="s">
        <v>564</v>
      </c>
      <c r="B34" s="48">
        <f>Calculations!AH91</f>
        <v>69.154582349664267</v>
      </c>
      <c r="C34" s="49">
        <f>Calculations!AI91</f>
        <v>4.2893857814493188</v>
      </c>
      <c r="D34" s="49">
        <f>Calculations!AJ91</f>
        <v>5.1503131832790707</v>
      </c>
      <c r="E34" s="49">
        <f>Calculations!AK91</f>
        <v>4.6040515980043057</v>
      </c>
      <c r="F34" s="80"/>
      <c r="G34" s="80"/>
      <c r="H34" s="49"/>
      <c r="I34" s="461"/>
      <c r="J34" s="461"/>
      <c r="K34" s="95"/>
      <c r="L34" s="95"/>
      <c r="M34" s="95"/>
      <c r="N34" s="95"/>
      <c r="O34" s="95"/>
      <c r="P34" s="95"/>
      <c r="Q34" s="95"/>
      <c r="R34" s="95"/>
      <c r="S34" s="95"/>
      <c r="T34" s="95"/>
      <c r="U34" s="95"/>
      <c r="V34" s="95"/>
      <c r="W34" s="95"/>
      <c r="X34" s="95"/>
      <c r="Z34" s="368"/>
      <c r="BB34" s="345" t="s">
        <v>532</v>
      </c>
      <c r="BC34" s="383">
        <f>B34</f>
        <v>69.154582349664267</v>
      </c>
      <c r="BD34" s="347">
        <f>C34</f>
        <v>4.2893857814493188</v>
      </c>
      <c r="BE34" s="347">
        <f>D34</f>
        <v>5.1503131832790707</v>
      </c>
      <c r="BF34" s="347">
        <f>E34</f>
        <v>4.6040515980043057</v>
      </c>
      <c r="BH34" s="589" t="str">
        <f t="shared" si="9"/>
        <v xml:space="preserve">    New Substation Facilities</v>
      </c>
      <c r="BI34" s="629">
        <f t="shared" ref="BI34:BJ34" si="25">B73</f>
        <v>650000</v>
      </c>
      <c r="BJ34" s="630">
        <f t="shared" si="25"/>
        <v>0.1</v>
      </c>
      <c r="BK34" s="589"/>
      <c r="BL34" s="589"/>
      <c r="BM34" s="171"/>
      <c r="BN34" s="131"/>
    </row>
    <row r="35" spans="1:66" x14ac:dyDescent="0.2">
      <c r="A35" s="256" t="s">
        <v>336</v>
      </c>
      <c r="B35" s="48">
        <f>Calculations!AH92</f>
        <v>19.653597281380616</v>
      </c>
      <c r="C35" s="49">
        <f>Calculations!AI92</f>
        <v>1.1562646763538111</v>
      </c>
      <c r="D35" s="49">
        <f>Calculations!AJ92</f>
        <v>3.9137567219845319</v>
      </c>
      <c r="E35" s="49">
        <f>Calculations!AK92</f>
        <v>2.0574051462366549</v>
      </c>
      <c r="F35" s="48"/>
      <c r="G35" s="49"/>
      <c r="H35" s="49"/>
      <c r="I35" s="38"/>
      <c r="J35" s="38"/>
      <c r="K35" s="95"/>
      <c r="L35" s="95"/>
      <c r="M35" s="95"/>
      <c r="N35" s="95"/>
      <c r="O35" s="95"/>
      <c r="P35" s="95"/>
      <c r="Q35" s="95"/>
      <c r="R35" s="95"/>
      <c r="S35" s="95"/>
      <c r="T35" s="95"/>
      <c r="U35" s="95"/>
      <c r="V35" s="95"/>
      <c r="W35" s="95"/>
      <c r="X35" s="95"/>
      <c r="Z35" s="206">
        <f>ROUND(Z33,)</f>
        <v>45</v>
      </c>
      <c r="BB35" s="628" t="s">
        <v>336</v>
      </c>
      <c r="BC35" s="383">
        <f t="shared" si="23"/>
        <v>19.653597281380616</v>
      </c>
      <c r="BD35" s="347">
        <f t="shared" si="21"/>
        <v>1.1562646763538111</v>
      </c>
      <c r="BE35" s="347">
        <f t="shared" si="21"/>
        <v>3.9137567219845319</v>
      </c>
      <c r="BF35" s="347">
        <f t="shared" si="21"/>
        <v>2.0574051462366549</v>
      </c>
      <c r="BH35" s="589" t="str">
        <f t="shared" si="9"/>
        <v xml:space="preserve">    Existing Substation Facilities (upgrades)</v>
      </c>
      <c r="BI35" s="629">
        <f t="shared" ref="BI35:BJ35" si="26">B74</f>
        <v>20000</v>
      </c>
      <c r="BJ35" s="630">
        <f t="shared" si="26"/>
        <v>0.1</v>
      </c>
      <c r="BK35" s="589"/>
      <c r="BL35" s="589"/>
      <c r="BM35" s="171"/>
      <c r="BN35" s="131"/>
    </row>
    <row r="36" spans="1:66" x14ac:dyDescent="0.2">
      <c r="A36" s="76" t="s">
        <v>265</v>
      </c>
      <c r="B36" s="48">
        <f>Calculations!AH93</f>
        <v>20.295827332481466</v>
      </c>
      <c r="C36" s="49">
        <f>Calculations!AI93</f>
        <v>1.058671252995937</v>
      </c>
      <c r="D36" s="49">
        <f>Calculations!AJ93</f>
        <v>3.1633957116713152</v>
      </c>
      <c r="E36" s="49">
        <f>Calculations!AK93</f>
        <v>1.8008074339806712</v>
      </c>
      <c r="F36" s="48"/>
      <c r="G36" s="49"/>
      <c r="H36" s="49"/>
      <c r="I36" s="38"/>
      <c r="J36" s="38"/>
      <c r="K36" s="95"/>
      <c r="L36" s="95"/>
      <c r="M36" s="95"/>
      <c r="N36" s="95"/>
      <c r="O36" s="95"/>
      <c r="P36" s="95"/>
      <c r="Q36" s="95"/>
      <c r="R36" s="95"/>
      <c r="S36" s="95"/>
      <c r="T36" s="95"/>
      <c r="U36" s="95"/>
      <c r="V36" s="95"/>
      <c r="W36" s="95"/>
      <c r="X36" s="95"/>
      <c r="BB36" s="175" t="s">
        <v>265</v>
      </c>
      <c r="BC36" s="383">
        <f t="shared" si="23"/>
        <v>20.295827332481466</v>
      </c>
      <c r="BD36" s="347">
        <f t="shared" si="21"/>
        <v>1.058671252995937</v>
      </c>
      <c r="BE36" s="347">
        <f t="shared" si="21"/>
        <v>3.1633957116713152</v>
      </c>
      <c r="BF36" s="347">
        <f t="shared" si="21"/>
        <v>1.8008074339806712</v>
      </c>
      <c r="BH36" s="589" t="str">
        <f t="shared" si="9"/>
        <v xml:space="preserve">    Transformers, Series Compensation, etc.</v>
      </c>
      <c r="BI36" s="629">
        <f t="shared" ref="BI36:BJ36" si="27">B75</f>
        <v>4800000</v>
      </c>
      <c r="BJ36" s="630">
        <f t="shared" si="27"/>
        <v>0</v>
      </c>
      <c r="BK36" s="589"/>
      <c r="BL36" s="589"/>
      <c r="BM36" s="171"/>
      <c r="BN36" s="131"/>
    </row>
    <row r="37" spans="1:66" x14ac:dyDescent="0.2">
      <c r="A37" s="62" t="s">
        <v>288</v>
      </c>
      <c r="B37" s="277">
        <f>Calculations!AH94</f>
        <v>109.10400696352634</v>
      </c>
      <c r="C37" s="209">
        <f>Calculations!AI94</f>
        <v>6.5043217107990667</v>
      </c>
      <c r="D37" s="209">
        <f>Calculations!AJ94</f>
        <v>12.227465616934918</v>
      </c>
      <c r="E37" s="209">
        <f>Calculations!AK94</f>
        <v>8.4622641782216323</v>
      </c>
      <c r="F37" s="38"/>
      <c r="G37" s="49"/>
      <c r="H37" s="49"/>
      <c r="I37" s="38"/>
      <c r="J37" s="38"/>
      <c r="K37" s="95"/>
      <c r="L37" s="95"/>
      <c r="M37" s="95"/>
      <c r="N37" s="95"/>
      <c r="O37" s="95"/>
      <c r="P37" s="95"/>
      <c r="Q37" s="95"/>
      <c r="R37" s="95"/>
      <c r="S37" s="95"/>
      <c r="T37" s="95"/>
      <c r="U37" s="95"/>
      <c r="V37" s="95"/>
      <c r="W37" s="95"/>
      <c r="X37" s="95"/>
      <c r="BB37" s="74" t="s">
        <v>288</v>
      </c>
      <c r="BC37" s="173">
        <f t="shared" si="23"/>
        <v>109.10400696352634</v>
      </c>
      <c r="BD37" s="342">
        <f t="shared" si="21"/>
        <v>6.5043217107990667</v>
      </c>
      <c r="BE37" s="342">
        <f t="shared" si="21"/>
        <v>12.227465616934918</v>
      </c>
      <c r="BF37" s="342">
        <f t="shared" si="21"/>
        <v>8.4622641782216323</v>
      </c>
      <c r="BH37" s="589" t="str">
        <f t="shared" si="9"/>
        <v xml:space="preserve">    Converter Station (includes ground electrode)</v>
      </c>
      <c r="BI37" s="629">
        <f t="shared" ref="BI37:BJ37" si="28">B76</f>
        <v>0</v>
      </c>
      <c r="BJ37" s="630">
        <f t="shared" si="28"/>
        <v>0</v>
      </c>
      <c r="BK37" s="589"/>
      <c r="BL37" s="589"/>
      <c r="BM37" s="171"/>
      <c r="BN37" s="131"/>
    </row>
    <row r="38" spans="1:66" x14ac:dyDescent="0.2">
      <c r="A38" s="62"/>
      <c r="B38" s="211"/>
      <c r="C38" s="209"/>
      <c r="D38" s="209"/>
      <c r="E38" s="209"/>
      <c r="F38" s="38"/>
      <c r="G38" s="49"/>
      <c r="H38" s="49"/>
      <c r="I38" s="38"/>
      <c r="J38" s="38"/>
      <c r="K38" s="95"/>
      <c r="L38" s="95"/>
      <c r="M38" s="95"/>
      <c r="N38" s="95"/>
      <c r="O38" s="95"/>
      <c r="P38" s="95"/>
      <c r="Q38" s="95"/>
      <c r="R38" s="95"/>
      <c r="S38" s="95"/>
      <c r="T38" s="95"/>
      <c r="U38" s="95"/>
      <c r="V38" s="95"/>
      <c r="W38" s="95"/>
      <c r="X38" s="95"/>
      <c r="BB38" s="74"/>
      <c r="BC38" s="173"/>
      <c r="BD38" s="174"/>
      <c r="BE38" s="174"/>
      <c r="BF38" s="174"/>
      <c r="BH38" s="589" t="str">
        <f t="shared" si="9"/>
        <v xml:space="preserve">  Subtotal Materials &amp; Equipment</v>
      </c>
      <c r="BI38" s="629">
        <f t="shared" ref="BI38" si="29">B77</f>
        <v>7270000</v>
      </c>
      <c r="BJ38" s="630"/>
      <c r="BK38" s="589"/>
      <c r="BL38" s="589"/>
      <c r="BM38" s="171"/>
      <c r="BN38" s="131"/>
    </row>
    <row r="39" spans="1:66" x14ac:dyDescent="0.2">
      <c r="A39" s="62"/>
      <c r="B39" s="211"/>
      <c r="C39" s="209" t="s">
        <v>227</v>
      </c>
      <c r="D39" s="209" t="s">
        <v>227</v>
      </c>
      <c r="E39" s="209" t="s">
        <v>227</v>
      </c>
      <c r="F39" s="38"/>
      <c r="G39" s="49"/>
      <c r="H39" s="49"/>
      <c r="I39" s="38"/>
      <c r="J39" s="38"/>
      <c r="K39" s="95"/>
      <c r="L39" s="95"/>
      <c r="M39" s="95"/>
      <c r="N39" s="95"/>
      <c r="O39" s="95"/>
      <c r="P39" s="95"/>
      <c r="Q39" s="95"/>
      <c r="R39" s="95"/>
      <c r="S39" s="95"/>
      <c r="T39" s="95"/>
      <c r="U39" s="95"/>
      <c r="V39" s="95"/>
      <c r="W39" s="95"/>
      <c r="X39" s="95"/>
      <c r="BB39" s="74"/>
      <c r="BC39" s="162"/>
      <c r="BD39" s="162" t="str">
        <f t="shared" ref="BD39:BF42" si="30">C39</f>
        <v>Annual</v>
      </c>
      <c r="BE39" s="162" t="str">
        <f t="shared" si="30"/>
        <v>Annual</v>
      </c>
      <c r="BF39" s="162" t="str">
        <f t="shared" si="30"/>
        <v>Annual</v>
      </c>
      <c r="BH39" s="589" t="str">
        <f t="shared" si="9"/>
        <v xml:space="preserve">  Labor</v>
      </c>
      <c r="BI39" s="629"/>
      <c r="BJ39" s="630"/>
      <c r="BK39" s="589"/>
      <c r="BL39" s="589"/>
      <c r="BM39" s="171"/>
      <c r="BN39" s="131"/>
    </row>
    <row r="40" spans="1:66" x14ac:dyDescent="0.2">
      <c r="A40" s="62"/>
      <c r="B40" s="211" t="s">
        <v>227</v>
      </c>
      <c r="C40" s="209" t="s">
        <v>100</v>
      </c>
      <c r="D40" s="209" t="s">
        <v>101</v>
      </c>
      <c r="E40" s="209" t="s">
        <v>651</v>
      </c>
      <c r="F40" s="38"/>
      <c r="G40" s="49"/>
      <c r="H40" s="38"/>
      <c r="I40" s="38"/>
      <c r="J40" s="38"/>
      <c r="K40" s="95"/>
      <c r="L40" s="95"/>
      <c r="M40" s="95"/>
      <c r="N40" s="95"/>
      <c r="O40" s="95"/>
      <c r="P40" s="95"/>
      <c r="Q40" s="95"/>
      <c r="R40" s="95"/>
      <c r="S40" s="95"/>
      <c r="T40" s="95"/>
      <c r="U40" s="95"/>
      <c r="V40" s="95"/>
      <c r="W40" s="95"/>
      <c r="X40" s="95"/>
      <c r="BB40" s="74"/>
      <c r="BC40" s="162" t="str">
        <f>B40</f>
        <v>Annual</v>
      </c>
      <c r="BD40" s="162" t="str">
        <f t="shared" si="30"/>
        <v>Earnings</v>
      </c>
      <c r="BE40" s="162" t="str">
        <f t="shared" si="30"/>
        <v>Output</v>
      </c>
      <c r="BF40" s="162" t="str">
        <f t="shared" si="30"/>
        <v>Value Added</v>
      </c>
      <c r="BH40" s="589" t="str">
        <f t="shared" si="9"/>
        <v xml:space="preserve">    Positions (new bays/circuits)</v>
      </c>
      <c r="BI40" s="629">
        <f t="shared" ref="BI40:BJ40" si="31">B79</f>
        <v>2092500</v>
      </c>
      <c r="BJ40" s="630">
        <f t="shared" si="31"/>
        <v>0.2</v>
      </c>
      <c r="BK40" s="589"/>
      <c r="BL40" s="589"/>
      <c r="BM40" s="171"/>
      <c r="BN40" s="131"/>
    </row>
    <row r="41" spans="1:66" x14ac:dyDescent="0.2">
      <c r="A41" s="192" t="s">
        <v>597</v>
      </c>
      <c r="B41" s="211" t="s">
        <v>6</v>
      </c>
      <c r="C41" s="218" t="str">
        <f>CONCATENATE("$MM (",$C$14,")")</f>
        <v>$MM (2012)</v>
      </c>
      <c r="D41" s="218" t="str">
        <f>CONCATENATE("$MM (",$C$14,")")</f>
        <v>$MM (2012)</v>
      </c>
      <c r="E41" s="218" t="str">
        <f>CONCATENATE("$MM (",$C$14,")")</f>
        <v>$MM (2012)</v>
      </c>
      <c r="F41" s="44"/>
      <c r="G41" s="49"/>
      <c r="H41" s="38"/>
      <c r="I41" s="38"/>
      <c r="J41" s="38"/>
      <c r="K41" s="95"/>
      <c r="L41" s="95"/>
      <c r="M41" s="95"/>
      <c r="N41" s="95"/>
      <c r="O41" s="95"/>
      <c r="P41" s="95"/>
      <c r="Q41" s="95"/>
      <c r="R41" s="95"/>
      <c r="S41" s="95"/>
      <c r="T41" s="95"/>
      <c r="U41" s="95"/>
      <c r="V41" s="95"/>
      <c r="W41" s="95"/>
      <c r="X41" s="95"/>
      <c r="BB41" s="221" t="s">
        <v>266</v>
      </c>
      <c r="BC41" s="162" t="str">
        <f>B41</f>
        <v>Jobs</v>
      </c>
      <c r="BD41" s="162" t="str">
        <f t="shared" si="30"/>
        <v>$MM (2012)</v>
      </c>
      <c r="BE41" s="162" t="str">
        <f t="shared" si="30"/>
        <v>$MM (2012)</v>
      </c>
      <c r="BF41" s="162" t="str">
        <f t="shared" si="30"/>
        <v>$MM (2012)</v>
      </c>
      <c r="BH41" s="589" t="str">
        <f t="shared" si="9"/>
        <v xml:space="preserve">    New Substation</v>
      </c>
      <c r="BI41" s="629">
        <f t="shared" ref="BI41:BJ41" si="32">B80</f>
        <v>744000</v>
      </c>
      <c r="BJ41" s="630">
        <f t="shared" si="32"/>
        <v>0.3</v>
      </c>
      <c r="BK41" s="589"/>
      <c r="BL41" s="589"/>
      <c r="BM41" s="171"/>
      <c r="BN41" s="131"/>
    </row>
    <row r="42" spans="1:66" x14ac:dyDescent="0.2">
      <c r="A42" s="343" t="s">
        <v>284</v>
      </c>
      <c r="B42" s="48">
        <f>Calculations!AH97</f>
        <v>1.2980059779640924</v>
      </c>
      <c r="C42" s="49">
        <f>Calculations!AI97</f>
        <v>9.7000240304098775E-2</v>
      </c>
      <c r="D42" s="49">
        <f>Calculations!AJ97</f>
        <v>9.7000240304098775E-2</v>
      </c>
      <c r="E42" s="49">
        <f>Calculations!AK97</f>
        <v>9.7000240304098775E-2</v>
      </c>
      <c r="F42" s="41"/>
      <c r="G42" s="50"/>
      <c r="H42" s="50"/>
      <c r="I42" s="38"/>
      <c r="J42" s="38"/>
      <c r="K42" s="95"/>
      <c r="L42" s="95"/>
      <c r="M42" s="95"/>
      <c r="N42" s="95"/>
      <c r="O42" s="95"/>
      <c r="P42" s="95"/>
      <c r="Q42" s="95"/>
      <c r="R42" s="95"/>
      <c r="S42" s="95"/>
      <c r="T42" s="95"/>
      <c r="U42" s="95"/>
      <c r="V42" s="95"/>
      <c r="W42" s="95"/>
      <c r="X42" s="95"/>
      <c r="BB42" s="229" t="s">
        <v>284</v>
      </c>
      <c r="BC42" s="383">
        <f t="shared" ref="BC42" si="33">B42</f>
        <v>1.2980059779640924</v>
      </c>
      <c r="BD42" s="347">
        <f t="shared" si="30"/>
        <v>9.7000240304098775E-2</v>
      </c>
      <c r="BE42" s="347">
        <f t="shared" si="30"/>
        <v>9.7000240304098775E-2</v>
      </c>
      <c r="BF42" s="347">
        <f t="shared" si="30"/>
        <v>9.7000240304098775E-2</v>
      </c>
      <c r="BH42" s="589" t="str">
        <f t="shared" si="9"/>
        <v xml:space="preserve">    Existing Substation Facilities (upgrades)</v>
      </c>
      <c r="BI42" s="629">
        <f t="shared" ref="BI42:BJ42" si="34">B81</f>
        <v>27900</v>
      </c>
      <c r="BJ42" s="630">
        <f t="shared" si="34"/>
        <v>0.2</v>
      </c>
      <c r="BK42" s="589"/>
      <c r="BL42" s="589"/>
      <c r="BM42" s="171"/>
      <c r="BN42" s="131"/>
    </row>
    <row r="43" spans="1:66" x14ac:dyDescent="0.2">
      <c r="A43" s="256" t="s">
        <v>285</v>
      </c>
      <c r="B43" s="48">
        <f>Calculations!AH98</f>
        <v>0.52381636398798959</v>
      </c>
      <c r="C43" s="49">
        <f>Calculations!AI98</f>
        <v>2.8657499597476918E-2</v>
      </c>
      <c r="D43" s="49">
        <f>Calculations!AJ98</f>
        <v>9.4251068517963679E-2</v>
      </c>
      <c r="E43" s="49">
        <f>Calculations!AK98</f>
        <v>5.1414418906012491E-2</v>
      </c>
      <c r="F43" s="41"/>
      <c r="G43" s="49"/>
      <c r="H43" s="50"/>
      <c r="I43" s="38"/>
      <c r="J43" s="38"/>
      <c r="K43" s="95"/>
      <c r="L43" s="95"/>
      <c r="M43" s="95"/>
      <c r="N43" s="95"/>
      <c r="O43" s="95"/>
      <c r="P43" s="95"/>
      <c r="Q43" s="95"/>
      <c r="R43" s="95"/>
      <c r="S43" s="95"/>
      <c r="T43" s="95"/>
      <c r="U43" s="95"/>
      <c r="V43" s="95"/>
      <c r="W43" s="95"/>
      <c r="X43" s="95"/>
      <c r="BB43" s="346" t="s">
        <v>285</v>
      </c>
      <c r="BC43" s="383">
        <f t="shared" ref="BC43:BF43" si="35">B43</f>
        <v>0.52381636398798959</v>
      </c>
      <c r="BD43" s="347">
        <f t="shared" si="35"/>
        <v>2.8657499597476918E-2</v>
      </c>
      <c r="BE43" s="347">
        <f t="shared" si="35"/>
        <v>9.4251068517963679E-2</v>
      </c>
      <c r="BF43" s="347">
        <f t="shared" si="35"/>
        <v>5.1414418906012491E-2</v>
      </c>
      <c r="BH43" s="589" t="str">
        <f t="shared" si="9"/>
        <v xml:space="preserve">    Converter Station</v>
      </c>
      <c r="BI43" s="629">
        <f t="shared" ref="BI43:BJ43" si="36">B82</f>
        <v>0</v>
      </c>
      <c r="BJ43" s="630">
        <f t="shared" si="36"/>
        <v>0.05</v>
      </c>
      <c r="BK43" s="589"/>
      <c r="BL43" s="589"/>
      <c r="BM43" s="171"/>
      <c r="BN43" s="131"/>
    </row>
    <row r="44" spans="1:66" x14ac:dyDescent="0.2">
      <c r="A44" s="76" t="s">
        <v>265</v>
      </c>
      <c r="B44" s="48">
        <f>Calculations!AH99</f>
        <v>0.44071571295146278</v>
      </c>
      <c r="C44" s="49">
        <f>Calculations!AI99</f>
        <v>2.3622124086459115E-2</v>
      </c>
      <c r="D44" s="49">
        <f>Calculations!AJ99</f>
        <v>7.0592635291935948E-2</v>
      </c>
      <c r="E44" s="49">
        <f>Calculations!AK99</f>
        <v>4.0183198614266828E-2</v>
      </c>
      <c r="F44" s="41"/>
      <c r="G44" s="49"/>
      <c r="H44" s="50"/>
      <c r="I44" s="38"/>
      <c r="J44" s="38"/>
      <c r="K44" s="95"/>
      <c r="L44" s="95"/>
      <c r="M44" s="95"/>
      <c r="N44" s="95"/>
      <c r="O44" s="95"/>
      <c r="P44" s="95"/>
      <c r="Q44" s="95"/>
      <c r="R44" s="95"/>
      <c r="S44" s="95"/>
      <c r="T44" s="95"/>
      <c r="U44" s="95"/>
      <c r="V44" s="95"/>
      <c r="W44" s="95"/>
      <c r="X44" s="95"/>
      <c r="BB44" s="175" t="s">
        <v>265</v>
      </c>
      <c r="BC44" s="383">
        <f t="shared" ref="BC44:BF45" si="37">B44</f>
        <v>0.44071571295146278</v>
      </c>
      <c r="BD44" s="347">
        <f t="shared" si="37"/>
        <v>2.3622124086459115E-2</v>
      </c>
      <c r="BE44" s="347">
        <f t="shared" si="37"/>
        <v>7.0592635291935948E-2</v>
      </c>
      <c r="BF44" s="347">
        <f t="shared" si="37"/>
        <v>4.0183198614266828E-2</v>
      </c>
      <c r="BH44" s="589" t="str">
        <f t="shared" si="9"/>
        <v xml:space="preserve">  Subtotal Labor</v>
      </c>
      <c r="BI44" s="629">
        <f t="shared" ref="BI44" si="38">B83</f>
        <v>2864400</v>
      </c>
      <c r="BJ44" s="630"/>
      <c r="BK44" s="589"/>
      <c r="BL44" s="589"/>
      <c r="BM44" s="171"/>
      <c r="BN44" s="131"/>
    </row>
    <row r="45" spans="1:66" x14ac:dyDescent="0.2">
      <c r="A45" s="62" t="s">
        <v>288</v>
      </c>
      <c r="B45" s="277">
        <f>Calculations!AH100</f>
        <v>2.262538054903545</v>
      </c>
      <c r="C45" s="209">
        <f>Calculations!AI100</f>
        <v>0.14927986398803481</v>
      </c>
      <c r="D45" s="209">
        <f>Calculations!AJ100</f>
        <v>0.26184394411399842</v>
      </c>
      <c r="E45" s="209">
        <f>Calculations!AK100</f>
        <v>0.1885978578243781</v>
      </c>
      <c r="F45" s="41"/>
      <c r="G45" s="49"/>
      <c r="H45" s="70"/>
      <c r="I45" s="38"/>
      <c r="J45" s="38"/>
      <c r="K45" s="95"/>
      <c r="L45" s="95"/>
      <c r="M45" s="95"/>
      <c r="N45" s="95"/>
      <c r="O45" s="95"/>
      <c r="P45" s="95"/>
      <c r="Q45" s="95"/>
      <c r="R45" s="95"/>
      <c r="S45" s="95"/>
      <c r="T45" s="95"/>
      <c r="U45" s="95"/>
      <c r="V45" s="95"/>
      <c r="W45" s="95"/>
      <c r="X45" s="95"/>
      <c r="AE45" s="258" t="str">
        <f>IF(ProjectData!U24="Y","model default","User modifications to default")</f>
        <v>User modifications to default</v>
      </c>
      <c r="BB45" s="74" t="s">
        <v>288</v>
      </c>
      <c r="BC45" s="173">
        <f t="shared" si="37"/>
        <v>2.262538054903545</v>
      </c>
      <c r="BD45" s="342">
        <f t="shared" si="37"/>
        <v>0.14927986398803481</v>
      </c>
      <c r="BE45" s="342">
        <f t="shared" si="37"/>
        <v>0.26184394411399842</v>
      </c>
      <c r="BF45" s="342">
        <f t="shared" si="37"/>
        <v>0.1885978578243781</v>
      </c>
      <c r="BH45" s="589" t="str">
        <f t="shared" si="9"/>
        <v xml:space="preserve">  Total Infrastructure Costs</v>
      </c>
      <c r="BI45" s="629">
        <f t="shared" ref="BI45" si="39">B84</f>
        <v>10134400</v>
      </c>
      <c r="BJ45" s="630"/>
      <c r="BK45" s="589"/>
      <c r="BL45" s="589"/>
      <c r="BM45" s="171"/>
      <c r="BN45" s="131"/>
    </row>
    <row r="46" spans="1:66" x14ac:dyDescent="0.2">
      <c r="A46" s="55" t="str">
        <f>CONCATENATE("Notes:  Earnings and Output values are millions of dollars in year ",C14, " dollars.  Construction period related jobs are full time")</f>
        <v>Notes:  Earnings and Output values are millions of dollars in year 2012 dollars.  Construction period related jobs are full time</v>
      </c>
      <c r="B46" s="40"/>
      <c r="C46" s="82"/>
      <c r="D46" s="82"/>
      <c r="E46" s="82"/>
      <c r="F46" s="41"/>
      <c r="G46" s="49"/>
      <c r="H46" s="38"/>
      <c r="I46" s="38"/>
      <c r="J46" s="38"/>
      <c r="K46" s="95"/>
      <c r="L46" s="95"/>
      <c r="M46" s="95"/>
      <c r="N46" s="95"/>
      <c r="O46" s="95"/>
      <c r="P46" s="95"/>
      <c r="Q46" s="95"/>
      <c r="R46" s="95"/>
      <c r="S46" s="95"/>
      <c r="T46" s="95"/>
      <c r="U46" s="95"/>
      <c r="V46" s="95"/>
      <c r="W46" s="95"/>
      <c r="X46" s="95"/>
      <c r="BB46" s="176" t="str">
        <f>CONCATENATE("Notes:  Earnings and Output values are millions of dollars in year ",BD14, " dollars.  Construction period related jobs are full time")</f>
        <v>Notes:  Earnings and Output values are millions of dollars in year 2012 dollars.  Construction period related jobs are full time</v>
      </c>
      <c r="BC46" s="162"/>
      <c r="BD46" s="174"/>
      <c r="BE46" s="174"/>
      <c r="BG46" s="318"/>
      <c r="BH46" s="589" t="str">
        <f t="shared" si="9"/>
        <v>Services/Other Costs</v>
      </c>
      <c r="BI46" s="629"/>
      <c r="BJ46" s="630"/>
      <c r="BK46" s="589"/>
      <c r="BL46" s="589"/>
      <c r="BM46" s="171"/>
      <c r="BN46" s="131"/>
    </row>
    <row r="47" spans="1:66" x14ac:dyDescent="0.2">
      <c r="A47" s="382" t="s">
        <v>600</v>
      </c>
      <c r="B47" s="40"/>
      <c r="C47" s="82"/>
      <c r="D47" s="82"/>
      <c r="E47" s="82"/>
      <c r="F47" s="41"/>
      <c r="G47" s="49"/>
      <c r="H47" s="38"/>
      <c r="I47" s="38"/>
      <c r="J47" s="38"/>
      <c r="K47" s="95"/>
      <c r="L47" s="95"/>
      <c r="M47" s="95"/>
      <c r="N47" s="95"/>
      <c r="O47" s="95"/>
      <c r="P47" s="95"/>
      <c r="Q47" s="95"/>
      <c r="R47" s="95"/>
      <c r="S47" s="95"/>
      <c r="T47" s="95"/>
      <c r="U47" s="95"/>
      <c r="V47" s="95"/>
      <c r="W47" s="95"/>
      <c r="X47" s="95"/>
      <c r="BB47" s="319" t="s">
        <v>600</v>
      </c>
      <c r="BC47" s="162"/>
      <c r="BD47" s="174"/>
      <c r="BE47" s="174"/>
      <c r="BG47" s="319"/>
      <c r="BH47" s="589" t="str">
        <f t="shared" si="9"/>
        <v xml:space="preserve">  Substation Management Services (Site mgmt, legal, lands, PR, etc.)</v>
      </c>
      <c r="BI47" s="629">
        <f t="shared" ref="BI47:BJ47" si="40">B86</f>
        <v>222000</v>
      </c>
      <c r="BJ47" s="630">
        <f t="shared" si="40"/>
        <v>0.5</v>
      </c>
      <c r="BK47" s="589"/>
      <c r="BL47" s="589"/>
      <c r="BM47" s="317"/>
      <c r="BN47" s="131"/>
    </row>
    <row r="48" spans="1:66" x14ac:dyDescent="0.2">
      <c r="A48" s="55" t="s">
        <v>599</v>
      </c>
      <c r="B48" s="40"/>
      <c r="C48" s="82"/>
      <c r="D48" s="82"/>
      <c r="E48" s="82"/>
      <c r="F48" s="41"/>
      <c r="G48" s="49"/>
      <c r="H48" s="38"/>
      <c r="I48" s="38"/>
      <c r="J48" s="38"/>
      <c r="K48" s="95"/>
      <c r="L48" s="95"/>
      <c r="M48" s="95"/>
      <c r="N48" s="95"/>
      <c r="O48" s="95"/>
      <c r="P48" s="95"/>
      <c r="Q48" s="95"/>
      <c r="R48" s="95"/>
      <c r="S48" s="95"/>
      <c r="T48" s="95"/>
      <c r="U48" s="95"/>
      <c r="V48" s="95"/>
      <c r="W48" s="95"/>
      <c r="X48" s="95"/>
      <c r="BB48" s="176" t="s">
        <v>599</v>
      </c>
      <c r="BC48" s="162"/>
      <c r="BD48" s="174"/>
      <c r="BE48" s="174"/>
      <c r="BG48" s="319"/>
      <c r="BH48" s="589" t="str">
        <f t="shared" si="9"/>
        <v xml:space="preserve">  Substation Engineering, Const Mgmt, &amp; Environmental Monitoring</v>
      </c>
      <c r="BI48" s="629">
        <f t="shared" ref="BI48:BJ48" si="41">B87</f>
        <v>1110000</v>
      </c>
      <c r="BJ48" s="630">
        <f t="shared" si="41"/>
        <v>0.2</v>
      </c>
      <c r="BK48" s="589"/>
      <c r="BL48" s="589"/>
      <c r="BM48" s="171"/>
      <c r="BN48" s="131"/>
    </row>
    <row r="49" spans="1:66" x14ac:dyDescent="0.2">
      <c r="A49" s="320"/>
      <c r="B49" s="38"/>
      <c r="C49" s="38"/>
      <c r="D49" s="38"/>
      <c r="E49" s="461"/>
      <c r="F49" s="38"/>
      <c r="G49" s="49"/>
      <c r="H49" s="38"/>
      <c r="I49" s="38"/>
      <c r="J49" s="38"/>
      <c r="K49" s="95"/>
      <c r="L49" s="95"/>
      <c r="M49" s="95"/>
      <c r="N49" s="95"/>
      <c r="O49" s="95"/>
      <c r="P49" s="95"/>
      <c r="Q49" s="95"/>
      <c r="R49" s="95"/>
      <c r="S49" s="95"/>
      <c r="T49" s="95"/>
      <c r="U49" s="95"/>
      <c r="V49" s="95"/>
      <c r="W49" s="95"/>
      <c r="X49" s="95"/>
      <c r="BB49" s="387"/>
      <c r="BG49" s="318"/>
      <c r="BH49" s="589" t="str">
        <f t="shared" si="9"/>
        <v xml:space="preserve"> Subtotal</v>
      </c>
      <c r="BI49" s="629">
        <f t="shared" ref="BI49:BJ49" si="42">B88</f>
        <v>1332000</v>
      </c>
      <c r="BJ49" s="630">
        <f t="shared" si="42"/>
        <v>0</v>
      </c>
      <c r="BK49" s="589"/>
      <c r="BL49" s="589"/>
      <c r="BM49" s="74"/>
      <c r="BN49" s="131"/>
    </row>
    <row r="50" spans="1:66" x14ac:dyDescent="0.2">
      <c r="A50" s="38"/>
      <c r="B50" s="38"/>
      <c r="C50" s="38"/>
      <c r="D50" s="38"/>
      <c r="E50" s="461"/>
      <c r="F50" s="38"/>
      <c r="G50" s="38"/>
      <c r="H50" s="38"/>
      <c r="I50" s="38"/>
      <c r="J50" s="38"/>
      <c r="K50" s="95"/>
      <c r="L50" s="95"/>
      <c r="M50" s="95"/>
      <c r="N50" s="95"/>
      <c r="O50" s="95"/>
      <c r="P50" s="95"/>
      <c r="Q50" s="95"/>
      <c r="R50" s="95"/>
      <c r="S50" s="95"/>
      <c r="T50" s="95"/>
      <c r="U50" s="95"/>
      <c r="V50" s="95"/>
      <c r="W50" s="95"/>
      <c r="X50" s="95"/>
      <c r="BG50" s="318"/>
      <c r="BH50" s="589" t="str">
        <f t="shared" si="9"/>
        <v xml:space="preserve">  Environmental Mitigation</v>
      </c>
      <c r="BI50" s="629">
        <f t="shared" ref="BI50:BJ50" si="43">B89</f>
        <v>0</v>
      </c>
      <c r="BJ50" s="630">
        <f t="shared" si="43"/>
        <v>0.7</v>
      </c>
      <c r="BK50" s="589"/>
      <c r="BL50" s="589"/>
      <c r="BM50" s="74"/>
      <c r="BN50" s="131"/>
    </row>
    <row r="51" spans="1:66" ht="15.75" x14ac:dyDescent="0.25">
      <c r="A51" s="115" t="s">
        <v>343</v>
      </c>
      <c r="B51" s="40" t="str">
        <f>Calculations!AC3</f>
        <v>Texas</v>
      </c>
      <c r="C51" s="38"/>
      <c r="D51" s="38"/>
      <c r="E51" s="461"/>
      <c r="F51" s="38"/>
      <c r="G51" s="38"/>
      <c r="H51" s="38"/>
      <c r="I51" s="38"/>
      <c r="J51" s="38"/>
      <c r="K51" s="95"/>
      <c r="L51" s="95"/>
      <c r="M51" s="95"/>
      <c r="N51" s="95"/>
      <c r="O51" s="95"/>
      <c r="P51" s="95"/>
      <c r="Q51" s="95"/>
      <c r="R51" s="95"/>
      <c r="S51" s="95"/>
      <c r="T51" s="95"/>
      <c r="U51" s="95"/>
      <c r="V51" s="95"/>
      <c r="W51" s="95"/>
      <c r="X51" s="95"/>
      <c r="BB51" s="177"/>
      <c r="BC51" s="131"/>
      <c r="BD51" s="162"/>
      <c r="BE51" s="131"/>
      <c r="BH51" s="589" t="str">
        <f t="shared" si="9"/>
        <v xml:space="preserve">  System Operator and Regulator Fees</v>
      </c>
      <c r="BI51" s="629">
        <f t="shared" ref="BI51:BJ51" si="44">B90</f>
        <v>0</v>
      </c>
      <c r="BJ51" s="630">
        <f t="shared" si="44"/>
        <v>0.1</v>
      </c>
      <c r="BK51" s="589"/>
      <c r="BL51" s="589"/>
      <c r="BM51" s="74"/>
      <c r="BN51" s="131"/>
    </row>
    <row r="52" spans="1:66" x14ac:dyDescent="0.2">
      <c r="A52" s="38"/>
      <c r="B52" s="38"/>
      <c r="C52" s="40"/>
      <c r="D52" s="192"/>
      <c r="E52" s="192"/>
      <c r="F52" s="38"/>
      <c r="G52" s="38"/>
      <c r="H52" s="38"/>
      <c r="I52" s="38"/>
      <c r="J52" s="38"/>
      <c r="K52" s="95"/>
      <c r="L52" s="95"/>
      <c r="M52" s="95"/>
      <c r="N52" s="95"/>
      <c r="O52" s="95"/>
      <c r="P52" s="95"/>
      <c r="Q52" s="95"/>
      <c r="R52" s="95"/>
      <c r="S52" s="95"/>
      <c r="T52" s="95"/>
      <c r="U52" s="95"/>
      <c r="V52" s="95"/>
      <c r="W52" s="95"/>
      <c r="X52" s="95"/>
      <c r="BB52" s="131"/>
      <c r="BC52" s="131"/>
      <c r="BD52" s="162"/>
      <c r="BE52" s="221"/>
      <c r="BH52" s="589" t="str">
        <f t="shared" si="9"/>
        <v xml:space="preserve">  Miscellanous Business Services and Utilities</v>
      </c>
      <c r="BI52" s="629">
        <f t="shared" ref="BI52:BJ52" si="45">B91</f>
        <v>0</v>
      </c>
      <c r="BJ52" s="630">
        <f t="shared" si="45"/>
        <v>0.2</v>
      </c>
      <c r="BK52" s="589"/>
      <c r="BL52" s="589"/>
      <c r="BM52" s="74"/>
      <c r="BN52" s="131"/>
    </row>
    <row r="53" spans="1:66" x14ac:dyDescent="0.2">
      <c r="A53" s="62" t="str">
        <f>DefaultData!B13</f>
        <v>Transmission Line Costs</v>
      </c>
      <c r="B53" s="553" t="str">
        <f>Calculations!AC5</f>
        <v>Cost</v>
      </c>
      <c r="C53" s="150" t="s">
        <v>5</v>
      </c>
      <c r="D53" s="192"/>
      <c r="E53" s="192"/>
      <c r="F53" s="38"/>
      <c r="G53" s="38"/>
      <c r="H53" s="38"/>
      <c r="I53" s="38"/>
      <c r="J53" s="38"/>
      <c r="K53" s="95"/>
      <c r="L53" s="95"/>
      <c r="M53" s="95"/>
      <c r="N53" s="95"/>
      <c r="O53" s="95"/>
      <c r="P53" s="95"/>
      <c r="Q53" s="95"/>
      <c r="R53" s="95"/>
      <c r="S53" s="95"/>
      <c r="T53" s="95"/>
      <c r="U53" s="95"/>
      <c r="V53" s="95"/>
      <c r="W53" s="95"/>
      <c r="X53" s="95"/>
      <c r="BB53" s="74"/>
      <c r="BC53" s="328"/>
      <c r="BD53" s="162"/>
      <c r="BE53" s="221"/>
      <c r="BH53" s="589" t="str">
        <f t="shared" si="9"/>
        <v xml:space="preserve">  Construction Insurance (Substation)</v>
      </c>
      <c r="BI53" s="629">
        <f t="shared" ref="BI53:BJ53" si="46">B92</f>
        <v>55500</v>
      </c>
      <c r="BJ53" s="630">
        <f t="shared" si="46"/>
        <v>0</v>
      </c>
      <c r="BK53" s="589"/>
      <c r="BL53" s="589"/>
      <c r="BM53" s="74"/>
      <c r="BN53" s="131"/>
    </row>
    <row r="54" spans="1:66" s="625" customFormat="1" x14ac:dyDescent="0.2">
      <c r="A54" s="43" t="str">
        <f>DefaultData!B14</f>
        <v xml:space="preserve">  Development and Preconstruction Activites</v>
      </c>
      <c r="B54" s="40"/>
      <c r="C54" s="40"/>
      <c r="D54" s="192"/>
      <c r="E54" s="192"/>
      <c r="F54" s="461"/>
      <c r="G54" s="461"/>
      <c r="H54" s="461"/>
      <c r="I54" s="461"/>
      <c r="J54" s="461"/>
      <c r="K54" s="95"/>
      <c r="L54" s="95"/>
      <c r="M54" s="95"/>
      <c r="N54" s="95"/>
      <c r="O54" s="95"/>
      <c r="P54" s="95"/>
      <c r="Q54" s="95"/>
      <c r="R54" s="95"/>
      <c r="S54" s="95"/>
      <c r="T54" s="95"/>
      <c r="U54" s="95"/>
      <c r="V54" s="95"/>
      <c r="W54" s="95"/>
      <c r="X54" s="95"/>
      <c r="BB54" s="74"/>
      <c r="BC54" s="328"/>
      <c r="BD54" s="162"/>
      <c r="BE54" s="221"/>
      <c r="BH54" s="589" t="str">
        <f t="shared" si="9"/>
        <v xml:space="preserve"> Subtotal Other Costs</v>
      </c>
      <c r="BI54" s="629">
        <f t="shared" ref="BI54" si="47">B93</f>
        <v>55500</v>
      </c>
      <c r="BJ54" s="630"/>
      <c r="BK54" s="589"/>
      <c r="BL54" s="589"/>
      <c r="BM54" s="74"/>
      <c r="BN54" s="131"/>
    </row>
    <row r="55" spans="1:66" s="625" customFormat="1" x14ac:dyDescent="0.2">
      <c r="A55" s="43" t="str">
        <f>DefaultData!B15</f>
        <v xml:space="preserve">     Land Acquisition Services</v>
      </c>
      <c r="B55" s="696">
        <f>Calculations!AC7</f>
        <v>375000</v>
      </c>
      <c r="C55" s="99">
        <f>Calculations!AD7</f>
        <v>0.5</v>
      </c>
      <c r="D55" s="192"/>
      <c r="E55" s="192"/>
      <c r="F55" s="461"/>
      <c r="G55" s="461"/>
      <c r="H55" s="461"/>
      <c r="I55" s="461"/>
      <c r="J55" s="461"/>
      <c r="K55" s="95"/>
      <c r="L55" s="95"/>
      <c r="M55" s="95"/>
      <c r="N55" s="95"/>
      <c r="O55" s="95"/>
      <c r="P55" s="95"/>
      <c r="Q55" s="95"/>
      <c r="R55" s="95"/>
      <c r="S55" s="95"/>
      <c r="T55" s="95"/>
      <c r="U55" s="95"/>
      <c r="V55" s="95"/>
      <c r="W55" s="95"/>
      <c r="X55" s="95"/>
      <c r="BB55" s="74"/>
      <c r="BC55" s="328"/>
      <c r="BD55" s="162"/>
      <c r="BE55" s="221"/>
      <c r="BH55" s="589" t="str">
        <f t="shared" si="9"/>
        <v xml:space="preserve"> Total Services/Other Costs</v>
      </c>
      <c r="BI55" s="629">
        <f t="shared" ref="BI55" si="48">B94</f>
        <v>1387500</v>
      </c>
      <c r="BJ55" s="630"/>
      <c r="BK55" s="589"/>
      <c r="BL55" s="589"/>
      <c r="BM55" s="74"/>
      <c r="BN55" s="131"/>
    </row>
    <row r="56" spans="1:66" s="625" customFormat="1" x14ac:dyDescent="0.2">
      <c r="A56" s="43" t="str">
        <f>DefaultData!B16</f>
        <v xml:space="preserve">     Private Land Acquisition Payment</v>
      </c>
      <c r="B56" s="696">
        <f>Calculations!AC8</f>
        <v>363636.36363636365</v>
      </c>
      <c r="C56" s="99">
        <f>Calculations!AD8</f>
        <v>1</v>
      </c>
      <c r="D56" s="192"/>
      <c r="E56" s="192"/>
      <c r="F56" s="461"/>
      <c r="G56" s="461"/>
      <c r="H56" s="461"/>
      <c r="I56" s="461"/>
      <c r="J56" s="461"/>
      <c r="K56" s="95"/>
      <c r="L56" s="95"/>
      <c r="M56" s="95"/>
      <c r="N56" s="95"/>
      <c r="O56" s="95"/>
      <c r="P56" s="95"/>
      <c r="Q56" s="95"/>
      <c r="R56" s="95"/>
      <c r="S56" s="95"/>
      <c r="T56" s="95"/>
      <c r="U56" s="95"/>
      <c r="V56" s="95"/>
      <c r="W56" s="95"/>
      <c r="X56" s="95"/>
      <c r="BB56" s="74"/>
      <c r="BC56" s="328"/>
      <c r="BD56" s="162"/>
      <c r="BE56" s="221"/>
      <c r="BH56" s="589" t="str">
        <f t="shared" si="9"/>
        <v>Subtotal All Costs (without sales tax)</v>
      </c>
      <c r="BI56" s="629">
        <f t="shared" ref="BI56" si="49">B95</f>
        <v>30040572.907128841</v>
      </c>
      <c r="BJ56" s="630"/>
      <c r="BK56" s="589"/>
      <c r="BL56" s="589"/>
      <c r="BM56" s="74"/>
      <c r="BN56" s="131"/>
    </row>
    <row r="57" spans="1:66" s="625" customFormat="1" x14ac:dyDescent="0.2">
      <c r="A57" s="43" t="str">
        <f>DefaultData!B17</f>
        <v xml:space="preserve">     Engineering/Surveying/Geotechnical Consulting Services</v>
      </c>
      <c r="B57" s="696">
        <f>Calculations!AC9</f>
        <v>900000</v>
      </c>
      <c r="C57" s="99">
        <f>Calculations!AD9</f>
        <v>0.2</v>
      </c>
      <c r="D57" s="192"/>
      <c r="E57" s="192"/>
      <c r="F57" s="461"/>
      <c r="G57" s="461"/>
      <c r="H57" s="461"/>
      <c r="I57" s="461"/>
      <c r="J57" s="461"/>
      <c r="K57" s="95"/>
      <c r="L57" s="95"/>
      <c r="M57" s="95"/>
      <c r="N57" s="95"/>
      <c r="O57" s="95"/>
      <c r="P57" s="95"/>
      <c r="Q57" s="95"/>
      <c r="R57" s="95"/>
      <c r="S57" s="95"/>
      <c r="T57" s="95"/>
      <c r="U57" s="95"/>
      <c r="V57" s="95"/>
      <c r="W57" s="95"/>
      <c r="X57" s="95"/>
      <c r="BB57" s="74"/>
      <c r="BC57" s="328"/>
      <c r="BD57" s="162"/>
      <c r="BE57" s="221"/>
      <c r="BH57" s="589" t="str">
        <f t="shared" si="9"/>
        <v>Sales Tax (Materials &amp; Equipment Purchases)</v>
      </c>
      <c r="BI57" s="629">
        <f t="shared" ref="BI57:BJ57" si="50">B96</f>
        <v>1007500</v>
      </c>
      <c r="BJ57" s="630">
        <f t="shared" si="50"/>
        <v>1</v>
      </c>
      <c r="BK57" s="589"/>
      <c r="BL57" s="589"/>
      <c r="BM57" s="74"/>
      <c r="BN57" s="131"/>
    </row>
    <row r="58" spans="1:66" s="625" customFormat="1" x14ac:dyDescent="0.2">
      <c r="A58" s="43" t="str">
        <f>DefaultData!B18</f>
        <v xml:space="preserve">     Environmental &amp; Permitting Services</v>
      </c>
      <c r="B58" s="696">
        <f>Calculations!AC10</f>
        <v>675000</v>
      </c>
      <c r="C58" s="99">
        <f>Calculations!AD10</f>
        <v>0.15</v>
      </c>
      <c r="D58" s="192"/>
      <c r="E58" s="192"/>
      <c r="F58" s="461"/>
      <c r="G58" s="461"/>
      <c r="H58" s="461"/>
      <c r="I58" s="461"/>
      <c r="J58" s="461"/>
      <c r="K58" s="95"/>
      <c r="L58" s="95"/>
      <c r="M58" s="95"/>
      <c r="N58" s="95"/>
      <c r="O58" s="95"/>
      <c r="P58" s="95"/>
      <c r="Q58" s="95"/>
      <c r="R58" s="95"/>
      <c r="S58" s="95"/>
      <c r="T58" s="95"/>
      <c r="U58" s="95"/>
      <c r="V58" s="95"/>
      <c r="W58" s="95"/>
      <c r="X58" s="95"/>
      <c r="BB58" s="74"/>
      <c r="BC58" s="328"/>
      <c r="BD58" s="162"/>
      <c r="BE58" s="221"/>
      <c r="BH58" s="589" t="str">
        <f t="shared" si="9"/>
        <v>Total Project Cost</v>
      </c>
      <c r="BI58" s="629">
        <f t="shared" ref="BI58" si="51">B97</f>
        <v>29859436.543492477</v>
      </c>
      <c r="BJ58" s="630"/>
      <c r="BK58" s="589"/>
      <c r="BL58" s="589"/>
      <c r="BM58" s="74"/>
      <c r="BN58" s="131"/>
    </row>
    <row r="59" spans="1:66" s="625" customFormat="1" x14ac:dyDescent="0.2">
      <c r="A59" s="62" t="str">
        <f>DefaultData!B19</f>
        <v xml:space="preserve">  Subtotal Development and Preconstruction</v>
      </c>
      <c r="B59" s="696">
        <f>Calculations!AC11</f>
        <v>2313636.3636363638</v>
      </c>
      <c r="C59" s="99"/>
      <c r="D59" s="192"/>
      <c r="E59" s="192"/>
      <c r="F59" s="461"/>
      <c r="G59" s="461"/>
      <c r="H59" s="461"/>
      <c r="I59" s="461"/>
      <c r="J59" s="461"/>
      <c r="K59" s="95"/>
      <c r="L59" s="95"/>
      <c r="M59" s="95"/>
      <c r="N59" s="95"/>
      <c r="O59" s="95"/>
      <c r="P59" s="95"/>
      <c r="Q59" s="95"/>
      <c r="R59" s="95"/>
      <c r="S59" s="95"/>
      <c r="T59" s="95"/>
      <c r="U59" s="95"/>
      <c r="V59" s="95"/>
      <c r="W59" s="95"/>
      <c r="X59" s="95"/>
      <c r="BB59" s="74"/>
      <c r="BC59" s="328"/>
      <c r="BD59" s="162"/>
      <c r="BE59" s="221"/>
      <c r="BH59" s="589"/>
      <c r="BI59" s="629"/>
      <c r="BJ59" s="630"/>
      <c r="BK59" s="589"/>
      <c r="BL59" s="589"/>
      <c r="BM59" s="74"/>
      <c r="BN59" s="131"/>
    </row>
    <row r="60" spans="1:66" s="625" customFormat="1" x14ac:dyDescent="0.2">
      <c r="A60" s="62" t="s">
        <v>601</v>
      </c>
      <c r="B60" s="553"/>
      <c r="C60" s="40"/>
      <c r="D60" s="192"/>
      <c r="E60" s="192"/>
      <c r="F60" s="461"/>
      <c r="G60" s="461"/>
      <c r="H60" s="461"/>
      <c r="I60" s="461"/>
      <c r="J60" s="461"/>
      <c r="K60" s="95"/>
      <c r="L60" s="95"/>
      <c r="M60" s="95"/>
      <c r="N60" s="95"/>
      <c r="O60" s="95"/>
      <c r="P60" s="95"/>
      <c r="Q60" s="95"/>
      <c r="R60" s="95"/>
      <c r="S60" s="95"/>
      <c r="T60" s="95"/>
      <c r="U60" s="95"/>
      <c r="V60" s="95"/>
      <c r="W60" s="95"/>
      <c r="X60" s="95"/>
      <c r="BB60" s="74"/>
      <c r="BC60" s="328"/>
      <c r="BD60" s="162"/>
      <c r="BE60" s="221"/>
      <c r="BH60" s="589"/>
      <c r="BI60" s="629"/>
      <c r="BJ60" s="630"/>
      <c r="BK60" s="589"/>
      <c r="BL60" s="589"/>
      <c r="BM60" s="74"/>
      <c r="BN60" s="131"/>
    </row>
    <row r="61" spans="1:66" x14ac:dyDescent="0.2">
      <c r="A61" s="373" t="str">
        <f>Calculations!AB14</f>
        <v xml:space="preserve">    Concrete, gravel, asphalt</v>
      </c>
      <c r="B61" s="696">
        <f>Calculations!AC14</f>
        <v>600000</v>
      </c>
      <c r="C61" s="99">
        <f>Calculations!AD14</f>
        <v>1</v>
      </c>
      <c r="D61" s="40"/>
      <c r="E61" s="40"/>
      <c r="F61" s="95"/>
      <c r="G61" s="95"/>
      <c r="H61" s="95"/>
      <c r="I61" s="95"/>
      <c r="J61" s="95"/>
      <c r="K61" s="95"/>
      <c r="L61" s="95"/>
      <c r="M61" s="95"/>
      <c r="N61" s="95"/>
      <c r="O61" s="95"/>
      <c r="P61" s="95"/>
      <c r="Q61" s="95"/>
      <c r="R61" s="95"/>
      <c r="S61" s="95"/>
      <c r="T61" s="95"/>
      <c r="U61" s="95"/>
      <c r="V61" s="95"/>
      <c r="W61" s="95"/>
      <c r="X61" s="95"/>
      <c r="BB61" s="171"/>
      <c r="BC61" s="131"/>
      <c r="BD61" s="179"/>
      <c r="BH61" s="74" t="str">
        <f t="shared" si="9"/>
        <v>Annual Operating and Maintenance Costs</v>
      </c>
      <c r="BI61" s="629"/>
      <c r="BJ61" s="630"/>
      <c r="BK61" s="589"/>
      <c r="BL61" s="589"/>
      <c r="BM61" s="74"/>
      <c r="BN61" s="131"/>
    </row>
    <row r="62" spans="1:66" x14ac:dyDescent="0.2">
      <c r="A62" s="373" t="str">
        <f>Calculations!AB15</f>
        <v xml:space="preserve">    Steel structures and poles</v>
      </c>
      <c r="B62" s="696">
        <f>Calculations!AC15</f>
        <v>4950000</v>
      </c>
      <c r="C62" s="99">
        <f>Calculations!AD15</f>
        <v>0</v>
      </c>
      <c r="D62" s="201"/>
      <c r="E62" s="201"/>
      <c r="F62" s="95"/>
      <c r="G62" s="95"/>
      <c r="H62" s="95"/>
      <c r="I62" s="95"/>
      <c r="J62" s="95"/>
      <c r="K62" s="95"/>
      <c r="L62" s="95"/>
      <c r="M62" s="95"/>
      <c r="N62" s="95"/>
      <c r="O62" s="95"/>
      <c r="P62" s="95"/>
      <c r="Q62" s="95"/>
      <c r="R62" s="95"/>
      <c r="S62" s="95"/>
      <c r="T62" s="95"/>
      <c r="U62" s="95"/>
      <c r="V62" s="95"/>
      <c r="W62" s="95"/>
      <c r="X62" s="95"/>
      <c r="BB62" s="171"/>
      <c r="BC62" s="180"/>
      <c r="BD62" s="179"/>
      <c r="BE62" s="179"/>
      <c r="BH62" s="589"/>
      <c r="BI62" s="629"/>
      <c r="BJ62" s="630"/>
      <c r="BK62" s="589"/>
      <c r="BL62" s="589"/>
      <c r="BM62" s="74"/>
      <c r="BN62" s="131"/>
    </row>
    <row r="63" spans="1:66" x14ac:dyDescent="0.2">
      <c r="A63" s="373" t="str">
        <f>Calculations!AB16</f>
        <v xml:space="preserve">    Overhead wires (conductor and insulators and shield wire)</v>
      </c>
      <c r="B63" s="696">
        <f>Calculations!AC16</f>
        <v>3300000</v>
      </c>
      <c r="C63" s="99">
        <f>Calculations!AD16</f>
        <v>0</v>
      </c>
      <c r="D63" s="201"/>
      <c r="E63" s="201"/>
      <c r="F63" s="95"/>
      <c r="G63" s="95"/>
      <c r="H63" s="95"/>
      <c r="I63" s="95"/>
      <c r="J63" s="95"/>
      <c r="K63" s="95"/>
      <c r="L63" s="95"/>
      <c r="M63" s="95"/>
      <c r="N63" s="95"/>
      <c r="O63" s="95"/>
      <c r="P63" s="95"/>
      <c r="Q63" s="95"/>
      <c r="R63" s="95"/>
      <c r="S63" s="95"/>
      <c r="T63" s="95"/>
      <c r="U63" s="95"/>
      <c r="V63" s="95"/>
      <c r="W63" s="95"/>
      <c r="X63" s="95"/>
      <c r="BB63" s="171"/>
      <c r="BC63" s="180"/>
      <c r="BD63" s="179"/>
      <c r="BE63" s="179"/>
      <c r="BH63" s="589" t="str">
        <f t="shared" si="9"/>
        <v>Transmission Line and ROW</v>
      </c>
      <c r="BI63" s="631" t="str">
        <f t="shared" ref="BI63:BJ63" si="52">B102</f>
        <v>Cost</v>
      </c>
      <c r="BJ63" s="632" t="str">
        <f t="shared" si="52"/>
        <v>Local Share</v>
      </c>
      <c r="BK63" s="589"/>
      <c r="BL63" s="589"/>
      <c r="BM63" s="74"/>
      <c r="BN63" s="131"/>
    </row>
    <row r="64" spans="1:66" x14ac:dyDescent="0.2">
      <c r="A64" s="373" t="str">
        <f>Calculations!AB17</f>
        <v xml:space="preserve">  Subtotal Materials &amp; Equipment</v>
      </c>
      <c r="B64" s="696">
        <f>Calculations!AC17</f>
        <v>8850000</v>
      </c>
      <c r="C64" s="99"/>
      <c r="D64" s="201"/>
      <c r="E64" s="201"/>
      <c r="F64" s="95"/>
      <c r="G64" s="95"/>
      <c r="H64" s="95"/>
      <c r="I64" s="95"/>
      <c r="J64" s="95"/>
      <c r="K64" s="95"/>
      <c r="L64" s="95"/>
      <c r="M64" s="95"/>
      <c r="N64" s="95"/>
      <c r="O64" s="95"/>
      <c r="P64" s="95"/>
      <c r="Q64" s="95"/>
      <c r="R64" s="95"/>
      <c r="S64" s="95"/>
      <c r="T64" s="95"/>
      <c r="U64" s="95"/>
      <c r="V64" s="95"/>
      <c r="W64" s="95"/>
      <c r="X64" s="95"/>
      <c r="BB64" s="171"/>
      <c r="BC64" s="180"/>
      <c r="BD64" s="179"/>
      <c r="BE64" s="179"/>
      <c r="BH64" s="589" t="str">
        <f t="shared" si="9"/>
        <v xml:space="preserve">    T-Line/ROW Labor</v>
      </c>
      <c r="BI64" s="629">
        <f t="shared" ref="BI64:BJ64" si="53">B103</f>
        <v>139104</v>
      </c>
      <c r="BJ64" s="630">
        <f t="shared" si="53"/>
        <v>0.6</v>
      </c>
      <c r="BK64" s="589"/>
      <c r="BL64" s="589"/>
      <c r="BM64" s="74"/>
      <c r="BN64" s="131"/>
    </row>
    <row r="65" spans="1:66" x14ac:dyDescent="0.2">
      <c r="A65" s="213" t="str">
        <f>Calculations!AB18</f>
        <v xml:space="preserve">  Labor/Installation</v>
      </c>
      <c r="B65" s="696"/>
      <c r="C65" s="99"/>
      <c r="D65" s="201"/>
      <c r="E65" s="201"/>
      <c r="F65" s="95"/>
      <c r="G65" s="95"/>
      <c r="H65" s="95"/>
      <c r="I65" s="95"/>
      <c r="J65" s="95"/>
      <c r="K65" s="95"/>
      <c r="L65" s="95"/>
      <c r="M65" s="95"/>
      <c r="N65" s="95"/>
      <c r="O65" s="95"/>
      <c r="P65" s="95"/>
      <c r="Q65" s="95"/>
      <c r="R65" s="95"/>
      <c r="S65" s="95"/>
      <c r="T65" s="95"/>
      <c r="U65" s="95"/>
      <c r="V65" s="95"/>
      <c r="W65" s="95"/>
      <c r="X65" s="95"/>
      <c r="BB65" s="171"/>
      <c r="BC65" s="180"/>
      <c r="BD65" s="179"/>
      <c r="BE65" s="179"/>
      <c r="BH65" s="589" t="str">
        <f t="shared" si="9"/>
        <v xml:space="preserve">    T-Line/ROW Maintenance Materials</v>
      </c>
      <c r="BI65" s="629">
        <f t="shared" ref="BI65:BJ65" si="54">B104</f>
        <v>34400</v>
      </c>
      <c r="BJ65" s="630">
        <f t="shared" si="54"/>
        <v>0.1</v>
      </c>
      <c r="BK65" s="589"/>
      <c r="BL65" s="589"/>
      <c r="BM65" s="74"/>
      <c r="BN65" s="131"/>
    </row>
    <row r="66" spans="1:66" x14ac:dyDescent="0.2">
      <c r="A66" s="373" t="str">
        <f>Calculations!AB19</f>
        <v xml:space="preserve">    Civil (grading, roads, site prep, foundations, fencing)</v>
      </c>
      <c r="B66" s="696">
        <f>Calculations!AC19</f>
        <v>1765400.1798561153</v>
      </c>
      <c r="C66" s="99">
        <f>Calculations!AD19</f>
        <v>0.8</v>
      </c>
      <c r="D66" s="201"/>
      <c r="E66" s="201"/>
      <c r="F66" s="95"/>
      <c r="G66" s="95"/>
      <c r="H66" s="95"/>
      <c r="I66" s="95"/>
      <c r="J66" s="95"/>
      <c r="K66" s="95"/>
      <c r="L66" s="95"/>
      <c r="M66" s="95"/>
      <c r="N66" s="95"/>
      <c r="O66" s="95"/>
      <c r="P66" s="95"/>
      <c r="Q66" s="95"/>
      <c r="R66" s="95"/>
      <c r="S66" s="95"/>
      <c r="T66" s="95"/>
      <c r="U66" s="95"/>
      <c r="V66" s="95"/>
      <c r="W66" s="95"/>
      <c r="X66" s="95"/>
      <c r="BB66" s="171"/>
      <c r="BC66" s="180"/>
      <c r="BD66" s="179"/>
      <c r="BH66" s="589" t="str">
        <f t="shared" si="9"/>
        <v xml:space="preserve">    Insurance</v>
      </c>
      <c r="BI66" s="629">
        <f t="shared" ref="BI66:BJ66" si="55">B105</f>
        <v>20000</v>
      </c>
      <c r="BJ66" s="630">
        <f t="shared" si="55"/>
        <v>0</v>
      </c>
      <c r="BK66" s="589"/>
      <c r="BL66" s="589"/>
      <c r="BM66" s="74"/>
      <c r="BN66" s="162"/>
    </row>
    <row r="67" spans="1:66" x14ac:dyDescent="0.2">
      <c r="A67" s="373" t="str">
        <f>Calculations!AB20</f>
        <v xml:space="preserve">    Heavy Construction (Tower erection, Conductor stringing)</v>
      </c>
      <c r="B67" s="696">
        <f>Calculations!AC20</f>
        <v>3276000</v>
      </c>
      <c r="C67" s="99">
        <f>Calculations!AD20</f>
        <v>0.5</v>
      </c>
      <c r="D67" s="201"/>
      <c r="E67" s="201"/>
      <c r="F67" s="95"/>
      <c r="G67" s="95"/>
      <c r="H67" s="95"/>
      <c r="I67" s="95"/>
      <c r="J67" s="95"/>
      <c r="K67" s="95"/>
      <c r="L67" s="95"/>
      <c r="M67" s="95"/>
      <c r="N67" s="95"/>
      <c r="O67" s="95"/>
      <c r="P67" s="95"/>
      <c r="Q67" s="95"/>
      <c r="R67" s="95"/>
      <c r="S67" s="95"/>
      <c r="T67" s="95"/>
      <c r="U67" s="95"/>
      <c r="V67" s="95"/>
      <c r="W67" s="95"/>
      <c r="X67" s="95"/>
      <c r="BB67" s="171"/>
      <c r="BC67" s="180"/>
      <c r="BD67" s="179"/>
      <c r="BH67" s="589" t="str">
        <f t="shared" si="9"/>
        <v xml:space="preserve">    Replacement Parts/Equipment/ Spare Parts Inventory</v>
      </c>
      <c r="BI67" s="629">
        <f t="shared" ref="BI67:BJ67" si="56">B106</f>
        <v>20000</v>
      </c>
      <c r="BJ67" s="630">
        <f t="shared" si="56"/>
        <v>0</v>
      </c>
      <c r="BK67" s="589"/>
      <c r="BL67" s="589"/>
      <c r="BM67" s="74"/>
      <c r="BN67" s="131"/>
    </row>
    <row r="68" spans="1:66" x14ac:dyDescent="0.2">
      <c r="A68" s="373" t="str">
        <f>Calculations!AB21</f>
        <v xml:space="preserve">  Subtotal Labor/Installation</v>
      </c>
      <c r="B68" s="696">
        <f>Calculations!AC21</f>
        <v>5041400.179856115</v>
      </c>
      <c r="C68" s="99"/>
      <c r="D68" s="201"/>
      <c r="E68" s="201"/>
      <c r="F68" s="95"/>
      <c r="G68" s="95"/>
      <c r="H68" s="95"/>
      <c r="I68" s="95"/>
      <c r="J68" s="95"/>
      <c r="K68" s="95"/>
      <c r="L68" s="95"/>
      <c r="M68" s="95"/>
      <c r="N68" s="95"/>
      <c r="O68" s="95"/>
      <c r="P68" s="95"/>
      <c r="Q68" s="95"/>
      <c r="R68" s="95"/>
      <c r="S68" s="95"/>
      <c r="T68" s="95"/>
      <c r="U68" s="95"/>
      <c r="V68" s="95"/>
      <c r="W68" s="95"/>
      <c r="X68" s="95"/>
      <c r="BB68" s="171"/>
      <c r="BC68" s="180"/>
      <c r="BD68" s="179"/>
      <c r="BH68" s="589" t="str">
        <f t="shared" si="9"/>
        <v xml:space="preserve">    Subtotal</v>
      </c>
      <c r="BI68" s="629">
        <f t="shared" ref="BI68" si="57">B107</f>
        <v>213504</v>
      </c>
      <c r="BJ68" s="630"/>
      <c r="BK68" s="589"/>
      <c r="BL68" s="589"/>
      <c r="BM68" s="74"/>
      <c r="BN68" s="161"/>
    </row>
    <row r="69" spans="1:66" x14ac:dyDescent="0.2">
      <c r="A69" s="617" t="s">
        <v>524</v>
      </c>
      <c r="B69" s="696">
        <f>Calculations!AC22</f>
        <v>16205036.543492477</v>
      </c>
      <c r="C69" s="99"/>
      <c r="D69" s="201"/>
      <c r="E69" s="201"/>
      <c r="F69" s="95"/>
      <c r="G69" s="95"/>
      <c r="H69" s="95"/>
      <c r="I69" s="95"/>
      <c r="J69" s="95"/>
      <c r="K69" s="95"/>
      <c r="L69" s="95"/>
      <c r="M69" s="95"/>
      <c r="N69" s="95"/>
      <c r="O69" s="95"/>
      <c r="P69" s="95"/>
      <c r="Q69" s="95"/>
      <c r="R69" s="95"/>
      <c r="S69" s="95"/>
      <c r="T69" s="95"/>
      <c r="U69" s="95"/>
      <c r="V69" s="95"/>
      <c r="W69" s="95"/>
      <c r="X69" s="95"/>
      <c r="BB69" s="171"/>
      <c r="BC69" s="180"/>
      <c r="BD69" s="179"/>
      <c r="BH69" s="589" t="str">
        <f t="shared" si="9"/>
        <v>Substation/Converter Station</v>
      </c>
      <c r="BI69" s="629"/>
      <c r="BJ69" s="630"/>
      <c r="BK69" s="589"/>
      <c r="BL69" s="589"/>
      <c r="BM69" s="74"/>
      <c r="BN69" s="161"/>
    </row>
    <row r="70" spans="1:66" x14ac:dyDescent="0.2">
      <c r="A70" s="213" t="s">
        <v>525</v>
      </c>
      <c r="B70" s="696"/>
      <c r="C70" s="99"/>
      <c r="D70" s="201"/>
      <c r="E70" s="201"/>
      <c r="F70" s="95"/>
      <c r="G70" s="95"/>
      <c r="H70" s="95"/>
      <c r="I70" s="95"/>
      <c r="J70" s="95"/>
      <c r="K70" s="95"/>
      <c r="L70" s="95"/>
      <c r="M70" s="95"/>
      <c r="N70" s="95"/>
      <c r="O70" s="95"/>
      <c r="P70" s="95"/>
      <c r="Q70" s="95"/>
      <c r="R70" s="95"/>
      <c r="S70" s="95"/>
      <c r="T70" s="95"/>
      <c r="U70" s="95"/>
      <c r="V70" s="95"/>
      <c r="W70" s="95"/>
      <c r="X70" s="95"/>
      <c r="BB70" s="171"/>
      <c r="BC70" s="180"/>
      <c r="BD70" s="179"/>
      <c r="BH70" s="589" t="str">
        <f t="shared" si="9"/>
        <v xml:space="preserve">    Labor/Personnel</v>
      </c>
      <c r="BI70" s="629">
        <f t="shared" ref="BI70:BJ70" si="58">B109</f>
        <v>5161.5</v>
      </c>
      <c r="BJ70" s="630">
        <f t="shared" si="58"/>
        <v>0.5</v>
      </c>
      <c r="BK70" s="589"/>
      <c r="BL70" s="589"/>
      <c r="BM70" s="74"/>
      <c r="BN70" s="161"/>
    </row>
    <row r="71" spans="1:66" x14ac:dyDescent="0.2">
      <c r="A71" s="213" t="str">
        <f>Calculations!AB24</f>
        <v xml:space="preserve">  Materials &amp; Equipment</v>
      </c>
      <c r="B71" s="696"/>
      <c r="C71" s="99"/>
      <c r="D71" s="99"/>
      <c r="E71" s="99"/>
      <c r="F71" s="95"/>
      <c r="G71" s="95"/>
      <c r="H71" s="95"/>
      <c r="I71" s="95"/>
      <c r="J71" s="95"/>
      <c r="K71" s="95"/>
      <c r="L71" s="95"/>
      <c r="M71" s="95"/>
      <c r="N71" s="95"/>
      <c r="O71" s="95"/>
      <c r="P71" s="95"/>
      <c r="Q71" s="95"/>
      <c r="R71" s="95"/>
      <c r="S71" s="95"/>
      <c r="T71" s="95"/>
      <c r="U71" s="95"/>
      <c r="V71" s="95"/>
      <c r="W71" s="95"/>
      <c r="X71" s="95"/>
      <c r="BB71" s="171"/>
      <c r="BC71" s="180"/>
      <c r="BD71" s="179"/>
      <c r="BE71" s="179"/>
      <c r="BH71" s="589" t="str">
        <f t="shared" si="9"/>
        <v xml:space="preserve">    Insurance</v>
      </c>
      <c r="BI71" s="629">
        <f t="shared" ref="BI71:BJ71" si="59">B110</f>
        <v>11100</v>
      </c>
      <c r="BJ71" s="630">
        <f t="shared" si="59"/>
        <v>0</v>
      </c>
      <c r="BK71" s="589"/>
      <c r="BL71" s="589"/>
      <c r="BM71" s="74"/>
      <c r="BN71" s="161"/>
    </row>
    <row r="72" spans="1:66" x14ac:dyDescent="0.2">
      <c r="A72" s="373" t="str">
        <f>Calculations!AB25</f>
        <v xml:space="preserve">    Positions (new bays/circuits)</v>
      </c>
      <c r="B72" s="696">
        <f>Calculations!AC25</f>
        <v>1800000</v>
      </c>
      <c r="C72" s="99">
        <f>Calculations!AD25</f>
        <v>0.05</v>
      </c>
      <c r="D72" s="40"/>
      <c r="E72" s="40"/>
      <c r="F72" s="95"/>
      <c r="G72" s="95"/>
      <c r="H72" s="95"/>
      <c r="I72" s="95"/>
      <c r="J72" s="95"/>
      <c r="K72" s="95"/>
      <c r="L72" s="95"/>
      <c r="M72" s="95"/>
      <c r="N72" s="95"/>
      <c r="O72" s="95"/>
      <c r="P72" s="95"/>
      <c r="Q72" s="95"/>
      <c r="R72" s="95"/>
      <c r="S72" s="95"/>
      <c r="T72" s="95"/>
      <c r="U72" s="95"/>
      <c r="V72" s="95"/>
      <c r="W72" s="95"/>
      <c r="X72" s="95"/>
      <c r="BB72" s="171"/>
      <c r="BC72" s="180"/>
      <c r="BD72" s="179"/>
      <c r="BH72" s="589" t="str">
        <f t="shared" si="9"/>
        <v xml:space="preserve">    Replacement Parts/Equipment/ Spare Parts Inventory</v>
      </c>
      <c r="BI72" s="629">
        <f t="shared" ref="BI72:BJ72" si="60">B111</f>
        <v>5550</v>
      </c>
      <c r="BJ72" s="630">
        <f t="shared" si="60"/>
        <v>0</v>
      </c>
      <c r="BK72" s="589"/>
      <c r="BL72" s="589"/>
      <c r="BM72" s="74"/>
      <c r="BN72" s="161"/>
    </row>
    <row r="73" spans="1:66" s="462" customFormat="1" x14ac:dyDescent="0.2">
      <c r="A73" s="373" t="str">
        <f>Calculations!AB26</f>
        <v xml:space="preserve">    New Substation Facilities</v>
      </c>
      <c r="B73" s="696">
        <f>Calculations!AC26</f>
        <v>650000</v>
      </c>
      <c r="C73" s="99">
        <f>Calculations!AD26</f>
        <v>0.1</v>
      </c>
      <c r="D73" s="40"/>
      <c r="E73" s="40"/>
      <c r="F73" s="95"/>
      <c r="G73" s="95"/>
      <c r="H73" s="95"/>
      <c r="I73" s="95"/>
      <c r="J73" s="95"/>
      <c r="K73" s="95"/>
      <c r="L73" s="95"/>
      <c r="M73" s="95"/>
      <c r="N73" s="95"/>
      <c r="O73" s="95"/>
      <c r="P73" s="95"/>
      <c r="Q73" s="95"/>
      <c r="R73" s="95"/>
      <c r="S73" s="95"/>
      <c r="T73" s="95"/>
      <c r="U73" s="95"/>
      <c r="V73" s="95"/>
      <c r="W73" s="95"/>
      <c r="X73" s="95"/>
      <c r="BB73" s="171"/>
      <c r="BC73" s="180"/>
      <c r="BD73" s="179"/>
      <c r="BH73" s="589" t="str">
        <f t="shared" si="9"/>
        <v xml:space="preserve">    Subtotal</v>
      </c>
      <c r="BI73" s="629">
        <f t="shared" ref="BI73" si="61">B112</f>
        <v>21811.5</v>
      </c>
      <c r="BJ73" s="630"/>
      <c r="BK73" s="589"/>
      <c r="BL73" s="589"/>
      <c r="BM73" s="74"/>
      <c r="BN73" s="161"/>
    </row>
    <row r="74" spans="1:66" s="462" customFormat="1" x14ac:dyDescent="0.2">
      <c r="A74" s="373" t="str">
        <f>Calculations!AB27</f>
        <v xml:space="preserve">    Existing Substation Facilities (upgrades)</v>
      </c>
      <c r="B74" s="696">
        <f>Calculations!AC27</f>
        <v>20000</v>
      </c>
      <c r="C74" s="99">
        <f>Calculations!AD27</f>
        <v>0.1</v>
      </c>
      <c r="D74" s="40"/>
      <c r="E74" s="40"/>
      <c r="F74" s="95"/>
      <c r="G74" s="95"/>
      <c r="H74" s="95"/>
      <c r="I74" s="95"/>
      <c r="J74" s="95"/>
      <c r="K74" s="95"/>
      <c r="L74" s="95"/>
      <c r="M74" s="95"/>
      <c r="N74" s="95"/>
      <c r="O74" s="95"/>
      <c r="P74" s="95"/>
      <c r="Q74" s="95"/>
      <c r="R74" s="95"/>
      <c r="S74" s="95"/>
      <c r="T74" s="95"/>
      <c r="U74" s="95"/>
      <c r="V74" s="95"/>
      <c r="W74" s="95"/>
      <c r="X74" s="95"/>
      <c r="BB74" s="171"/>
      <c r="BC74" s="180"/>
      <c r="BD74" s="179"/>
      <c r="BH74" s="589" t="str">
        <f t="shared" si="9"/>
        <v xml:space="preserve">  Subtotal All O&amp;M Costs (without sales tax)</v>
      </c>
      <c r="BI74" s="629">
        <f t="shared" ref="BI74" si="62">B113</f>
        <v>235315.5</v>
      </c>
      <c r="BJ74" s="630"/>
      <c r="BK74" s="589"/>
      <c r="BL74" s="589"/>
      <c r="BM74" s="74"/>
      <c r="BN74" s="161"/>
    </row>
    <row r="75" spans="1:66" s="462" customFormat="1" x14ac:dyDescent="0.2">
      <c r="A75" s="373" t="str">
        <f>Calculations!AB28</f>
        <v xml:space="preserve">    Transformers, Series Compensation, etc.</v>
      </c>
      <c r="B75" s="696">
        <f>Calculations!AC28</f>
        <v>4800000</v>
      </c>
      <c r="C75" s="99">
        <f>Calculations!AD28</f>
        <v>0</v>
      </c>
      <c r="D75" s="40"/>
      <c r="E75" s="40"/>
      <c r="F75" s="95"/>
      <c r="G75" s="95"/>
      <c r="H75" s="95"/>
      <c r="I75" s="95"/>
      <c r="J75" s="95"/>
      <c r="K75" s="95"/>
      <c r="L75" s="95"/>
      <c r="M75" s="95"/>
      <c r="N75" s="95"/>
      <c r="O75" s="95"/>
      <c r="P75" s="95"/>
      <c r="Q75" s="95"/>
      <c r="R75" s="95"/>
      <c r="S75" s="95"/>
      <c r="T75" s="95"/>
      <c r="U75" s="95"/>
      <c r="V75" s="95"/>
      <c r="W75" s="95"/>
      <c r="X75" s="95"/>
      <c r="BB75" s="171"/>
      <c r="BC75" s="180"/>
      <c r="BD75" s="179"/>
      <c r="BH75" s="589" t="str">
        <f t="shared" si="9"/>
        <v>Sales Tax (Materials &amp; Equipment Purchases)</v>
      </c>
      <c r="BI75" s="629">
        <f t="shared" ref="BI75:BJ75" si="63">B114</f>
        <v>3746.875</v>
      </c>
      <c r="BJ75" s="630">
        <f t="shared" si="63"/>
        <v>1</v>
      </c>
      <c r="BK75" s="589"/>
      <c r="BL75" s="589"/>
      <c r="BM75" s="74"/>
      <c r="BN75" s="161"/>
    </row>
    <row r="76" spans="1:66" s="462" customFormat="1" x14ac:dyDescent="0.2">
      <c r="A76" s="373" t="str">
        <f>Calculations!AB29</f>
        <v xml:space="preserve">    Converter Station (includes ground electrode)</v>
      </c>
      <c r="B76" s="696">
        <f>Calculations!AC29</f>
        <v>0</v>
      </c>
      <c r="C76" s="99">
        <f>Calculations!AD29</f>
        <v>0</v>
      </c>
      <c r="D76" s="40"/>
      <c r="E76" s="40"/>
      <c r="F76" s="95"/>
      <c r="G76" s="95"/>
      <c r="H76" s="95"/>
      <c r="I76" s="95"/>
      <c r="J76" s="95"/>
      <c r="K76" s="95"/>
      <c r="L76" s="95"/>
      <c r="M76" s="95"/>
      <c r="N76" s="95"/>
      <c r="O76" s="95"/>
      <c r="P76" s="95"/>
      <c r="Q76" s="95"/>
      <c r="R76" s="95"/>
      <c r="S76" s="95"/>
      <c r="T76" s="95"/>
      <c r="U76" s="95"/>
      <c r="V76" s="95"/>
      <c r="W76" s="95"/>
      <c r="X76" s="95"/>
      <c r="BB76" s="171"/>
      <c r="BC76" s="180"/>
      <c r="BD76" s="179"/>
      <c r="BH76" s="589" t="str">
        <f t="shared" si="9"/>
        <v>Right of Way/Royalty Payments - Public land</v>
      </c>
      <c r="BI76" s="629">
        <f t="shared" ref="BI76:BJ76" si="64">B115</f>
        <v>18181.818181818184</v>
      </c>
      <c r="BJ76" s="630">
        <f t="shared" si="64"/>
        <v>1</v>
      </c>
      <c r="BK76" s="589"/>
      <c r="BL76" s="589"/>
      <c r="BM76" s="74"/>
      <c r="BN76" s="161"/>
    </row>
    <row r="77" spans="1:66" x14ac:dyDescent="0.2">
      <c r="A77" s="373" t="str">
        <f>Calculations!AB30</f>
        <v xml:space="preserve">  Subtotal Materials &amp; Equipment</v>
      </c>
      <c r="B77" s="696">
        <f>Calculations!AC30</f>
        <v>7270000</v>
      </c>
      <c r="C77" s="99"/>
      <c r="D77" s="40"/>
      <c r="E77" s="40"/>
      <c r="F77" s="95"/>
      <c r="G77" s="95"/>
      <c r="H77" s="95"/>
      <c r="I77" s="95"/>
      <c r="J77" s="95"/>
      <c r="K77" s="95"/>
      <c r="L77" s="95"/>
      <c r="M77" s="95"/>
      <c r="N77" s="95"/>
      <c r="O77" s="95"/>
      <c r="P77" s="95"/>
      <c r="Q77" s="95"/>
      <c r="R77" s="95"/>
      <c r="S77" s="95"/>
      <c r="T77" s="95"/>
      <c r="U77" s="95"/>
      <c r="V77" s="95"/>
      <c r="W77" s="95"/>
      <c r="X77" s="95"/>
      <c r="BB77" s="171"/>
      <c r="BC77" s="180"/>
      <c r="BD77" s="179"/>
      <c r="BH77" s="589" t="str">
        <f t="shared" si="9"/>
        <v>Total with Payments</v>
      </c>
      <c r="BI77" s="629">
        <f t="shared" ref="BI77:BJ77" si="65">B116</f>
        <v>257244.19318181818</v>
      </c>
      <c r="BJ77" s="630">
        <f t="shared" si="65"/>
        <v>0</v>
      </c>
      <c r="BK77" s="589"/>
      <c r="BL77" s="589"/>
      <c r="BN77" s="161"/>
    </row>
    <row r="78" spans="1:66" x14ac:dyDescent="0.2">
      <c r="A78" s="213" t="str">
        <f>Calculations!AB31</f>
        <v xml:space="preserve">  Labor</v>
      </c>
      <c r="B78" s="696"/>
      <c r="C78" s="99"/>
      <c r="D78" s="40"/>
      <c r="E78" s="40"/>
      <c r="F78" s="95"/>
      <c r="G78" s="95"/>
      <c r="H78" s="95"/>
      <c r="I78" s="95"/>
      <c r="J78" s="95"/>
      <c r="K78" s="95"/>
      <c r="L78" s="95"/>
      <c r="M78" s="95"/>
      <c r="N78" s="95"/>
      <c r="O78" s="95"/>
      <c r="P78" s="95"/>
      <c r="Q78" s="95"/>
      <c r="R78" s="95"/>
      <c r="S78" s="95"/>
      <c r="T78" s="95"/>
      <c r="U78" s="95"/>
      <c r="V78" s="95"/>
      <c r="W78" s="95"/>
      <c r="X78" s="95"/>
      <c r="BB78" s="171"/>
      <c r="BC78" s="180"/>
      <c r="BD78" s="179"/>
      <c r="BH78" s="589" t="str">
        <f t="shared" si="9"/>
        <v>Average Annual Debt Payment (Interest and Principal)</v>
      </c>
      <c r="BI78" s="629">
        <f t="shared" ref="BI78:BJ78" si="66">B117</f>
        <v>988807.4351593625</v>
      </c>
      <c r="BJ78" s="630">
        <f t="shared" si="66"/>
        <v>0</v>
      </c>
      <c r="BK78" s="589"/>
      <c r="BL78" s="589"/>
    </row>
    <row r="79" spans="1:66" x14ac:dyDescent="0.2">
      <c r="A79" s="373" t="str">
        <f>Calculations!AB32</f>
        <v xml:space="preserve">    Positions (new bays/circuits)</v>
      </c>
      <c r="B79" s="696">
        <f>Calculations!AC32</f>
        <v>2092500</v>
      </c>
      <c r="C79" s="99">
        <f>Calculations!AD32</f>
        <v>0.2</v>
      </c>
      <c r="D79" s="40"/>
      <c r="E79" s="40"/>
      <c r="F79" s="95"/>
      <c r="G79" s="95"/>
      <c r="H79" s="95"/>
      <c r="I79" s="95"/>
      <c r="J79" s="95"/>
      <c r="K79" s="95"/>
      <c r="L79" s="95"/>
      <c r="M79" s="95"/>
      <c r="N79" s="95"/>
      <c r="O79" s="95"/>
      <c r="P79" s="95"/>
      <c r="Q79" s="95"/>
      <c r="R79" s="95"/>
      <c r="S79" s="95"/>
      <c r="T79" s="95"/>
      <c r="U79" s="95"/>
      <c r="V79" s="95"/>
      <c r="W79" s="95"/>
      <c r="X79" s="95"/>
      <c r="BB79" s="171"/>
      <c r="BC79" s="131"/>
      <c r="BD79" s="180"/>
      <c r="BE79" s="179"/>
      <c r="BH79" s="589" t="str">
        <f t="shared" si="9"/>
        <v>Average Annual Equity Payment Individual (Interest and Principal)</v>
      </c>
      <c r="BI79" s="629">
        <f t="shared" ref="BI79:BJ79" si="67">B118</f>
        <v>0</v>
      </c>
      <c r="BJ79" s="630">
        <f t="shared" si="67"/>
        <v>0</v>
      </c>
      <c r="BK79" s="589"/>
      <c r="BL79" s="589"/>
    </row>
    <row r="80" spans="1:66" x14ac:dyDescent="0.2">
      <c r="A80" s="373" t="str">
        <f>Calculations!AB33</f>
        <v xml:space="preserve">    New Substation</v>
      </c>
      <c r="B80" s="696">
        <f>Calculations!AC33</f>
        <v>744000</v>
      </c>
      <c r="C80" s="99">
        <f>Calculations!AD33</f>
        <v>0.3</v>
      </c>
      <c r="D80" s="40"/>
      <c r="E80" s="40"/>
      <c r="F80" s="95"/>
      <c r="G80" s="95"/>
      <c r="H80" s="95"/>
      <c r="I80" s="95"/>
      <c r="J80" s="95"/>
      <c r="K80" s="95"/>
      <c r="L80" s="95"/>
      <c r="M80" s="95"/>
      <c r="N80" s="95"/>
      <c r="O80" s="95"/>
      <c r="P80" s="95"/>
      <c r="Q80" s="95"/>
      <c r="R80" s="95"/>
      <c r="S80" s="95"/>
      <c r="T80" s="95"/>
      <c r="U80" s="95"/>
      <c r="V80" s="95"/>
      <c r="W80" s="95"/>
      <c r="X80" s="95"/>
      <c r="BB80" s="74"/>
      <c r="BC80" s="327"/>
      <c r="BD80" s="178"/>
      <c r="BE80" s="179"/>
      <c r="BH80" s="589" t="str">
        <f t="shared" si="9"/>
        <v>Average Annual Equity Payment Corporate (Interest and Principal)</v>
      </c>
      <c r="BI80" s="629">
        <f t="shared" ref="BI80:BJ80" si="68">B119</f>
        <v>2680868.6784097627</v>
      </c>
      <c r="BJ80" s="630">
        <f t="shared" si="68"/>
        <v>0</v>
      </c>
      <c r="BK80" s="589"/>
      <c r="BL80" s="589"/>
    </row>
    <row r="81" spans="1:64" s="462" customFormat="1" x14ac:dyDescent="0.2">
      <c r="A81" s="373" t="str">
        <f>Calculations!AB34</f>
        <v xml:space="preserve">    Existing Substation Facilities (upgrades)</v>
      </c>
      <c r="B81" s="696">
        <f>Calculations!AC34</f>
        <v>27900</v>
      </c>
      <c r="C81" s="99">
        <f>Calculations!AD34</f>
        <v>0.2</v>
      </c>
      <c r="D81" s="40"/>
      <c r="E81" s="40"/>
      <c r="F81" s="95"/>
      <c r="G81" s="95"/>
      <c r="H81" s="95"/>
      <c r="I81" s="95"/>
      <c r="J81" s="95"/>
      <c r="K81" s="95"/>
      <c r="L81" s="95"/>
      <c r="M81" s="95"/>
      <c r="N81" s="95"/>
      <c r="O81" s="95"/>
      <c r="P81" s="95"/>
      <c r="Q81" s="95"/>
      <c r="R81" s="95"/>
      <c r="S81" s="95"/>
      <c r="T81" s="95"/>
      <c r="U81" s="95"/>
      <c r="V81" s="95"/>
      <c r="W81" s="95"/>
      <c r="X81" s="95"/>
      <c r="BB81" s="74"/>
      <c r="BC81" s="327"/>
      <c r="BD81" s="178"/>
      <c r="BE81" s="179"/>
      <c r="BH81" s="589" t="str">
        <f t="shared" ref="BH81:BH113" si="69">A120</f>
        <v>Property Taxes</v>
      </c>
      <c r="BI81" s="629">
        <f t="shared" ref="BI81:BJ81" si="70">B120</f>
        <v>0</v>
      </c>
      <c r="BJ81" s="630">
        <f t="shared" si="70"/>
        <v>1</v>
      </c>
      <c r="BK81" s="589"/>
      <c r="BL81" s="589"/>
    </row>
    <row r="82" spans="1:64" x14ac:dyDescent="0.2">
      <c r="A82" s="373" t="str">
        <f>Calculations!AB36</f>
        <v xml:space="preserve">    Converter Station</v>
      </c>
      <c r="B82" s="696">
        <f>Calculations!AC36</f>
        <v>0</v>
      </c>
      <c r="C82" s="99">
        <f>Calculations!AD36</f>
        <v>0.05</v>
      </c>
      <c r="D82" s="192"/>
      <c r="E82" s="192"/>
      <c r="F82" s="95"/>
      <c r="G82" s="95"/>
      <c r="H82" s="95"/>
      <c r="I82" s="95"/>
      <c r="J82" s="95"/>
      <c r="K82" s="95"/>
      <c r="L82" s="95"/>
      <c r="M82" s="95"/>
      <c r="N82" s="95"/>
      <c r="O82" s="95"/>
      <c r="P82" s="95"/>
      <c r="Q82" s="95"/>
      <c r="R82" s="95"/>
      <c r="S82" s="95"/>
      <c r="T82" s="95"/>
      <c r="U82" s="95"/>
      <c r="V82" s="95"/>
      <c r="W82" s="95"/>
      <c r="X82" s="95"/>
      <c r="BB82" s="171"/>
      <c r="BC82" s="180"/>
      <c r="BD82" s="179"/>
      <c r="BH82" s="589" t="str">
        <f t="shared" si="69"/>
        <v>Total</v>
      </c>
      <c r="BI82" s="629">
        <f t="shared" ref="BI82" si="71">B121</f>
        <v>3926920.3067509434</v>
      </c>
      <c r="BJ82" s="630"/>
      <c r="BK82" s="589"/>
      <c r="BL82" s="589"/>
    </row>
    <row r="83" spans="1:64" x14ac:dyDescent="0.2">
      <c r="A83" s="373" t="str">
        <f>Calculations!AB37</f>
        <v xml:space="preserve">  Subtotal Labor</v>
      </c>
      <c r="B83" s="696">
        <f>Calculations!AC37</f>
        <v>2864400</v>
      </c>
      <c r="C83" s="99"/>
      <c r="D83" s="40"/>
      <c r="E83" s="40"/>
      <c r="F83" s="95"/>
      <c r="G83" s="95"/>
      <c r="H83" s="95"/>
      <c r="I83" s="95"/>
      <c r="J83" s="95"/>
      <c r="K83" s="95"/>
      <c r="L83" s="95"/>
      <c r="M83" s="95"/>
      <c r="N83" s="95"/>
      <c r="O83" s="95"/>
      <c r="P83" s="95"/>
      <c r="Q83" s="95"/>
      <c r="R83" s="95"/>
      <c r="S83" s="95"/>
      <c r="T83" s="95"/>
      <c r="U83" s="95"/>
      <c r="V83" s="95"/>
      <c r="W83" s="95"/>
      <c r="X83" s="95"/>
      <c r="BB83" s="171"/>
      <c r="BC83" s="325"/>
      <c r="BD83" s="179"/>
      <c r="BH83" s="589"/>
      <c r="BI83" s="589"/>
      <c r="BJ83" s="630"/>
      <c r="BK83" s="589"/>
      <c r="BL83" s="589"/>
    </row>
    <row r="84" spans="1:64" x14ac:dyDescent="0.2">
      <c r="A84" s="617" t="s">
        <v>494</v>
      </c>
      <c r="B84" s="696">
        <f>Calculations!AC38</f>
        <v>10134400</v>
      </c>
      <c r="C84" s="99"/>
      <c r="D84" s="40"/>
      <c r="E84" s="40"/>
      <c r="F84" s="95"/>
      <c r="G84" s="95"/>
      <c r="H84" s="95"/>
      <c r="I84" s="95"/>
      <c r="J84" s="95"/>
      <c r="K84" s="95"/>
      <c r="L84" s="95"/>
      <c r="M84" s="95"/>
      <c r="N84" s="95"/>
      <c r="O84" s="95"/>
      <c r="P84" s="95"/>
      <c r="Q84" s="95"/>
      <c r="R84" s="95"/>
      <c r="S84" s="95"/>
      <c r="T84" s="95"/>
      <c r="U84" s="95"/>
      <c r="V84" s="95"/>
      <c r="W84" s="95"/>
      <c r="X84" s="95"/>
      <c r="BB84" s="171"/>
      <c r="BC84" s="325"/>
      <c r="BD84" s="179"/>
      <c r="BH84" s="589" t="str">
        <f t="shared" si="69"/>
        <v>Other Parameters</v>
      </c>
      <c r="BI84" s="589"/>
      <c r="BJ84" s="630"/>
      <c r="BK84" s="589"/>
      <c r="BL84" s="589"/>
    </row>
    <row r="85" spans="1:64" x14ac:dyDescent="0.2">
      <c r="A85" s="213" t="s">
        <v>493</v>
      </c>
      <c r="B85" s="696"/>
      <c r="C85" s="99"/>
      <c r="D85" s="201"/>
      <c r="E85" s="201"/>
      <c r="F85" s="95"/>
      <c r="G85" s="95"/>
      <c r="H85" s="95"/>
      <c r="I85" s="95"/>
      <c r="J85" s="95"/>
      <c r="K85" s="95"/>
      <c r="L85" s="95"/>
      <c r="M85" s="95"/>
      <c r="N85" s="95"/>
      <c r="O85" s="95"/>
      <c r="P85" s="95"/>
      <c r="Q85" s="95"/>
      <c r="R85" s="95"/>
      <c r="S85" s="95"/>
      <c r="T85" s="95"/>
      <c r="U85" s="95"/>
      <c r="V85" s="95"/>
      <c r="W85" s="95"/>
      <c r="X85" s="95"/>
      <c r="BB85" s="171"/>
      <c r="BC85" s="325"/>
      <c r="BD85" s="179"/>
      <c r="BH85" s="589"/>
      <c r="BI85" s="589"/>
      <c r="BJ85" s="630" t="str">
        <f t="shared" ref="BJ85" si="72">C124</f>
        <v>Local Share</v>
      </c>
      <c r="BK85" s="589"/>
      <c r="BL85" s="589"/>
    </row>
    <row r="86" spans="1:64" x14ac:dyDescent="0.2">
      <c r="A86" s="373" t="str">
        <f>Calculations!AB45</f>
        <v xml:space="preserve">  Substation Management Services (Site mgmt, legal, lands, PR, etc.)</v>
      </c>
      <c r="B86" s="696">
        <f>Calculations!AC45</f>
        <v>222000</v>
      </c>
      <c r="C86" s="99">
        <f>Calculations!AD45</f>
        <v>0.5</v>
      </c>
      <c r="D86" s="40"/>
      <c r="E86" s="40"/>
      <c r="F86" s="95"/>
      <c r="G86" s="95"/>
      <c r="H86" s="95"/>
      <c r="I86" s="95"/>
      <c r="J86" s="95"/>
      <c r="K86" s="95"/>
      <c r="L86" s="95"/>
      <c r="M86" s="95"/>
      <c r="N86" s="95"/>
      <c r="O86" s="95"/>
      <c r="P86" s="95"/>
      <c r="Q86" s="95"/>
      <c r="R86" s="95"/>
      <c r="S86" s="95"/>
      <c r="T86" s="95"/>
      <c r="U86" s="95"/>
      <c r="V86" s="95"/>
      <c r="W86" s="95"/>
      <c r="X86" s="95"/>
      <c r="BB86" s="171"/>
      <c r="BC86" s="325"/>
      <c r="BD86" s="179"/>
      <c r="BH86" s="589" t="str">
        <f t="shared" si="69"/>
        <v>Financial Parameters</v>
      </c>
      <c r="BI86" s="589"/>
      <c r="BJ86" s="630"/>
      <c r="BK86" s="589"/>
      <c r="BL86" s="589"/>
    </row>
    <row r="87" spans="1:64" x14ac:dyDescent="0.2">
      <c r="A87" s="373" t="str">
        <f>Calculations!AB46</f>
        <v xml:space="preserve">  Substation Engineering, Const Mgmt, &amp; Environmental Monitoring</v>
      </c>
      <c r="B87" s="696">
        <f>Calculations!AC46</f>
        <v>1110000</v>
      </c>
      <c r="C87" s="99">
        <f>Calculations!AD46</f>
        <v>0.2</v>
      </c>
      <c r="D87" s="40"/>
      <c r="E87" s="40"/>
      <c r="F87" s="95"/>
      <c r="G87" s="95"/>
      <c r="H87" s="95"/>
      <c r="I87" s="95"/>
      <c r="J87" s="95"/>
      <c r="K87" s="95"/>
      <c r="L87" s="95"/>
      <c r="M87" s="95"/>
      <c r="N87" s="95"/>
      <c r="O87" s="95"/>
      <c r="P87" s="95"/>
      <c r="Q87" s="95"/>
      <c r="R87" s="95"/>
      <c r="S87" s="95"/>
      <c r="T87" s="95"/>
      <c r="U87" s="95"/>
      <c r="V87" s="95"/>
      <c r="W87" s="95"/>
      <c r="X87" s="95"/>
      <c r="BB87" s="171"/>
      <c r="BC87" s="325"/>
      <c r="BD87" s="179"/>
      <c r="BH87" s="589" t="str">
        <f t="shared" si="69"/>
        <v>Debt Financing</v>
      </c>
      <c r="BI87" s="589"/>
      <c r="BJ87" s="630"/>
      <c r="BK87" s="589"/>
      <c r="BL87" s="589"/>
    </row>
    <row r="88" spans="1:64" x14ac:dyDescent="0.2">
      <c r="A88" s="373" t="str">
        <f>Calculations!AB47</f>
        <v xml:space="preserve"> Subtotal</v>
      </c>
      <c r="B88" s="696">
        <f>Calculations!AC47</f>
        <v>1332000</v>
      </c>
      <c r="C88" s="99">
        <f>Calculations!AD47</f>
        <v>0</v>
      </c>
      <c r="D88" s="40"/>
      <c r="E88" s="40"/>
      <c r="F88" s="95"/>
      <c r="G88" s="95"/>
      <c r="H88" s="95"/>
      <c r="I88" s="95"/>
      <c r="J88" s="95"/>
      <c r="K88" s="95"/>
      <c r="L88" s="95"/>
      <c r="M88" s="95"/>
      <c r="N88" s="95"/>
      <c r="O88" s="95"/>
      <c r="P88" s="95"/>
      <c r="Q88" s="95"/>
      <c r="R88" s="95"/>
      <c r="S88" s="95"/>
      <c r="T88" s="95"/>
      <c r="U88" s="95"/>
      <c r="V88" s="95"/>
      <c r="W88" s="95"/>
      <c r="X88" s="95"/>
      <c r="BB88" s="171"/>
      <c r="BC88" s="325"/>
      <c r="BD88" s="179"/>
      <c r="BH88" s="589" t="str">
        <f t="shared" si="69"/>
        <v xml:space="preserve">  Percentage financed</v>
      </c>
      <c r="BI88" s="633">
        <f t="shared" ref="BI88" si="73">B127</f>
        <v>0.48</v>
      </c>
      <c r="BJ88" s="633">
        <f>IF(C127="","",C127)</f>
        <v>0</v>
      </c>
      <c r="BK88" s="589"/>
      <c r="BL88" s="589"/>
    </row>
    <row r="89" spans="1:64" s="462" customFormat="1" x14ac:dyDescent="0.2">
      <c r="A89" s="373" t="str">
        <f>Calculations!AB49</f>
        <v xml:space="preserve">  Environmental Mitigation</v>
      </c>
      <c r="B89" s="696">
        <f>Calculations!AC49</f>
        <v>0</v>
      </c>
      <c r="C89" s="99">
        <f>Calculations!AD49</f>
        <v>0.7</v>
      </c>
      <c r="D89" s="40"/>
      <c r="E89" s="40"/>
      <c r="F89" s="95"/>
      <c r="G89" s="95"/>
      <c r="H89" s="95"/>
      <c r="I89" s="95"/>
      <c r="J89" s="95"/>
      <c r="K89" s="95"/>
      <c r="L89" s="95"/>
      <c r="M89" s="95"/>
      <c r="N89" s="95"/>
      <c r="O89" s="95"/>
      <c r="P89" s="95"/>
      <c r="Q89" s="95"/>
      <c r="R89" s="95"/>
      <c r="S89" s="95"/>
      <c r="T89" s="95"/>
      <c r="U89" s="95"/>
      <c r="V89" s="95"/>
      <c r="W89" s="95"/>
      <c r="X89" s="95"/>
      <c r="BB89" s="171"/>
      <c r="BC89" s="325"/>
      <c r="BD89" s="179"/>
      <c r="BH89" s="589" t="str">
        <f t="shared" si="69"/>
        <v xml:space="preserve">  Years financed (term)</v>
      </c>
      <c r="BI89" s="608">
        <f t="shared" ref="BI89" si="74">B128</f>
        <v>40</v>
      </c>
      <c r="BJ89" s="633" t="str">
        <f t="shared" ref="BJ89:BJ91" si="75">IF(C128="","",C128)</f>
        <v/>
      </c>
      <c r="BK89" s="589"/>
      <c r="BL89" s="589"/>
    </row>
    <row r="90" spans="1:64" x14ac:dyDescent="0.2">
      <c r="A90" s="373" t="str">
        <f>Calculations!AB50</f>
        <v xml:space="preserve">  System Operator and Regulator Fees</v>
      </c>
      <c r="B90" s="696">
        <f>Calculations!AC50</f>
        <v>0</v>
      </c>
      <c r="C90" s="99">
        <f>Calculations!AD50</f>
        <v>0.1</v>
      </c>
      <c r="D90" s="40"/>
      <c r="E90" s="40"/>
      <c r="F90" s="95"/>
      <c r="G90" s="95"/>
      <c r="H90" s="95"/>
      <c r="I90" s="95"/>
      <c r="J90" s="95"/>
      <c r="K90" s="95"/>
      <c r="L90" s="95"/>
      <c r="M90" s="95"/>
      <c r="N90" s="95"/>
      <c r="O90" s="95"/>
      <c r="P90" s="95"/>
      <c r="Q90" s="95"/>
      <c r="R90" s="95"/>
      <c r="S90" s="95"/>
      <c r="T90" s="95"/>
      <c r="U90" s="95"/>
      <c r="V90" s="95"/>
      <c r="W90" s="95"/>
      <c r="X90" s="95"/>
      <c r="BB90" s="171"/>
      <c r="BC90" s="131"/>
      <c r="BD90" s="220"/>
      <c r="BE90" s="179"/>
      <c r="BH90" s="589" t="str">
        <f t="shared" si="69"/>
        <v xml:space="preserve">  Interest rate</v>
      </c>
      <c r="BI90" s="634">
        <f t="shared" ref="BI90" si="76">B129</f>
        <v>6.3E-2</v>
      </c>
      <c r="BJ90" s="633" t="str">
        <f t="shared" si="75"/>
        <v/>
      </c>
      <c r="BK90" s="589"/>
      <c r="BL90" s="589"/>
    </row>
    <row r="91" spans="1:64" x14ac:dyDescent="0.2">
      <c r="A91" s="373" t="str">
        <f>Calculations!AB51</f>
        <v xml:space="preserve">  Miscellanous Business Services and Utilities</v>
      </c>
      <c r="B91" s="696">
        <f>Calculations!AC51</f>
        <v>0</v>
      </c>
      <c r="C91" s="99">
        <f>Calculations!AD51</f>
        <v>0.2</v>
      </c>
      <c r="D91" s="40"/>
      <c r="E91" s="40"/>
      <c r="F91" s="95"/>
      <c r="G91" s="95"/>
      <c r="H91" s="95"/>
      <c r="I91" s="95"/>
      <c r="J91" s="95"/>
      <c r="K91" s="95"/>
      <c r="L91" s="95"/>
      <c r="M91" s="95"/>
      <c r="N91" s="95"/>
      <c r="O91" s="95"/>
      <c r="P91" s="95"/>
      <c r="Q91" s="95"/>
      <c r="R91" s="95"/>
      <c r="S91" s="95"/>
      <c r="T91" s="95"/>
      <c r="U91" s="95"/>
      <c r="V91" s="95"/>
      <c r="W91" s="95"/>
      <c r="X91" s="95"/>
      <c r="BB91" s="74"/>
      <c r="BC91" s="131"/>
      <c r="BD91" s="220"/>
      <c r="BE91" s="179"/>
      <c r="BH91" s="589" t="str">
        <f t="shared" si="69"/>
        <v xml:space="preserve">  Average Annual Payment (Interest and Principal)</v>
      </c>
      <c r="BI91" s="635">
        <f t="shared" ref="BI91" si="77">B130</f>
        <v>988807.4351593625</v>
      </c>
      <c r="BJ91" s="633" t="str">
        <f t="shared" si="75"/>
        <v/>
      </c>
      <c r="BK91" s="589"/>
      <c r="BL91" s="589"/>
    </row>
    <row r="92" spans="1:64" x14ac:dyDescent="0.2">
      <c r="A92" s="373" t="str">
        <f>Calculations!AB52</f>
        <v xml:space="preserve">  Construction Insurance (Substation)</v>
      </c>
      <c r="B92" s="696">
        <f>Calculations!AC52</f>
        <v>55500</v>
      </c>
      <c r="C92" s="99">
        <f>Calculations!AD52</f>
        <v>0</v>
      </c>
      <c r="D92" s="40"/>
      <c r="E92" s="40"/>
      <c r="F92" s="95"/>
      <c r="G92" s="95"/>
      <c r="H92" s="95"/>
      <c r="I92" s="95"/>
      <c r="J92" s="95"/>
      <c r="K92" s="95"/>
      <c r="L92" s="95"/>
      <c r="M92" s="95"/>
      <c r="N92" s="95"/>
      <c r="O92" s="95"/>
      <c r="P92" s="95"/>
      <c r="Q92" s="95"/>
      <c r="R92" s="95"/>
      <c r="S92" s="95"/>
      <c r="T92" s="95"/>
      <c r="U92" s="95"/>
      <c r="V92" s="95"/>
      <c r="W92" s="95"/>
      <c r="X92" s="95"/>
      <c r="BB92" s="171"/>
      <c r="BC92" s="181"/>
      <c r="BD92" s="179"/>
      <c r="BH92" s="589" t="str">
        <f t="shared" si="69"/>
        <v>Equity Financing/Repayment</v>
      </c>
      <c r="BI92" s="608"/>
      <c r="BJ92" s="633"/>
      <c r="BK92" s="589"/>
      <c r="BL92" s="589"/>
    </row>
    <row r="93" spans="1:64" x14ac:dyDescent="0.2">
      <c r="A93" s="373" t="str">
        <f>Calculations!AB53</f>
        <v xml:space="preserve"> Subtotal Other Costs</v>
      </c>
      <c r="B93" s="696">
        <f>Calculations!AC53</f>
        <v>55500</v>
      </c>
      <c r="C93" s="99"/>
      <c r="D93" s="40"/>
      <c r="E93" s="40"/>
      <c r="F93" s="95"/>
      <c r="G93" s="95"/>
      <c r="H93" s="95"/>
      <c r="I93" s="95"/>
      <c r="J93" s="95"/>
      <c r="K93" s="95"/>
      <c r="L93" s="95"/>
      <c r="M93" s="95"/>
      <c r="N93" s="95"/>
      <c r="O93" s="95"/>
      <c r="P93" s="95"/>
      <c r="Q93" s="95"/>
      <c r="R93" s="95"/>
      <c r="S93" s="95"/>
      <c r="T93" s="95"/>
      <c r="U93" s="95"/>
      <c r="V93" s="95"/>
      <c r="W93" s="95"/>
      <c r="X93" s="95"/>
      <c r="BB93" s="171"/>
      <c r="BC93" s="240"/>
      <c r="BD93" s="179"/>
      <c r="BH93" s="589" t="str">
        <f t="shared" si="69"/>
        <v xml:space="preserve">  Percentage equity</v>
      </c>
      <c r="BI93" s="633">
        <f t="shared" ref="BI93" si="78">B132</f>
        <v>0.52</v>
      </c>
      <c r="BJ93" s="633" t="str">
        <f t="shared" ref="BJ93:BJ105" si="79">IF(C132="","",C132)</f>
        <v/>
      </c>
      <c r="BK93" s="589"/>
      <c r="BL93" s="589"/>
    </row>
    <row r="94" spans="1:64" x14ac:dyDescent="0.2">
      <c r="A94" s="617" t="str">
        <f>Calculations!AB54</f>
        <v xml:space="preserve"> Total Services/Other Costs</v>
      </c>
      <c r="B94" s="696">
        <f>Calculations!AC54</f>
        <v>1387500</v>
      </c>
      <c r="C94" s="99"/>
      <c r="D94" s="40"/>
      <c r="E94" s="40"/>
      <c r="F94" s="95"/>
      <c r="G94" s="95"/>
      <c r="H94" s="95"/>
      <c r="I94" s="95"/>
      <c r="J94" s="95"/>
      <c r="K94" s="95"/>
      <c r="L94" s="95"/>
      <c r="M94" s="95"/>
      <c r="N94" s="95"/>
      <c r="O94" s="95"/>
      <c r="P94" s="95"/>
      <c r="Q94" s="95"/>
      <c r="R94" s="95"/>
      <c r="S94" s="95"/>
      <c r="T94" s="95"/>
      <c r="U94" s="95"/>
      <c r="V94" s="95"/>
      <c r="W94" s="95"/>
      <c r="X94" s="95"/>
      <c r="BB94" s="171"/>
      <c r="BC94" s="181"/>
      <c r="BD94" s="179"/>
      <c r="BH94" s="589" t="str">
        <f t="shared" si="69"/>
        <v xml:space="preserve">  Individual Investors (percent of equity)</v>
      </c>
      <c r="BI94" s="633">
        <f t="shared" ref="BI94" si="80">B133</f>
        <v>0</v>
      </c>
      <c r="BJ94" s="633">
        <f t="shared" si="79"/>
        <v>0</v>
      </c>
      <c r="BK94" s="589"/>
      <c r="BL94" s="589"/>
    </row>
    <row r="95" spans="1:64" s="462" customFormat="1" x14ac:dyDescent="0.2">
      <c r="A95" s="213" t="str">
        <f>Calculations!AB55</f>
        <v>Subtotal All Costs (without sales tax)</v>
      </c>
      <c r="B95" s="696">
        <f>Calculations!AC55</f>
        <v>30040572.907128841</v>
      </c>
      <c r="C95" s="99"/>
      <c r="D95" s="40"/>
      <c r="E95" s="40"/>
      <c r="F95" s="95"/>
      <c r="G95" s="95"/>
      <c r="H95" s="95"/>
      <c r="I95" s="95"/>
      <c r="J95" s="95"/>
      <c r="K95" s="95"/>
      <c r="L95" s="95"/>
      <c r="M95" s="95"/>
      <c r="N95" s="95"/>
      <c r="O95" s="95"/>
      <c r="P95" s="95"/>
      <c r="Q95" s="95"/>
      <c r="R95" s="95"/>
      <c r="S95" s="95"/>
      <c r="T95" s="95"/>
      <c r="U95" s="95"/>
      <c r="V95" s="95"/>
      <c r="W95" s="95"/>
      <c r="X95" s="95"/>
      <c r="BB95" s="171"/>
      <c r="BC95" s="181"/>
      <c r="BD95" s="179"/>
      <c r="BH95" s="589" t="str">
        <f t="shared" si="69"/>
        <v xml:space="preserve">  Corporate Investors (percent of equity)</v>
      </c>
      <c r="BI95" s="633">
        <f t="shared" ref="BI95" si="81">B134</f>
        <v>1</v>
      </c>
      <c r="BJ95" s="633">
        <f t="shared" si="79"/>
        <v>0</v>
      </c>
      <c r="BK95" s="589"/>
      <c r="BL95" s="589"/>
    </row>
    <row r="96" spans="1:64" x14ac:dyDescent="0.2">
      <c r="A96" s="213" t="str">
        <f>Calculations!AB56</f>
        <v>Sales Tax (Materials &amp; Equipment Purchases)</v>
      </c>
      <c r="B96" s="696">
        <f>Calculations!AC56</f>
        <v>1007500</v>
      </c>
      <c r="C96" s="99">
        <f>Calculations!AD56</f>
        <v>1</v>
      </c>
      <c r="D96" s="40"/>
      <c r="E96" s="40"/>
      <c r="F96" s="95"/>
      <c r="G96" s="95"/>
      <c r="H96" s="95"/>
      <c r="I96" s="95"/>
      <c r="J96" s="95"/>
      <c r="K96" s="95"/>
      <c r="L96" s="95"/>
      <c r="M96" s="95"/>
      <c r="N96" s="95"/>
      <c r="O96" s="95"/>
      <c r="P96" s="95"/>
      <c r="Q96" s="95"/>
      <c r="R96" s="95"/>
      <c r="S96" s="95"/>
      <c r="T96" s="95"/>
      <c r="U96" s="95"/>
      <c r="V96" s="95"/>
      <c r="W96" s="95"/>
      <c r="X96" s="95"/>
      <c r="BB96" s="171"/>
      <c r="BC96" s="220"/>
      <c r="BD96" s="179"/>
      <c r="BH96" s="589" t="str">
        <f t="shared" si="69"/>
        <v xml:space="preserve">  Return on equity</v>
      </c>
      <c r="BI96" s="633">
        <f t="shared" ref="BI96" si="82">B135</f>
        <v>0.114</v>
      </c>
      <c r="BJ96" s="633" t="str">
        <f t="shared" si="79"/>
        <v/>
      </c>
      <c r="BK96" s="589"/>
      <c r="BL96" s="589"/>
    </row>
    <row r="97" spans="1:64" x14ac:dyDescent="0.2">
      <c r="A97" s="213" t="str">
        <f>Calculations!AB57</f>
        <v>Total Project Cost</v>
      </c>
      <c r="B97" s="696">
        <f>Calculations!AC57</f>
        <v>29859436.543492477</v>
      </c>
      <c r="C97" s="99"/>
      <c r="D97" s="40"/>
      <c r="E97" s="40"/>
      <c r="F97" s="95"/>
      <c r="G97" s="95"/>
      <c r="H97" s="95"/>
      <c r="I97" s="95"/>
      <c r="J97" s="95"/>
      <c r="K97" s="95"/>
      <c r="L97" s="95"/>
      <c r="M97" s="95"/>
      <c r="N97" s="95"/>
      <c r="O97" s="95"/>
      <c r="P97" s="95"/>
      <c r="Q97" s="95"/>
      <c r="R97" s="95"/>
      <c r="S97" s="95"/>
      <c r="T97" s="95"/>
      <c r="U97" s="95"/>
      <c r="V97" s="95"/>
      <c r="W97" s="95"/>
      <c r="X97" s="95"/>
      <c r="BB97" s="171"/>
      <c r="BC97" s="220"/>
      <c r="BD97" s="179"/>
      <c r="BH97" s="589" t="str">
        <f t="shared" si="69"/>
        <v xml:space="preserve">  Repayment term (years)</v>
      </c>
      <c r="BI97" s="636">
        <f t="shared" ref="BI97" si="83">B136</f>
        <v>10</v>
      </c>
      <c r="BJ97" s="633" t="str">
        <f t="shared" si="79"/>
        <v/>
      </c>
      <c r="BK97" s="589"/>
      <c r="BL97" s="589"/>
    </row>
    <row r="98" spans="1:64" x14ac:dyDescent="0.2">
      <c r="A98" s="373"/>
      <c r="B98" s="202"/>
      <c r="C98" s="99"/>
      <c r="D98" s="40"/>
      <c r="E98" s="40"/>
      <c r="F98" s="95"/>
      <c r="G98" s="95"/>
      <c r="H98" s="95"/>
      <c r="I98" s="95"/>
      <c r="J98" s="95"/>
      <c r="K98" s="95"/>
      <c r="L98" s="95"/>
      <c r="M98" s="95"/>
      <c r="N98" s="95"/>
      <c r="O98" s="95"/>
      <c r="P98" s="95"/>
      <c r="Q98" s="95"/>
      <c r="R98" s="95"/>
      <c r="S98" s="95"/>
      <c r="T98" s="95"/>
      <c r="U98" s="95"/>
      <c r="V98" s="95"/>
      <c r="W98" s="95"/>
      <c r="X98" s="95"/>
      <c r="BB98" s="171"/>
      <c r="BC98" s="220"/>
      <c r="BD98" s="179"/>
      <c r="BH98" s="589" t="str">
        <f t="shared" si="69"/>
        <v>Tax Parameters</v>
      </c>
      <c r="BI98" s="608"/>
      <c r="BJ98" s="633" t="str">
        <f t="shared" si="79"/>
        <v/>
      </c>
      <c r="BK98" s="589"/>
      <c r="BL98" s="589"/>
    </row>
    <row r="99" spans="1:64" x14ac:dyDescent="0.2">
      <c r="A99" s="373"/>
      <c r="B99" s="202"/>
      <c r="C99" s="99"/>
      <c r="D99" s="40"/>
      <c r="E99" s="40"/>
      <c r="F99" s="95"/>
      <c r="G99" s="95"/>
      <c r="H99" s="95"/>
      <c r="I99" s="95"/>
      <c r="J99" s="95"/>
      <c r="K99" s="95"/>
      <c r="L99" s="95"/>
      <c r="M99" s="95"/>
      <c r="N99" s="95"/>
      <c r="O99" s="95"/>
      <c r="P99" s="95"/>
      <c r="Q99" s="95"/>
      <c r="R99" s="95"/>
      <c r="S99" s="95"/>
      <c r="T99" s="95"/>
      <c r="U99" s="95"/>
      <c r="V99" s="95"/>
      <c r="W99" s="95"/>
      <c r="X99" s="95"/>
      <c r="BB99" s="171"/>
      <c r="BC99" s="220"/>
      <c r="BD99" s="179"/>
      <c r="BH99" s="589" t="str">
        <f t="shared" si="69"/>
        <v xml:space="preserve">  Local Property Tax (percent of taxable value)</v>
      </c>
      <c r="BI99" s="633">
        <f t="shared" ref="BI99" si="84">B138</f>
        <v>0</v>
      </c>
      <c r="BJ99" s="633" t="str">
        <f t="shared" si="79"/>
        <v/>
      </c>
      <c r="BK99" s="589"/>
      <c r="BL99" s="589"/>
    </row>
    <row r="100" spans="1:64" x14ac:dyDescent="0.2">
      <c r="A100" s="213" t="str">
        <f>Calculations!AB60</f>
        <v>Annual Operating and Maintenance Costs</v>
      </c>
      <c r="B100" s="202"/>
      <c r="C100" s="99"/>
      <c r="D100" s="40"/>
      <c r="E100" s="40"/>
      <c r="F100" s="95"/>
      <c r="G100" s="95"/>
      <c r="H100" s="95"/>
      <c r="I100" s="95"/>
      <c r="J100" s="95"/>
      <c r="K100" s="95"/>
      <c r="L100" s="95"/>
      <c r="M100" s="95"/>
      <c r="N100" s="95"/>
      <c r="O100" s="95"/>
      <c r="P100" s="95"/>
      <c r="Q100" s="95"/>
      <c r="R100" s="95"/>
      <c r="S100" s="95"/>
      <c r="T100" s="95"/>
      <c r="U100" s="95"/>
      <c r="V100" s="95"/>
      <c r="W100" s="95"/>
      <c r="X100" s="95"/>
      <c r="BB100" s="171"/>
      <c r="BC100" s="220"/>
      <c r="BD100" s="179"/>
      <c r="BH100" s="589" t="str">
        <f t="shared" si="69"/>
        <v xml:space="preserve">  Assessed Value (percent of construction cost)</v>
      </c>
      <c r="BI100" s="633">
        <f t="shared" ref="BI100" si="85">B139</f>
        <v>1</v>
      </c>
      <c r="BJ100" s="633" t="str">
        <f t="shared" si="79"/>
        <v/>
      </c>
      <c r="BK100" s="589"/>
      <c r="BL100" s="589"/>
    </row>
    <row r="101" spans="1:64" x14ac:dyDescent="0.2">
      <c r="A101" s="213"/>
      <c r="B101" s="202"/>
      <c r="C101" s="99"/>
      <c r="D101" s="40"/>
      <c r="E101" s="40"/>
      <c r="F101" s="95"/>
      <c r="G101" s="95"/>
      <c r="H101" s="95"/>
      <c r="I101" s="95"/>
      <c r="J101" s="95"/>
      <c r="K101" s="95"/>
      <c r="L101" s="95"/>
      <c r="M101" s="95"/>
      <c r="N101" s="95"/>
      <c r="O101" s="95"/>
      <c r="P101" s="95"/>
      <c r="Q101" s="95"/>
      <c r="R101" s="95"/>
      <c r="S101" s="95"/>
      <c r="T101" s="95"/>
      <c r="U101" s="95"/>
      <c r="V101" s="95"/>
      <c r="W101" s="95"/>
      <c r="X101" s="95"/>
      <c r="BB101" s="171"/>
      <c r="BC101" s="239"/>
      <c r="BD101" s="179"/>
      <c r="BH101" s="589" t="str">
        <f t="shared" si="69"/>
        <v xml:space="preserve">  Taxable Value (percent of assessed value)</v>
      </c>
      <c r="BI101" s="633">
        <f t="shared" ref="BI101" si="86">B140</f>
        <v>1</v>
      </c>
      <c r="BJ101" s="633" t="str">
        <f t="shared" si="79"/>
        <v/>
      </c>
      <c r="BK101" s="589"/>
      <c r="BL101" s="589"/>
    </row>
    <row r="102" spans="1:64" s="462" customFormat="1" x14ac:dyDescent="0.2">
      <c r="A102" s="213" t="s">
        <v>602</v>
      </c>
      <c r="B102" s="546" t="str">
        <f>Calculations!AC62</f>
        <v>Cost</v>
      </c>
      <c r="C102" s="150" t="str">
        <f>Calculations!AD62</f>
        <v>Local Share</v>
      </c>
      <c r="D102" s="40"/>
      <c r="E102" s="40"/>
      <c r="F102" s="95"/>
      <c r="G102" s="95"/>
      <c r="H102" s="95"/>
      <c r="I102" s="95"/>
      <c r="J102" s="95"/>
      <c r="K102" s="95"/>
      <c r="L102" s="95"/>
      <c r="M102" s="95"/>
      <c r="N102" s="95"/>
      <c r="O102" s="95"/>
      <c r="P102" s="95"/>
      <c r="Q102" s="95"/>
      <c r="R102" s="95"/>
      <c r="S102" s="95"/>
      <c r="T102" s="95"/>
      <c r="U102" s="95"/>
      <c r="V102" s="95"/>
      <c r="W102" s="95"/>
      <c r="X102" s="95"/>
      <c r="BB102" s="171"/>
      <c r="BC102" s="239"/>
      <c r="BD102" s="179"/>
      <c r="BH102" s="589" t="str">
        <f t="shared" si="69"/>
        <v xml:space="preserve">  Taxable Value</v>
      </c>
      <c r="BI102" s="635">
        <f t="shared" ref="BI102" si="87">B141</f>
        <v>29859436.543492477</v>
      </c>
      <c r="BJ102" s="633" t="str">
        <f t="shared" si="79"/>
        <v/>
      </c>
      <c r="BK102" s="589"/>
      <c r="BL102" s="589"/>
    </row>
    <row r="103" spans="1:64" x14ac:dyDescent="0.2">
      <c r="A103" s="373" t="str">
        <f>Calculations!AB63</f>
        <v xml:space="preserve">    T-Line/ROW Labor</v>
      </c>
      <c r="B103" s="696">
        <f>Calculations!AC63</f>
        <v>139104</v>
      </c>
      <c r="C103" s="99">
        <f>Calculations!AD63</f>
        <v>0.6</v>
      </c>
      <c r="D103" s="40"/>
      <c r="E103" s="40"/>
      <c r="F103" s="95"/>
      <c r="G103" s="95"/>
      <c r="H103" s="95"/>
      <c r="I103" s="95"/>
      <c r="J103" s="95"/>
      <c r="K103" s="95"/>
      <c r="L103" s="95"/>
      <c r="M103" s="95"/>
      <c r="N103" s="95"/>
      <c r="O103" s="95"/>
      <c r="P103" s="95"/>
      <c r="Q103" s="95"/>
      <c r="R103" s="95"/>
      <c r="S103" s="95"/>
      <c r="T103" s="95"/>
      <c r="U103" s="95"/>
      <c r="V103" s="95"/>
      <c r="W103" s="95"/>
      <c r="X103" s="95"/>
      <c r="BB103" s="171"/>
      <c r="BC103" s="239"/>
      <c r="BD103" s="179"/>
      <c r="BH103" s="589" t="str">
        <f t="shared" si="69"/>
        <v xml:space="preserve">  Property Tax Exemption (percent of local taxes)</v>
      </c>
      <c r="BI103" s="633">
        <f t="shared" ref="BI103" si="88">B142</f>
        <v>0</v>
      </c>
      <c r="BJ103" s="633" t="str">
        <f t="shared" si="79"/>
        <v/>
      </c>
      <c r="BK103" s="589"/>
      <c r="BL103" s="589"/>
    </row>
    <row r="104" spans="1:64" x14ac:dyDescent="0.2">
      <c r="A104" s="373" t="str">
        <f>Calculations!AB64</f>
        <v xml:space="preserve">    T-Line/ROW Maintenance Materials</v>
      </c>
      <c r="B104" s="696">
        <f>Calculations!AC64</f>
        <v>34400</v>
      </c>
      <c r="C104" s="99">
        <f>Calculations!AD64</f>
        <v>0.1</v>
      </c>
      <c r="D104" s="40"/>
      <c r="E104" s="40"/>
      <c r="F104" s="95"/>
      <c r="G104" s="95"/>
      <c r="H104" s="95"/>
      <c r="I104" s="95"/>
      <c r="J104" s="95"/>
      <c r="K104" s="95"/>
      <c r="L104" s="95"/>
      <c r="M104" s="95"/>
      <c r="N104" s="95"/>
      <c r="O104" s="95"/>
      <c r="P104" s="95"/>
      <c r="Q104" s="95"/>
      <c r="R104" s="95"/>
      <c r="S104" s="95"/>
      <c r="T104" s="95"/>
      <c r="U104" s="95"/>
      <c r="V104" s="95"/>
      <c r="W104" s="95"/>
      <c r="X104" s="95"/>
      <c r="BB104" s="171"/>
      <c r="BC104" s="145"/>
      <c r="BD104" s="179"/>
      <c r="BH104" s="589" t="str">
        <f t="shared" si="69"/>
        <v xml:space="preserve">  Local Property Taxes</v>
      </c>
      <c r="BI104" s="635">
        <f t="shared" ref="BI104" si="89">B143</f>
        <v>0</v>
      </c>
      <c r="BJ104" s="633">
        <f t="shared" si="79"/>
        <v>1</v>
      </c>
      <c r="BK104" s="589"/>
      <c r="BL104" s="589"/>
    </row>
    <row r="105" spans="1:64" x14ac:dyDescent="0.2">
      <c r="A105" s="373" t="str">
        <f>Calculations!AB65</f>
        <v xml:space="preserve">    Insurance</v>
      </c>
      <c r="B105" s="696">
        <f>Calculations!AC65</f>
        <v>20000</v>
      </c>
      <c r="C105" s="99">
        <f>Calculations!AD65</f>
        <v>0</v>
      </c>
      <c r="D105" s="40"/>
      <c r="E105" s="40"/>
      <c r="F105" s="95"/>
      <c r="G105" s="95"/>
      <c r="H105" s="95"/>
      <c r="I105" s="95"/>
      <c r="J105" s="95"/>
      <c r="K105" s="95"/>
      <c r="L105" s="95"/>
      <c r="M105" s="95"/>
      <c r="N105" s="95"/>
      <c r="O105" s="95"/>
      <c r="P105" s="95"/>
      <c r="Q105" s="95"/>
      <c r="R105" s="95"/>
      <c r="S105" s="95"/>
      <c r="T105" s="95"/>
      <c r="U105" s="95"/>
      <c r="V105" s="95"/>
      <c r="W105" s="95"/>
      <c r="X105" s="95"/>
      <c r="BB105" s="175"/>
      <c r="BC105" s="239"/>
      <c r="BH105" s="589" t="str">
        <f t="shared" si="69"/>
        <v xml:space="preserve">  Local Sales Tax Rate</v>
      </c>
      <c r="BI105" s="638">
        <f t="shared" ref="BI105" si="90">B144</f>
        <v>6.25E-2</v>
      </c>
      <c r="BJ105" s="633">
        <f t="shared" si="79"/>
        <v>1</v>
      </c>
      <c r="BK105" s="589"/>
      <c r="BL105" s="589"/>
    </row>
    <row r="106" spans="1:64" s="462" customFormat="1" x14ac:dyDescent="0.2">
      <c r="A106" s="373" t="str">
        <f>Calculations!AB66</f>
        <v xml:space="preserve">    Replacement Parts/Equipment/ Spare Parts Inventory</v>
      </c>
      <c r="B106" s="696">
        <f>Calculations!AC66</f>
        <v>20000</v>
      </c>
      <c r="C106" s="99">
        <f>Calculations!AD66</f>
        <v>0</v>
      </c>
      <c r="D106" s="40"/>
      <c r="E106" s="40"/>
      <c r="F106" s="95"/>
      <c r="G106" s="95"/>
      <c r="H106" s="95"/>
      <c r="I106" s="95"/>
      <c r="J106" s="95"/>
      <c r="K106" s="95"/>
      <c r="L106" s="95"/>
      <c r="M106" s="95"/>
      <c r="N106" s="95"/>
      <c r="O106" s="95"/>
      <c r="P106" s="95"/>
      <c r="Q106" s="95"/>
      <c r="R106" s="95"/>
      <c r="S106" s="95"/>
      <c r="T106" s="95"/>
      <c r="U106" s="95"/>
      <c r="V106" s="95"/>
      <c r="W106" s="95"/>
      <c r="X106" s="95"/>
      <c r="BB106" s="175"/>
      <c r="BC106" s="239"/>
      <c r="BH106" s="589" t="str">
        <f t="shared" si="69"/>
        <v>Payroll Parameters</v>
      </c>
      <c r="BI106" s="608" t="str">
        <f t="shared" ref="BI106:BJ106" si="91">B145</f>
        <v>Wage per hour</v>
      </c>
      <c r="BJ106" s="608" t="str">
        <f t="shared" si="91"/>
        <v>Employer Payroll Overhead</v>
      </c>
      <c r="BK106" s="589"/>
      <c r="BL106" s="589"/>
    </row>
    <row r="107" spans="1:64" s="462" customFormat="1" x14ac:dyDescent="0.2">
      <c r="A107" s="373" t="str">
        <f>Calculations!AB67</f>
        <v xml:space="preserve">    Subtotal</v>
      </c>
      <c r="B107" s="696">
        <f>Calculations!AC67</f>
        <v>213504</v>
      </c>
      <c r="C107" s="99"/>
      <c r="D107" s="40"/>
      <c r="E107" s="40"/>
      <c r="F107" s="95"/>
      <c r="G107" s="95"/>
      <c r="H107" s="95"/>
      <c r="I107" s="95"/>
      <c r="J107" s="95"/>
      <c r="K107" s="95"/>
      <c r="L107" s="95"/>
      <c r="M107" s="95"/>
      <c r="N107" s="95"/>
      <c r="O107" s="95"/>
      <c r="P107" s="95"/>
      <c r="Q107" s="95"/>
      <c r="R107" s="95"/>
      <c r="S107" s="95"/>
      <c r="T107" s="95"/>
      <c r="U107" s="95"/>
      <c r="V107" s="95"/>
      <c r="W107" s="95"/>
      <c r="X107" s="95"/>
      <c r="BB107" s="175"/>
      <c r="BC107" s="239"/>
      <c r="BH107" s="589" t="str">
        <f t="shared" si="69"/>
        <v xml:space="preserve">  Construction and Installation Labor</v>
      </c>
      <c r="BI107" s="608"/>
      <c r="BJ107" s="608"/>
      <c r="BK107" s="589"/>
      <c r="BL107" s="589"/>
    </row>
    <row r="108" spans="1:64" s="462" customFormat="1" x14ac:dyDescent="0.2">
      <c r="A108" s="213" t="s">
        <v>603</v>
      </c>
      <c r="B108" s="696"/>
      <c r="C108" s="99"/>
      <c r="D108" s="40"/>
      <c r="E108" s="40"/>
      <c r="F108" s="95"/>
      <c r="G108" s="95"/>
      <c r="H108" s="95"/>
      <c r="I108" s="95"/>
      <c r="J108" s="95"/>
      <c r="K108" s="95"/>
      <c r="L108" s="95"/>
      <c r="M108" s="95"/>
      <c r="N108" s="95"/>
      <c r="O108" s="95"/>
      <c r="P108" s="95"/>
      <c r="Q108" s="95"/>
      <c r="R108" s="95"/>
      <c r="S108" s="95"/>
      <c r="T108" s="95"/>
      <c r="U108" s="95"/>
      <c r="V108" s="95"/>
      <c r="W108" s="95"/>
      <c r="X108" s="95"/>
      <c r="BB108" s="175"/>
      <c r="BC108" s="239"/>
      <c r="BH108" s="589" t="str">
        <f t="shared" si="69"/>
        <v xml:space="preserve">    Civil (grading, roads, site prep, foundations, fencing)</v>
      </c>
      <c r="BI108" s="637">
        <f t="shared" ref="BI108:BJ108" si="92">B147</f>
        <v>17.45</v>
      </c>
      <c r="BJ108" s="634">
        <f t="shared" si="92"/>
        <v>0.37606110248282032</v>
      </c>
      <c r="BK108" s="589"/>
      <c r="BL108" s="589"/>
    </row>
    <row r="109" spans="1:64" x14ac:dyDescent="0.2">
      <c r="A109" s="373" t="str">
        <f>Calculations!AB69</f>
        <v xml:space="preserve">    Labor/Personnel</v>
      </c>
      <c r="B109" s="696">
        <f>Calculations!AC69</f>
        <v>5161.5</v>
      </c>
      <c r="C109" s="99">
        <f>Calculations!AD69</f>
        <v>0.5</v>
      </c>
      <c r="D109" s="40"/>
      <c r="E109" s="40"/>
      <c r="F109" s="95"/>
      <c r="G109" s="95"/>
      <c r="H109" s="95"/>
      <c r="I109" s="95"/>
      <c r="J109" s="95"/>
      <c r="K109" s="95"/>
      <c r="L109" s="95"/>
      <c r="M109" s="95"/>
      <c r="N109" s="95"/>
      <c r="O109" s="95"/>
      <c r="P109" s="95"/>
      <c r="Q109" s="95"/>
      <c r="R109" s="95"/>
      <c r="S109" s="95"/>
      <c r="T109" s="95"/>
      <c r="U109" s="95"/>
      <c r="V109" s="95"/>
      <c r="W109" s="95"/>
      <c r="X109" s="95"/>
      <c r="BB109" s="171"/>
      <c r="BC109" s="145"/>
      <c r="BD109" s="179"/>
      <c r="BH109" s="589" t="str">
        <f t="shared" si="69"/>
        <v xml:space="preserve">    Heavy Construction (Tower erection, Conductor stringing)</v>
      </c>
      <c r="BI109" s="637">
        <f t="shared" ref="BI109:BJ109" si="93">B148</f>
        <v>25.27</v>
      </c>
      <c r="BJ109" s="634">
        <f t="shared" si="93"/>
        <v>0.37606110248282032</v>
      </c>
      <c r="BK109" s="589"/>
      <c r="BL109" s="589"/>
    </row>
    <row r="110" spans="1:64" x14ac:dyDescent="0.2">
      <c r="A110" s="373" t="str">
        <f>Calculations!AB70</f>
        <v xml:space="preserve">    Insurance</v>
      </c>
      <c r="B110" s="696">
        <f>Calculations!AC70</f>
        <v>11100</v>
      </c>
      <c r="C110" s="99">
        <f>Calculations!AD70</f>
        <v>0</v>
      </c>
      <c r="D110" s="40"/>
      <c r="E110" s="40"/>
      <c r="F110" s="95"/>
      <c r="G110" s="95"/>
      <c r="H110" s="95"/>
      <c r="I110" s="95"/>
      <c r="J110" s="95"/>
      <c r="K110" s="95"/>
      <c r="L110" s="95"/>
      <c r="M110" s="95"/>
      <c r="N110" s="95"/>
      <c r="O110" s="95"/>
      <c r="P110" s="95"/>
      <c r="Q110" s="95"/>
      <c r="R110" s="95"/>
      <c r="S110" s="95"/>
      <c r="T110" s="95"/>
      <c r="U110" s="95"/>
      <c r="V110" s="95"/>
      <c r="W110" s="95"/>
      <c r="X110" s="95"/>
      <c r="BB110" s="171"/>
      <c r="BC110" s="296"/>
      <c r="BD110" s="178"/>
      <c r="BH110" s="589" t="str">
        <f t="shared" si="69"/>
        <v xml:space="preserve">    Commerical/Industrial Construction (Substation, Converter)</v>
      </c>
      <c r="BI110" s="637">
        <f t="shared" ref="BI110:BJ110" si="94">B149</f>
        <v>29.98</v>
      </c>
      <c r="BJ110" s="634">
        <f t="shared" si="94"/>
        <v>0.37606110248282032</v>
      </c>
      <c r="BK110" s="589"/>
      <c r="BL110" s="589"/>
    </row>
    <row r="111" spans="1:64" x14ac:dyDescent="0.2">
      <c r="A111" s="373" t="str">
        <f>Calculations!AB71</f>
        <v xml:space="preserve">    Replacement Parts/Equipment/ Spare Parts Inventory</v>
      </c>
      <c r="B111" s="696">
        <f>Calculations!AC71</f>
        <v>5550</v>
      </c>
      <c r="C111" s="99">
        <f>Calculations!AD71</f>
        <v>0</v>
      </c>
      <c r="D111" s="40"/>
      <c r="E111" s="40"/>
      <c r="F111" s="95"/>
      <c r="G111" s="95"/>
      <c r="H111" s="95"/>
      <c r="I111" s="95"/>
      <c r="J111" s="95"/>
      <c r="K111" s="95"/>
      <c r="L111" s="95"/>
      <c r="M111" s="95"/>
      <c r="N111" s="95"/>
      <c r="O111" s="95"/>
      <c r="P111" s="95"/>
      <c r="Q111" s="95"/>
      <c r="R111" s="95"/>
      <c r="S111" s="95"/>
      <c r="T111" s="95"/>
      <c r="U111" s="95"/>
      <c r="V111" s="95"/>
      <c r="W111" s="95"/>
      <c r="X111" s="95"/>
      <c r="BB111" s="321"/>
      <c r="BC111" s="322"/>
      <c r="BD111" s="267"/>
      <c r="BH111" s="589" t="str">
        <f t="shared" si="69"/>
        <v xml:space="preserve">  O&amp;M Labor</v>
      </c>
      <c r="BI111" s="637"/>
      <c r="BJ111" s="634"/>
      <c r="BK111" s="589"/>
      <c r="BL111" s="589"/>
    </row>
    <row r="112" spans="1:64" x14ac:dyDescent="0.2">
      <c r="A112" s="373" t="str">
        <f>Calculations!AB72</f>
        <v xml:space="preserve">    Subtotal</v>
      </c>
      <c r="B112" s="696">
        <f>Calculations!AC72</f>
        <v>21811.5</v>
      </c>
      <c r="C112" s="99"/>
      <c r="D112" s="40"/>
      <c r="E112" s="40"/>
      <c r="F112" s="95"/>
      <c r="G112" s="95"/>
      <c r="H112" s="95"/>
      <c r="I112" s="95"/>
      <c r="J112" s="95"/>
      <c r="K112" s="95"/>
      <c r="L112" s="95"/>
      <c r="M112" s="95"/>
      <c r="N112" s="95"/>
      <c r="O112" s="95"/>
      <c r="P112" s="95"/>
      <c r="Q112" s="95"/>
      <c r="R112" s="95"/>
      <c r="S112" s="95"/>
      <c r="T112" s="95"/>
      <c r="U112" s="95"/>
      <c r="V112" s="95"/>
      <c r="W112" s="95"/>
      <c r="X112" s="95"/>
      <c r="BB112" s="321"/>
      <c r="BD112" s="131"/>
      <c r="BE112" s="179"/>
      <c r="BH112" s="589" t="str">
        <f t="shared" si="69"/>
        <v xml:space="preserve">    Transmission and ROW Labor/Personnel</v>
      </c>
      <c r="BI112" s="637">
        <f t="shared" ref="BI112:BJ112" si="95">B151</f>
        <v>23.16</v>
      </c>
      <c r="BJ112" s="634">
        <f t="shared" si="95"/>
        <v>0.37606110248282032</v>
      </c>
      <c r="BK112" s="589"/>
      <c r="BL112" s="589"/>
    </row>
    <row r="113" spans="1:64" x14ac:dyDescent="0.2">
      <c r="A113" s="373" t="str">
        <f>Calculations!AB73</f>
        <v xml:space="preserve">  Subtotal All O&amp;M Costs (without sales tax)</v>
      </c>
      <c r="B113" s="696">
        <f>Calculations!AC73</f>
        <v>235315.5</v>
      </c>
      <c r="C113" s="99"/>
      <c r="D113" s="38"/>
      <c r="E113" s="461"/>
      <c r="F113" s="95"/>
      <c r="G113" s="95"/>
      <c r="H113" s="95"/>
      <c r="I113" s="95"/>
      <c r="J113" s="95"/>
      <c r="K113" s="95"/>
      <c r="L113" s="95"/>
      <c r="M113" s="95"/>
      <c r="N113" s="95"/>
      <c r="O113" s="95"/>
      <c r="P113" s="95"/>
      <c r="Q113" s="95"/>
      <c r="R113" s="95"/>
      <c r="S113" s="95"/>
      <c r="T113" s="95"/>
      <c r="U113" s="95"/>
      <c r="V113" s="95"/>
      <c r="W113" s="95"/>
      <c r="X113" s="95"/>
      <c r="BB113" s="272"/>
      <c r="BC113" s="263"/>
      <c r="BD113" s="184"/>
      <c r="BH113" s="589" t="str">
        <f t="shared" si="69"/>
        <v xml:space="preserve">    Substation and Converter Station Labor/Personnel</v>
      </c>
      <c r="BI113" s="637">
        <f t="shared" ref="BI113:BJ113" si="96">B152</f>
        <v>23.16</v>
      </c>
      <c r="BJ113" s="634">
        <f t="shared" si="96"/>
        <v>0.37606110248282032</v>
      </c>
      <c r="BK113" s="589"/>
      <c r="BL113" s="589"/>
    </row>
    <row r="114" spans="1:64" x14ac:dyDescent="0.2">
      <c r="A114" s="213" t="s">
        <v>238</v>
      </c>
      <c r="B114" s="696">
        <f>Calculations!AC74</f>
        <v>3746.875</v>
      </c>
      <c r="C114" s="99">
        <f>Calculations!AD74</f>
        <v>1</v>
      </c>
      <c r="D114" s="40"/>
      <c r="E114" s="40"/>
      <c r="F114" s="95"/>
      <c r="G114" s="95"/>
      <c r="H114" s="95"/>
      <c r="I114" s="95"/>
      <c r="J114" s="95"/>
      <c r="K114" s="95"/>
      <c r="L114" s="95"/>
      <c r="M114" s="95"/>
      <c r="N114" s="95"/>
      <c r="O114" s="95"/>
      <c r="P114" s="95"/>
      <c r="Q114" s="95"/>
      <c r="R114" s="95"/>
      <c r="S114" s="95"/>
      <c r="T114" s="95"/>
      <c r="U114" s="95"/>
      <c r="V114" s="95"/>
      <c r="W114" s="95"/>
      <c r="X114" s="95"/>
      <c r="BB114" s="321"/>
      <c r="BC114" s="183"/>
      <c r="BD114" s="323"/>
      <c r="BH114" s="589"/>
      <c r="BI114" s="196"/>
      <c r="BJ114" s="10"/>
      <c r="BL114" s="90"/>
    </row>
    <row r="115" spans="1:64" s="462" customFormat="1" x14ac:dyDescent="0.2">
      <c r="A115" s="213" t="s">
        <v>604</v>
      </c>
      <c r="B115" s="696">
        <f>Calculations!AC75</f>
        <v>18181.818181818184</v>
      </c>
      <c r="C115" s="99">
        <f>Calculations!AD75</f>
        <v>1</v>
      </c>
      <c r="D115" s="40"/>
      <c r="E115" s="40"/>
      <c r="F115" s="95"/>
      <c r="G115" s="95"/>
      <c r="H115" s="95"/>
      <c r="I115" s="95"/>
      <c r="J115" s="95"/>
      <c r="K115" s="95"/>
      <c r="L115" s="95"/>
      <c r="M115" s="95"/>
      <c r="N115" s="95"/>
      <c r="O115" s="95"/>
      <c r="P115" s="95"/>
      <c r="Q115" s="95"/>
      <c r="R115" s="95"/>
      <c r="S115" s="95"/>
      <c r="T115" s="95"/>
      <c r="U115" s="95"/>
      <c r="V115" s="95"/>
      <c r="W115" s="95"/>
      <c r="X115" s="95"/>
      <c r="BB115" s="321"/>
      <c r="BC115" s="183"/>
      <c r="BD115" s="323"/>
      <c r="BH115" s="589"/>
      <c r="BI115" s="90"/>
      <c r="BJ115"/>
      <c r="BK115"/>
      <c r="BL115"/>
    </row>
    <row r="116" spans="1:64" s="462" customFormat="1" x14ac:dyDescent="0.2">
      <c r="A116" s="213" t="s">
        <v>605</v>
      </c>
      <c r="B116" s="696">
        <f>Calculations!AC76</f>
        <v>257244.19318181818</v>
      </c>
      <c r="C116" s="99"/>
      <c r="D116" s="40"/>
      <c r="E116" s="40"/>
      <c r="F116" s="95"/>
      <c r="G116" s="95"/>
      <c r="H116" s="95"/>
      <c r="I116" s="95"/>
      <c r="J116" s="95"/>
      <c r="K116" s="95"/>
      <c r="L116" s="95"/>
      <c r="M116" s="95"/>
      <c r="N116" s="95"/>
      <c r="O116" s="95"/>
      <c r="P116" s="95"/>
      <c r="Q116" s="95"/>
      <c r="R116" s="95"/>
      <c r="S116" s="95"/>
      <c r="T116" s="95"/>
      <c r="U116" s="95"/>
      <c r="V116" s="95"/>
      <c r="W116" s="95"/>
      <c r="X116" s="95"/>
      <c r="BB116" s="321"/>
      <c r="BC116" s="183"/>
      <c r="BD116" s="323"/>
      <c r="BH116" s="589"/>
      <c r="BI116" s="391"/>
      <c r="BJ116" s="394"/>
      <c r="BK116"/>
      <c r="BL116"/>
    </row>
    <row r="117" spans="1:64" s="462" customFormat="1" x14ac:dyDescent="0.2">
      <c r="A117" s="213" t="str">
        <f>Calculations!AB77</f>
        <v>Average Annual Debt Payment (Interest and Principal)</v>
      </c>
      <c r="B117" s="696">
        <f>Calculations!AC77</f>
        <v>988807.4351593625</v>
      </c>
      <c r="C117" s="99">
        <f>Calculations!AD77</f>
        <v>0</v>
      </c>
      <c r="D117" s="40"/>
      <c r="E117" s="40"/>
      <c r="F117" s="95"/>
      <c r="G117" s="95"/>
      <c r="H117" s="95"/>
      <c r="I117" s="95"/>
      <c r="J117" s="95"/>
      <c r="K117" s="95"/>
      <c r="L117" s="95"/>
      <c r="M117" s="95"/>
      <c r="N117" s="95"/>
      <c r="O117" s="95"/>
      <c r="P117" s="95"/>
      <c r="Q117" s="95"/>
      <c r="R117" s="95"/>
      <c r="S117" s="95"/>
      <c r="T117" s="95"/>
      <c r="U117" s="95"/>
      <c r="V117" s="95"/>
      <c r="W117" s="95"/>
      <c r="X117" s="95"/>
      <c r="BB117" s="321"/>
      <c r="BC117" s="183"/>
      <c r="BD117" s="323"/>
      <c r="BH117" s="589"/>
      <c r="BI117" s="391"/>
      <c r="BJ117" s="394"/>
    </row>
    <row r="118" spans="1:64" x14ac:dyDescent="0.2">
      <c r="A118" s="213" t="str">
        <f>Calculations!AB78</f>
        <v>Average Annual Equity Payment Individual (Interest and Principal)</v>
      </c>
      <c r="B118" s="696">
        <f>Calculations!AC78</f>
        <v>0</v>
      </c>
      <c r="C118" s="99">
        <f>Calculations!AD78</f>
        <v>0</v>
      </c>
      <c r="D118" s="99"/>
      <c r="E118" s="99"/>
      <c r="F118" s="95"/>
      <c r="G118" s="95"/>
      <c r="H118" s="95"/>
      <c r="I118" s="95"/>
      <c r="J118" s="95"/>
      <c r="K118" s="95"/>
      <c r="L118" s="95"/>
      <c r="M118" s="95"/>
      <c r="N118" s="95"/>
      <c r="O118" s="95"/>
      <c r="P118" s="95"/>
      <c r="Q118" s="95"/>
      <c r="R118" s="95"/>
      <c r="S118" s="95"/>
      <c r="T118" s="95"/>
      <c r="U118" s="95"/>
      <c r="V118" s="95"/>
      <c r="W118" s="95"/>
      <c r="X118" s="95"/>
      <c r="BH118" s="589"/>
      <c r="BI118" s="391"/>
      <c r="BJ118" s="394"/>
      <c r="BK118" s="462"/>
      <c r="BL118" s="462"/>
    </row>
    <row r="119" spans="1:64" x14ac:dyDescent="0.2">
      <c r="A119" s="213" t="str">
        <f>Calculations!AB79</f>
        <v>Average Annual Equity Payment Corporate (Interest and Principal)</v>
      </c>
      <c r="B119" s="696">
        <f>Calculations!AC79</f>
        <v>2680868.6784097627</v>
      </c>
      <c r="C119" s="99">
        <f>Calculations!AD79</f>
        <v>0</v>
      </c>
      <c r="D119" s="99"/>
      <c r="E119" s="99"/>
      <c r="F119" s="95"/>
      <c r="G119" s="95"/>
      <c r="H119" s="95"/>
      <c r="I119" s="95"/>
      <c r="J119" s="95"/>
      <c r="K119" s="95"/>
      <c r="L119" s="95"/>
      <c r="M119" s="95"/>
      <c r="N119" s="95"/>
      <c r="O119" s="95"/>
      <c r="P119" s="95"/>
      <c r="Q119" s="95"/>
      <c r="R119" s="95"/>
      <c r="S119" s="95"/>
      <c r="T119" s="95"/>
      <c r="U119" s="95"/>
      <c r="V119" s="95"/>
      <c r="W119" s="95"/>
      <c r="X119" s="95"/>
      <c r="BH119" s="589"/>
      <c r="BI119" s="391"/>
      <c r="BJ119" s="394"/>
      <c r="BK119" s="462"/>
      <c r="BL119" s="462"/>
    </row>
    <row r="120" spans="1:64" x14ac:dyDescent="0.2">
      <c r="A120" s="213" t="str">
        <f>Calculations!AB80</f>
        <v>Property Taxes</v>
      </c>
      <c r="B120" s="696">
        <f>Calculations!AC80</f>
        <v>0</v>
      </c>
      <c r="C120" s="99">
        <f>Calculations!AD80</f>
        <v>1</v>
      </c>
      <c r="D120" s="38"/>
      <c r="E120" s="461"/>
      <c r="F120" s="38"/>
      <c r="G120" s="95"/>
      <c r="H120" s="95"/>
      <c r="I120" s="95"/>
      <c r="J120" s="95"/>
      <c r="K120" s="95"/>
      <c r="L120" s="95"/>
      <c r="M120" s="95"/>
      <c r="N120" s="95"/>
      <c r="O120" s="95"/>
      <c r="P120" s="95"/>
      <c r="Q120" s="95"/>
      <c r="R120" s="95"/>
      <c r="S120" s="95"/>
      <c r="T120" s="95"/>
      <c r="U120" s="95"/>
      <c r="V120" s="95"/>
      <c r="W120" s="95"/>
      <c r="X120" s="95"/>
      <c r="BH120" s="589"/>
      <c r="BI120" s="392"/>
      <c r="BJ120" s="393"/>
    </row>
    <row r="121" spans="1:64" x14ac:dyDescent="0.2">
      <c r="A121" s="213" t="str">
        <f>Calculations!AB81</f>
        <v>Total</v>
      </c>
      <c r="B121" s="696">
        <f>Calculations!AC81</f>
        <v>3926920.3067509434</v>
      </c>
      <c r="C121" s="99"/>
      <c r="D121" s="99"/>
      <c r="E121" s="99"/>
      <c r="F121" s="95"/>
      <c r="G121" s="95"/>
      <c r="H121" s="95"/>
      <c r="I121" s="95"/>
      <c r="J121" s="95"/>
      <c r="K121" s="95"/>
      <c r="L121" s="95"/>
      <c r="M121" s="95"/>
      <c r="N121" s="95"/>
      <c r="O121" s="95"/>
      <c r="P121" s="95"/>
      <c r="Q121" s="95"/>
      <c r="R121" s="95"/>
      <c r="S121" s="95"/>
      <c r="T121" s="95"/>
      <c r="U121" s="95"/>
      <c r="V121" s="95"/>
      <c r="W121" s="95"/>
      <c r="X121" s="95"/>
      <c r="BH121" s="589"/>
      <c r="BI121" s="392"/>
      <c r="BJ121" s="393"/>
    </row>
    <row r="122" spans="1:64" x14ac:dyDescent="0.2">
      <c r="A122" s="373"/>
      <c r="B122" s="202"/>
      <c r="C122" s="99"/>
      <c r="D122" s="99"/>
      <c r="E122" s="99"/>
      <c r="F122" s="95"/>
      <c r="G122" s="95"/>
      <c r="H122" s="95"/>
      <c r="I122" s="95"/>
      <c r="J122" s="95"/>
      <c r="K122" s="95"/>
      <c r="L122" s="95"/>
      <c r="M122" s="95"/>
      <c r="N122" s="95"/>
      <c r="O122" s="95"/>
      <c r="P122" s="95"/>
      <c r="Q122" s="95"/>
      <c r="R122" s="95"/>
      <c r="S122" s="95"/>
      <c r="T122" s="95"/>
      <c r="U122" s="95"/>
      <c r="V122" s="95"/>
      <c r="W122" s="95"/>
      <c r="X122" s="95"/>
      <c r="BH122" s="589"/>
      <c r="BI122" s="392"/>
      <c r="BJ122" s="393"/>
    </row>
    <row r="123" spans="1:64" x14ac:dyDescent="0.2">
      <c r="A123" s="213" t="str">
        <f>Calculations!AB82</f>
        <v>Other Parameters</v>
      </c>
      <c r="B123" s="202"/>
      <c r="C123" s="99"/>
      <c r="D123" s="150"/>
      <c r="E123" s="150"/>
      <c r="F123" s="95"/>
      <c r="G123" s="95"/>
      <c r="H123" s="95"/>
      <c r="I123" s="95"/>
      <c r="J123" s="95"/>
      <c r="K123" s="95"/>
      <c r="L123" s="95"/>
      <c r="M123" s="95"/>
      <c r="N123" s="95"/>
      <c r="O123" s="95"/>
      <c r="P123" s="95"/>
      <c r="Q123" s="95"/>
      <c r="R123" s="95"/>
      <c r="S123" s="95"/>
      <c r="T123" s="95"/>
      <c r="U123" s="95"/>
      <c r="V123" s="95"/>
      <c r="W123" s="95"/>
      <c r="X123" s="95"/>
      <c r="BH123" s="589"/>
    </row>
    <row r="124" spans="1:64" x14ac:dyDescent="0.2">
      <c r="A124" s="373"/>
      <c r="B124" s="202"/>
      <c r="C124" s="150" t="str">
        <f>Calculations!AD83</f>
        <v>Local Share</v>
      </c>
      <c r="D124" s="99"/>
      <c r="E124" s="99"/>
      <c r="F124" s="95"/>
      <c r="G124" s="95"/>
      <c r="H124" s="95"/>
      <c r="I124" s="95"/>
      <c r="J124" s="95"/>
      <c r="K124" s="95"/>
      <c r="L124" s="95"/>
      <c r="M124" s="95"/>
      <c r="N124" s="95"/>
      <c r="O124" s="95"/>
      <c r="P124" s="95"/>
      <c r="Q124" s="95"/>
      <c r="R124" s="95"/>
      <c r="S124" s="95"/>
      <c r="T124" s="95"/>
      <c r="U124" s="95"/>
      <c r="V124" s="95"/>
      <c r="W124" s="95"/>
      <c r="X124" s="95"/>
      <c r="BH124" s="589"/>
    </row>
    <row r="125" spans="1:64" x14ac:dyDescent="0.2">
      <c r="A125" s="213" t="str">
        <f>Calculations!AB84</f>
        <v>Financial Parameters</v>
      </c>
      <c r="B125" s="202"/>
      <c r="C125" s="99"/>
      <c r="D125" s="99"/>
      <c r="E125" s="99"/>
      <c r="F125" s="95"/>
      <c r="G125" s="95"/>
      <c r="H125" s="95"/>
      <c r="I125" s="95"/>
      <c r="J125" s="95"/>
      <c r="K125" s="95"/>
      <c r="L125" s="95"/>
      <c r="M125" s="95"/>
      <c r="N125" s="95"/>
      <c r="O125" s="95"/>
      <c r="P125" s="95"/>
      <c r="Q125" s="95"/>
      <c r="R125" s="95"/>
      <c r="S125" s="95"/>
      <c r="T125" s="95"/>
      <c r="U125" s="95"/>
      <c r="V125" s="95"/>
      <c r="W125" s="95"/>
      <c r="X125" s="95"/>
      <c r="BH125" s="589"/>
    </row>
    <row r="126" spans="1:64" x14ac:dyDescent="0.2">
      <c r="A126" s="213" t="str">
        <f>Calculations!AB85</f>
        <v>Debt Financing</v>
      </c>
      <c r="B126" s="202"/>
      <c r="C126" s="99"/>
      <c r="D126" s="99"/>
      <c r="E126" s="99"/>
      <c r="F126" s="95"/>
      <c r="G126" s="95"/>
      <c r="H126" s="95"/>
      <c r="I126" s="95"/>
      <c r="J126" s="95"/>
      <c r="K126" s="95"/>
      <c r="L126" s="95"/>
      <c r="M126" s="95"/>
      <c r="N126" s="95"/>
      <c r="O126" s="95"/>
      <c r="P126" s="95"/>
      <c r="Q126" s="95"/>
      <c r="R126" s="95"/>
      <c r="S126" s="95"/>
      <c r="T126" s="95"/>
      <c r="U126" s="95"/>
      <c r="V126" s="95"/>
      <c r="W126" s="95"/>
      <c r="X126" s="95"/>
    </row>
    <row r="127" spans="1:64" x14ac:dyDescent="0.2">
      <c r="A127" s="373" t="str">
        <f>Calculations!AB86</f>
        <v xml:space="preserve">  Percentage financed</v>
      </c>
      <c r="B127" s="99">
        <f>Calculations!AC86</f>
        <v>0.48</v>
      </c>
      <c r="C127" s="99">
        <f>Calculations!AD86</f>
        <v>0</v>
      </c>
      <c r="D127" s="99"/>
      <c r="E127" s="99"/>
      <c r="F127" s="95"/>
      <c r="G127" s="95"/>
      <c r="H127" s="95"/>
      <c r="I127" s="95"/>
      <c r="J127" s="95"/>
      <c r="K127" s="95"/>
      <c r="L127" s="95"/>
      <c r="M127" s="95"/>
      <c r="N127" s="95"/>
      <c r="O127" s="95"/>
      <c r="P127" s="95"/>
      <c r="Q127" s="95"/>
      <c r="R127" s="95"/>
      <c r="S127" s="95"/>
      <c r="T127" s="95"/>
      <c r="U127" s="95"/>
      <c r="V127" s="95"/>
      <c r="W127" s="95"/>
      <c r="X127" s="95"/>
    </row>
    <row r="128" spans="1:64" x14ac:dyDescent="0.2">
      <c r="A128" s="373" t="str">
        <f>Calculations!AB87</f>
        <v xml:space="preserve">  Years financed (term)</v>
      </c>
      <c r="B128" s="374">
        <f>Calculations!AC87</f>
        <v>40</v>
      </c>
      <c r="C128" s="99"/>
      <c r="D128" s="99"/>
      <c r="E128" s="99"/>
      <c r="F128" s="95"/>
      <c r="G128" s="95"/>
      <c r="H128" s="95"/>
      <c r="I128" s="95"/>
      <c r="J128" s="95"/>
      <c r="K128" s="95"/>
      <c r="L128" s="95"/>
      <c r="M128" s="95"/>
      <c r="N128" s="95"/>
      <c r="O128" s="95"/>
      <c r="P128" s="95"/>
      <c r="Q128" s="95"/>
      <c r="R128" s="95"/>
      <c r="S128" s="95"/>
      <c r="T128" s="95"/>
      <c r="U128" s="95"/>
      <c r="V128" s="95"/>
      <c r="W128" s="95"/>
      <c r="X128" s="95"/>
      <c r="BB128" s="74"/>
      <c r="BC128" s="131"/>
      <c r="BD128" s="181"/>
      <c r="BE128" s="179"/>
    </row>
    <row r="129" spans="1:57" x14ac:dyDescent="0.2">
      <c r="A129" s="373" t="str">
        <f>Calculations!AB88</f>
        <v xml:space="preserve">  Interest rate</v>
      </c>
      <c r="B129" s="379">
        <f>Calculations!AC88</f>
        <v>6.3E-2</v>
      </c>
      <c r="C129" s="99"/>
      <c r="D129" s="99"/>
      <c r="E129" s="99"/>
      <c r="F129" s="95"/>
      <c r="G129" s="95"/>
      <c r="H129" s="95"/>
      <c r="I129" s="95"/>
      <c r="J129" s="95"/>
      <c r="K129" s="95"/>
      <c r="L129" s="95"/>
      <c r="M129" s="95"/>
      <c r="N129" s="95"/>
      <c r="O129" s="95"/>
      <c r="P129" s="95"/>
      <c r="Q129" s="95"/>
      <c r="R129" s="95"/>
      <c r="S129" s="95"/>
      <c r="T129" s="95"/>
      <c r="U129" s="95"/>
      <c r="V129" s="95"/>
      <c r="W129" s="95"/>
      <c r="X129" s="95"/>
      <c r="BB129" s="131"/>
      <c r="BC129" s="131"/>
      <c r="BD129" s="181"/>
      <c r="BE129" s="179"/>
    </row>
    <row r="130" spans="1:57" x14ac:dyDescent="0.2">
      <c r="A130" s="373" t="str">
        <f>Calculations!AB89</f>
        <v xml:space="preserve">  Average Annual Payment (Interest and Principal)</v>
      </c>
      <c r="B130" s="202">
        <f>Calculations!AC89</f>
        <v>988807.4351593625</v>
      </c>
      <c r="C130" s="99"/>
      <c r="D130" s="99"/>
      <c r="E130" s="99"/>
      <c r="F130" s="95"/>
      <c r="G130" s="95"/>
      <c r="H130" s="95"/>
      <c r="I130" s="95"/>
      <c r="J130" s="95"/>
      <c r="K130" s="95"/>
      <c r="L130" s="95"/>
      <c r="M130" s="95"/>
      <c r="N130" s="95"/>
      <c r="O130" s="95"/>
      <c r="P130" s="95"/>
      <c r="Q130" s="95"/>
      <c r="R130" s="95"/>
      <c r="S130" s="95"/>
      <c r="T130" s="95"/>
      <c r="U130" s="95"/>
      <c r="V130" s="95"/>
      <c r="W130" s="95"/>
      <c r="X130" s="95"/>
      <c r="BB130" s="131"/>
      <c r="BC130" s="131"/>
      <c r="BD130" s="181"/>
      <c r="BE130" s="181"/>
    </row>
    <row r="131" spans="1:57" x14ac:dyDescent="0.2">
      <c r="A131" s="213" t="str">
        <f>Calculations!AB90</f>
        <v>Equity Financing/Repayment</v>
      </c>
      <c r="B131" s="202"/>
      <c r="C131" s="99"/>
      <c r="D131" s="99"/>
      <c r="E131" s="99"/>
      <c r="F131" s="95"/>
      <c r="G131" s="95"/>
      <c r="H131" s="95"/>
      <c r="I131" s="95"/>
      <c r="J131" s="95"/>
      <c r="K131" s="95"/>
      <c r="L131" s="95"/>
      <c r="M131" s="95"/>
      <c r="N131" s="95"/>
      <c r="O131" s="95"/>
      <c r="P131" s="95"/>
      <c r="Q131" s="95"/>
      <c r="R131" s="95"/>
      <c r="S131" s="95"/>
      <c r="T131" s="95"/>
      <c r="U131" s="95"/>
      <c r="V131" s="95"/>
      <c r="W131" s="95"/>
      <c r="X131" s="95"/>
      <c r="BB131" s="131"/>
      <c r="BC131" s="131"/>
      <c r="BD131" s="181"/>
      <c r="BE131" s="181"/>
    </row>
    <row r="132" spans="1:57" x14ac:dyDescent="0.2">
      <c r="A132" s="373" t="str">
        <f>Calculations!AB91</f>
        <v xml:space="preserve">  Percentage equity</v>
      </c>
      <c r="B132" s="99">
        <f>Calculations!AC91</f>
        <v>0.52</v>
      </c>
      <c r="C132" s="99"/>
      <c r="D132" s="99"/>
      <c r="E132" s="99"/>
      <c r="F132" s="95"/>
      <c r="G132" s="95"/>
      <c r="H132" s="95"/>
      <c r="I132" s="95"/>
      <c r="J132" s="95"/>
      <c r="K132" s="95"/>
      <c r="L132" s="95"/>
      <c r="M132" s="95"/>
      <c r="N132" s="95"/>
      <c r="O132" s="95"/>
      <c r="P132" s="95"/>
      <c r="Q132" s="95"/>
      <c r="R132" s="95"/>
      <c r="S132" s="95"/>
      <c r="T132" s="95"/>
      <c r="U132" s="95"/>
      <c r="V132" s="95"/>
      <c r="W132" s="95"/>
      <c r="X132" s="95"/>
      <c r="BB132" s="131"/>
      <c r="BC132" s="131"/>
      <c r="BD132" s="181"/>
      <c r="BE132" s="179"/>
    </row>
    <row r="133" spans="1:57" x14ac:dyDescent="0.2">
      <c r="A133" s="373" t="str">
        <f>Calculations!AB92</f>
        <v xml:space="preserve">  Individual Investors (percent of equity)</v>
      </c>
      <c r="B133" s="99">
        <f>Calculations!AC92</f>
        <v>0</v>
      </c>
      <c r="C133" s="99">
        <f>Calculations!AD92</f>
        <v>0</v>
      </c>
      <c r="D133" s="99"/>
      <c r="E133" s="99"/>
      <c r="F133" s="95"/>
      <c r="G133" s="95"/>
      <c r="H133" s="95"/>
      <c r="I133" s="95"/>
      <c r="J133" s="95"/>
      <c r="K133" s="95"/>
      <c r="L133" s="95"/>
      <c r="M133" s="95"/>
      <c r="N133" s="95"/>
      <c r="O133" s="95"/>
      <c r="P133" s="95"/>
      <c r="Q133" s="95"/>
      <c r="R133" s="95"/>
      <c r="S133" s="95"/>
      <c r="T133" s="95"/>
      <c r="U133" s="95"/>
      <c r="V133" s="95"/>
      <c r="W133" s="95"/>
      <c r="X133" s="95"/>
      <c r="BB133" s="131"/>
      <c r="BC133" s="131"/>
      <c r="BD133" s="182"/>
      <c r="BE133" s="179"/>
    </row>
    <row r="134" spans="1:57" x14ac:dyDescent="0.2">
      <c r="A134" s="373" t="str">
        <f>Calculations!AB93</f>
        <v xml:space="preserve">  Corporate Investors (percent of equity)</v>
      </c>
      <c r="B134" s="99">
        <f>Calculations!AC93</f>
        <v>1</v>
      </c>
      <c r="C134" s="99">
        <f>Calculations!AD93</f>
        <v>0</v>
      </c>
      <c r="D134" s="99"/>
      <c r="E134" s="99"/>
      <c r="F134" s="95"/>
      <c r="G134" s="95"/>
      <c r="H134" s="95"/>
      <c r="I134" s="95"/>
      <c r="J134" s="95"/>
      <c r="K134" s="95"/>
      <c r="L134" s="95"/>
      <c r="M134" s="95"/>
      <c r="N134" s="95"/>
      <c r="O134" s="95"/>
      <c r="P134" s="95"/>
      <c r="Q134" s="95"/>
      <c r="R134" s="95"/>
      <c r="S134" s="95"/>
      <c r="T134" s="95"/>
      <c r="U134" s="95"/>
      <c r="V134" s="95"/>
      <c r="W134" s="95"/>
      <c r="X134" s="95"/>
      <c r="BB134" s="74"/>
      <c r="BC134" s="131"/>
      <c r="BD134" s="183"/>
      <c r="BE134" s="179"/>
    </row>
    <row r="135" spans="1:57" x14ac:dyDescent="0.2">
      <c r="A135" s="373" t="str">
        <f>Calculations!AB94</f>
        <v xml:space="preserve">  Return on equity</v>
      </c>
      <c r="B135" s="99">
        <f>Calculations!AC94</f>
        <v>0.114</v>
      </c>
      <c r="C135" s="99"/>
      <c r="D135" s="99"/>
      <c r="E135" s="99"/>
      <c r="F135" s="95"/>
      <c r="G135" s="95"/>
      <c r="H135" s="95"/>
      <c r="I135" s="95"/>
      <c r="J135" s="95"/>
      <c r="K135" s="95"/>
      <c r="L135" s="95"/>
      <c r="M135" s="95"/>
      <c r="N135" s="95"/>
      <c r="O135" s="95"/>
      <c r="P135" s="95"/>
      <c r="Q135" s="95"/>
      <c r="R135" s="95"/>
      <c r="S135" s="95"/>
      <c r="T135" s="95"/>
      <c r="U135" s="95"/>
      <c r="V135" s="95"/>
      <c r="W135" s="95"/>
      <c r="X135" s="95"/>
      <c r="BB135" s="131"/>
      <c r="BC135" s="131"/>
      <c r="BD135" s="184"/>
      <c r="BE135" s="179"/>
    </row>
    <row r="136" spans="1:57" x14ac:dyDescent="0.2">
      <c r="A136" s="373" t="str">
        <f>Calculations!AB95</f>
        <v xml:space="preserve">  Repayment term (years)</v>
      </c>
      <c r="B136" s="374">
        <f>Calculations!AC95</f>
        <v>10</v>
      </c>
      <c r="C136" s="99"/>
      <c r="D136" s="99"/>
      <c r="E136" s="99"/>
      <c r="F136" s="95"/>
      <c r="G136" s="95"/>
      <c r="H136" s="95"/>
      <c r="I136" s="95"/>
      <c r="J136" s="95"/>
      <c r="K136" s="95"/>
      <c r="L136" s="95"/>
      <c r="M136" s="95"/>
      <c r="N136" s="95"/>
      <c r="O136" s="95"/>
      <c r="P136" s="95"/>
      <c r="Q136" s="95"/>
      <c r="R136" s="95"/>
      <c r="S136" s="95"/>
      <c r="T136" s="95"/>
      <c r="U136" s="95"/>
      <c r="V136" s="95"/>
      <c r="W136" s="95"/>
      <c r="X136" s="95"/>
      <c r="BB136" s="131"/>
      <c r="BC136" s="131"/>
      <c r="BD136" s="184"/>
      <c r="BE136" s="179"/>
    </row>
    <row r="137" spans="1:57" x14ac:dyDescent="0.2">
      <c r="A137" s="213" t="str">
        <f>Calculations!AB96</f>
        <v>Tax Parameters</v>
      </c>
      <c r="B137" s="202"/>
      <c r="C137" s="99"/>
      <c r="D137" s="99"/>
      <c r="E137" s="99"/>
      <c r="F137" s="95"/>
      <c r="G137" s="95"/>
      <c r="H137" s="95"/>
      <c r="I137" s="95"/>
      <c r="J137" s="95"/>
      <c r="K137" s="95"/>
      <c r="L137" s="95"/>
      <c r="M137" s="95"/>
      <c r="N137" s="95"/>
      <c r="O137" s="95"/>
      <c r="P137" s="95"/>
      <c r="Q137" s="95"/>
      <c r="R137" s="95"/>
      <c r="S137" s="95"/>
      <c r="T137" s="95"/>
      <c r="U137" s="95"/>
      <c r="V137" s="95"/>
      <c r="W137" s="95"/>
      <c r="X137" s="95"/>
      <c r="BB137" s="131"/>
      <c r="BC137" s="131"/>
      <c r="BD137" s="184"/>
      <c r="BE137" s="179"/>
    </row>
    <row r="138" spans="1:57" x14ac:dyDescent="0.2">
      <c r="A138" s="373" t="str">
        <f>Calculations!AB97</f>
        <v xml:space="preserve">  Local Property Tax (percent of taxable value)</v>
      </c>
      <c r="B138" s="99">
        <f>Calculations!AC97</f>
        <v>0</v>
      </c>
      <c r="C138" s="99"/>
      <c r="D138" s="99"/>
      <c r="E138" s="99"/>
      <c r="F138" s="95"/>
      <c r="G138" s="95"/>
      <c r="H138" s="95"/>
      <c r="I138" s="95"/>
      <c r="J138" s="95"/>
      <c r="K138" s="95"/>
      <c r="L138" s="95"/>
      <c r="M138" s="95"/>
      <c r="N138" s="95"/>
      <c r="O138" s="95"/>
      <c r="P138" s="95"/>
      <c r="Q138" s="95"/>
      <c r="R138" s="95"/>
      <c r="S138" s="95"/>
      <c r="T138" s="95"/>
      <c r="U138" s="95"/>
      <c r="V138" s="95"/>
      <c r="W138" s="95"/>
      <c r="X138" s="95"/>
      <c r="BB138" s="131"/>
      <c r="BC138" s="131"/>
      <c r="BD138" s="185"/>
      <c r="BE138" s="179"/>
    </row>
    <row r="139" spans="1:57" x14ac:dyDescent="0.2">
      <c r="A139" s="373" t="str">
        <f>Calculations!AB98</f>
        <v xml:space="preserve">  Assessed Value (percent of construction cost)</v>
      </c>
      <c r="B139" s="99">
        <f>Calculations!AC98</f>
        <v>1</v>
      </c>
      <c r="C139" s="99"/>
      <c r="D139" s="99"/>
      <c r="E139" s="99"/>
      <c r="F139" s="95"/>
      <c r="G139" s="95"/>
      <c r="H139" s="95"/>
      <c r="I139" s="95"/>
      <c r="J139" s="95"/>
      <c r="K139" s="95"/>
      <c r="L139" s="95"/>
      <c r="M139" s="95"/>
      <c r="N139" s="95"/>
      <c r="O139" s="95"/>
      <c r="P139" s="95"/>
      <c r="Q139" s="95"/>
      <c r="R139" s="95"/>
      <c r="S139" s="95"/>
      <c r="T139" s="95"/>
      <c r="U139" s="95"/>
      <c r="V139" s="95"/>
      <c r="W139" s="95"/>
      <c r="X139" s="95"/>
      <c r="BB139" s="131"/>
      <c r="BC139" s="131"/>
      <c r="BD139" s="185"/>
      <c r="BE139" s="181"/>
    </row>
    <row r="140" spans="1:57" x14ac:dyDescent="0.2">
      <c r="A140" s="373" t="str">
        <f>Calculations!AB99</f>
        <v xml:space="preserve">  Taxable Value (percent of assessed value)</v>
      </c>
      <c r="B140" s="99">
        <f>Calculations!AC99</f>
        <v>1</v>
      </c>
      <c r="C140" s="99"/>
      <c r="D140" s="99"/>
      <c r="E140" s="99"/>
      <c r="F140" s="95"/>
      <c r="G140" s="95"/>
      <c r="H140" s="95"/>
      <c r="I140" s="95"/>
      <c r="J140" s="95"/>
      <c r="K140" s="95"/>
      <c r="L140" s="95"/>
      <c r="M140" s="95"/>
      <c r="N140" s="95"/>
      <c r="O140" s="95"/>
      <c r="P140" s="95"/>
      <c r="Q140" s="95"/>
      <c r="R140" s="95"/>
      <c r="S140" s="95"/>
      <c r="T140" s="95"/>
      <c r="U140" s="95"/>
      <c r="V140" s="95"/>
      <c r="W140" s="95"/>
      <c r="X140" s="95"/>
      <c r="BB140" s="74"/>
      <c r="BC140" s="131"/>
      <c r="BD140" s="185"/>
      <c r="BE140" s="179"/>
    </row>
    <row r="141" spans="1:57" x14ac:dyDescent="0.2">
      <c r="A141" s="373" t="str">
        <f>Calculations!AB100</f>
        <v xml:space="preserve">  Taxable Value</v>
      </c>
      <c r="B141" s="202">
        <f>Calculations!AC100</f>
        <v>29859436.543492477</v>
      </c>
      <c r="C141" s="99"/>
      <c r="D141" s="99"/>
      <c r="E141" s="99"/>
      <c r="F141" s="95"/>
      <c r="G141" s="95"/>
      <c r="H141" s="95"/>
      <c r="I141" s="95"/>
      <c r="J141" s="95"/>
      <c r="K141" s="95"/>
      <c r="L141" s="95"/>
      <c r="M141" s="95"/>
      <c r="N141" s="95"/>
      <c r="O141" s="95"/>
      <c r="P141" s="95"/>
      <c r="Q141" s="95"/>
      <c r="R141" s="95"/>
      <c r="S141" s="95"/>
      <c r="T141" s="95"/>
      <c r="U141" s="95"/>
      <c r="V141" s="95"/>
      <c r="W141" s="95"/>
      <c r="X141" s="95"/>
      <c r="BB141" s="131"/>
      <c r="BC141" s="131"/>
      <c r="BD141" s="185"/>
      <c r="BE141" s="179"/>
    </row>
    <row r="142" spans="1:57" x14ac:dyDescent="0.2">
      <c r="A142" s="373" t="str">
        <f>Calculations!AB101</f>
        <v xml:space="preserve">  Property Tax Exemption (percent of local taxes)</v>
      </c>
      <c r="B142" s="698">
        <f>Calculations!AC101</f>
        <v>0</v>
      </c>
      <c r="C142" s="99"/>
      <c r="D142" s="99"/>
      <c r="E142" s="99"/>
      <c r="F142" s="95"/>
      <c r="G142" s="95"/>
      <c r="H142" s="95"/>
      <c r="I142" s="95"/>
      <c r="J142" s="95"/>
      <c r="K142" s="95"/>
      <c r="L142" s="95"/>
      <c r="M142" s="95"/>
      <c r="N142" s="95"/>
      <c r="O142" s="95"/>
      <c r="P142" s="95"/>
      <c r="Q142" s="95"/>
      <c r="R142" s="95"/>
      <c r="S142" s="95"/>
      <c r="T142" s="95"/>
      <c r="U142" s="95"/>
      <c r="V142" s="95"/>
      <c r="W142" s="95"/>
      <c r="X142" s="95"/>
      <c r="BB142" s="131"/>
      <c r="BC142" s="131"/>
      <c r="BD142" s="185"/>
      <c r="BE142" s="179"/>
    </row>
    <row r="143" spans="1:57" x14ac:dyDescent="0.2">
      <c r="A143" s="373" t="str">
        <f>Calculations!AB102</f>
        <v xml:space="preserve">  Local Property Taxes</v>
      </c>
      <c r="B143" s="202">
        <f>Calculations!AC102</f>
        <v>0</v>
      </c>
      <c r="C143" s="99">
        <f>Calculations!AD102</f>
        <v>1</v>
      </c>
      <c r="D143" s="99"/>
      <c r="E143" s="99"/>
      <c r="F143" s="95"/>
      <c r="G143" s="95"/>
      <c r="H143" s="95"/>
      <c r="I143" s="95"/>
      <c r="J143" s="95"/>
      <c r="K143" s="95"/>
      <c r="L143" s="95"/>
      <c r="M143" s="95"/>
      <c r="N143" s="95"/>
      <c r="O143" s="95"/>
      <c r="P143" s="95"/>
      <c r="Q143" s="95"/>
      <c r="R143" s="95"/>
      <c r="S143" s="95"/>
      <c r="T143" s="95"/>
      <c r="U143" s="95"/>
      <c r="V143" s="95"/>
      <c r="W143" s="95"/>
      <c r="X143" s="95"/>
      <c r="BB143" s="131"/>
      <c r="BC143" s="131"/>
      <c r="BD143" s="183"/>
      <c r="BE143" s="181"/>
    </row>
    <row r="144" spans="1:57" x14ac:dyDescent="0.2">
      <c r="A144" s="373" t="str">
        <f>Calculations!AB103</f>
        <v xml:space="preserve">  Local Sales Tax Rate</v>
      </c>
      <c r="B144" s="697">
        <f>Calculations!AC103</f>
        <v>6.25E-2</v>
      </c>
      <c r="C144" s="99">
        <f>Calculations!AD103</f>
        <v>1</v>
      </c>
      <c r="D144" s="99"/>
      <c r="E144" s="99"/>
      <c r="F144" s="95"/>
      <c r="G144" s="95"/>
      <c r="H144" s="95"/>
      <c r="I144" s="95"/>
      <c r="J144" s="95"/>
      <c r="K144" s="95"/>
      <c r="L144" s="95"/>
      <c r="M144" s="95"/>
      <c r="N144" s="95"/>
      <c r="O144" s="95"/>
      <c r="P144" s="95"/>
      <c r="Q144" s="95"/>
      <c r="R144" s="95"/>
      <c r="S144" s="95"/>
      <c r="T144" s="95"/>
      <c r="U144" s="95"/>
      <c r="V144" s="95"/>
      <c r="W144" s="95"/>
      <c r="X144" s="95"/>
      <c r="BB144" s="74"/>
      <c r="BC144" s="131"/>
      <c r="BD144" s="74"/>
      <c r="BE144" s="178"/>
    </row>
    <row r="145" spans="1:64" x14ac:dyDescent="0.2">
      <c r="A145" s="213" t="str">
        <f>Calculations!AB104</f>
        <v>Payroll Parameters</v>
      </c>
      <c r="B145" s="152" t="str">
        <f>Calculations!AC105</f>
        <v>Wage per hour</v>
      </c>
      <c r="C145" s="377" t="str">
        <f>Calculations!AD105</f>
        <v>Employer Payroll Overhead</v>
      </c>
      <c r="D145" s="150"/>
      <c r="E145" s="150"/>
      <c r="F145" s="95"/>
      <c r="G145" s="95"/>
      <c r="H145" s="95"/>
      <c r="I145" s="95"/>
      <c r="J145" s="95"/>
      <c r="K145" s="95"/>
      <c r="L145" s="95"/>
      <c r="M145" s="95"/>
      <c r="N145" s="95"/>
      <c r="O145" s="95"/>
      <c r="P145" s="95"/>
      <c r="Q145" s="95"/>
      <c r="R145" s="95"/>
      <c r="S145" s="95"/>
      <c r="T145" s="95"/>
      <c r="U145" s="95"/>
      <c r="V145" s="95"/>
      <c r="W145" s="95"/>
      <c r="X145" s="95"/>
      <c r="BB145" s="131"/>
      <c r="BC145" s="131"/>
      <c r="BD145" s="186"/>
      <c r="BE145" s="185"/>
    </row>
    <row r="146" spans="1:64" s="462" customFormat="1" x14ac:dyDescent="0.2">
      <c r="A146" s="373" t="str">
        <f>Calculations!AB105</f>
        <v xml:space="preserve">  Construction and Installation Labor</v>
      </c>
      <c r="B146" s="150"/>
      <c r="C146" s="150"/>
      <c r="D146" s="150"/>
      <c r="E146" s="150"/>
      <c r="F146" s="95"/>
      <c r="G146" s="95"/>
      <c r="H146" s="95"/>
      <c r="I146" s="95"/>
      <c r="J146" s="95"/>
      <c r="K146" s="95"/>
      <c r="L146" s="95"/>
      <c r="M146" s="95"/>
      <c r="N146" s="95"/>
      <c r="O146" s="95"/>
      <c r="P146" s="95"/>
      <c r="Q146" s="95"/>
      <c r="R146" s="95"/>
      <c r="S146" s="95"/>
      <c r="T146" s="95"/>
      <c r="U146" s="95"/>
      <c r="V146" s="95"/>
      <c r="W146" s="95"/>
      <c r="X146" s="95"/>
      <c r="BB146" s="131"/>
      <c r="BC146" s="131"/>
      <c r="BD146" s="186"/>
      <c r="BE146" s="185"/>
      <c r="BH146"/>
      <c r="BI146"/>
      <c r="BJ146"/>
      <c r="BK146"/>
      <c r="BL146"/>
    </row>
    <row r="147" spans="1:64" s="462" customFormat="1" x14ac:dyDescent="0.2">
      <c r="A147" s="373" t="str">
        <f>Calculations!AB106</f>
        <v xml:space="preserve">    Civil (grading, roads, site prep, foundations, fencing)</v>
      </c>
      <c r="B147" s="378">
        <f>Calculations!AC106</f>
        <v>17.45</v>
      </c>
      <c r="C147" s="379">
        <f>Calculations!AD106</f>
        <v>0.37606110248282032</v>
      </c>
      <c r="D147" s="150"/>
      <c r="E147" s="150"/>
      <c r="F147" s="95"/>
      <c r="G147" s="95"/>
      <c r="H147" s="95"/>
      <c r="I147" s="95"/>
      <c r="J147" s="95"/>
      <c r="K147" s="95"/>
      <c r="L147" s="95"/>
      <c r="M147" s="95"/>
      <c r="N147" s="95"/>
      <c r="O147" s="95"/>
      <c r="P147" s="95"/>
      <c r="Q147" s="95"/>
      <c r="R147" s="95"/>
      <c r="S147" s="95"/>
      <c r="T147" s="95"/>
      <c r="U147" s="95"/>
      <c r="V147" s="95"/>
      <c r="W147" s="95"/>
      <c r="X147" s="95"/>
      <c r="BB147" s="131"/>
      <c r="BC147" s="131"/>
      <c r="BD147" s="186"/>
      <c r="BE147" s="185"/>
    </row>
    <row r="148" spans="1:64" s="462" customFormat="1" x14ac:dyDescent="0.2">
      <c r="A148" s="373" t="str">
        <f>Calculations!AB107</f>
        <v xml:space="preserve">    Heavy Construction (Tower erection, Conductor stringing)</v>
      </c>
      <c r="B148" s="378">
        <f>Calculations!AC107</f>
        <v>25.27</v>
      </c>
      <c r="C148" s="379">
        <f>Calculations!AD107</f>
        <v>0.37606110248282032</v>
      </c>
      <c r="D148" s="150"/>
      <c r="E148" s="150"/>
      <c r="F148" s="95"/>
      <c r="G148" s="95"/>
      <c r="H148" s="95"/>
      <c r="I148" s="95"/>
      <c r="J148" s="95"/>
      <c r="K148" s="95"/>
      <c r="L148" s="95"/>
      <c r="M148" s="95"/>
      <c r="N148" s="95"/>
      <c r="O148" s="95"/>
      <c r="P148" s="95"/>
      <c r="Q148" s="95"/>
      <c r="R148" s="95"/>
      <c r="S148" s="95"/>
      <c r="T148" s="95"/>
      <c r="U148" s="95"/>
      <c r="V148" s="95"/>
      <c r="W148" s="95"/>
      <c r="X148" s="95"/>
      <c r="BB148" s="131"/>
      <c r="BC148" s="131"/>
      <c r="BD148" s="186"/>
      <c r="BE148" s="185"/>
      <c r="BH148"/>
      <c r="BI148"/>
      <c r="BJ148"/>
      <c r="BK148"/>
      <c r="BL148"/>
    </row>
    <row r="149" spans="1:64" x14ac:dyDescent="0.2">
      <c r="A149" s="373" t="str">
        <f>Calculations!AB108</f>
        <v xml:space="preserve">    Commerical/Industrial Construction (Substation, Converter)</v>
      </c>
      <c r="B149" s="378">
        <f>Calculations!AC108</f>
        <v>29.98</v>
      </c>
      <c r="C149" s="379">
        <f>Calculations!AD108</f>
        <v>0.37606110248282032</v>
      </c>
      <c r="D149" s="151"/>
      <c r="E149" s="151"/>
      <c r="F149" s="95"/>
      <c r="G149" s="95"/>
      <c r="H149" s="95"/>
      <c r="I149" s="95"/>
      <c r="J149" s="95"/>
      <c r="K149" s="95"/>
      <c r="L149" s="95"/>
      <c r="M149" s="95"/>
      <c r="N149" s="95"/>
      <c r="O149" s="95"/>
      <c r="P149" s="95"/>
      <c r="Q149" s="95"/>
      <c r="R149" s="95"/>
      <c r="S149" s="95"/>
      <c r="T149" s="95"/>
      <c r="U149" s="95"/>
      <c r="V149" s="95"/>
      <c r="W149" s="95"/>
      <c r="X149" s="95"/>
      <c r="BB149" s="131"/>
      <c r="BC149" s="131"/>
      <c r="BD149" s="186"/>
      <c r="BE149" s="185"/>
    </row>
    <row r="150" spans="1:64" x14ac:dyDescent="0.2">
      <c r="A150" s="373" t="str">
        <f>Calculations!AB109</f>
        <v xml:space="preserve">  O&amp;M Labor</v>
      </c>
      <c r="B150" s="378"/>
      <c r="C150" s="379"/>
      <c r="D150" s="151"/>
      <c r="E150" s="151"/>
      <c r="F150" s="95"/>
      <c r="G150" s="95"/>
      <c r="H150" s="95"/>
      <c r="I150" s="95"/>
      <c r="J150" s="95"/>
      <c r="K150" s="95"/>
      <c r="L150" s="95"/>
      <c r="M150" s="95"/>
      <c r="N150" s="95"/>
      <c r="O150" s="95"/>
      <c r="P150" s="95"/>
      <c r="Q150" s="95"/>
      <c r="R150" s="95"/>
      <c r="S150" s="95"/>
      <c r="T150" s="95"/>
      <c r="U150" s="95"/>
      <c r="V150" s="95"/>
      <c r="W150" s="95"/>
      <c r="X150" s="95"/>
      <c r="BB150" s="131"/>
      <c r="BC150" s="131"/>
      <c r="BD150" s="186"/>
      <c r="BE150" s="185"/>
    </row>
    <row r="151" spans="1:64" x14ac:dyDescent="0.2">
      <c r="A151" s="373" t="str">
        <f>Calculations!AB110</f>
        <v xml:space="preserve">    Transmission and ROW Labor/Personnel</v>
      </c>
      <c r="B151" s="378">
        <f>Calculations!AC110</f>
        <v>23.16</v>
      </c>
      <c r="C151" s="379">
        <f>Calculations!AD110</f>
        <v>0.37606110248282032</v>
      </c>
      <c r="D151" s="151"/>
      <c r="E151" s="151"/>
      <c r="F151" s="95"/>
      <c r="G151" s="95"/>
      <c r="H151" s="95"/>
      <c r="I151" s="95"/>
      <c r="J151" s="95"/>
      <c r="K151" s="95"/>
      <c r="L151" s="95"/>
      <c r="M151" s="95"/>
      <c r="N151" s="95"/>
      <c r="O151" s="95"/>
      <c r="P151" s="95"/>
      <c r="Q151" s="95"/>
      <c r="R151" s="95"/>
      <c r="S151" s="95"/>
      <c r="T151" s="95"/>
      <c r="U151" s="95"/>
      <c r="V151" s="95"/>
      <c r="W151" s="95"/>
      <c r="X151" s="95"/>
      <c r="BB151" s="131"/>
    </row>
    <row r="152" spans="1:64" x14ac:dyDescent="0.2">
      <c r="A152" s="373" t="str">
        <f>Calculations!AB111</f>
        <v xml:space="preserve">    Substation and Converter Station Labor/Personnel</v>
      </c>
      <c r="B152" s="378">
        <f>Calculations!AC111</f>
        <v>23.16</v>
      </c>
      <c r="C152" s="379">
        <f>Calculations!AD111</f>
        <v>0.37606110248282032</v>
      </c>
      <c r="D152" s="95"/>
      <c r="E152" s="95"/>
      <c r="F152" s="95"/>
      <c r="G152" s="95"/>
      <c r="H152" s="95"/>
      <c r="I152" s="95"/>
      <c r="J152" s="95"/>
      <c r="K152" s="95"/>
      <c r="L152" s="95"/>
      <c r="M152" s="95"/>
      <c r="N152" s="95"/>
      <c r="O152" s="95"/>
      <c r="P152" s="95"/>
      <c r="Q152" s="95"/>
      <c r="R152" s="95"/>
      <c r="S152" s="95"/>
      <c r="T152" s="95"/>
      <c r="U152" s="95"/>
      <c r="V152" s="95"/>
      <c r="W152" s="95"/>
      <c r="X152" s="95"/>
      <c r="BB152" s="131"/>
    </row>
    <row r="153" spans="1:64" x14ac:dyDescent="0.2">
      <c r="A153" s="95"/>
      <c r="B153" s="95"/>
      <c r="C153" s="95"/>
      <c r="D153" s="95"/>
      <c r="E153" s="95"/>
      <c r="F153" s="95"/>
      <c r="G153" s="95"/>
      <c r="H153" s="95"/>
      <c r="I153" s="95"/>
      <c r="J153" s="95"/>
      <c r="K153" s="95"/>
      <c r="L153" s="95"/>
      <c r="M153" s="95"/>
      <c r="N153" s="95"/>
      <c r="O153" s="95"/>
      <c r="P153" s="95"/>
      <c r="Q153" s="95"/>
      <c r="R153" s="95"/>
      <c r="S153" s="95"/>
      <c r="T153" s="95"/>
      <c r="U153" s="95"/>
      <c r="V153" s="95"/>
      <c r="W153" s="95"/>
      <c r="X153" s="95"/>
      <c r="BB153" s="131"/>
      <c r="BH153" s="462"/>
    </row>
    <row r="154" spans="1:64" x14ac:dyDescent="0.2">
      <c r="A154" s="95"/>
      <c r="B154" s="95"/>
      <c r="C154" s="95"/>
      <c r="D154" s="95"/>
      <c r="E154" s="95"/>
      <c r="F154" s="95"/>
      <c r="G154" s="95"/>
      <c r="H154" s="95"/>
      <c r="I154" s="95"/>
      <c r="J154" s="95"/>
      <c r="K154" s="95"/>
      <c r="L154" s="95"/>
      <c r="M154" s="95"/>
      <c r="N154" s="95"/>
      <c r="O154" s="95"/>
      <c r="P154" s="95"/>
      <c r="Q154" s="95"/>
      <c r="R154" s="95"/>
      <c r="S154" s="95"/>
      <c r="T154" s="95"/>
      <c r="U154" s="95"/>
      <c r="V154" s="95"/>
      <c r="W154" s="95"/>
      <c r="X154" s="95"/>
      <c r="BB154" s="131"/>
      <c r="BH154" s="462"/>
    </row>
    <row r="155" spans="1:64" x14ac:dyDescent="0.2">
      <c r="A155" s="95"/>
      <c r="B155" s="95"/>
      <c r="C155" s="95"/>
      <c r="D155" s="95"/>
      <c r="E155" s="95"/>
      <c r="F155" s="95"/>
      <c r="G155" s="95"/>
      <c r="H155" s="95"/>
      <c r="I155" s="95"/>
      <c r="J155" s="95"/>
      <c r="K155" s="95"/>
      <c r="L155" s="95"/>
      <c r="M155" s="95"/>
      <c r="N155" s="95"/>
      <c r="O155" s="95"/>
      <c r="P155" s="95"/>
      <c r="Q155" s="95"/>
      <c r="R155" s="95"/>
      <c r="S155" s="95"/>
      <c r="T155" s="95"/>
      <c r="U155" s="95"/>
      <c r="V155" s="95"/>
      <c r="W155" s="95"/>
      <c r="X155" s="95"/>
      <c r="BB155" s="131"/>
      <c r="BH155" s="462"/>
      <c r="BI155" s="462"/>
      <c r="BJ155" s="462"/>
      <c r="BK155" s="462"/>
      <c r="BL155" s="462"/>
    </row>
    <row r="156" spans="1:64" x14ac:dyDescent="0.2">
      <c r="A156" s="95"/>
      <c r="B156" s="95"/>
      <c r="C156" s="95"/>
      <c r="D156" s="95"/>
      <c r="E156" s="95"/>
      <c r="F156" s="95"/>
      <c r="G156" s="95"/>
      <c r="H156" s="95"/>
      <c r="I156" s="95"/>
      <c r="J156" s="95"/>
      <c r="K156" s="95"/>
      <c r="L156" s="95"/>
      <c r="M156" s="95"/>
      <c r="N156" s="95"/>
      <c r="O156" s="95"/>
      <c r="P156" s="95"/>
      <c r="Q156" s="95"/>
      <c r="R156" s="95"/>
      <c r="S156" s="95"/>
      <c r="T156" s="95"/>
      <c r="U156" s="95"/>
      <c r="V156" s="95"/>
      <c r="W156" s="95"/>
      <c r="X156" s="95"/>
      <c r="BB156" s="131"/>
      <c r="BI156" s="462"/>
      <c r="BJ156" s="462"/>
      <c r="BK156" s="462"/>
      <c r="BL156" s="462"/>
    </row>
    <row r="157" spans="1:64" x14ac:dyDescent="0.2">
      <c r="A157" s="95"/>
      <c r="B157" s="95"/>
      <c r="C157" s="95"/>
      <c r="D157" s="95"/>
      <c r="E157" s="95"/>
      <c r="F157" s="95"/>
      <c r="G157" s="95"/>
      <c r="H157" s="95"/>
      <c r="I157" s="95"/>
      <c r="J157" s="95"/>
      <c r="K157" s="95"/>
      <c r="L157" s="95"/>
      <c r="M157" s="95"/>
      <c r="N157" s="95"/>
      <c r="O157" s="95"/>
      <c r="P157" s="95"/>
      <c r="Q157" s="95"/>
      <c r="R157" s="95"/>
      <c r="S157" s="95"/>
      <c r="T157" s="95"/>
      <c r="U157" s="95"/>
      <c r="V157" s="95"/>
      <c r="W157" s="95"/>
      <c r="X157" s="95"/>
      <c r="BB157" s="131"/>
      <c r="BI157" s="462"/>
      <c r="BJ157" s="462"/>
      <c r="BK157" s="462"/>
      <c r="BL157" s="462"/>
    </row>
    <row r="158" spans="1:64" x14ac:dyDescent="0.2">
      <c r="A158" s="95"/>
      <c r="B158" s="95"/>
      <c r="C158" s="95"/>
      <c r="D158" s="95"/>
      <c r="E158" s="95"/>
      <c r="F158" s="95"/>
      <c r="G158" s="95"/>
      <c r="H158" s="95"/>
      <c r="I158" s="95"/>
      <c r="J158" s="95"/>
      <c r="K158" s="95"/>
      <c r="L158" s="95"/>
      <c r="M158" s="95"/>
      <c r="N158" s="95"/>
      <c r="O158" s="95"/>
      <c r="P158" s="95"/>
      <c r="Q158" s="95"/>
      <c r="R158" s="95"/>
      <c r="S158" s="95"/>
      <c r="T158" s="95"/>
      <c r="U158" s="95"/>
      <c r="V158" s="95"/>
      <c r="W158" s="95"/>
      <c r="X158" s="95"/>
      <c r="BB158" s="131"/>
    </row>
    <row r="159" spans="1:64" x14ac:dyDescent="0.2">
      <c r="A159" s="95"/>
      <c r="B159" s="95"/>
      <c r="C159" s="95"/>
      <c r="D159" s="95"/>
      <c r="E159" s="95"/>
      <c r="F159" s="95"/>
      <c r="G159" s="95"/>
      <c r="H159" s="95"/>
      <c r="I159" s="95"/>
      <c r="J159" s="95"/>
      <c r="K159" s="95"/>
      <c r="L159" s="95"/>
      <c r="M159" s="95"/>
      <c r="N159" s="95"/>
      <c r="O159" s="95"/>
      <c r="P159" s="95"/>
      <c r="Q159" s="95"/>
      <c r="R159" s="95"/>
      <c r="S159" s="95"/>
      <c r="T159" s="95"/>
      <c r="U159" s="95"/>
      <c r="V159" s="95"/>
      <c r="W159" s="95"/>
      <c r="X159" s="95"/>
      <c r="BB159" s="131"/>
    </row>
    <row r="160" spans="1:64" x14ac:dyDescent="0.2">
      <c r="A160" s="95"/>
      <c r="B160" s="95"/>
      <c r="C160" s="95"/>
      <c r="D160" s="95"/>
      <c r="E160" s="95"/>
      <c r="F160" s="95"/>
      <c r="G160" s="95"/>
      <c r="H160" s="95"/>
      <c r="I160" s="95"/>
      <c r="J160" s="95"/>
      <c r="K160" s="95"/>
      <c r="L160" s="95"/>
      <c r="M160" s="95"/>
      <c r="N160" s="95"/>
      <c r="O160" s="95"/>
      <c r="P160" s="95"/>
      <c r="Q160" s="95"/>
      <c r="R160" s="95"/>
      <c r="S160" s="95"/>
      <c r="T160" s="95"/>
      <c r="U160" s="95"/>
      <c r="V160" s="95"/>
      <c r="W160" s="95"/>
      <c r="X160" s="95"/>
      <c r="BB160" s="131"/>
    </row>
    <row r="161" spans="1:54" x14ac:dyDescent="0.2">
      <c r="A161" s="95"/>
      <c r="B161" s="95"/>
      <c r="C161" s="95"/>
      <c r="D161" s="95"/>
      <c r="E161" s="95"/>
      <c r="F161" s="95"/>
      <c r="G161" s="95"/>
      <c r="H161" s="95"/>
      <c r="I161" s="95"/>
      <c r="J161" s="95"/>
      <c r="K161" s="95"/>
      <c r="L161" s="95"/>
      <c r="M161" s="95"/>
      <c r="N161" s="95"/>
      <c r="O161" s="95"/>
      <c r="P161" s="95"/>
      <c r="Q161" s="95"/>
      <c r="R161" s="95"/>
      <c r="S161" s="95"/>
      <c r="T161" s="95"/>
      <c r="U161" s="95"/>
      <c r="V161" s="95"/>
      <c r="W161" s="95"/>
      <c r="X161" s="95"/>
      <c r="BB161" s="131"/>
    </row>
    <row r="162" spans="1:54" x14ac:dyDescent="0.2">
      <c r="A162" s="95"/>
      <c r="B162" s="95"/>
      <c r="C162" s="95"/>
      <c r="D162" s="95"/>
      <c r="E162" s="95"/>
      <c r="F162" s="95"/>
      <c r="G162" s="95"/>
      <c r="H162" s="95"/>
      <c r="I162" s="95"/>
      <c r="J162" s="95"/>
      <c r="K162" s="95"/>
      <c r="L162" s="95"/>
      <c r="M162" s="95"/>
      <c r="N162" s="95"/>
      <c r="O162" s="95"/>
      <c r="P162" s="95"/>
      <c r="Q162" s="95"/>
      <c r="R162" s="95"/>
      <c r="S162" s="95"/>
      <c r="T162" s="95"/>
      <c r="U162" s="95"/>
      <c r="V162" s="95"/>
      <c r="W162" s="95"/>
      <c r="X162" s="95"/>
      <c r="BB162" s="131"/>
    </row>
    <row r="163" spans="1:54" x14ac:dyDescent="0.2">
      <c r="A163" s="95"/>
      <c r="B163" s="95"/>
      <c r="C163" s="95"/>
      <c r="D163" s="95"/>
      <c r="E163" s="95"/>
      <c r="F163" s="95"/>
      <c r="G163" s="95"/>
      <c r="H163" s="95"/>
      <c r="I163" s="95"/>
      <c r="J163" s="95"/>
      <c r="K163" s="95"/>
      <c r="L163" s="95"/>
      <c r="M163" s="95"/>
      <c r="N163" s="95"/>
      <c r="O163" s="95"/>
      <c r="P163" s="95"/>
      <c r="Q163" s="95"/>
      <c r="R163" s="95"/>
      <c r="S163" s="95"/>
      <c r="T163" s="95"/>
      <c r="U163" s="95"/>
      <c r="V163" s="95"/>
      <c r="W163" s="95"/>
      <c r="X163" s="95"/>
      <c r="BB163" s="131"/>
    </row>
    <row r="164" spans="1:54" x14ac:dyDescent="0.2">
      <c r="A164" s="95"/>
      <c r="B164" s="95"/>
      <c r="C164" s="95"/>
      <c r="D164" s="95"/>
      <c r="E164" s="95"/>
      <c r="F164" s="95"/>
      <c r="G164" s="95"/>
      <c r="H164" s="95"/>
      <c r="I164" s="95"/>
      <c r="J164" s="95"/>
      <c r="K164" s="95"/>
      <c r="L164" s="95"/>
      <c r="M164" s="95"/>
      <c r="N164" s="95"/>
      <c r="O164" s="95"/>
      <c r="P164" s="95"/>
      <c r="Q164" s="95"/>
      <c r="R164" s="95"/>
      <c r="S164" s="95"/>
      <c r="T164" s="95"/>
      <c r="U164" s="95"/>
      <c r="V164" s="95"/>
      <c r="W164" s="95"/>
      <c r="X164" s="95"/>
      <c r="BB164" s="131"/>
    </row>
    <row r="165" spans="1:54" x14ac:dyDescent="0.2">
      <c r="BB165" s="131"/>
    </row>
    <row r="166" spans="1:54" x14ac:dyDescent="0.2">
      <c r="BB166" s="131"/>
    </row>
    <row r="167" spans="1:54" x14ac:dyDescent="0.2">
      <c r="BB167" s="131"/>
    </row>
    <row r="168" spans="1:54" x14ac:dyDescent="0.2">
      <c r="BB168" s="131"/>
    </row>
    <row r="169" spans="1:54" x14ac:dyDescent="0.2">
      <c r="BB169" s="131"/>
    </row>
    <row r="170" spans="1:54" x14ac:dyDescent="0.2">
      <c r="BB170" s="131"/>
    </row>
    <row r="171" spans="1:54" x14ac:dyDescent="0.2">
      <c r="BB171" s="131"/>
    </row>
    <row r="172" spans="1:54" x14ac:dyDescent="0.2">
      <c r="BB172" s="131"/>
    </row>
    <row r="173" spans="1:54" x14ac:dyDescent="0.2">
      <c r="BB173" s="131"/>
    </row>
    <row r="174" spans="1:54" x14ac:dyDescent="0.2">
      <c r="BB174" s="131"/>
    </row>
    <row r="175" spans="1:54" x14ac:dyDescent="0.2">
      <c r="BB175" s="131"/>
    </row>
    <row r="176" spans="1:54" x14ac:dyDescent="0.2">
      <c r="BB176" s="131"/>
    </row>
    <row r="177" spans="54:54" x14ac:dyDescent="0.2">
      <c r="BB177" s="131"/>
    </row>
    <row r="178" spans="54:54" x14ac:dyDescent="0.2">
      <c r="BB178" s="131"/>
    </row>
    <row r="179" spans="54:54" x14ac:dyDescent="0.2">
      <c r="BB179" s="131"/>
    </row>
    <row r="180" spans="54:54" x14ac:dyDescent="0.2">
      <c r="BB180" s="131"/>
    </row>
    <row r="181" spans="54:54" x14ac:dyDescent="0.2">
      <c r="BB181" s="131"/>
    </row>
    <row r="182" spans="54:54" x14ac:dyDescent="0.2">
      <c r="BB182" s="131"/>
    </row>
    <row r="183" spans="54:54" x14ac:dyDescent="0.2">
      <c r="BB183" s="131"/>
    </row>
    <row r="184" spans="54:54" x14ac:dyDescent="0.2">
      <c r="BB184" s="131"/>
    </row>
    <row r="185" spans="54:54" x14ac:dyDescent="0.2">
      <c r="BB185" s="131"/>
    </row>
    <row r="186" spans="54:54" x14ac:dyDescent="0.2">
      <c r="BB186" s="131"/>
    </row>
    <row r="187" spans="54:54" x14ac:dyDescent="0.2">
      <c r="BB187" s="131"/>
    </row>
    <row r="188" spans="54:54" x14ac:dyDescent="0.2">
      <c r="BB188" s="131"/>
    </row>
    <row r="189" spans="54:54" x14ac:dyDescent="0.2">
      <c r="BB189" s="131"/>
    </row>
    <row r="190" spans="54:54" x14ac:dyDescent="0.2">
      <c r="BB190" s="131"/>
    </row>
    <row r="191" spans="54:54" x14ac:dyDescent="0.2">
      <c r="BB191" s="131"/>
    </row>
    <row r="192" spans="54:54" x14ac:dyDescent="0.2">
      <c r="BB192" s="131"/>
    </row>
    <row r="193" spans="54:54" x14ac:dyDescent="0.2">
      <c r="BB193" s="131"/>
    </row>
    <row r="194" spans="54:54" x14ac:dyDescent="0.2">
      <c r="BB194" s="131"/>
    </row>
    <row r="195" spans="54:54" x14ac:dyDescent="0.2">
      <c r="BB195" s="131"/>
    </row>
    <row r="196" spans="54:54" x14ac:dyDescent="0.2">
      <c r="BB196" s="131"/>
    </row>
    <row r="197" spans="54:54" x14ac:dyDescent="0.2">
      <c r="BB197" s="131"/>
    </row>
    <row r="198" spans="54:54" x14ac:dyDescent="0.2">
      <c r="BB198" s="131"/>
    </row>
    <row r="199" spans="54:54" x14ac:dyDescent="0.2">
      <c r="BB199" s="131"/>
    </row>
    <row r="200" spans="54:54" x14ac:dyDescent="0.2">
      <c r="BB200" s="131"/>
    </row>
    <row r="201" spans="54:54" x14ac:dyDescent="0.2">
      <c r="BB201" s="131"/>
    </row>
    <row r="202" spans="54:54" x14ac:dyDescent="0.2">
      <c r="BB202" s="131"/>
    </row>
    <row r="203" spans="54:54" x14ac:dyDescent="0.2">
      <c r="BB203" s="131"/>
    </row>
    <row r="204" spans="54:54" x14ac:dyDescent="0.2">
      <c r="BB204" s="131"/>
    </row>
    <row r="205" spans="54:54" x14ac:dyDescent="0.2">
      <c r="BB205" s="131"/>
    </row>
    <row r="206" spans="54:54" x14ac:dyDescent="0.2">
      <c r="BB206" s="131"/>
    </row>
    <row r="207" spans="54:54" x14ac:dyDescent="0.2">
      <c r="BB207" s="131"/>
    </row>
    <row r="208" spans="54:54" x14ac:dyDescent="0.2">
      <c r="BB208" s="131"/>
    </row>
    <row r="209" spans="54:54" x14ac:dyDescent="0.2">
      <c r="BB209" s="131"/>
    </row>
    <row r="210" spans="54:54" x14ac:dyDescent="0.2">
      <c r="BB210" s="131"/>
    </row>
    <row r="211" spans="54:54" x14ac:dyDescent="0.2">
      <c r="BB211" s="131"/>
    </row>
    <row r="212" spans="54:54" x14ac:dyDescent="0.2">
      <c r="BB212" s="131"/>
    </row>
    <row r="213" spans="54:54" x14ac:dyDescent="0.2">
      <c r="BB213" s="131"/>
    </row>
    <row r="214" spans="54:54" x14ac:dyDescent="0.2">
      <c r="BB214" s="131"/>
    </row>
    <row r="215" spans="54:54" x14ac:dyDescent="0.2">
      <c r="BB215" s="131"/>
    </row>
    <row r="216" spans="54:54" x14ac:dyDescent="0.2">
      <c r="BB216" s="131"/>
    </row>
    <row r="217" spans="54:54" x14ac:dyDescent="0.2">
      <c r="BB217" s="131"/>
    </row>
    <row r="218" spans="54:54" x14ac:dyDescent="0.2">
      <c r="BB218" s="131"/>
    </row>
    <row r="219" spans="54:54" x14ac:dyDescent="0.2">
      <c r="BB219" s="131"/>
    </row>
    <row r="220" spans="54:54" x14ac:dyDescent="0.2">
      <c r="BB220" s="131"/>
    </row>
    <row r="221" spans="54:54" x14ac:dyDescent="0.2">
      <c r="BB221" s="131"/>
    </row>
    <row r="222" spans="54:54" x14ac:dyDescent="0.2">
      <c r="BB222" s="131"/>
    </row>
    <row r="223" spans="54:54" x14ac:dyDescent="0.2">
      <c r="BB223" s="131"/>
    </row>
    <row r="224" spans="54:54" x14ac:dyDescent="0.2">
      <c r="BB224" s="131"/>
    </row>
    <row r="225" spans="54:54" x14ac:dyDescent="0.2">
      <c r="BB225" s="131"/>
    </row>
    <row r="226" spans="54:54" x14ac:dyDescent="0.2">
      <c r="BB226" s="131"/>
    </row>
    <row r="227" spans="54:54" x14ac:dyDescent="0.2">
      <c r="BB227" s="131"/>
    </row>
    <row r="228" spans="54:54" x14ac:dyDescent="0.2">
      <c r="BB228" s="131"/>
    </row>
    <row r="229" spans="54:54" x14ac:dyDescent="0.2">
      <c r="BB229" s="131"/>
    </row>
    <row r="230" spans="54:54" x14ac:dyDescent="0.2">
      <c r="BB230" s="131"/>
    </row>
    <row r="231" spans="54:54" x14ac:dyDescent="0.2">
      <c r="BB231" s="131"/>
    </row>
    <row r="232" spans="54:54" x14ac:dyDescent="0.2">
      <c r="BB232" s="131"/>
    </row>
    <row r="233" spans="54:54" x14ac:dyDescent="0.2">
      <c r="BB233" s="131"/>
    </row>
    <row r="234" spans="54:54" x14ac:dyDescent="0.2">
      <c r="BB234" s="131"/>
    </row>
    <row r="235" spans="54:54" x14ac:dyDescent="0.2">
      <c r="BB235" s="131"/>
    </row>
    <row r="236" spans="54:54" x14ac:dyDescent="0.2">
      <c r="BB236" s="131"/>
    </row>
    <row r="237" spans="54:54" x14ac:dyDescent="0.2">
      <c r="BB237" s="131"/>
    </row>
    <row r="238" spans="54:54" x14ac:dyDescent="0.2">
      <c r="BB238" s="131"/>
    </row>
    <row r="239" spans="54:54" x14ac:dyDescent="0.2">
      <c r="BB239" s="131"/>
    </row>
    <row r="240" spans="54:54" x14ac:dyDescent="0.2">
      <c r="BB240" s="131"/>
    </row>
    <row r="241" spans="54:54" x14ac:dyDescent="0.2">
      <c r="BB241" s="131"/>
    </row>
    <row r="242" spans="54:54" x14ac:dyDescent="0.2">
      <c r="BB242" s="131"/>
    </row>
    <row r="243" spans="54:54" x14ac:dyDescent="0.2">
      <c r="BB243" s="131"/>
    </row>
    <row r="244" spans="54:54" x14ac:dyDescent="0.2">
      <c r="BB244" s="131"/>
    </row>
    <row r="245" spans="54:54" x14ac:dyDescent="0.2">
      <c r="BB245" s="131"/>
    </row>
    <row r="246" spans="54:54" x14ac:dyDescent="0.2">
      <c r="BB246" s="131"/>
    </row>
    <row r="247" spans="54:54" x14ac:dyDescent="0.2">
      <c r="BB247" s="131"/>
    </row>
    <row r="248" spans="54:54" x14ac:dyDescent="0.2">
      <c r="BB248" s="131"/>
    </row>
    <row r="249" spans="54:54" x14ac:dyDescent="0.2">
      <c r="BB249" s="131"/>
    </row>
    <row r="250" spans="54:54" x14ac:dyDescent="0.2">
      <c r="BB250" s="131"/>
    </row>
    <row r="251" spans="54:54" x14ac:dyDescent="0.2">
      <c r="BB251" s="131"/>
    </row>
    <row r="252" spans="54:54" x14ac:dyDescent="0.2">
      <c r="BB252" s="131"/>
    </row>
    <row r="253" spans="54:54" x14ac:dyDescent="0.2">
      <c r="BB253" s="131"/>
    </row>
    <row r="254" spans="54:54" x14ac:dyDescent="0.2">
      <c r="BB254" s="131"/>
    </row>
    <row r="255" spans="54:54" x14ac:dyDescent="0.2">
      <c r="BB255" s="131"/>
    </row>
    <row r="256" spans="54:54" x14ac:dyDescent="0.2">
      <c r="BB256" s="131"/>
    </row>
    <row r="257" spans="54:54" x14ac:dyDescent="0.2">
      <c r="BB257" s="131"/>
    </row>
    <row r="258" spans="54:54" x14ac:dyDescent="0.2">
      <c r="BB258" s="131"/>
    </row>
    <row r="259" spans="54:54" x14ac:dyDescent="0.2">
      <c r="BB259" s="131"/>
    </row>
    <row r="260" spans="54:54" x14ac:dyDescent="0.2">
      <c r="BB260" s="131"/>
    </row>
    <row r="261" spans="54:54" x14ac:dyDescent="0.2">
      <c r="BB261" s="131"/>
    </row>
    <row r="262" spans="54:54" x14ac:dyDescent="0.2">
      <c r="BB262" s="131"/>
    </row>
    <row r="263" spans="54:54" x14ac:dyDescent="0.2">
      <c r="BB263" s="131"/>
    </row>
    <row r="264" spans="54:54" x14ac:dyDescent="0.2">
      <c r="BB264" s="131"/>
    </row>
    <row r="265" spans="54:54" x14ac:dyDescent="0.2">
      <c r="BB265" s="131"/>
    </row>
    <row r="266" spans="54:54" x14ac:dyDescent="0.2">
      <c r="BB266" s="131"/>
    </row>
    <row r="267" spans="54:54" x14ac:dyDescent="0.2">
      <c r="BB267" s="131"/>
    </row>
    <row r="268" spans="54:54" x14ac:dyDescent="0.2">
      <c r="BB268" s="131"/>
    </row>
    <row r="269" spans="54:54" x14ac:dyDescent="0.2">
      <c r="BB269" s="131"/>
    </row>
    <row r="270" spans="54:54" x14ac:dyDescent="0.2">
      <c r="BB270" s="131"/>
    </row>
    <row r="271" spans="54:54" x14ac:dyDescent="0.2">
      <c r="BB271" s="131"/>
    </row>
    <row r="272" spans="54:54" x14ac:dyDescent="0.2">
      <c r="BB272" s="131"/>
    </row>
    <row r="273" spans="54:54" x14ac:dyDescent="0.2">
      <c r="BB273" s="131"/>
    </row>
    <row r="274" spans="54:54" x14ac:dyDescent="0.2">
      <c r="BB274" s="131"/>
    </row>
    <row r="275" spans="54:54" x14ac:dyDescent="0.2">
      <c r="BB275" s="131"/>
    </row>
  </sheetData>
  <sheetProtection password="DFD3" sheet="1" objects="1" scenarios="1"/>
  <customSheetViews>
    <customSheetView guid="{55B80D82-F000-11D6-8735-C8E5A357943D}" showRuler="0">
      <selection activeCell="C19" sqref="C19"/>
      <pageMargins left="0.75" right="0.75" top="1" bottom="1" header="0.5" footer="0.5"/>
      <headerFooter alignWithMargins="0"/>
    </customSheetView>
  </customSheetViews>
  <phoneticPr fontId="0" type="noConversion"/>
  <conditionalFormatting sqref="A9">
    <cfRule type="expression" dxfId="3" priority="2">
      <formula>$B$24="Simple"</formula>
    </cfRule>
  </conditionalFormatting>
  <conditionalFormatting sqref="A8">
    <cfRule type="expression" dxfId="2" priority="1">
      <formula>$B$24="Simple"</formula>
    </cfRule>
  </conditionalFormatting>
  <pageMargins left="0.46" right="0.46" top="0.53" bottom="0.49" header="0.5" footer="0.5"/>
  <pageSetup fitToHeight="2" orientation="portrait" horizontalDpi="360" verticalDpi="300" r:id="rId1"/>
  <headerFooter alignWithMargins="0">
    <oddFooter>&amp;L&amp;D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36" r:id="rId4" name="Button 16">
              <controlPr defaultSize="0" print="0" autoFill="0" autoPict="0" macro="[0]!PrintProjectData">
                <anchor moveWithCells="1" sizeWithCells="1">
                  <from>
                    <xdr:col>5</xdr:col>
                    <xdr:colOff>95250</xdr:colOff>
                    <xdr:row>6</xdr:row>
                    <xdr:rowOff>9525</xdr:rowOff>
                  </from>
                  <to>
                    <xdr:col>5</xdr:col>
                    <xdr:colOff>1790700</xdr:colOff>
                    <xdr:row>10</xdr:row>
                    <xdr:rowOff>66675</xdr:rowOff>
                  </to>
                </anchor>
              </controlPr>
            </control>
          </mc:Choice>
        </mc:AlternateContent>
        <mc:AlternateContent xmlns:mc="http://schemas.openxmlformats.org/markup-compatibility/2006">
          <mc:Choice Requires="x14">
            <control shapeId="5139" r:id="rId5" name="Button 19">
              <controlPr defaultSize="0" print="0" autoFill="0" autoPict="0" macro="[0]!PrintProjectDataSummaryandSummaryResults">
                <anchor moveWithCells="1" sizeWithCells="1">
                  <from>
                    <xdr:col>5</xdr:col>
                    <xdr:colOff>85725</xdr:colOff>
                    <xdr:row>1</xdr:row>
                    <xdr:rowOff>171450</xdr:rowOff>
                  </from>
                  <to>
                    <xdr:col>5</xdr:col>
                    <xdr:colOff>1781175</xdr:colOff>
                    <xdr:row>5</xdr:row>
                    <xdr:rowOff>19050</xdr:rowOff>
                  </to>
                </anchor>
              </controlPr>
            </control>
          </mc:Choice>
        </mc:AlternateContent>
        <mc:AlternateContent xmlns:mc="http://schemas.openxmlformats.org/markup-compatibility/2006">
          <mc:Choice Requires="x14">
            <control shapeId="5140" r:id="rId6" name="Button 20">
              <controlPr defaultSize="0" print="0" autoFill="0" autoPict="0" macro="[0]!WindProject">
                <anchor moveWithCells="1" sizeWithCells="1">
                  <from>
                    <xdr:col>5</xdr:col>
                    <xdr:colOff>114300</xdr:colOff>
                    <xdr:row>15</xdr:row>
                    <xdr:rowOff>152400</xdr:rowOff>
                  </from>
                  <to>
                    <xdr:col>6</xdr:col>
                    <xdr:colOff>9525</xdr:colOff>
                    <xdr:row>19</xdr:row>
                    <xdr:rowOff>95250</xdr:rowOff>
                  </to>
                </anchor>
              </controlPr>
            </control>
          </mc:Choice>
        </mc:AlternateContent>
        <mc:AlternateContent xmlns:mc="http://schemas.openxmlformats.org/markup-compatibility/2006">
          <mc:Choice Requires="x14">
            <control shapeId="5164" r:id="rId7" name="Button 44">
              <controlPr defaultSize="0" print="0" autoFill="0" autoPict="0" macro="[0]!ExportAllProjectData">
                <anchor moveWithCells="1" sizeWithCells="1">
                  <from>
                    <xdr:col>5</xdr:col>
                    <xdr:colOff>95250</xdr:colOff>
                    <xdr:row>11</xdr:row>
                    <xdr:rowOff>76200</xdr:rowOff>
                  </from>
                  <to>
                    <xdr:col>5</xdr:col>
                    <xdr:colOff>1790700</xdr:colOff>
                    <xdr:row>14</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S544"/>
  <sheetViews>
    <sheetView workbookViewId="0">
      <selection activeCell="B3" sqref="B3"/>
    </sheetView>
  </sheetViews>
  <sheetFormatPr defaultRowHeight="12.75" x14ac:dyDescent="0.2"/>
  <cols>
    <col min="1" max="1" width="29.7109375" customWidth="1"/>
    <col min="2" max="2" width="19.140625" customWidth="1"/>
    <col min="3" max="3" width="12.7109375" customWidth="1"/>
  </cols>
  <sheetData>
    <row r="1" spans="1:19" ht="15.75" x14ac:dyDescent="0.25">
      <c r="A1" s="124" t="s">
        <v>110</v>
      </c>
      <c r="B1" s="95"/>
      <c r="C1" s="95"/>
      <c r="D1" s="95"/>
      <c r="E1" s="124"/>
      <c r="F1" s="95"/>
      <c r="G1" s="95"/>
      <c r="H1" s="95"/>
      <c r="I1" s="95"/>
      <c r="J1" s="95"/>
      <c r="K1" s="95"/>
      <c r="L1" s="95"/>
      <c r="M1" s="95"/>
      <c r="N1" s="95"/>
      <c r="O1" s="95"/>
      <c r="P1" s="95"/>
      <c r="Q1" s="95"/>
      <c r="R1" s="95"/>
      <c r="S1" s="95"/>
    </row>
    <row r="2" spans="1:19" ht="15.75" x14ac:dyDescent="0.25">
      <c r="A2" s="124"/>
      <c r="B2" s="95"/>
      <c r="C2" s="95"/>
      <c r="D2" s="95"/>
      <c r="E2" s="124"/>
      <c r="F2" s="95"/>
      <c r="G2" s="95"/>
      <c r="H2" s="95"/>
      <c r="I2" s="95"/>
      <c r="J2" s="95"/>
      <c r="K2" s="95"/>
      <c r="L2" s="95"/>
      <c r="M2" s="95"/>
      <c r="N2" s="95"/>
      <c r="O2" s="95"/>
      <c r="P2" s="95"/>
      <c r="Q2" s="95"/>
      <c r="R2" s="95"/>
      <c r="S2" s="95"/>
    </row>
    <row r="3" spans="1:19" ht="15.75" x14ac:dyDescent="0.25">
      <c r="A3" s="117" t="s">
        <v>153</v>
      </c>
      <c r="B3" s="160"/>
      <c r="C3" s="96" t="s">
        <v>158</v>
      </c>
      <c r="D3" s="167"/>
      <c r="E3" s="591" t="str">
        <f>IF(B3="","",IF(D3="","Enter Year of Data",IF(D3&gt;2006,IF(D3&lt;2016,"","ERROR - Deflators Data Not Current"),"ERROR - Deflators Data Not Current")))</f>
        <v/>
      </c>
      <c r="F3" s="124"/>
      <c r="G3" s="124"/>
      <c r="H3" s="95"/>
      <c r="I3" s="95"/>
      <c r="J3" s="95"/>
      <c r="K3" s="95"/>
      <c r="L3" s="95"/>
      <c r="M3" s="95"/>
      <c r="N3" s="95"/>
      <c r="O3" s="95"/>
      <c r="P3" s="95"/>
      <c r="Q3" s="95"/>
      <c r="R3" s="95"/>
      <c r="S3" s="95"/>
    </row>
    <row r="4" spans="1:19" ht="15.75" x14ac:dyDescent="0.25">
      <c r="A4" s="117" t="s">
        <v>154</v>
      </c>
      <c r="B4" s="54"/>
      <c r="C4" s="96" t="s">
        <v>158</v>
      </c>
      <c r="D4" s="146"/>
      <c r="E4" s="592" t="str">
        <f>IF(B4="","",IF(D4="","Enter Year of Data",IF(D4&gt;2006,IF(D4&lt;2016,"","ERROR - Deflators Data Not Current"),"ERROR - Deflators Data Not Current")))</f>
        <v/>
      </c>
      <c r="F4" s="124"/>
      <c r="G4" s="124"/>
      <c r="H4" s="95"/>
      <c r="I4" s="95"/>
      <c r="J4" s="95"/>
      <c r="K4" s="95"/>
      <c r="L4" s="95"/>
      <c r="M4" s="95"/>
      <c r="N4" s="95"/>
      <c r="O4" s="95"/>
      <c r="P4" s="95"/>
      <c r="Q4" s="95"/>
      <c r="R4" s="95"/>
      <c r="S4" s="95"/>
    </row>
    <row r="5" spans="1:19" ht="15.75" x14ac:dyDescent="0.25">
      <c r="A5" s="280" t="s">
        <v>251</v>
      </c>
      <c r="B5" s="245"/>
      <c r="C5" s="281" t="str">
        <f>IF(B$5="","     To incorporate Sales Tax in analysis Enter Sales Tax Rate","")</f>
        <v xml:space="preserve">     To incorporate Sales Tax in analysis Enter Sales Tax Rate</v>
      </c>
      <c r="D5" s="147"/>
      <c r="E5" s="147"/>
      <c r="F5" s="124"/>
      <c r="G5" s="124"/>
      <c r="H5" s="95"/>
      <c r="I5" s="95"/>
      <c r="J5" s="95"/>
      <c r="K5" s="95"/>
      <c r="L5" s="95"/>
      <c r="M5" s="95"/>
      <c r="N5" s="95"/>
      <c r="O5" s="95"/>
      <c r="P5" s="95"/>
      <c r="Q5" s="95"/>
      <c r="R5" s="95"/>
      <c r="S5" s="95"/>
    </row>
    <row r="6" spans="1:19" ht="15.75" x14ac:dyDescent="0.25">
      <c r="A6" s="280" t="s">
        <v>279</v>
      </c>
      <c r="B6" s="245"/>
      <c r="C6" s="281" t="str">
        <f>IF(B$6="","     To incorporate Property Tax Exemption (if applicable) in analysis Enter Percentage","")</f>
        <v xml:space="preserve">     To incorporate Property Tax Exemption (if applicable) in analysis Enter Percentage</v>
      </c>
      <c r="D6" s="147"/>
      <c r="E6" s="147"/>
      <c r="F6" s="124"/>
      <c r="G6" s="124"/>
      <c r="H6" s="95"/>
      <c r="I6" s="95"/>
      <c r="J6" s="95"/>
      <c r="K6" s="95"/>
      <c r="L6" s="95"/>
      <c r="M6" s="95"/>
      <c r="N6" s="95"/>
      <c r="O6" s="95"/>
      <c r="P6" s="95"/>
      <c r="Q6" s="95"/>
      <c r="R6" s="95"/>
      <c r="S6" s="95"/>
    </row>
    <row r="7" spans="1:19" x14ac:dyDescent="0.2">
      <c r="A7" s="95"/>
      <c r="B7" s="95"/>
      <c r="C7" s="95"/>
      <c r="D7" s="95"/>
      <c r="E7" s="95"/>
      <c r="F7" s="95"/>
      <c r="G7" s="95"/>
      <c r="H7" s="95"/>
      <c r="I7" s="95"/>
      <c r="J7" s="95"/>
      <c r="K7" s="95"/>
      <c r="L7" s="95"/>
      <c r="M7" s="95"/>
      <c r="N7" s="95"/>
      <c r="O7" s="95"/>
      <c r="P7" s="95"/>
      <c r="Q7" s="95"/>
      <c r="R7" s="95"/>
      <c r="S7" s="95"/>
    </row>
    <row r="8" spans="1:19" x14ac:dyDescent="0.2">
      <c r="A8" s="117" t="s">
        <v>123</v>
      </c>
      <c r="B8" s="95"/>
      <c r="C8" s="95"/>
      <c r="D8" s="155" t="s">
        <v>191</v>
      </c>
      <c r="E8" s="95"/>
      <c r="F8" s="95"/>
      <c r="G8" s="95"/>
      <c r="H8" s="95"/>
      <c r="I8" s="95"/>
      <c r="J8" s="95"/>
      <c r="K8" s="95"/>
      <c r="L8" s="95"/>
      <c r="M8" s="95"/>
      <c r="N8" s="95"/>
      <c r="O8" s="95"/>
      <c r="P8" s="95"/>
      <c r="Q8" s="95"/>
      <c r="R8" s="95"/>
      <c r="S8" s="95"/>
    </row>
    <row r="9" spans="1:19" x14ac:dyDescent="0.2">
      <c r="A9" s="125" t="s">
        <v>128</v>
      </c>
      <c r="B9" s="140" t="s">
        <v>151</v>
      </c>
      <c r="C9" s="139" t="s">
        <v>150</v>
      </c>
      <c r="D9" s="139"/>
      <c r="E9" s="139" t="str">
        <f>B9</f>
        <v>MyCounty</v>
      </c>
      <c r="F9" s="139" t="str">
        <f>C9</f>
        <v>MyRegion</v>
      </c>
      <c r="G9" s="95"/>
      <c r="H9" s="95"/>
      <c r="I9" s="95"/>
      <c r="J9" s="95"/>
      <c r="K9" s="95"/>
      <c r="L9" s="95"/>
      <c r="M9" s="95"/>
      <c r="N9" s="95"/>
      <c r="O9" s="95"/>
      <c r="P9" s="95"/>
      <c r="Q9" s="95"/>
      <c r="R9" s="95"/>
      <c r="S9" s="95"/>
    </row>
    <row r="10" spans="1:19" ht="15" x14ac:dyDescent="0.2">
      <c r="A10" s="126" t="s">
        <v>7</v>
      </c>
      <c r="B10" s="123">
        <v>0</v>
      </c>
      <c r="C10" s="123">
        <v>0</v>
      </c>
      <c r="D10" s="95"/>
      <c r="E10" s="123">
        <v>0</v>
      </c>
      <c r="F10" s="123">
        <v>0</v>
      </c>
      <c r="G10" s="95"/>
      <c r="H10" s="95"/>
      <c r="I10" s="95"/>
      <c r="J10" s="95"/>
      <c r="K10" s="95"/>
      <c r="L10" s="95"/>
      <c r="M10" s="95"/>
      <c r="N10" s="95"/>
      <c r="O10" s="95"/>
      <c r="P10" s="95"/>
      <c r="Q10" s="95"/>
      <c r="R10" s="95"/>
      <c r="S10" s="95"/>
    </row>
    <row r="11" spans="1:19" ht="15" x14ac:dyDescent="0.2">
      <c r="A11" s="126" t="s">
        <v>77</v>
      </c>
      <c r="B11" s="123">
        <v>0</v>
      </c>
      <c r="C11" s="123">
        <v>0</v>
      </c>
      <c r="D11" s="95"/>
      <c r="E11" s="123">
        <v>0</v>
      </c>
      <c r="F11" s="123">
        <v>0</v>
      </c>
      <c r="G11" s="95"/>
      <c r="H11" s="95"/>
      <c r="I11" s="95"/>
      <c r="J11" s="95"/>
      <c r="K11" s="95"/>
      <c r="L11" s="95"/>
      <c r="M11" s="95"/>
      <c r="N11" s="95"/>
      <c r="O11" s="95"/>
      <c r="P11" s="95"/>
      <c r="Q11" s="95"/>
      <c r="R11" s="95"/>
      <c r="S11" s="95"/>
    </row>
    <row r="12" spans="1:19" ht="15" x14ac:dyDescent="0.2">
      <c r="A12" s="126" t="s">
        <v>8</v>
      </c>
      <c r="B12" s="123">
        <v>0</v>
      </c>
      <c r="C12" s="123">
        <v>0</v>
      </c>
      <c r="D12" s="95"/>
      <c r="E12" s="123">
        <v>0</v>
      </c>
      <c r="F12" s="123">
        <v>0</v>
      </c>
      <c r="G12" s="95"/>
      <c r="H12" s="95"/>
      <c r="I12" s="95"/>
      <c r="J12" s="95"/>
      <c r="K12" s="95"/>
      <c r="L12" s="95"/>
      <c r="M12" s="95"/>
      <c r="N12" s="95"/>
      <c r="O12" s="95"/>
      <c r="P12" s="95"/>
      <c r="Q12" s="95"/>
      <c r="R12" s="95"/>
      <c r="S12" s="95"/>
    </row>
    <row r="13" spans="1:19" ht="15" x14ac:dyDescent="0.2">
      <c r="A13" s="126" t="s">
        <v>78</v>
      </c>
      <c r="B13" s="123">
        <v>0</v>
      </c>
      <c r="C13" s="123">
        <v>0</v>
      </c>
      <c r="D13" s="95"/>
      <c r="E13" s="123">
        <v>0</v>
      </c>
      <c r="F13" s="123">
        <v>0</v>
      </c>
      <c r="G13" s="95"/>
      <c r="H13" s="95"/>
      <c r="I13" s="95"/>
      <c r="J13" s="95"/>
      <c r="K13" s="95"/>
      <c r="L13" s="95"/>
      <c r="M13" s="95"/>
      <c r="N13" s="95"/>
      <c r="O13" s="95"/>
      <c r="P13" s="95"/>
      <c r="Q13" s="95"/>
      <c r="R13" s="95"/>
      <c r="S13" s="95"/>
    </row>
    <row r="14" spans="1:19" ht="15" x14ac:dyDescent="0.2">
      <c r="A14" s="126" t="s">
        <v>79</v>
      </c>
      <c r="B14" s="123">
        <v>0</v>
      </c>
      <c r="C14" s="123">
        <v>0</v>
      </c>
      <c r="D14" s="95"/>
      <c r="E14" s="123">
        <v>0</v>
      </c>
      <c r="F14" s="123">
        <v>0</v>
      </c>
      <c r="G14" s="95"/>
      <c r="H14" s="95"/>
      <c r="I14" s="95"/>
      <c r="J14" s="95"/>
      <c r="K14" s="95"/>
      <c r="L14" s="95"/>
      <c r="M14" s="95"/>
      <c r="N14" s="95"/>
      <c r="O14" s="95"/>
      <c r="P14" s="95"/>
      <c r="Q14" s="95"/>
      <c r="R14" s="95"/>
      <c r="S14" s="95"/>
    </row>
    <row r="15" spans="1:19" ht="15" x14ac:dyDescent="0.2">
      <c r="A15" s="126" t="s">
        <v>80</v>
      </c>
      <c r="B15" s="123">
        <v>0</v>
      </c>
      <c r="C15" s="123">
        <v>0</v>
      </c>
      <c r="D15" s="95"/>
      <c r="E15" s="123">
        <v>0</v>
      </c>
      <c r="F15" s="123">
        <v>0</v>
      </c>
      <c r="G15" s="95"/>
      <c r="H15" s="95"/>
      <c r="I15" s="95"/>
      <c r="J15" s="95"/>
      <c r="K15" s="95"/>
      <c r="L15" s="95"/>
      <c r="M15" s="95"/>
      <c r="N15" s="95"/>
      <c r="O15" s="95"/>
      <c r="P15" s="95"/>
      <c r="Q15" s="95"/>
      <c r="R15" s="95"/>
      <c r="S15" s="95"/>
    </row>
    <row r="16" spans="1:19" ht="15" x14ac:dyDescent="0.2">
      <c r="A16" s="126" t="s">
        <v>81</v>
      </c>
      <c r="B16" s="123">
        <v>0</v>
      </c>
      <c r="C16" s="123">
        <v>0</v>
      </c>
      <c r="D16" s="95"/>
      <c r="E16" s="123">
        <v>0</v>
      </c>
      <c r="F16" s="123">
        <v>0</v>
      </c>
      <c r="G16" s="95"/>
      <c r="H16" s="95"/>
      <c r="I16" s="95"/>
      <c r="J16" s="95"/>
      <c r="K16" s="95"/>
      <c r="L16" s="95"/>
      <c r="M16" s="95"/>
      <c r="N16" s="95"/>
      <c r="O16" s="95"/>
      <c r="P16" s="95"/>
      <c r="Q16" s="95"/>
      <c r="R16" s="95"/>
      <c r="S16" s="95"/>
    </row>
    <row r="17" spans="1:19" ht="15" x14ac:dyDescent="0.2">
      <c r="A17" s="126" t="s">
        <v>82</v>
      </c>
      <c r="B17" s="123">
        <v>0</v>
      </c>
      <c r="C17" s="123">
        <v>0</v>
      </c>
      <c r="D17" s="95"/>
      <c r="E17" s="123">
        <v>0</v>
      </c>
      <c r="F17" s="123">
        <v>0</v>
      </c>
      <c r="G17" s="95"/>
      <c r="H17" s="95"/>
      <c r="I17" s="95"/>
      <c r="J17" s="95"/>
      <c r="K17" s="95"/>
      <c r="L17" s="95"/>
      <c r="M17" s="95"/>
      <c r="N17" s="95"/>
      <c r="O17" s="95"/>
      <c r="P17" s="95"/>
      <c r="Q17" s="95"/>
      <c r="R17" s="95"/>
      <c r="S17" s="95"/>
    </row>
    <row r="18" spans="1:19" ht="15" x14ac:dyDescent="0.2">
      <c r="A18" s="126" t="s">
        <v>9</v>
      </c>
      <c r="B18" s="123">
        <v>0</v>
      </c>
      <c r="C18" s="123">
        <v>0</v>
      </c>
      <c r="D18" s="95"/>
      <c r="E18" s="123">
        <v>0</v>
      </c>
      <c r="F18" s="123">
        <v>0</v>
      </c>
      <c r="G18" s="95"/>
      <c r="H18" s="95"/>
      <c r="I18" s="95"/>
      <c r="J18" s="95"/>
      <c r="K18" s="95"/>
      <c r="L18" s="95"/>
      <c r="M18" s="95"/>
      <c r="N18" s="95"/>
      <c r="O18" s="95"/>
      <c r="P18" s="95"/>
      <c r="Q18" s="95"/>
      <c r="R18" s="95"/>
      <c r="S18" s="95"/>
    </row>
    <row r="19" spans="1:19" ht="15" x14ac:dyDescent="0.2">
      <c r="A19" s="126" t="s">
        <v>10</v>
      </c>
      <c r="B19" s="123">
        <v>0</v>
      </c>
      <c r="C19" s="123">
        <v>0</v>
      </c>
      <c r="D19" s="95"/>
      <c r="E19" s="123">
        <v>0</v>
      </c>
      <c r="F19" s="123">
        <v>0</v>
      </c>
      <c r="G19" s="95"/>
      <c r="H19" s="95"/>
      <c r="I19" s="95"/>
      <c r="J19" s="95"/>
      <c r="K19" s="95"/>
      <c r="L19" s="95"/>
      <c r="M19" s="95"/>
      <c r="N19" s="95"/>
      <c r="O19" s="95"/>
      <c r="P19" s="95"/>
      <c r="Q19" s="95"/>
      <c r="R19" s="95"/>
      <c r="S19" s="95"/>
    </row>
    <row r="20" spans="1:19" ht="15" x14ac:dyDescent="0.2">
      <c r="A20" s="126" t="s">
        <v>83</v>
      </c>
      <c r="B20" s="123">
        <v>0</v>
      </c>
      <c r="C20" s="123">
        <v>0</v>
      </c>
      <c r="D20" s="95"/>
      <c r="E20" s="123">
        <v>0</v>
      </c>
      <c r="F20" s="123">
        <v>0</v>
      </c>
      <c r="G20" s="95"/>
      <c r="H20" s="95"/>
      <c r="I20" s="95"/>
      <c r="J20" s="95"/>
      <c r="K20" s="95"/>
      <c r="L20" s="95"/>
      <c r="M20" s="95"/>
      <c r="N20" s="95"/>
      <c r="O20" s="95"/>
      <c r="P20" s="95"/>
      <c r="Q20" s="95"/>
      <c r="R20" s="95"/>
      <c r="S20" s="95"/>
    </row>
    <row r="21" spans="1:19" ht="15" x14ac:dyDescent="0.2">
      <c r="A21" s="126" t="s">
        <v>84</v>
      </c>
      <c r="B21" s="123">
        <v>0</v>
      </c>
      <c r="C21" s="123">
        <v>0</v>
      </c>
      <c r="D21" s="95"/>
      <c r="E21" s="123">
        <v>0</v>
      </c>
      <c r="F21" s="123">
        <v>0</v>
      </c>
      <c r="G21" s="95"/>
      <c r="H21" s="95"/>
      <c r="I21" s="95"/>
      <c r="J21" s="95"/>
      <c r="K21" s="95"/>
      <c r="L21" s="95"/>
      <c r="M21" s="95"/>
      <c r="N21" s="95"/>
      <c r="O21" s="95"/>
      <c r="P21" s="95"/>
      <c r="Q21" s="95"/>
      <c r="R21" s="95"/>
      <c r="S21" s="95"/>
    </row>
    <row r="22" spans="1:19" ht="15" x14ac:dyDescent="0.2">
      <c r="A22" s="126" t="s">
        <v>85</v>
      </c>
      <c r="B22" s="123">
        <v>0</v>
      </c>
      <c r="C22" s="123">
        <v>0</v>
      </c>
      <c r="D22" s="95"/>
      <c r="E22" s="123">
        <v>0</v>
      </c>
      <c r="F22" s="123">
        <v>0</v>
      </c>
      <c r="G22" s="95"/>
      <c r="H22" s="95"/>
      <c r="I22" s="95"/>
      <c r="J22" s="95"/>
      <c r="K22" s="95"/>
      <c r="L22" s="95"/>
      <c r="M22" s="95"/>
      <c r="N22" s="95"/>
      <c r="O22" s="95"/>
      <c r="P22" s="95"/>
      <c r="Q22" s="95"/>
      <c r="R22" s="95"/>
      <c r="S22" s="95"/>
    </row>
    <row r="23" spans="1:19" ht="15" x14ac:dyDescent="0.2">
      <c r="A23" s="126" t="s">
        <v>11</v>
      </c>
      <c r="B23" s="123">
        <v>0</v>
      </c>
      <c r="C23" s="123">
        <v>0</v>
      </c>
      <c r="D23" s="95"/>
      <c r="E23" s="123">
        <v>0</v>
      </c>
      <c r="F23" s="123">
        <v>0</v>
      </c>
      <c r="G23" s="95"/>
      <c r="H23" s="95"/>
      <c r="I23" s="95"/>
      <c r="J23" s="95"/>
      <c r="K23" s="95"/>
      <c r="L23" s="95"/>
      <c r="M23" s="95"/>
      <c r="N23" s="95"/>
      <c r="O23" s="95"/>
      <c r="P23" s="95"/>
      <c r="Q23" s="95"/>
      <c r="R23" s="95"/>
      <c r="S23" s="95"/>
    </row>
    <row r="24" spans="1:19" ht="15" x14ac:dyDescent="0.2">
      <c r="A24" s="126"/>
      <c r="B24" s="134"/>
      <c r="C24" s="134"/>
      <c r="D24" s="132" t="s">
        <v>4</v>
      </c>
      <c r="E24" s="133">
        <f>SUM(E10:E23)</f>
        <v>0</v>
      </c>
      <c r="F24" s="133">
        <f>SUM(F10:F23)</f>
        <v>0</v>
      </c>
      <c r="G24" s="95"/>
      <c r="H24" s="95"/>
      <c r="I24" s="95"/>
      <c r="J24" s="95"/>
      <c r="K24" s="95"/>
      <c r="L24" s="95"/>
      <c r="M24" s="95"/>
      <c r="N24" s="95"/>
      <c r="O24" s="95"/>
      <c r="P24" s="95"/>
      <c r="Q24" s="95"/>
      <c r="R24" s="95"/>
      <c r="S24" s="95"/>
    </row>
    <row r="25" spans="1:19" x14ac:dyDescent="0.2">
      <c r="A25" s="117" t="s">
        <v>123</v>
      </c>
      <c r="B25" s="134"/>
      <c r="C25" s="134"/>
      <c r="D25" s="95"/>
      <c r="E25" s="95"/>
      <c r="F25" s="95"/>
      <c r="G25" s="95"/>
      <c r="H25" s="95"/>
      <c r="I25" s="95"/>
      <c r="J25" s="95"/>
      <c r="K25" s="95"/>
      <c r="L25" s="95"/>
      <c r="M25" s="95"/>
      <c r="N25" s="95"/>
      <c r="O25" s="95"/>
      <c r="P25" s="95"/>
      <c r="Q25" s="95"/>
      <c r="R25" s="95"/>
      <c r="S25" s="95"/>
    </row>
    <row r="26" spans="1:19" x14ac:dyDescent="0.2">
      <c r="A26" s="125" t="s">
        <v>127</v>
      </c>
      <c r="B26" s="132" t="str">
        <f>B9</f>
        <v>MyCounty</v>
      </c>
      <c r="C26" s="95" t="str">
        <f>C9</f>
        <v>MyRegion</v>
      </c>
      <c r="D26" s="95"/>
      <c r="E26" s="95"/>
      <c r="F26" s="95"/>
      <c r="G26" s="95"/>
      <c r="H26" s="95"/>
      <c r="I26" s="95"/>
      <c r="J26" s="95"/>
      <c r="K26" s="95"/>
      <c r="L26" s="95"/>
      <c r="M26" s="95"/>
      <c r="N26" s="95"/>
      <c r="O26" s="95"/>
      <c r="P26" s="95"/>
      <c r="Q26" s="95"/>
      <c r="R26" s="95"/>
      <c r="S26" s="95"/>
    </row>
    <row r="27" spans="1:19" ht="15" x14ac:dyDescent="0.2">
      <c r="A27" s="126" t="s">
        <v>7</v>
      </c>
      <c r="B27" s="123">
        <v>0</v>
      </c>
      <c r="C27" s="123">
        <v>0</v>
      </c>
      <c r="D27" s="95"/>
      <c r="E27" s="95"/>
      <c r="F27" s="95"/>
      <c r="G27" s="95"/>
      <c r="H27" s="95"/>
      <c r="I27" s="95"/>
      <c r="J27" s="95"/>
      <c r="K27" s="95"/>
      <c r="L27" s="95"/>
      <c r="M27" s="95"/>
      <c r="N27" s="95"/>
      <c r="O27" s="95"/>
      <c r="P27" s="95"/>
      <c r="Q27" s="95"/>
      <c r="R27" s="95"/>
      <c r="S27" s="95"/>
    </row>
    <row r="28" spans="1:19" ht="15" x14ac:dyDescent="0.2">
      <c r="A28" s="126" t="s">
        <v>77</v>
      </c>
      <c r="B28" s="123">
        <v>0</v>
      </c>
      <c r="C28" s="123">
        <v>0</v>
      </c>
      <c r="D28" s="95"/>
      <c r="E28" s="95"/>
      <c r="F28" s="95"/>
      <c r="G28" s="95"/>
      <c r="H28" s="95"/>
      <c r="I28" s="95"/>
      <c r="J28" s="95"/>
      <c r="K28" s="95"/>
      <c r="L28" s="95"/>
      <c r="M28" s="95"/>
      <c r="N28" s="95"/>
      <c r="O28" s="95"/>
      <c r="P28" s="95"/>
      <c r="Q28" s="95"/>
      <c r="R28" s="95"/>
      <c r="S28" s="95"/>
    </row>
    <row r="29" spans="1:19" ht="15" x14ac:dyDescent="0.2">
      <c r="A29" s="126" t="s">
        <v>8</v>
      </c>
      <c r="B29" s="123">
        <v>0</v>
      </c>
      <c r="C29" s="123">
        <v>0</v>
      </c>
      <c r="D29" s="95"/>
      <c r="E29" s="95"/>
      <c r="F29" s="95"/>
      <c r="G29" s="95"/>
      <c r="H29" s="95"/>
      <c r="I29" s="95"/>
      <c r="J29" s="95"/>
      <c r="K29" s="95"/>
      <c r="L29" s="95"/>
      <c r="M29" s="95"/>
      <c r="N29" s="95"/>
      <c r="O29" s="95"/>
      <c r="P29" s="95"/>
      <c r="Q29" s="95"/>
      <c r="R29" s="95"/>
      <c r="S29" s="95"/>
    </row>
    <row r="30" spans="1:19" ht="15" x14ac:dyDescent="0.2">
      <c r="A30" s="126" t="s">
        <v>78</v>
      </c>
      <c r="B30" s="123">
        <v>0</v>
      </c>
      <c r="C30" s="123">
        <v>0</v>
      </c>
      <c r="D30" s="95"/>
      <c r="E30" s="95"/>
      <c r="F30" s="95"/>
      <c r="G30" s="95"/>
      <c r="H30" s="95"/>
      <c r="I30" s="95"/>
      <c r="J30" s="95"/>
      <c r="K30" s="95"/>
      <c r="L30" s="95"/>
      <c r="M30" s="95"/>
      <c r="N30" s="95"/>
      <c r="O30" s="95"/>
      <c r="P30" s="95"/>
      <c r="Q30" s="95"/>
      <c r="R30" s="95"/>
      <c r="S30" s="95"/>
    </row>
    <row r="31" spans="1:19" ht="15" x14ac:dyDescent="0.2">
      <c r="A31" s="126" t="s">
        <v>79</v>
      </c>
      <c r="B31" s="123">
        <v>0</v>
      </c>
      <c r="C31" s="123">
        <v>0</v>
      </c>
      <c r="D31" s="95"/>
      <c r="E31" s="95"/>
      <c r="F31" s="95"/>
      <c r="G31" s="95"/>
      <c r="H31" s="95"/>
      <c r="I31" s="95"/>
      <c r="J31" s="95"/>
      <c r="K31" s="95"/>
      <c r="L31" s="95"/>
      <c r="M31" s="95"/>
      <c r="N31" s="95"/>
      <c r="O31" s="95"/>
      <c r="P31" s="95"/>
      <c r="Q31" s="95"/>
      <c r="R31" s="95"/>
      <c r="S31" s="95"/>
    </row>
    <row r="32" spans="1:19" ht="15" x14ac:dyDescent="0.2">
      <c r="A32" s="126" t="s">
        <v>80</v>
      </c>
      <c r="B32" s="123">
        <v>0</v>
      </c>
      <c r="C32" s="123">
        <v>0</v>
      </c>
      <c r="D32" s="95"/>
      <c r="E32" s="95"/>
      <c r="F32" s="95"/>
      <c r="G32" s="95"/>
      <c r="H32" s="95"/>
      <c r="I32" s="95"/>
      <c r="J32" s="95"/>
      <c r="K32" s="95"/>
      <c r="L32" s="95"/>
      <c r="M32" s="95"/>
      <c r="N32" s="95"/>
      <c r="O32" s="95"/>
      <c r="P32" s="95"/>
      <c r="Q32" s="95"/>
      <c r="R32" s="95"/>
      <c r="S32" s="95"/>
    </row>
    <row r="33" spans="1:19" ht="15" x14ac:dyDescent="0.2">
      <c r="A33" s="126" t="s">
        <v>81</v>
      </c>
      <c r="B33" s="123">
        <v>0</v>
      </c>
      <c r="C33" s="123">
        <v>0</v>
      </c>
      <c r="D33" s="95"/>
      <c r="E33" s="95"/>
      <c r="F33" s="95"/>
      <c r="G33" s="95"/>
      <c r="H33" s="95"/>
      <c r="I33" s="95"/>
      <c r="J33" s="95"/>
      <c r="K33" s="95"/>
      <c r="L33" s="95"/>
      <c r="M33" s="95"/>
      <c r="N33" s="95"/>
      <c r="O33" s="95"/>
      <c r="P33" s="95"/>
      <c r="Q33" s="95"/>
      <c r="R33" s="95"/>
      <c r="S33" s="95"/>
    </row>
    <row r="34" spans="1:19" ht="15" x14ac:dyDescent="0.2">
      <c r="A34" s="126" t="s">
        <v>82</v>
      </c>
      <c r="B34" s="123">
        <v>0</v>
      </c>
      <c r="C34" s="123">
        <v>0</v>
      </c>
      <c r="D34" s="95"/>
      <c r="E34" s="95"/>
      <c r="F34" s="95"/>
      <c r="G34" s="95"/>
      <c r="H34" s="95"/>
      <c r="I34" s="95"/>
      <c r="J34" s="95"/>
      <c r="K34" s="95"/>
      <c r="L34" s="95"/>
      <c r="M34" s="95"/>
      <c r="N34" s="95"/>
      <c r="O34" s="95"/>
      <c r="P34" s="95"/>
      <c r="Q34" s="95"/>
      <c r="R34" s="95"/>
      <c r="S34" s="95"/>
    </row>
    <row r="35" spans="1:19" ht="15" x14ac:dyDescent="0.2">
      <c r="A35" s="126" t="s">
        <v>9</v>
      </c>
      <c r="B35" s="123">
        <v>0</v>
      </c>
      <c r="C35" s="123">
        <v>0</v>
      </c>
      <c r="D35" s="95"/>
      <c r="E35" s="95"/>
      <c r="F35" s="95"/>
      <c r="G35" s="95"/>
      <c r="H35" s="95"/>
      <c r="I35" s="95"/>
      <c r="J35" s="95"/>
      <c r="K35" s="95"/>
      <c r="L35" s="95"/>
      <c r="M35" s="95"/>
      <c r="N35" s="95"/>
      <c r="O35" s="95"/>
      <c r="P35" s="95"/>
      <c r="Q35" s="95"/>
      <c r="R35" s="95"/>
      <c r="S35" s="95"/>
    </row>
    <row r="36" spans="1:19" ht="15" x14ac:dyDescent="0.2">
      <c r="A36" s="126" t="s">
        <v>10</v>
      </c>
      <c r="B36" s="123">
        <v>0</v>
      </c>
      <c r="C36" s="123">
        <v>0</v>
      </c>
      <c r="D36" s="95"/>
      <c r="E36" s="95"/>
      <c r="F36" s="95"/>
      <c r="G36" s="95"/>
      <c r="H36" s="95"/>
      <c r="I36" s="95"/>
      <c r="J36" s="95"/>
      <c r="K36" s="95"/>
      <c r="L36" s="95"/>
      <c r="M36" s="95"/>
      <c r="N36" s="95"/>
      <c r="O36" s="95"/>
      <c r="P36" s="95"/>
      <c r="Q36" s="95"/>
      <c r="R36" s="95"/>
      <c r="S36" s="95"/>
    </row>
    <row r="37" spans="1:19" ht="15" x14ac:dyDescent="0.2">
      <c r="A37" s="126" t="s">
        <v>83</v>
      </c>
      <c r="B37" s="123">
        <v>0</v>
      </c>
      <c r="C37" s="123">
        <v>0</v>
      </c>
      <c r="D37" s="95"/>
      <c r="E37" s="95"/>
      <c r="F37" s="95"/>
      <c r="G37" s="95"/>
      <c r="H37" s="95"/>
      <c r="I37" s="95"/>
      <c r="J37" s="95"/>
      <c r="K37" s="95"/>
      <c r="L37" s="95"/>
      <c r="M37" s="95"/>
      <c r="N37" s="95"/>
      <c r="O37" s="95"/>
      <c r="P37" s="95"/>
      <c r="Q37" s="95"/>
      <c r="R37" s="95"/>
      <c r="S37" s="95"/>
    </row>
    <row r="38" spans="1:19" ht="15" x14ac:dyDescent="0.2">
      <c r="A38" s="126" t="s">
        <v>84</v>
      </c>
      <c r="B38" s="123">
        <v>0</v>
      </c>
      <c r="C38" s="123">
        <v>0</v>
      </c>
      <c r="D38" s="95"/>
      <c r="E38" s="95"/>
      <c r="F38" s="95"/>
      <c r="G38" s="95"/>
      <c r="H38" s="95"/>
      <c r="I38" s="95"/>
      <c r="J38" s="95"/>
      <c r="K38" s="95"/>
      <c r="L38" s="95"/>
      <c r="M38" s="95"/>
      <c r="N38" s="95"/>
      <c r="O38" s="95"/>
      <c r="P38" s="95"/>
      <c r="Q38" s="95"/>
      <c r="R38" s="95"/>
      <c r="S38" s="95"/>
    </row>
    <row r="39" spans="1:19" ht="15" x14ac:dyDescent="0.2">
      <c r="A39" s="126" t="s">
        <v>85</v>
      </c>
      <c r="B39" s="123">
        <v>0</v>
      </c>
      <c r="C39" s="123">
        <v>0</v>
      </c>
      <c r="D39" s="95"/>
      <c r="E39" s="95"/>
      <c r="F39" s="95"/>
      <c r="G39" s="95"/>
      <c r="H39" s="95"/>
      <c r="I39" s="95"/>
      <c r="J39" s="95"/>
      <c r="K39" s="95"/>
      <c r="L39" s="95"/>
      <c r="M39" s="95"/>
      <c r="N39" s="95"/>
      <c r="O39" s="95"/>
      <c r="P39" s="95"/>
      <c r="Q39" s="95"/>
      <c r="R39" s="95"/>
      <c r="S39" s="95"/>
    </row>
    <row r="40" spans="1:19" ht="15" x14ac:dyDescent="0.2">
      <c r="A40" s="126" t="s">
        <v>11</v>
      </c>
      <c r="B40" s="123">
        <v>0</v>
      </c>
      <c r="C40" s="123">
        <v>0</v>
      </c>
      <c r="D40" s="95"/>
      <c r="E40" s="95"/>
      <c r="F40" s="95"/>
      <c r="G40" s="95"/>
      <c r="H40" s="95"/>
      <c r="I40" s="95"/>
      <c r="J40" s="95"/>
      <c r="K40" s="95"/>
      <c r="L40" s="95"/>
      <c r="M40" s="95"/>
      <c r="N40" s="95"/>
      <c r="O40" s="95"/>
      <c r="P40" s="95"/>
      <c r="Q40" s="95"/>
      <c r="R40" s="95"/>
      <c r="S40" s="95"/>
    </row>
    <row r="41" spans="1:19" ht="15" x14ac:dyDescent="0.2">
      <c r="A41" s="126"/>
      <c r="B41" s="134"/>
      <c r="C41" s="134"/>
      <c r="D41" s="95"/>
      <c r="E41" s="95"/>
      <c r="F41" s="95"/>
      <c r="G41" s="95"/>
      <c r="H41" s="95"/>
      <c r="I41" s="95"/>
      <c r="J41" s="95"/>
      <c r="K41" s="95"/>
      <c r="L41" s="95"/>
      <c r="M41" s="95"/>
      <c r="N41" s="95"/>
      <c r="O41" s="95"/>
      <c r="P41" s="95"/>
      <c r="Q41" s="95"/>
      <c r="R41" s="95"/>
      <c r="S41" s="95"/>
    </row>
    <row r="42" spans="1:19" x14ac:dyDescent="0.2">
      <c r="A42" s="117" t="s">
        <v>123</v>
      </c>
      <c r="B42" s="134"/>
      <c r="C42" s="134"/>
      <c r="D42" s="95"/>
      <c r="E42" s="95"/>
      <c r="F42" s="95"/>
      <c r="G42" s="95"/>
      <c r="H42" s="95"/>
      <c r="I42" s="95"/>
      <c r="J42" s="95"/>
      <c r="K42" s="95"/>
      <c r="L42" s="95"/>
      <c r="M42" s="95"/>
      <c r="N42" s="95"/>
      <c r="O42" s="95"/>
      <c r="P42" s="95"/>
      <c r="Q42" s="95"/>
      <c r="R42" s="95"/>
      <c r="S42" s="95"/>
    </row>
    <row r="43" spans="1:19" x14ac:dyDescent="0.2">
      <c r="A43" s="125" t="s">
        <v>129</v>
      </c>
      <c r="B43" s="132" t="str">
        <f>B26</f>
        <v>MyCounty</v>
      </c>
      <c r="C43" s="95" t="str">
        <f>C26</f>
        <v>MyRegion</v>
      </c>
      <c r="D43" s="95"/>
      <c r="E43" s="95"/>
      <c r="F43" s="95"/>
      <c r="G43" s="95"/>
      <c r="H43" s="95"/>
      <c r="I43" s="95"/>
      <c r="J43" s="95"/>
      <c r="K43" s="95"/>
      <c r="L43" s="95"/>
      <c r="M43" s="95"/>
      <c r="N43" s="95"/>
      <c r="O43" s="95"/>
      <c r="P43" s="95"/>
      <c r="Q43" s="95"/>
      <c r="R43" s="95"/>
      <c r="S43" s="95"/>
    </row>
    <row r="44" spans="1:19" ht="15" x14ac:dyDescent="0.2">
      <c r="A44" s="126" t="s">
        <v>7</v>
      </c>
      <c r="B44" s="123">
        <v>0</v>
      </c>
      <c r="C44" s="123">
        <v>0</v>
      </c>
      <c r="D44" s="95"/>
      <c r="E44" s="95"/>
      <c r="F44" s="95"/>
      <c r="G44" s="95"/>
      <c r="H44" s="95"/>
      <c r="I44" s="95"/>
      <c r="J44" s="95"/>
      <c r="K44" s="95"/>
      <c r="L44" s="95"/>
      <c r="M44" s="95"/>
      <c r="N44" s="95"/>
      <c r="O44" s="95"/>
      <c r="P44" s="95"/>
      <c r="Q44" s="95"/>
      <c r="R44" s="95"/>
      <c r="S44" s="95"/>
    </row>
    <row r="45" spans="1:19" ht="15" x14ac:dyDescent="0.2">
      <c r="A45" s="126" t="s">
        <v>77</v>
      </c>
      <c r="B45" s="123">
        <v>0</v>
      </c>
      <c r="C45" s="123">
        <v>0</v>
      </c>
      <c r="D45" s="95"/>
      <c r="E45" s="95"/>
      <c r="F45" s="95"/>
      <c r="G45" s="95"/>
      <c r="H45" s="95"/>
      <c r="I45" s="95"/>
      <c r="J45" s="95"/>
      <c r="K45" s="95"/>
      <c r="L45" s="95"/>
      <c r="M45" s="95"/>
      <c r="N45" s="95"/>
      <c r="O45" s="95"/>
      <c r="P45" s="95"/>
      <c r="Q45" s="95"/>
      <c r="R45" s="95"/>
      <c r="S45" s="95"/>
    </row>
    <row r="46" spans="1:19" ht="15" x14ac:dyDescent="0.2">
      <c r="A46" s="126" t="s">
        <v>8</v>
      </c>
      <c r="B46" s="123">
        <v>0</v>
      </c>
      <c r="C46" s="123">
        <v>0</v>
      </c>
      <c r="D46" s="95"/>
      <c r="E46" s="95"/>
      <c r="F46" s="95"/>
      <c r="G46" s="95"/>
      <c r="H46" s="95"/>
      <c r="I46" s="95"/>
      <c r="J46" s="95"/>
      <c r="K46" s="95"/>
      <c r="L46" s="95"/>
      <c r="M46" s="95"/>
      <c r="N46" s="95"/>
      <c r="O46" s="95"/>
      <c r="P46" s="95"/>
      <c r="Q46" s="95"/>
      <c r="R46" s="95"/>
      <c r="S46" s="95"/>
    </row>
    <row r="47" spans="1:19" ht="15" x14ac:dyDescent="0.2">
      <c r="A47" s="126" t="s">
        <v>78</v>
      </c>
      <c r="B47" s="123">
        <v>0</v>
      </c>
      <c r="C47" s="123">
        <v>0</v>
      </c>
      <c r="D47" s="95"/>
      <c r="E47" s="95"/>
      <c r="F47" s="95"/>
      <c r="G47" s="95"/>
      <c r="H47" s="95"/>
      <c r="I47" s="95"/>
      <c r="J47" s="95"/>
      <c r="K47" s="95"/>
      <c r="L47" s="95"/>
      <c r="M47" s="95"/>
      <c r="N47" s="95"/>
      <c r="O47" s="95"/>
      <c r="P47" s="95"/>
      <c r="Q47" s="95"/>
      <c r="R47" s="95"/>
      <c r="S47" s="95"/>
    </row>
    <row r="48" spans="1:19" ht="15" x14ac:dyDescent="0.2">
      <c r="A48" s="126" t="s">
        <v>79</v>
      </c>
      <c r="B48" s="123">
        <v>0</v>
      </c>
      <c r="C48" s="123">
        <v>0</v>
      </c>
      <c r="D48" s="95"/>
      <c r="E48" s="95"/>
      <c r="F48" s="95"/>
      <c r="G48" s="95"/>
      <c r="H48" s="95"/>
      <c r="I48" s="95"/>
      <c r="J48" s="95"/>
      <c r="K48" s="95"/>
      <c r="L48" s="95"/>
      <c r="M48" s="95"/>
      <c r="N48" s="95"/>
      <c r="O48" s="95"/>
      <c r="P48" s="95"/>
      <c r="Q48" s="95"/>
      <c r="R48" s="95"/>
      <c r="S48" s="95"/>
    </row>
    <row r="49" spans="1:19" ht="15" x14ac:dyDescent="0.2">
      <c r="A49" s="126" t="s">
        <v>80</v>
      </c>
      <c r="B49" s="123">
        <v>0</v>
      </c>
      <c r="C49" s="123">
        <v>0</v>
      </c>
      <c r="D49" s="95"/>
      <c r="E49" s="95"/>
      <c r="F49" s="95"/>
      <c r="G49" s="95"/>
      <c r="H49" s="95"/>
      <c r="I49" s="95"/>
      <c r="J49" s="95"/>
      <c r="K49" s="95"/>
      <c r="L49" s="95"/>
      <c r="M49" s="95"/>
      <c r="N49" s="95"/>
      <c r="O49" s="95"/>
      <c r="P49" s="95"/>
      <c r="Q49" s="95"/>
      <c r="R49" s="95"/>
      <c r="S49" s="95"/>
    </row>
    <row r="50" spans="1:19" ht="15" x14ac:dyDescent="0.2">
      <c r="A50" s="126" t="s">
        <v>81</v>
      </c>
      <c r="B50" s="123">
        <v>0</v>
      </c>
      <c r="C50" s="123">
        <v>0</v>
      </c>
      <c r="D50" s="95"/>
      <c r="E50" s="95"/>
      <c r="F50" s="95"/>
      <c r="G50" s="95"/>
      <c r="H50" s="95"/>
      <c r="I50" s="95"/>
      <c r="J50" s="95"/>
      <c r="K50" s="95"/>
      <c r="L50" s="95"/>
      <c r="M50" s="95"/>
      <c r="N50" s="95"/>
      <c r="O50" s="95"/>
      <c r="P50" s="95"/>
      <c r="Q50" s="95"/>
      <c r="R50" s="95"/>
      <c r="S50" s="95"/>
    </row>
    <row r="51" spans="1:19" ht="15" x14ac:dyDescent="0.2">
      <c r="A51" s="126" t="s">
        <v>82</v>
      </c>
      <c r="B51" s="123">
        <v>0</v>
      </c>
      <c r="C51" s="123">
        <v>0</v>
      </c>
      <c r="D51" s="95"/>
      <c r="E51" s="95"/>
      <c r="F51" s="95"/>
      <c r="G51" s="95"/>
      <c r="H51" s="95"/>
      <c r="I51" s="95"/>
      <c r="J51" s="95"/>
      <c r="K51" s="95"/>
      <c r="L51" s="95"/>
      <c r="M51" s="95"/>
      <c r="N51" s="95"/>
      <c r="O51" s="95"/>
      <c r="P51" s="95"/>
      <c r="Q51" s="95"/>
      <c r="R51" s="95"/>
      <c r="S51" s="95"/>
    </row>
    <row r="52" spans="1:19" ht="15" x14ac:dyDescent="0.2">
      <c r="A52" s="126" t="s">
        <v>9</v>
      </c>
      <c r="B52" s="123">
        <v>0</v>
      </c>
      <c r="C52" s="123">
        <v>0</v>
      </c>
      <c r="D52" s="95"/>
      <c r="E52" s="95"/>
      <c r="F52" s="95"/>
      <c r="G52" s="95"/>
      <c r="H52" s="95"/>
      <c r="I52" s="95"/>
      <c r="J52" s="95"/>
      <c r="K52" s="95"/>
      <c r="L52" s="95"/>
      <c r="M52" s="95"/>
      <c r="N52" s="95"/>
      <c r="O52" s="95"/>
      <c r="P52" s="95"/>
      <c r="Q52" s="95"/>
      <c r="R52" s="95"/>
      <c r="S52" s="95"/>
    </row>
    <row r="53" spans="1:19" ht="15" x14ac:dyDescent="0.2">
      <c r="A53" s="126" t="s">
        <v>10</v>
      </c>
      <c r="B53" s="123">
        <v>0</v>
      </c>
      <c r="C53" s="123">
        <v>0</v>
      </c>
      <c r="D53" s="95"/>
      <c r="E53" s="95"/>
      <c r="F53" s="95"/>
      <c r="G53" s="95"/>
      <c r="H53" s="95"/>
      <c r="I53" s="95"/>
      <c r="J53" s="95"/>
      <c r="K53" s="95"/>
      <c r="L53" s="95"/>
      <c r="M53" s="95"/>
      <c r="N53" s="95"/>
      <c r="O53" s="95"/>
      <c r="P53" s="95"/>
      <c r="Q53" s="95"/>
      <c r="R53" s="95"/>
      <c r="S53" s="95"/>
    </row>
    <row r="54" spans="1:19" ht="15" x14ac:dyDescent="0.2">
      <c r="A54" s="126" t="s">
        <v>83</v>
      </c>
      <c r="B54" s="123">
        <v>0</v>
      </c>
      <c r="C54" s="123">
        <v>0</v>
      </c>
      <c r="D54" s="95"/>
      <c r="E54" s="95"/>
      <c r="F54" s="95"/>
      <c r="G54" s="95"/>
      <c r="H54" s="95"/>
      <c r="I54" s="95"/>
      <c r="J54" s="95"/>
      <c r="K54" s="95"/>
      <c r="L54" s="95"/>
      <c r="M54" s="95"/>
      <c r="N54" s="95"/>
      <c r="O54" s="95"/>
      <c r="P54" s="95"/>
      <c r="Q54" s="95"/>
      <c r="R54" s="95"/>
      <c r="S54" s="95"/>
    </row>
    <row r="55" spans="1:19" ht="15" x14ac:dyDescent="0.2">
      <c r="A55" s="126" t="s">
        <v>84</v>
      </c>
      <c r="B55" s="123">
        <v>0</v>
      </c>
      <c r="C55" s="123">
        <v>0</v>
      </c>
      <c r="D55" s="95"/>
      <c r="E55" s="95"/>
      <c r="F55" s="95"/>
      <c r="G55" s="95"/>
      <c r="H55" s="95"/>
      <c r="I55" s="95"/>
      <c r="J55" s="95"/>
      <c r="K55" s="95"/>
      <c r="L55" s="95"/>
      <c r="M55" s="95"/>
      <c r="N55" s="95"/>
      <c r="O55" s="95"/>
      <c r="P55" s="95"/>
      <c r="Q55" s="95"/>
      <c r="R55" s="95"/>
      <c r="S55" s="95"/>
    </row>
    <row r="56" spans="1:19" ht="15" x14ac:dyDescent="0.2">
      <c r="A56" s="126" t="s">
        <v>85</v>
      </c>
      <c r="B56" s="123">
        <v>0</v>
      </c>
      <c r="C56" s="123">
        <v>0</v>
      </c>
      <c r="D56" s="95"/>
      <c r="E56" s="95"/>
      <c r="F56" s="95"/>
      <c r="G56" s="95"/>
      <c r="H56" s="95"/>
      <c r="I56" s="95"/>
      <c r="J56" s="95"/>
      <c r="K56" s="95"/>
      <c r="L56" s="95"/>
      <c r="M56" s="95"/>
      <c r="N56" s="95"/>
      <c r="O56" s="95"/>
      <c r="P56" s="95"/>
      <c r="Q56" s="95"/>
      <c r="R56" s="95"/>
      <c r="S56" s="95"/>
    </row>
    <row r="57" spans="1:19" ht="15" x14ac:dyDescent="0.2">
      <c r="A57" s="126" t="s">
        <v>11</v>
      </c>
      <c r="B57" s="123">
        <v>0</v>
      </c>
      <c r="C57" s="123">
        <v>0</v>
      </c>
      <c r="D57" s="95"/>
      <c r="E57" s="95"/>
      <c r="F57" s="95"/>
      <c r="G57" s="95"/>
      <c r="H57" s="95"/>
      <c r="I57" s="95"/>
      <c r="J57" s="95"/>
      <c r="K57" s="95"/>
      <c r="L57" s="95"/>
      <c r="M57" s="95"/>
      <c r="N57" s="95"/>
      <c r="O57" s="95"/>
      <c r="P57" s="95"/>
      <c r="Q57" s="95"/>
      <c r="R57" s="95"/>
      <c r="S57" s="95"/>
    </row>
    <row r="58" spans="1:19" ht="15" x14ac:dyDescent="0.2">
      <c r="A58" s="126"/>
      <c r="B58" s="134"/>
      <c r="C58" s="134"/>
      <c r="D58" s="95"/>
      <c r="E58" s="95"/>
      <c r="F58" s="95"/>
      <c r="G58" s="95"/>
      <c r="H58" s="95"/>
      <c r="I58" s="95"/>
      <c r="J58" s="95"/>
      <c r="K58" s="95"/>
      <c r="L58" s="95"/>
      <c r="M58" s="95"/>
      <c r="N58" s="95"/>
      <c r="O58" s="95"/>
      <c r="P58" s="95"/>
      <c r="Q58" s="95"/>
      <c r="R58" s="95"/>
      <c r="S58" s="95"/>
    </row>
    <row r="59" spans="1:19" x14ac:dyDescent="0.2">
      <c r="A59" s="117" t="s">
        <v>124</v>
      </c>
      <c r="B59" s="134"/>
      <c r="C59" s="134"/>
      <c r="D59" s="95"/>
      <c r="E59" s="95"/>
      <c r="F59" s="95"/>
      <c r="G59" s="95"/>
      <c r="H59" s="95"/>
      <c r="I59" s="95"/>
      <c r="J59" s="95"/>
      <c r="K59" s="95"/>
      <c r="L59" s="95"/>
      <c r="M59" s="95"/>
      <c r="N59" s="95"/>
      <c r="O59" s="95"/>
      <c r="P59" s="95"/>
      <c r="Q59" s="95"/>
      <c r="R59" s="95"/>
      <c r="S59" s="95"/>
    </row>
    <row r="60" spans="1:19" x14ac:dyDescent="0.2">
      <c r="A60" s="127" t="s">
        <v>99</v>
      </c>
      <c r="B60" s="132" t="str">
        <f>B43</f>
        <v>MyCounty</v>
      </c>
      <c r="C60" s="95" t="str">
        <f>C43</f>
        <v>MyRegion</v>
      </c>
      <c r="D60" s="95"/>
      <c r="E60" s="95"/>
      <c r="F60" s="95"/>
      <c r="G60" s="95"/>
      <c r="H60" s="95"/>
      <c r="I60" s="95"/>
      <c r="J60" s="95"/>
      <c r="K60" s="95"/>
      <c r="L60" s="95"/>
      <c r="M60" s="95"/>
      <c r="N60" s="95"/>
      <c r="O60" s="95"/>
      <c r="P60" s="95"/>
      <c r="Q60" s="95"/>
      <c r="R60" s="95"/>
      <c r="S60" s="95"/>
    </row>
    <row r="61" spans="1:19" ht="15" x14ac:dyDescent="0.2">
      <c r="A61" s="126" t="s">
        <v>7</v>
      </c>
      <c r="B61" s="123">
        <v>0</v>
      </c>
      <c r="C61" s="123">
        <v>0</v>
      </c>
      <c r="D61" s="95"/>
      <c r="E61" s="95"/>
      <c r="F61" s="95"/>
      <c r="G61" s="95"/>
      <c r="H61" s="95"/>
      <c r="I61" s="95"/>
      <c r="J61" s="95"/>
      <c r="K61" s="95"/>
      <c r="L61" s="95"/>
      <c r="M61" s="95"/>
      <c r="N61" s="95"/>
      <c r="O61" s="95"/>
      <c r="P61" s="95"/>
      <c r="Q61" s="95"/>
      <c r="R61" s="95"/>
      <c r="S61" s="95"/>
    </row>
    <row r="62" spans="1:19" ht="15" x14ac:dyDescent="0.2">
      <c r="A62" s="126" t="s">
        <v>77</v>
      </c>
      <c r="B62" s="123">
        <v>0</v>
      </c>
      <c r="C62" s="123">
        <v>0</v>
      </c>
      <c r="D62" s="95"/>
      <c r="E62" s="95"/>
      <c r="F62" s="95"/>
      <c r="G62" s="95"/>
      <c r="H62" s="95"/>
      <c r="I62" s="95"/>
      <c r="J62" s="95"/>
      <c r="K62" s="95"/>
      <c r="L62" s="95"/>
      <c r="M62" s="95"/>
      <c r="N62" s="95"/>
      <c r="O62" s="95"/>
      <c r="P62" s="95"/>
      <c r="Q62" s="95"/>
      <c r="R62" s="95"/>
      <c r="S62" s="95"/>
    </row>
    <row r="63" spans="1:19" ht="15" x14ac:dyDescent="0.2">
      <c r="A63" s="126" t="s">
        <v>8</v>
      </c>
      <c r="B63" s="123">
        <v>0</v>
      </c>
      <c r="C63" s="123">
        <v>0</v>
      </c>
      <c r="D63" s="95"/>
      <c r="E63" s="95"/>
      <c r="F63" s="95"/>
      <c r="G63" s="95"/>
      <c r="H63" s="95"/>
      <c r="I63" s="95"/>
      <c r="J63" s="95"/>
      <c r="K63" s="95"/>
      <c r="L63" s="95"/>
      <c r="M63" s="95"/>
      <c r="N63" s="95"/>
      <c r="O63" s="95"/>
      <c r="P63" s="95"/>
      <c r="Q63" s="95"/>
      <c r="R63" s="95"/>
      <c r="S63" s="95"/>
    </row>
    <row r="64" spans="1:19" ht="15" x14ac:dyDescent="0.2">
      <c r="A64" s="126" t="s">
        <v>78</v>
      </c>
      <c r="B64" s="123">
        <v>0</v>
      </c>
      <c r="C64" s="123">
        <v>0</v>
      </c>
      <c r="D64" s="95"/>
      <c r="E64" s="95"/>
      <c r="F64" s="95"/>
      <c r="G64" s="95"/>
      <c r="H64" s="95"/>
      <c r="I64" s="95"/>
      <c r="J64" s="95"/>
      <c r="K64" s="95"/>
      <c r="L64" s="95"/>
      <c r="M64" s="95"/>
      <c r="N64" s="95"/>
      <c r="O64" s="95"/>
      <c r="P64" s="95"/>
      <c r="Q64" s="95"/>
      <c r="R64" s="95"/>
      <c r="S64" s="95"/>
    </row>
    <row r="65" spans="1:19" ht="15" x14ac:dyDescent="0.2">
      <c r="A65" s="126" t="s">
        <v>79</v>
      </c>
      <c r="B65" s="123">
        <v>0</v>
      </c>
      <c r="C65" s="123">
        <v>0</v>
      </c>
      <c r="D65" s="95"/>
      <c r="E65" s="95"/>
      <c r="F65" s="95"/>
      <c r="G65" s="95"/>
      <c r="H65" s="95"/>
      <c r="I65" s="95"/>
      <c r="J65" s="95"/>
      <c r="K65" s="95"/>
      <c r="L65" s="95"/>
      <c r="M65" s="95"/>
      <c r="N65" s="95"/>
      <c r="O65" s="95"/>
      <c r="P65" s="95"/>
      <c r="Q65" s="95"/>
      <c r="R65" s="95"/>
      <c r="S65" s="95"/>
    </row>
    <row r="66" spans="1:19" ht="15" x14ac:dyDescent="0.2">
      <c r="A66" s="126" t="s">
        <v>80</v>
      </c>
      <c r="B66" s="123">
        <v>0</v>
      </c>
      <c r="C66" s="123">
        <v>0</v>
      </c>
      <c r="D66" s="95"/>
      <c r="E66" s="95"/>
      <c r="F66" s="95"/>
      <c r="G66" s="95"/>
      <c r="H66" s="95"/>
      <c r="I66" s="95"/>
      <c r="J66" s="95"/>
      <c r="K66" s="95"/>
      <c r="L66" s="95"/>
      <c r="M66" s="95"/>
      <c r="N66" s="95"/>
      <c r="O66" s="95"/>
      <c r="P66" s="95"/>
      <c r="Q66" s="95"/>
      <c r="R66" s="95"/>
      <c r="S66" s="95"/>
    </row>
    <row r="67" spans="1:19" ht="15" x14ac:dyDescent="0.2">
      <c r="A67" s="126" t="s">
        <v>81</v>
      </c>
      <c r="B67" s="123">
        <v>0</v>
      </c>
      <c r="C67" s="123">
        <v>0</v>
      </c>
      <c r="D67" s="95"/>
      <c r="E67" s="95"/>
      <c r="F67" s="95"/>
      <c r="G67" s="95"/>
      <c r="H67" s="95"/>
      <c r="I67" s="95"/>
      <c r="J67" s="95"/>
      <c r="K67" s="95"/>
      <c r="L67" s="95"/>
      <c r="M67" s="95"/>
      <c r="N67" s="95"/>
      <c r="O67" s="95"/>
      <c r="P67" s="95"/>
      <c r="Q67" s="95"/>
      <c r="R67" s="95"/>
      <c r="S67" s="95"/>
    </row>
    <row r="68" spans="1:19" ht="15" x14ac:dyDescent="0.2">
      <c r="A68" s="126" t="s">
        <v>82</v>
      </c>
      <c r="B68" s="123">
        <v>0</v>
      </c>
      <c r="C68" s="123">
        <v>0</v>
      </c>
      <c r="D68" s="95"/>
      <c r="E68" s="95"/>
      <c r="F68" s="95"/>
      <c r="G68" s="95"/>
      <c r="H68" s="95"/>
      <c r="I68" s="95"/>
      <c r="J68" s="95"/>
      <c r="K68" s="95"/>
      <c r="L68" s="95"/>
      <c r="M68" s="95"/>
      <c r="N68" s="95"/>
      <c r="O68" s="95"/>
      <c r="P68" s="95"/>
      <c r="Q68" s="95"/>
      <c r="R68" s="95"/>
      <c r="S68" s="95"/>
    </row>
    <row r="69" spans="1:19" ht="15" x14ac:dyDescent="0.2">
      <c r="A69" s="126" t="s">
        <v>9</v>
      </c>
      <c r="B69" s="123">
        <v>0</v>
      </c>
      <c r="C69" s="123">
        <v>0</v>
      </c>
      <c r="D69" s="95"/>
      <c r="E69" s="95"/>
      <c r="F69" s="95"/>
      <c r="G69" s="95"/>
      <c r="H69" s="95"/>
      <c r="I69" s="95"/>
      <c r="J69" s="95"/>
      <c r="K69" s="95"/>
      <c r="L69" s="95"/>
      <c r="M69" s="95"/>
      <c r="N69" s="95"/>
      <c r="O69" s="95"/>
      <c r="P69" s="95"/>
      <c r="Q69" s="95"/>
      <c r="R69" s="95"/>
      <c r="S69" s="95"/>
    </row>
    <row r="70" spans="1:19" ht="15" x14ac:dyDescent="0.2">
      <c r="A70" s="126" t="s">
        <v>10</v>
      </c>
      <c r="B70" s="123">
        <v>0</v>
      </c>
      <c r="C70" s="123">
        <v>0</v>
      </c>
      <c r="D70" s="95"/>
      <c r="E70" s="95"/>
      <c r="F70" s="95"/>
      <c r="G70" s="95"/>
      <c r="H70" s="95"/>
      <c r="I70" s="95"/>
      <c r="J70" s="95"/>
      <c r="K70" s="95"/>
      <c r="L70" s="95"/>
      <c r="M70" s="95"/>
      <c r="N70" s="95"/>
      <c r="O70" s="95"/>
      <c r="P70" s="95"/>
      <c r="Q70" s="95"/>
      <c r="R70" s="95"/>
      <c r="S70" s="95"/>
    </row>
    <row r="71" spans="1:19" ht="15" x14ac:dyDescent="0.2">
      <c r="A71" s="126" t="s">
        <v>83</v>
      </c>
      <c r="B71" s="123">
        <v>0</v>
      </c>
      <c r="C71" s="123">
        <v>0</v>
      </c>
      <c r="D71" s="95"/>
      <c r="E71" s="95"/>
      <c r="F71" s="95"/>
      <c r="G71" s="95"/>
      <c r="H71" s="95"/>
      <c r="I71" s="95"/>
      <c r="J71" s="95"/>
      <c r="K71" s="95"/>
      <c r="L71" s="95"/>
      <c r="M71" s="95"/>
      <c r="N71" s="95"/>
      <c r="O71" s="95"/>
      <c r="P71" s="95"/>
      <c r="Q71" s="95"/>
      <c r="R71" s="95"/>
      <c r="S71" s="95"/>
    </row>
    <row r="72" spans="1:19" ht="15" x14ac:dyDescent="0.2">
      <c r="A72" s="126" t="s">
        <v>84</v>
      </c>
      <c r="B72" s="123">
        <v>0</v>
      </c>
      <c r="C72" s="123">
        <v>0</v>
      </c>
      <c r="D72" s="95"/>
      <c r="E72" s="95"/>
      <c r="F72" s="95"/>
      <c r="G72" s="95"/>
      <c r="H72" s="95"/>
      <c r="I72" s="95"/>
      <c r="J72" s="95"/>
      <c r="K72" s="95"/>
      <c r="L72" s="95"/>
      <c r="M72" s="95"/>
      <c r="N72" s="95"/>
      <c r="O72" s="95"/>
      <c r="P72" s="95"/>
      <c r="Q72" s="95"/>
      <c r="R72" s="95"/>
      <c r="S72" s="95"/>
    </row>
    <row r="73" spans="1:19" ht="15" x14ac:dyDescent="0.2">
      <c r="A73" s="126" t="s">
        <v>85</v>
      </c>
      <c r="B73" s="123">
        <v>0</v>
      </c>
      <c r="C73" s="123">
        <v>0</v>
      </c>
      <c r="D73" s="95"/>
      <c r="E73" s="95"/>
      <c r="F73" s="95"/>
      <c r="G73" s="95"/>
      <c r="H73" s="95"/>
      <c r="I73" s="95"/>
      <c r="J73" s="95"/>
      <c r="K73" s="95"/>
      <c r="L73" s="95"/>
      <c r="M73" s="95"/>
      <c r="N73" s="95"/>
      <c r="O73" s="95"/>
      <c r="P73" s="95"/>
      <c r="Q73" s="95"/>
      <c r="R73" s="95"/>
      <c r="S73" s="95"/>
    </row>
    <row r="74" spans="1:19" ht="15" x14ac:dyDescent="0.2">
      <c r="A74" s="126" t="s">
        <v>11</v>
      </c>
      <c r="B74" s="123">
        <v>0</v>
      </c>
      <c r="C74" s="123">
        <v>0</v>
      </c>
      <c r="D74" s="95"/>
      <c r="E74" s="95"/>
      <c r="F74" s="95"/>
      <c r="G74" s="95"/>
      <c r="H74" s="95"/>
      <c r="I74" s="95"/>
      <c r="J74" s="95"/>
      <c r="K74" s="95"/>
      <c r="L74" s="95"/>
      <c r="M74" s="95"/>
      <c r="N74" s="95"/>
      <c r="O74" s="95"/>
      <c r="P74" s="95"/>
      <c r="Q74" s="95"/>
      <c r="R74" s="95"/>
      <c r="S74" s="95"/>
    </row>
    <row r="75" spans="1:19" ht="15" x14ac:dyDescent="0.2">
      <c r="A75" s="128"/>
      <c r="B75" s="134"/>
      <c r="C75" s="134"/>
      <c r="D75" s="95"/>
      <c r="E75" s="95"/>
      <c r="F75" s="95"/>
      <c r="G75" s="95"/>
      <c r="H75" s="95"/>
      <c r="I75" s="95"/>
      <c r="J75" s="95"/>
      <c r="K75" s="95"/>
      <c r="L75" s="95"/>
      <c r="M75" s="95"/>
      <c r="N75" s="95"/>
      <c r="O75" s="95"/>
      <c r="P75" s="95"/>
      <c r="Q75" s="95"/>
      <c r="R75" s="95"/>
      <c r="S75" s="95"/>
    </row>
    <row r="76" spans="1:19" x14ac:dyDescent="0.2">
      <c r="A76" s="117" t="s">
        <v>124</v>
      </c>
      <c r="B76" s="134"/>
      <c r="C76" s="134"/>
      <c r="D76" s="95"/>
      <c r="E76" s="95"/>
      <c r="F76" s="95"/>
      <c r="G76" s="95"/>
      <c r="H76" s="95"/>
      <c r="I76" s="95"/>
      <c r="J76" s="95"/>
      <c r="K76" s="95"/>
      <c r="L76" s="95"/>
      <c r="M76" s="95"/>
      <c r="N76" s="95"/>
      <c r="O76" s="95"/>
      <c r="P76" s="95"/>
      <c r="Q76" s="95"/>
      <c r="R76" s="95"/>
      <c r="S76" s="95"/>
    </row>
    <row r="77" spans="1:19" x14ac:dyDescent="0.2">
      <c r="A77" s="129" t="s">
        <v>130</v>
      </c>
      <c r="B77" s="132" t="str">
        <f>B60</f>
        <v>MyCounty</v>
      </c>
      <c r="C77" s="95" t="str">
        <f>C60</f>
        <v>MyRegion</v>
      </c>
      <c r="D77" s="95"/>
      <c r="E77" s="95"/>
      <c r="F77" s="95"/>
      <c r="G77" s="95"/>
      <c r="H77" s="95"/>
      <c r="I77" s="95"/>
      <c r="J77" s="95"/>
      <c r="K77" s="95"/>
      <c r="L77" s="95"/>
      <c r="M77" s="95"/>
      <c r="N77" s="95"/>
      <c r="O77" s="95"/>
      <c r="P77" s="95"/>
      <c r="Q77" s="95"/>
      <c r="R77" s="95"/>
      <c r="S77" s="95"/>
    </row>
    <row r="78" spans="1:19" ht="15" x14ac:dyDescent="0.2">
      <c r="A78" s="126" t="s">
        <v>7</v>
      </c>
      <c r="B78" s="123">
        <v>8.7303593754768372E-2</v>
      </c>
      <c r="C78" s="123">
        <v>0</v>
      </c>
      <c r="D78" s="95"/>
      <c r="E78" s="95"/>
      <c r="F78" s="95"/>
      <c r="G78" s="95"/>
      <c r="H78" s="95"/>
      <c r="I78" s="95"/>
      <c r="J78" s="95"/>
      <c r="K78" s="95"/>
      <c r="L78" s="95"/>
      <c r="M78" s="95"/>
      <c r="N78" s="95"/>
      <c r="O78" s="95"/>
      <c r="P78" s="95"/>
      <c r="Q78" s="95"/>
      <c r="R78" s="95"/>
      <c r="S78" s="95"/>
    </row>
    <row r="79" spans="1:19" ht="15" x14ac:dyDescent="0.2">
      <c r="A79" s="126" t="s">
        <v>77</v>
      </c>
      <c r="B79" s="123">
        <v>4.3994605541229248E-2</v>
      </c>
      <c r="C79" s="123">
        <v>0</v>
      </c>
      <c r="D79" s="95"/>
      <c r="E79" s="95"/>
      <c r="F79" s="95"/>
      <c r="G79" s="95"/>
      <c r="H79" s="95"/>
      <c r="I79" s="95"/>
      <c r="J79" s="95"/>
      <c r="K79" s="95"/>
      <c r="L79" s="95"/>
      <c r="M79" s="95"/>
      <c r="N79" s="95"/>
      <c r="O79" s="95"/>
      <c r="P79" s="95"/>
      <c r="Q79" s="95"/>
      <c r="R79" s="95"/>
      <c r="S79" s="95"/>
    </row>
    <row r="80" spans="1:19" ht="15" x14ac:dyDescent="0.2">
      <c r="A80" s="126" t="s">
        <v>8</v>
      </c>
      <c r="B80" s="123">
        <v>7.391008734703064E-2</v>
      </c>
      <c r="C80" s="123">
        <v>0</v>
      </c>
      <c r="D80" s="95"/>
      <c r="E80" s="95"/>
      <c r="F80" s="95"/>
      <c r="G80" s="95"/>
      <c r="H80" s="95"/>
      <c r="I80" s="95"/>
      <c r="J80" s="95"/>
      <c r="K80" s="95"/>
      <c r="L80" s="95"/>
      <c r="M80" s="95"/>
      <c r="N80" s="95"/>
      <c r="O80" s="95"/>
      <c r="P80" s="95"/>
      <c r="Q80" s="95"/>
      <c r="R80" s="95"/>
      <c r="S80" s="95"/>
    </row>
    <row r="81" spans="1:19" ht="15" x14ac:dyDescent="0.2">
      <c r="A81" s="126" t="s">
        <v>78</v>
      </c>
      <c r="B81" s="123">
        <v>5.0878465175628662E-2</v>
      </c>
      <c r="C81" s="123">
        <v>0</v>
      </c>
      <c r="D81" s="95"/>
      <c r="E81" s="95"/>
      <c r="F81" s="95"/>
      <c r="G81" s="95"/>
      <c r="H81" s="95"/>
      <c r="I81" s="95"/>
      <c r="J81" s="95"/>
      <c r="K81" s="95"/>
      <c r="L81" s="95"/>
      <c r="M81" s="95"/>
      <c r="N81" s="95"/>
      <c r="O81" s="95"/>
      <c r="P81" s="95"/>
      <c r="Q81" s="95"/>
      <c r="R81" s="95"/>
      <c r="S81" s="95"/>
    </row>
    <row r="82" spans="1:19" ht="15" x14ac:dyDescent="0.2">
      <c r="A82" s="126" t="s">
        <v>79</v>
      </c>
      <c r="B82" s="123">
        <v>4.215984046459198E-2</v>
      </c>
      <c r="C82" s="123">
        <v>0</v>
      </c>
      <c r="D82" s="95"/>
      <c r="E82" s="95"/>
      <c r="F82" s="95"/>
      <c r="G82" s="95"/>
      <c r="H82" s="95"/>
      <c r="I82" s="95"/>
      <c r="J82" s="95"/>
      <c r="K82" s="95"/>
      <c r="L82" s="95"/>
      <c r="M82" s="95"/>
      <c r="N82" s="95"/>
      <c r="O82" s="95"/>
      <c r="P82" s="95"/>
      <c r="Q82" s="95"/>
      <c r="R82" s="95"/>
      <c r="S82" s="95"/>
    </row>
    <row r="83" spans="1:19" ht="15" x14ac:dyDescent="0.2">
      <c r="A83" s="126" t="s">
        <v>80</v>
      </c>
      <c r="B83" s="123">
        <v>8.1251397728919983E-2</v>
      </c>
      <c r="C83" s="123">
        <v>0</v>
      </c>
      <c r="D83" s="95"/>
      <c r="E83" s="95"/>
      <c r="F83" s="95"/>
      <c r="G83" s="95"/>
      <c r="H83" s="95"/>
      <c r="I83" s="95"/>
      <c r="J83" s="95"/>
      <c r="K83" s="95"/>
      <c r="L83" s="95"/>
      <c r="M83" s="95"/>
      <c r="N83" s="95"/>
      <c r="O83" s="95"/>
      <c r="P83" s="95"/>
      <c r="Q83" s="95"/>
      <c r="R83" s="95"/>
      <c r="S83" s="95"/>
    </row>
    <row r="84" spans="1:19" ht="15" x14ac:dyDescent="0.2">
      <c r="A84" s="126" t="s">
        <v>81</v>
      </c>
      <c r="B84" s="123">
        <v>0</v>
      </c>
      <c r="C84" s="123">
        <v>0</v>
      </c>
      <c r="D84" s="95"/>
      <c r="E84" s="95"/>
      <c r="F84" s="95"/>
      <c r="G84" s="95"/>
      <c r="H84" s="95"/>
      <c r="I84" s="95"/>
      <c r="J84" s="95"/>
      <c r="K84" s="95"/>
      <c r="L84" s="95"/>
      <c r="M84" s="95"/>
      <c r="N84" s="95"/>
      <c r="O84" s="95"/>
      <c r="P84" s="95"/>
      <c r="Q84" s="95"/>
      <c r="R84" s="95"/>
      <c r="S84" s="95"/>
    </row>
    <row r="85" spans="1:19" ht="15" x14ac:dyDescent="0.2">
      <c r="A85" s="126" t="s">
        <v>82</v>
      </c>
      <c r="B85" s="123">
        <v>7.9643756151199341E-2</v>
      </c>
      <c r="C85" s="123">
        <v>0</v>
      </c>
      <c r="D85" s="95"/>
      <c r="E85" s="95"/>
      <c r="F85" s="95"/>
      <c r="G85" s="95"/>
      <c r="H85" s="95"/>
      <c r="I85" s="95"/>
      <c r="J85" s="95"/>
      <c r="K85" s="95"/>
      <c r="L85" s="95"/>
      <c r="M85" s="95"/>
      <c r="N85" s="95"/>
      <c r="O85" s="95"/>
      <c r="P85" s="95"/>
      <c r="Q85" s="95"/>
      <c r="R85" s="95"/>
      <c r="S85" s="95"/>
    </row>
    <row r="86" spans="1:19" ht="15" x14ac:dyDescent="0.2">
      <c r="A86" s="126" t="s">
        <v>9</v>
      </c>
      <c r="B86" s="123">
        <v>4.4560521841049194E-2</v>
      </c>
      <c r="C86" s="123">
        <v>0</v>
      </c>
      <c r="D86" s="95"/>
      <c r="E86" s="95"/>
      <c r="F86" s="95"/>
      <c r="G86" s="95"/>
      <c r="H86" s="95"/>
      <c r="I86" s="95"/>
      <c r="J86" s="95"/>
      <c r="K86" s="95"/>
      <c r="L86" s="95"/>
      <c r="M86" s="95"/>
      <c r="N86" s="95"/>
      <c r="O86" s="95"/>
      <c r="P86" s="95"/>
      <c r="Q86" s="95"/>
      <c r="R86" s="95"/>
      <c r="S86" s="95"/>
    </row>
    <row r="87" spans="1:19" ht="15" x14ac:dyDescent="0.2">
      <c r="A87" s="126" t="s">
        <v>10</v>
      </c>
      <c r="B87" s="123">
        <v>4.4064939022064209E-2</v>
      </c>
      <c r="C87" s="123">
        <v>0</v>
      </c>
      <c r="D87" s="95"/>
      <c r="E87" s="95"/>
      <c r="F87" s="95"/>
      <c r="G87" s="95"/>
      <c r="H87" s="95"/>
      <c r="I87" s="95"/>
      <c r="J87" s="95"/>
      <c r="K87" s="95"/>
      <c r="L87" s="95"/>
      <c r="M87" s="95"/>
      <c r="N87" s="95"/>
      <c r="O87" s="95"/>
      <c r="P87" s="95"/>
      <c r="Q87" s="95"/>
      <c r="R87" s="95"/>
      <c r="S87" s="95"/>
    </row>
    <row r="88" spans="1:19" ht="15" x14ac:dyDescent="0.2">
      <c r="A88" s="126" t="s">
        <v>83</v>
      </c>
      <c r="B88" s="123">
        <v>6.0611814260482788E-2</v>
      </c>
      <c r="C88" s="123">
        <v>0</v>
      </c>
      <c r="D88" s="95"/>
      <c r="E88" s="95"/>
      <c r="F88" s="95"/>
      <c r="G88" s="95"/>
      <c r="H88" s="95"/>
      <c r="I88" s="95"/>
      <c r="J88" s="95"/>
      <c r="K88" s="95"/>
      <c r="L88" s="95"/>
      <c r="M88" s="95"/>
      <c r="N88" s="95"/>
      <c r="O88" s="95"/>
      <c r="P88" s="95"/>
      <c r="Q88" s="95"/>
      <c r="R88" s="95"/>
      <c r="S88" s="95"/>
    </row>
    <row r="89" spans="1:19" ht="15" x14ac:dyDescent="0.2">
      <c r="A89" s="126" t="s">
        <v>84</v>
      </c>
      <c r="B89" s="123">
        <v>7.365792989730835E-2</v>
      </c>
      <c r="C89" s="123">
        <v>0</v>
      </c>
      <c r="D89" s="95"/>
      <c r="E89" s="95"/>
      <c r="F89" s="95"/>
      <c r="G89" s="95"/>
      <c r="H89" s="95"/>
      <c r="I89" s="95"/>
      <c r="J89" s="95"/>
      <c r="K89" s="95"/>
      <c r="L89" s="95"/>
      <c r="M89" s="95"/>
      <c r="N89" s="95"/>
      <c r="O89" s="95"/>
      <c r="P89" s="95"/>
      <c r="Q89" s="95"/>
      <c r="R89" s="95"/>
      <c r="S89" s="95"/>
    </row>
    <row r="90" spans="1:19" ht="15" x14ac:dyDescent="0.2">
      <c r="A90" s="126" t="s">
        <v>85</v>
      </c>
      <c r="B90" s="123">
        <v>5.7048916816711426E-2</v>
      </c>
      <c r="C90" s="123">
        <v>0</v>
      </c>
      <c r="D90" s="95"/>
      <c r="E90" s="95"/>
      <c r="F90" s="95"/>
      <c r="G90" s="95"/>
      <c r="H90" s="95"/>
      <c r="I90" s="95"/>
      <c r="J90" s="95"/>
      <c r="K90" s="95"/>
      <c r="L90" s="95"/>
      <c r="M90" s="95"/>
      <c r="N90" s="95"/>
      <c r="O90" s="95"/>
      <c r="P90" s="95"/>
      <c r="Q90" s="95"/>
      <c r="R90" s="95"/>
      <c r="S90" s="95"/>
    </row>
    <row r="91" spans="1:19" ht="15" x14ac:dyDescent="0.2">
      <c r="A91" s="126" t="s">
        <v>11</v>
      </c>
      <c r="B91" s="123">
        <v>1.8258035182952881E-2</v>
      </c>
      <c r="C91" s="123">
        <v>0</v>
      </c>
      <c r="D91" s="95"/>
      <c r="E91" s="95"/>
      <c r="F91" s="95"/>
      <c r="G91" s="95"/>
      <c r="H91" s="95"/>
      <c r="I91" s="95"/>
      <c r="J91" s="95"/>
      <c r="K91" s="95"/>
      <c r="L91" s="95"/>
      <c r="M91" s="95"/>
      <c r="N91" s="95"/>
      <c r="O91" s="95"/>
      <c r="P91" s="95"/>
      <c r="Q91" s="95"/>
      <c r="R91" s="95"/>
      <c r="S91" s="95"/>
    </row>
    <row r="92" spans="1:19" ht="15" x14ac:dyDescent="0.2">
      <c r="A92" s="128"/>
      <c r="B92" s="134"/>
      <c r="C92" s="134"/>
      <c r="D92" s="95"/>
      <c r="E92" s="95"/>
      <c r="F92" s="95"/>
      <c r="G92" s="95"/>
      <c r="H92" s="95"/>
      <c r="I92" s="95"/>
      <c r="J92" s="95"/>
      <c r="K92" s="95"/>
      <c r="L92" s="95"/>
      <c r="M92" s="95"/>
      <c r="N92" s="95"/>
      <c r="O92" s="95"/>
      <c r="P92" s="95"/>
      <c r="Q92" s="95"/>
      <c r="R92" s="95"/>
      <c r="S92" s="95"/>
    </row>
    <row r="93" spans="1:19" x14ac:dyDescent="0.2">
      <c r="A93" s="117" t="s">
        <v>124</v>
      </c>
      <c r="B93" s="134"/>
      <c r="C93" s="134"/>
      <c r="D93" s="95"/>
      <c r="E93" s="95"/>
      <c r="F93" s="95"/>
      <c r="G93" s="95"/>
      <c r="H93" s="95"/>
      <c r="I93" s="95"/>
      <c r="J93" s="95"/>
      <c r="K93" s="95"/>
      <c r="L93" s="95"/>
      <c r="M93" s="95"/>
      <c r="N93" s="95"/>
      <c r="O93" s="95"/>
      <c r="P93" s="95"/>
      <c r="Q93" s="95"/>
      <c r="R93" s="95"/>
      <c r="S93" s="95"/>
    </row>
    <row r="94" spans="1:19" x14ac:dyDescent="0.2">
      <c r="A94" s="129" t="s">
        <v>131</v>
      </c>
      <c r="B94" s="132" t="str">
        <f>B77</f>
        <v>MyCounty</v>
      </c>
      <c r="C94" s="95" t="str">
        <f>C77</f>
        <v>MyRegion</v>
      </c>
      <c r="D94" s="95"/>
      <c r="E94" s="95"/>
      <c r="F94" s="95"/>
      <c r="G94" s="95"/>
      <c r="H94" s="95"/>
      <c r="I94" s="95"/>
      <c r="J94" s="95"/>
      <c r="K94" s="95"/>
      <c r="L94" s="95"/>
      <c r="M94" s="95"/>
      <c r="N94" s="95"/>
      <c r="O94" s="95"/>
      <c r="P94" s="95"/>
      <c r="Q94" s="95"/>
      <c r="R94" s="95"/>
      <c r="S94" s="95"/>
    </row>
    <row r="95" spans="1:19" ht="15" x14ac:dyDescent="0.2">
      <c r="A95" s="126" t="s">
        <v>7</v>
      </c>
      <c r="B95" s="123">
        <v>0</v>
      </c>
      <c r="C95" s="123">
        <v>0</v>
      </c>
      <c r="D95" s="95"/>
      <c r="E95" s="95"/>
      <c r="F95" s="95"/>
      <c r="G95" s="95"/>
      <c r="H95" s="95"/>
      <c r="I95" s="95"/>
      <c r="J95" s="95"/>
      <c r="K95" s="95"/>
      <c r="L95" s="95"/>
      <c r="M95" s="95"/>
      <c r="N95" s="95"/>
      <c r="O95" s="95"/>
      <c r="P95" s="95"/>
      <c r="Q95" s="95"/>
      <c r="R95" s="95"/>
      <c r="S95" s="95"/>
    </row>
    <row r="96" spans="1:19" ht="15" x14ac:dyDescent="0.2">
      <c r="A96" s="126" t="s">
        <v>77</v>
      </c>
      <c r="B96" s="123">
        <v>0</v>
      </c>
      <c r="C96" s="123">
        <v>0</v>
      </c>
      <c r="D96" s="95"/>
      <c r="E96" s="95"/>
      <c r="F96" s="95"/>
      <c r="G96" s="95"/>
      <c r="H96" s="95"/>
      <c r="I96" s="95"/>
      <c r="J96" s="95"/>
      <c r="K96" s="95"/>
      <c r="L96" s="95"/>
      <c r="M96" s="95"/>
      <c r="N96" s="95"/>
      <c r="O96" s="95"/>
      <c r="P96" s="95"/>
      <c r="Q96" s="95"/>
      <c r="R96" s="95"/>
      <c r="S96" s="95"/>
    </row>
    <row r="97" spans="1:19" ht="15" x14ac:dyDescent="0.2">
      <c r="A97" s="126" t="s">
        <v>8</v>
      </c>
      <c r="B97" s="123">
        <v>0</v>
      </c>
      <c r="C97" s="123">
        <v>0</v>
      </c>
      <c r="D97" s="95"/>
      <c r="E97" s="95"/>
      <c r="F97" s="95"/>
      <c r="G97" s="95"/>
      <c r="H97" s="95"/>
      <c r="I97" s="95"/>
      <c r="J97" s="95"/>
      <c r="K97" s="95"/>
      <c r="L97" s="95"/>
      <c r="M97" s="95"/>
      <c r="N97" s="95"/>
      <c r="O97" s="95"/>
      <c r="P97" s="95"/>
      <c r="Q97" s="95"/>
      <c r="R97" s="95"/>
      <c r="S97" s="95"/>
    </row>
    <row r="98" spans="1:19" ht="15" x14ac:dyDescent="0.2">
      <c r="A98" s="126" t="s">
        <v>78</v>
      </c>
      <c r="B98" s="123">
        <v>0</v>
      </c>
      <c r="C98" s="123">
        <v>0</v>
      </c>
      <c r="D98" s="95"/>
      <c r="E98" s="95"/>
      <c r="F98" s="95"/>
      <c r="G98" s="95"/>
      <c r="H98" s="95"/>
      <c r="I98" s="95"/>
      <c r="J98" s="95"/>
      <c r="K98" s="95"/>
      <c r="L98" s="95"/>
      <c r="M98" s="95"/>
      <c r="N98" s="95"/>
      <c r="O98" s="95"/>
      <c r="P98" s="95"/>
      <c r="Q98" s="95"/>
      <c r="R98" s="95"/>
      <c r="S98" s="95"/>
    </row>
    <row r="99" spans="1:19" ht="15" x14ac:dyDescent="0.2">
      <c r="A99" s="126" t="s">
        <v>79</v>
      </c>
      <c r="B99" s="123">
        <v>0</v>
      </c>
      <c r="C99" s="123">
        <v>0</v>
      </c>
      <c r="D99" s="95"/>
      <c r="E99" s="95"/>
      <c r="F99" s="95"/>
      <c r="G99" s="95"/>
      <c r="H99" s="95"/>
      <c r="I99" s="95"/>
      <c r="J99" s="95"/>
      <c r="K99" s="95"/>
      <c r="L99" s="95"/>
      <c r="M99" s="95"/>
      <c r="N99" s="95"/>
      <c r="O99" s="95"/>
      <c r="P99" s="95"/>
      <c r="Q99" s="95"/>
      <c r="R99" s="95"/>
      <c r="S99" s="95"/>
    </row>
    <row r="100" spans="1:19" ht="15" x14ac:dyDescent="0.2">
      <c r="A100" s="126" t="s">
        <v>80</v>
      </c>
      <c r="B100" s="123">
        <v>0</v>
      </c>
      <c r="C100" s="123">
        <v>0</v>
      </c>
      <c r="D100" s="95"/>
      <c r="E100" s="95"/>
      <c r="F100" s="95"/>
      <c r="G100" s="95"/>
      <c r="H100" s="95"/>
      <c r="I100" s="95"/>
      <c r="J100" s="95"/>
      <c r="K100" s="95"/>
      <c r="L100" s="95"/>
      <c r="M100" s="95"/>
      <c r="N100" s="95"/>
      <c r="O100" s="95"/>
      <c r="P100" s="95"/>
      <c r="Q100" s="95"/>
      <c r="R100" s="95"/>
      <c r="S100" s="95"/>
    </row>
    <row r="101" spans="1:19" ht="15" x14ac:dyDescent="0.2">
      <c r="A101" s="126" t="s">
        <v>81</v>
      </c>
      <c r="B101" s="123">
        <v>0</v>
      </c>
      <c r="C101" s="123">
        <v>0</v>
      </c>
      <c r="D101" s="95"/>
      <c r="E101" s="95"/>
      <c r="F101" s="95"/>
      <c r="G101" s="95"/>
      <c r="H101" s="95"/>
      <c r="I101" s="95"/>
      <c r="J101" s="95"/>
      <c r="K101" s="95"/>
      <c r="L101" s="95"/>
      <c r="M101" s="95"/>
      <c r="N101" s="95"/>
      <c r="O101" s="95"/>
      <c r="P101" s="95"/>
      <c r="Q101" s="95"/>
      <c r="R101" s="95"/>
      <c r="S101" s="95"/>
    </row>
    <row r="102" spans="1:19" ht="15" x14ac:dyDescent="0.2">
      <c r="A102" s="126" t="s">
        <v>82</v>
      </c>
      <c r="B102" s="123">
        <v>0</v>
      </c>
      <c r="C102" s="123">
        <v>0</v>
      </c>
      <c r="D102" s="95"/>
      <c r="E102" s="95"/>
      <c r="F102" s="95"/>
      <c r="G102" s="95"/>
      <c r="H102" s="95"/>
      <c r="I102" s="95"/>
      <c r="J102" s="95"/>
      <c r="K102" s="95"/>
      <c r="L102" s="95"/>
      <c r="M102" s="95"/>
      <c r="N102" s="95"/>
      <c r="O102" s="95"/>
      <c r="P102" s="95"/>
      <c r="Q102" s="95"/>
      <c r="R102" s="95"/>
      <c r="S102" s="95"/>
    </row>
    <row r="103" spans="1:19" ht="15" x14ac:dyDescent="0.2">
      <c r="A103" s="126" t="s">
        <v>9</v>
      </c>
      <c r="B103" s="123">
        <v>0</v>
      </c>
      <c r="C103" s="123">
        <v>0</v>
      </c>
      <c r="D103" s="95"/>
      <c r="E103" s="95"/>
      <c r="F103" s="95"/>
      <c r="G103" s="95"/>
      <c r="H103" s="95"/>
      <c r="I103" s="95"/>
      <c r="J103" s="95"/>
      <c r="K103" s="95"/>
      <c r="L103" s="95"/>
      <c r="M103" s="95"/>
      <c r="N103" s="95"/>
      <c r="O103" s="95"/>
      <c r="P103" s="95"/>
      <c r="Q103" s="95"/>
      <c r="R103" s="95"/>
      <c r="S103" s="95"/>
    </row>
    <row r="104" spans="1:19" ht="15" x14ac:dyDescent="0.2">
      <c r="A104" s="126" t="s">
        <v>10</v>
      </c>
      <c r="B104" s="123">
        <v>0</v>
      </c>
      <c r="C104" s="123">
        <v>0</v>
      </c>
      <c r="D104" s="95"/>
      <c r="E104" s="95"/>
      <c r="F104" s="95"/>
      <c r="G104" s="95"/>
      <c r="H104" s="95"/>
      <c r="I104" s="95"/>
      <c r="J104" s="95"/>
      <c r="K104" s="95"/>
      <c r="L104" s="95"/>
      <c r="M104" s="95"/>
      <c r="N104" s="95"/>
      <c r="O104" s="95"/>
      <c r="P104" s="95"/>
      <c r="Q104" s="95"/>
      <c r="R104" s="95"/>
      <c r="S104" s="95"/>
    </row>
    <row r="105" spans="1:19" ht="15" x14ac:dyDescent="0.2">
      <c r="A105" s="126" t="s">
        <v>83</v>
      </c>
      <c r="B105" s="123">
        <v>0</v>
      </c>
      <c r="C105" s="123">
        <v>0</v>
      </c>
      <c r="D105" s="95"/>
      <c r="E105" s="95"/>
      <c r="F105" s="95"/>
      <c r="G105" s="95"/>
      <c r="H105" s="95"/>
      <c r="I105" s="95"/>
      <c r="J105" s="95"/>
      <c r="K105" s="95"/>
      <c r="L105" s="95"/>
      <c r="M105" s="95"/>
      <c r="N105" s="95"/>
      <c r="O105" s="95"/>
      <c r="P105" s="95"/>
      <c r="Q105" s="95"/>
      <c r="R105" s="95"/>
      <c r="S105" s="95"/>
    </row>
    <row r="106" spans="1:19" ht="15" x14ac:dyDescent="0.2">
      <c r="A106" s="126" t="s">
        <v>84</v>
      </c>
      <c r="B106" s="123">
        <v>0</v>
      </c>
      <c r="C106" s="123">
        <v>0</v>
      </c>
      <c r="D106" s="95"/>
      <c r="E106" s="95"/>
      <c r="F106" s="95"/>
      <c r="G106" s="95"/>
      <c r="H106" s="95"/>
      <c r="I106" s="95"/>
      <c r="J106" s="95"/>
      <c r="K106" s="95"/>
      <c r="L106" s="95"/>
      <c r="M106" s="95"/>
      <c r="N106" s="95"/>
      <c r="O106" s="95"/>
      <c r="P106" s="95"/>
      <c r="Q106" s="95"/>
      <c r="R106" s="95"/>
      <c r="S106" s="95"/>
    </row>
    <row r="107" spans="1:19" ht="15" x14ac:dyDescent="0.2">
      <c r="A107" s="126" t="s">
        <v>85</v>
      </c>
      <c r="B107" s="123">
        <v>0</v>
      </c>
      <c r="C107" s="123">
        <v>0</v>
      </c>
      <c r="D107" s="95"/>
      <c r="E107" s="95"/>
      <c r="F107" s="95"/>
      <c r="G107" s="95"/>
      <c r="H107" s="95"/>
      <c r="I107" s="95"/>
      <c r="J107" s="95"/>
      <c r="K107" s="95"/>
      <c r="L107" s="95"/>
      <c r="M107" s="95"/>
      <c r="N107" s="95"/>
      <c r="O107" s="95"/>
      <c r="P107" s="95"/>
      <c r="Q107" s="95"/>
      <c r="R107" s="95"/>
      <c r="S107" s="95"/>
    </row>
    <row r="108" spans="1:19" ht="15" x14ac:dyDescent="0.2">
      <c r="A108" s="126" t="s">
        <v>11</v>
      </c>
      <c r="B108" s="123">
        <v>0</v>
      </c>
      <c r="C108" s="123">
        <v>0</v>
      </c>
      <c r="D108" s="95"/>
      <c r="E108" s="95"/>
      <c r="F108" s="95"/>
      <c r="G108" s="95"/>
      <c r="H108" s="95"/>
      <c r="I108" s="95"/>
      <c r="J108" s="95"/>
      <c r="K108" s="95"/>
      <c r="L108" s="95"/>
      <c r="M108" s="95"/>
      <c r="N108" s="95"/>
      <c r="O108" s="95"/>
      <c r="P108" s="95"/>
      <c r="Q108" s="95"/>
      <c r="R108" s="95"/>
      <c r="S108" s="95"/>
    </row>
    <row r="109" spans="1:19" ht="15" x14ac:dyDescent="0.2">
      <c r="A109" s="126"/>
      <c r="B109" s="134"/>
      <c r="C109" s="134"/>
      <c r="D109" s="95"/>
      <c r="E109" s="95"/>
      <c r="F109" s="95"/>
      <c r="G109" s="95"/>
      <c r="H109" s="95"/>
      <c r="I109" s="95"/>
      <c r="J109" s="95"/>
      <c r="K109" s="95"/>
      <c r="L109" s="95"/>
      <c r="M109" s="95"/>
      <c r="N109" s="95"/>
      <c r="O109" s="95"/>
      <c r="P109" s="95"/>
      <c r="Q109" s="95"/>
      <c r="R109" s="95"/>
      <c r="S109" s="95"/>
    </row>
    <row r="110" spans="1:19" x14ac:dyDescent="0.2">
      <c r="A110" s="130" t="s">
        <v>125</v>
      </c>
      <c r="B110" s="134"/>
      <c r="C110" s="134"/>
      <c r="D110" s="95"/>
      <c r="E110" s="95"/>
      <c r="F110" s="95"/>
      <c r="G110" s="95"/>
      <c r="H110" s="95"/>
      <c r="I110" s="95"/>
      <c r="J110" s="95"/>
      <c r="K110" s="95"/>
      <c r="L110" s="95"/>
      <c r="M110" s="95"/>
      <c r="N110" s="95"/>
      <c r="O110" s="95"/>
      <c r="P110" s="95"/>
      <c r="Q110" s="95"/>
      <c r="R110" s="95"/>
      <c r="S110" s="95"/>
    </row>
    <row r="111" spans="1:19" x14ac:dyDescent="0.2">
      <c r="A111" s="129" t="s">
        <v>132</v>
      </c>
      <c r="B111" s="132" t="str">
        <f>B94</f>
        <v>MyCounty</v>
      </c>
      <c r="C111" s="95" t="str">
        <f>C94</f>
        <v>MyRegion</v>
      </c>
      <c r="D111" s="95"/>
      <c r="E111" s="95"/>
      <c r="F111" s="95"/>
      <c r="G111" s="95"/>
      <c r="H111" s="95"/>
      <c r="I111" s="95"/>
      <c r="J111" s="95"/>
      <c r="K111" s="95"/>
      <c r="L111" s="95"/>
      <c r="M111" s="95"/>
      <c r="N111" s="95"/>
      <c r="O111" s="95"/>
      <c r="P111" s="95"/>
      <c r="Q111" s="95"/>
      <c r="R111" s="95"/>
      <c r="S111" s="95"/>
    </row>
    <row r="112" spans="1:19" ht="15" x14ac:dyDescent="0.2">
      <c r="A112" s="126" t="s">
        <v>7</v>
      </c>
      <c r="B112" s="123">
        <v>0</v>
      </c>
      <c r="C112" s="123">
        <v>0</v>
      </c>
      <c r="D112" s="95"/>
      <c r="E112" s="95"/>
      <c r="F112" s="95"/>
      <c r="G112" s="95"/>
      <c r="H112" s="95"/>
      <c r="I112" s="95"/>
      <c r="J112" s="95"/>
      <c r="K112" s="95"/>
      <c r="L112" s="95"/>
      <c r="M112" s="95"/>
      <c r="N112" s="95"/>
      <c r="O112" s="95"/>
      <c r="P112" s="95"/>
      <c r="Q112" s="95"/>
      <c r="R112" s="95"/>
      <c r="S112" s="95"/>
    </row>
    <row r="113" spans="1:19" ht="15" x14ac:dyDescent="0.2">
      <c r="A113" s="126" t="s">
        <v>77</v>
      </c>
      <c r="B113" s="123">
        <v>0</v>
      </c>
      <c r="C113" s="123">
        <v>0</v>
      </c>
      <c r="D113" s="95"/>
      <c r="E113" s="95"/>
      <c r="F113" s="95"/>
      <c r="G113" s="95"/>
      <c r="H113" s="95"/>
      <c r="I113" s="95"/>
      <c r="J113" s="95"/>
      <c r="K113" s="95"/>
      <c r="L113" s="95"/>
      <c r="M113" s="95"/>
      <c r="N113" s="95"/>
      <c r="O113" s="95"/>
      <c r="P113" s="95"/>
      <c r="Q113" s="95"/>
      <c r="R113" s="95"/>
      <c r="S113" s="95"/>
    </row>
    <row r="114" spans="1:19" ht="15" x14ac:dyDescent="0.2">
      <c r="A114" s="126" t="s">
        <v>8</v>
      </c>
      <c r="B114" s="123">
        <v>0</v>
      </c>
      <c r="C114" s="123">
        <v>0</v>
      </c>
      <c r="D114" s="95"/>
      <c r="E114" s="95"/>
      <c r="F114" s="95"/>
      <c r="G114" s="95"/>
      <c r="H114" s="95"/>
      <c r="I114" s="95"/>
      <c r="J114" s="95"/>
      <c r="K114" s="95"/>
      <c r="L114" s="95"/>
      <c r="M114" s="95"/>
      <c r="N114" s="95"/>
      <c r="O114" s="95"/>
      <c r="P114" s="95"/>
      <c r="Q114" s="95"/>
      <c r="R114" s="95"/>
      <c r="S114" s="95"/>
    </row>
    <row r="115" spans="1:19" ht="15" x14ac:dyDescent="0.2">
      <c r="A115" s="126" t="s">
        <v>78</v>
      </c>
      <c r="B115" s="123">
        <v>0</v>
      </c>
      <c r="C115" s="123">
        <v>0</v>
      </c>
      <c r="D115" s="95"/>
      <c r="E115" s="95"/>
      <c r="F115" s="95"/>
      <c r="G115" s="95"/>
      <c r="H115" s="95"/>
      <c r="I115" s="95"/>
      <c r="J115" s="95"/>
      <c r="K115" s="95"/>
      <c r="L115" s="95"/>
      <c r="M115" s="95"/>
      <c r="N115" s="95"/>
      <c r="O115" s="95"/>
      <c r="P115" s="95"/>
      <c r="Q115" s="95"/>
      <c r="R115" s="95"/>
      <c r="S115" s="95"/>
    </row>
    <row r="116" spans="1:19" ht="15" x14ac:dyDescent="0.2">
      <c r="A116" s="126" t="s">
        <v>79</v>
      </c>
      <c r="B116" s="123">
        <v>0</v>
      </c>
      <c r="C116" s="123">
        <v>0</v>
      </c>
      <c r="D116" s="95"/>
      <c r="E116" s="95"/>
      <c r="F116" s="95"/>
      <c r="G116" s="95"/>
      <c r="H116" s="95"/>
      <c r="I116" s="95"/>
      <c r="J116" s="95"/>
      <c r="K116" s="95"/>
      <c r="L116" s="95"/>
      <c r="M116" s="95"/>
      <c r="N116" s="95"/>
      <c r="O116" s="95"/>
      <c r="P116" s="95"/>
      <c r="Q116" s="95"/>
      <c r="R116" s="95"/>
      <c r="S116" s="95"/>
    </row>
    <row r="117" spans="1:19" ht="15" x14ac:dyDescent="0.2">
      <c r="A117" s="126" t="s">
        <v>80</v>
      </c>
      <c r="B117" s="123">
        <v>0</v>
      </c>
      <c r="C117" s="123">
        <v>0</v>
      </c>
      <c r="D117" s="95"/>
      <c r="E117" s="95"/>
      <c r="F117" s="95"/>
      <c r="G117" s="95"/>
      <c r="H117" s="95"/>
      <c r="I117" s="95"/>
      <c r="J117" s="95"/>
      <c r="K117" s="95"/>
      <c r="L117" s="95"/>
      <c r="M117" s="95"/>
      <c r="N117" s="95"/>
      <c r="O117" s="95"/>
      <c r="P117" s="95"/>
      <c r="Q117" s="95"/>
      <c r="R117" s="95"/>
      <c r="S117" s="95"/>
    </row>
    <row r="118" spans="1:19" ht="15" x14ac:dyDescent="0.2">
      <c r="A118" s="126" t="s">
        <v>81</v>
      </c>
      <c r="B118" s="123">
        <v>0</v>
      </c>
      <c r="C118" s="123">
        <v>0</v>
      </c>
      <c r="D118" s="95"/>
      <c r="E118" s="95"/>
      <c r="F118" s="95"/>
      <c r="G118" s="95"/>
      <c r="H118" s="95"/>
      <c r="I118" s="95"/>
      <c r="J118" s="95"/>
      <c r="K118" s="95"/>
      <c r="L118" s="95"/>
      <c r="M118" s="95"/>
      <c r="N118" s="95"/>
      <c r="O118" s="95"/>
      <c r="P118" s="95"/>
      <c r="Q118" s="95"/>
      <c r="R118" s="95"/>
      <c r="S118" s="95"/>
    </row>
    <row r="119" spans="1:19" ht="15" x14ac:dyDescent="0.2">
      <c r="A119" s="126" t="s">
        <v>82</v>
      </c>
      <c r="B119" s="123">
        <v>0</v>
      </c>
      <c r="C119" s="123">
        <v>0</v>
      </c>
      <c r="D119" s="95"/>
      <c r="E119" s="95"/>
      <c r="F119" s="95"/>
      <c r="G119" s="95"/>
      <c r="H119" s="95"/>
      <c r="I119" s="95"/>
      <c r="J119" s="95"/>
      <c r="K119" s="95"/>
      <c r="L119" s="95"/>
      <c r="M119" s="95"/>
      <c r="N119" s="95"/>
      <c r="O119" s="95"/>
      <c r="P119" s="95"/>
      <c r="Q119" s="95"/>
      <c r="R119" s="95"/>
      <c r="S119" s="95"/>
    </row>
    <row r="120" spans="1:19" ht="15" x14ac:dyDescent="0.2">
      <c r="A120" s="126" t="s">
        <v>9</v>
      </c>
      <c r="B120" s="123">
        <v>0</v>
      </c>
      <c r="C120" s="123">
        <v>0</v>
      </c>
      <c r="D120" s="95"/>
      <c r="E120" s="95"/>
      <c r="F120" s="95"/>
      <c r="G120" s="95"/>
      <c r="H120" s="95"/>
      <c r="I120" s="95"/>
      <c r="J120" s="95"/>
      <c r="K120" s="95"/>
      <c r="L120" s="95"/>
      <c r="M120" s="95"/>
      <c r="N120" s="95"/>
      <c r="O120" s="95"/>
      <c r="P120" s="95"/>
      <c r="Q120" s="95"/>
      <c r="R120" s="95"/>
      <c r="S120" s="95"/>
    </row>
    <row r="121" spans="1:19" ht="15" x14ac:dyDescent="0.2">
      <c r="A121" s="126" t="s">
        <v>10</v>
      </c>
      <c r="B121" s="123">
        <v>0</v>
      </c>
      <c r="C121" s="123">
        <v>0</v>
      </c>
      <c r="D121" s="95"/>
      <c r="E121" s="95"/>
      <c r="F121" s="95"/>
      <c r="G121" s="95"/>
      <c r="H121" s="95"/>
      <c r="I121" s="95"/>
      <c r="J121" s="95"/>
      <c r="K121" s="95"/>
      <c r="L121" s="95"/>
      <c r="M121" s="95"/>
      <c r="N121" s="95"/>
      <c r="O121" s="95"/>
      <c r="P121" s="95"/>
      <c r="Q121" s="95"/>
      <c r="R121" s="95"/>
      <c r="S121" s="95"/>
    </row>
    <row r="122" spans="1:19" ht="15" x14ac:dyDescent="0.2">
      <c r="A122" s="126" t="s">
        <v>83</v>
      </c>
      <c r="B122" s="123">
        <v>0</v>
      </c>
      <c r="C122" s="123">
        <v>0</v>
      </c>
      <c r="D122" s="95"/>
      <c r="E122" s="95"/>
      <c r="F122" s="95"/>
      <c r="G122" s="95"/>
      <c r="H122" s="95"/>
      <c r="I122" s="95"/>
      <c r="J122" s="95"/>
      <c r="K122" s="95"/>
      <c r="L122" s="95"/>
      <c r="M122" s="95"/>
      <c r="N122" s="95"/>
      <c r="O122" s="95"/>
      <c r="P122" s="95"/>
      <c r="Q122" s="95"/>
      <c r="R122" s="95"/>
      <c r="S122" s="95"/>
    </row>
    <row r="123" spans="1:19" ht="15" x14ac:dyDescent="0.2">
      <c r="A123" s="126" t="s">
        <v>84</v>
      </c>
      <c r="B123" s="123">
        <v>0</v>
      </c>
      <c r="C123" s="123">
        <v>0</v>
      </c>
      <c r="D123" s="95"/>
      <c r="E123" s="95"/>
      <c r="F123" s="95"/>
      <c r="G123" s="95"/>
      <c r="H123" s="95"/>
      <c r="I123" s="95"/>
      <c r="J123" s="95"/>
      <c r="K123" s="95"/>
      <c r="L123" s="95"/>
      <c r="M123" s="95"/>
      <c r="N123" s="95"/>
      <c r="O123" s="95"/>
      <c r="P123" s="95"/>
      <c r="Q123" s="95"/>
      <c r="R123" s="95"/>
      <c r="S123" s="95"/>
    </row>
    <row r="124" spans="1:19" ht="15" x14ac:dyDescent="0.2">
      <c r="A124" s="126" t="s">
        <v>85</v>
      </c>
      <c r="B124" s="123">
        <v>0</v>
      </c>
      <c r="C124" s="123">
        <v>0</v>
      </c>
      <c r="D124" s="95"/>
      <c r="E124" s="95"/>
      <c r="F124" s="95"/>
      <c r="G124" s="95"/>
      <c r="H124" s="95"/>
      <c r="I124" s="95"/>
      <c r="J124" s="95"/>
      <c r="K124" s="95"/>
      <c r="L124" s="95"/>
      <c r="M124" s="95"/>
      <c r="N124" s="95"/>
      <c r="O124" s="95"/>
      <c r="P124" s="95"/>
      <c r="Q124" s="95"/>
      <c r="R124" s="95"/>
      <c r="S124" s="95"/>
    </row>
    <row r="125" spans="1:19" ht="15" x14ac:dyDescent="0.2">
      <c r="A125" s="126" t="s">
        <v>11</v>
      </c>
      <c r="B125" s="123">
        <v>0</v>
      </c>
      <c r="C125" s="123">
        <v>0</v>
      </c>
      <c r="D125" s="95"/>
      <c r="E125" s="95"/>
      <c r="F125" s="95"/>
      <c r="G125" s="95"/>
      <c r="H125" s="95"/>
      <c r="I125" s="95"/>
      <c r="J125" s="95"/>
      <c r="K125" s="95"/>
      <c r="L125" s="95"/>
      <c r="M125" s="95"/>
      <c r="N125" s="95"/>
      <c r="O125" s="95"/>
      <c r="P125" s="95"/>
      <c r="Q125" s="95"/>
      <c r="R125" s="95"/>
      <c r="S125" s="95"/>
    </row>
    <row r="126" spans="1:19" ht="15" x14ac:dyDescent="0.2">
      <c r="A126" s="126"/>
      <c r="B126" s="134"/>
      <c r="C126" s="134"/>
      <c r="D126" s="95"/>
      <c r="E126" s="95"/>
      <c r="F126" s="95"/>
      <c r="G126" s="95"/>
      <c r="H126" s="95"/>
      <c r="I126" s="95"/>
      <c r="J126" s="95"/>
      <c r="K126" s="95"/>
      <c r="L126" s="95"/>
      <c r="M126" s="95"/>
      <c r="N126" s="95"/>
      <c r="O126" s="95"/>
      <c r="P126" s="95"/>
      <c r="Q126" s="95"/>
      <c r="R126" s="95"/>
      <c r="S126" s="95"/>
    </row>
    <row r="127" spans="1:19" x14ac:dyDescent="0.2">
      <c r="A127" s="130" t="s">
        <v>125</v>
      </c>
      <c r="B127" s="134"/>
      <c r="C127" s="134"/>
      <c r="D127" s="95"/>
      <c r="E127" s="95"/>
      <c r="F127" s="95"/>
      <c r="G127" s="95"/>
      <c r="H127" s="95"/>
      <c r="I127" s="95"/>
      <c r="J127" s="95"/>
      <c r="K127" s="95"/>
      <c r="L127" s="95"/>
      <c r="M127" s="95"/>
      <c r="N127" s="95"/>
      <c r="O127" s="95"/>
      <c r="P127" s="95"/>
      <c r="Q127" s="95"/>
      <c r="R127" s="95"/>
      <c r="S127" s="95"/>
    </row>
    <row r="128" spans="1:19" x14ac:dyDescent="0.2">
      <c r="A128" s="129" t="s">
        <v>133</v>
      </c>
      <c r="B128" s="132" t="str">
        <f>B111</f>
        <v>MyCounty</v>
      </c>
      <c r="C128" s="95" t="str">
        <f>C111</f>
        <v>MyRegion</v>
      </c>
      <c r="D128" s="95"/>
      <c r="E128" s="95"/>
      <c r="F128" s="95"/>
      <c r="G128" s="95"/>
      <c r="H128" s="95"/>
      <c r="I128" s="95"/>
      <c r="J128" s="95"/>
      <c r="K128" s="95"/>
      <c r="L128" s="95"/>
      <c r="M128" s="95"/>
      <c r="N128" s="95"/>
      <c r="O128" s="95"/>
      <c r="P128" s="95"/>
      <c r="Q128" s="95"/>
      <c r="R128" s="95"/>
      <c r="S128" s="95"/>
    </row>
    <row r="129" spans="1:19" ht="15" x14ac:dyDescent="0.2">
      <c r="A129" s="126" t="s">
        <v>7</v>
      </c>
      <c r="B129" s="123">
        <v>0</v>
      </c>
      <c r="C129" s="123">
        <v>0</v>
      </c>
      <c r="D129" s="95"/>
      <c r="E129" s="95"/>
      <c r="F129" s="95"/>
      <c r="G129" s="95"/>
      <c r="H129" s="95"/>
      <c r="I129" s="95"/>
      <c r="J129" s="95"/>
      <c r="K129" s="95"/>
      <c r="L129" s="95"/>
      <c r="M129" s="95"/>
      <c r="N129" s="95"/>
      <c r="O129" s="95"/>
      <c r="P129" s="95"/>
      <c r="Q129" s="95"/>
      <c r="R129" s="95"/>
      <c r="S129" s="95"/>
    </row>
    <row r="130" spans="1:19" ht="15" x14ac:dyDescent="0.2">
      <c r="A130" s="126" t="s">
        <v>77</v>
      </c>
      <c r="B130" s="123">
        <v>0</v>
      </c>
      <c r="C130" s="123">
        <v>0</v>
      </c>
      <c r="D130" s="95"/>
      <c r="E130" s="95"/>
      <c r="F130" s="95"/>
      <c r="G130" s="95"/>
      <c r="H130" s="95"/>
      <c r="I130" s="95"/>
      <c r="J130" s="95"/>
      <c r="K130" s="95"/>
      <c r="L130" s="95"/>
      <c r="M130" s="95"/>
      <c r="N130" s="95"/>
      <c r="O130" s="95"/>
      <c r="P130" s="95"/>
      <c r="Q130" s="95"/>
      <c r="R130" s="95"/>
      <c r="S130" s="95"/>
    </row>
    <row r="131" spans="1:19" ht="15" x14ac:dyDescent="0.2">
      <c r="A131" s="126" t="s">
        <v>8</v>
      </c>
      <c r="B131" s="123">
        <v>0</v>
      </c>
      <c r="C131" s="123">
        <v>0</v>
      </c>
      <c r="D131" s="95"/>
      <c r="E131" s="95"/>
      <c r="F131" s="95"/>
      <c r="G131" s="95"/>
      <c r="H131" s="95"/>
      <c r="I131" s="95"/>
      <c r="J131" s="95"/>
      <c r="K131" s="95"/>
      <c r="L131" s="95"/>
      <c r="M131" s="95"/>
      <c r="N131" s="95"/>
      <c r="O131" s="95"/>
      <c r="P131" s="95"/>
      <c r="Q131" s="95"/>
      <c r="R131" s="95"/>
      <c r="S131" s="95"/>
    </row>
    <row r="132" spans="1:19" ht="15" x14ac:dyDescent="0.2">
      <c r="A132" s="126" t="s">
        <v>78</v>
      </c>
      <c r="B132" s="123">
        <v>0</v>
      </c>
      <c r="C132" s="123">
        <v>0</v>
      </c>
      <c r="D132" s="95"/>
      <c r="E132" s="95"/>
      <c r="F132" s="95"/>
      <c r="G132" s="95"/>
      <c r="H132" s="95"/>
      <c r="I132" s="95"/>
      <c r="J132" s="95"/>
      <c r="K132" s="95"/>
      <c r="L132" s="95"/>
      <c r="M132" s="95"/>
      <c r="N132" s="95"/>
      <c r="O132" s="95"/>
      <c r="P132" s="95"/>
      <c r="Q132" s="95"/>
      <c r="R132" s="95"/>
      <c r="S132" s="95"/>
    </row>
    <row r="133" spans="1:19" ht="15" x14ac:dyDescent="0.2">
      <c r="A133" s="126" t="s">
        <v>79</v>
      </c>
      <c r="B133" s="123">
        <v>0</v>
      </c>
      <c r="C133" s="123">
        <v>0</v>
      </c>
      <c r="D133" s="95"/>
      <c r="E133" s="95"/>
      <c r="F133" s="95"/>
      <c r="G133" s="95"/>
      <c r="H133" s="95"/>
      <c r="I133" s="95"/>
      <c r="J133" s="95"/>
      <c r="K133" s="95"/>
      <c r="L133" s="95"/>
      <c r="M133" s="95"/>
      <c r="N133" s="95"/>
      <c r="O133" s="95"/>
      <c r="P133" s="95"/>
      <c r="Q133" s="95"/>
      <c r="R133" s="95"/>
      <c r="S133" s="95"/>
    </row>
    <row r="134" spans="1:19" ht="15" x14ac:dyDescent="0.2">
      <c r="A134" s="126" t="s">
        <v>80</v>
      </c>
      <c r="B134" s="123">
        <v>0</v>
      </c>
      <c r="C134" s="123">
        <v>0</v>
      </c>
      <c r="D134" s="95"/>
      <c r="E134" s="95"/>
      <c r="F134" s="95"/>
      <c r="G134" s="95"/>
      <c r="H134" s="95"/>
      <c r="I134" s="95"/>
      <c r="J134" s="95"/>
      <c r="K134" s="95"/>
      <c r="L134" s="95"/>
      <c r="M134" s="95"/>
      <c r="N134" s="95"/>
      <c r="O134" s="95"/>
      <c r="P134" s="95"/>
      <c r="Q134" s="95"/>
      <c r="R134" s="95"/>
      <c r="S134" s="95"/>
    </row>
    <row r="135" spans="1:19" ht="15" x14ac:dyDescent="0.2">
      <c r="A135" s="126" t="s">
        <v>81</v>
      </c>
      <c r="B135" s="123">
        <v>0</v>
      </c>
      <c r="C135" s="123">
        <v>0</v>
      </c>
      <c r="D135" s="95"/>
      <c r="E135" s="95"/>
      <c r="F135" s="95"/>
      <c r="G135" s="95"/>
      <c r="H135" s="95"/>
      <c r="I135" s="95"/>
      <c r="J135" s="95"/>
      <c r="K135" s="95"/>
      <c r="L135" s="95"/>
      <c r="M135" s="95"/>
      <c r="N135" s="95"/>
      <c r="O135" s="95"/>
      <c r="P135" s="95"/>
      <c r="Q135" s="95"/>
      <c r="R135" s="95"/>
      <c r="S135" s="95"/>
    </row>
    <row r="136" spans="1:19" ht="15" x14ac:dyDescent="0.2">
      <c r="A136" s="126" t="s">
        <v>82</v>
      </c>
      <c r="B136" s="123">
        <v>0</v>
      </c>
      <c r="C136" s="123">
        <v>0</v>
      </c>
      <c r="D136" s="95"/>
      <c r="E136" s="95"/>
      <c r="F136" s="95"/>
      <c r="G136" s="95"/>
      <c r="H136" s="95"/>
      <c r="I136" s="95"/>
      <c r="J136" s="95"/>
      <c r="K136" s="95"/>
      <c r="L136" s="95"/>
      <c r="M136" s="95"/>
      <c r="N136" s="95"/>
      <c r="O136" s="95"/>
      <c r="P136" s="95"/>
      <c r="Q136" s="95"/>
      <c r="R136" s="95"/>
      <c r="S136" s="95"/>
    </row>
    <row r="137" spans="1:19" ht="15" x14ac:dyDescent="0.2">
      <c r="A137" s="126" t="s">
        <v>9</v>
      </c>
      <c r="B137" s="123">
        <v>0</v>
      </c>
      <c r="C137" s="123">
        <v>0</v>
      </c>
      <c r="D137" s="95"/>
      <c r="E137" s="95"/>
      <c r="F137" s="95"/>
      <c r="G137" s="95"/>
      <c r="H137" s="95"/>
      <c r="I137" s="95"/>
      <c r="J137" s="95"/>
      <c r="K137" s="95"/>
      <c r="L137" s="95"/>
      <c r="M137" s="95"/>
      <c r="N137" s="95"/>
      <c r="O137" s="95"/>
      <c r="P137" s="95"/>
      <c r="Q137" s="95"/>
      <c r="R137" s="95"/>
      <c r="S137" s="95"/>
    </row>
    <row r="138" spans="1:19" ht="15" x14ac:dyDescent="0.2">
      <c r="A138" s="126" t="s">
        <v>10</v>
      </c>
      <c r="B138" s="123">
        <v>0</v>
      </c>
      <c r="C138" s="123">
        <v>0</v>
      </c>
      <c r="D138" s="95"/>
      <c r="E138" s="95"/>
      <c r="F138" s="95"/>
      <c r="G138" s="95"/>
      <c r="H138" s="95"/>
      <c r="I138" s="95"/>
      <c r="J138" s="95"/>
      <c r="K138" s="95"/>
      <c r="L138" s="95"/>
      <c r="M138" s="95"/>
      <c r="N138" s="95"/>
      <c r="O138" s="95"/>
      <c r="P138" s="95"/>
      <c r="Q138" s="95"/>
      <c r="R138" s="95"/>
      <c r="S138" s="95"/>
    </row>
    <row r="139" spans="1:19" ht="15" x14ac:dyDescent="0.2">
      <c r="A139" s="126" t="s">
        <v>83</v>
      </c>
      <c r="B139" s="123">
        <v>0</v>
      </c>
      <c r="C139" s="123">
        <v>0</v>
      </c>
      <c r="D139" s="95"/>
      <c r="E139" s="95"/>
      <c r="F139" s="95"/>
      <c r="G139" s="95"/>
      <c r="H139" s="95"/>
      <c r="I139" s="95"/>
      <c r="J139" s="95"/>
      <c r="K139" s="95"/>
      <c r="L139" s="95"/>
      <c r="M139" s="95"/>
      <c r="N139" s="95"/>
      <c r="O139" s="95"/>
      <c r="P139" s="95"/>
      <c r="Q139" s="95"/>
      <c r="R139" s="95"/>
      <c r="S139" s="95"/>
    </row>
    <row r="140" spans="1:19" ht="15" x14ac:dyDescent="0.2">
      <c r="A140" s="126" t="s">
        <v>84</v>
      </c>
      <c r="B140" s="123">
        <v>0</v>
      </c>
      <c r="C140" s="123">
        <v>0</v>
      </c>
      <c r="D140" s="95"/>
      <c r="E140" s="95"/>
      <c r="F140" s="95"/>
      <c r="G140" s="95"/>
      <c r="H140" s="95"/>
      <c r="I140" s="95"/>
      <c r="J140" s="95"/>
      <c r="K140" s="95"/>
      <c r="L140" s="95"/>
      <c r="M140" s="95"/>
      <c r="N140" s="95"/>
      <c r="O140" s="95"/>
      <c r="P140" s="95"/>
      <c r="Q140" s="95"/>
      <c r="R140" s="95"/>
      <c r="S140" s="95"/>
    </row>
    <row r="141" spans="1:19" ht="15" x14ac:dyDescent="0.2">
      <c r="A141" s="126" t="s">
        <v>85</v>
      </c>
      <c r="B141" s="123">
        <v>0</v>
      </c>
      <c r="C141" s="123">
        <v>0</v>
      </c>
      <c r="D141" s="95"/>
      <c r="E141" s="95"/>
      <c r="F141" s="95"/>
      <c r="G141" s="95"/>
      <c r="H141" s="95"/>
      <c r="I141" s="95"/>
      <c r="J141" s="95"/>
      <c r="K141" s="95"/>
      <c r="L141" s="95"/>
      <c r="M141" s="95"/>
      <c r="N141" s="95"/>
      <c r="O141" s="95"/>
      <c r="P141" s="95"/>
      <c r="Q141" s="95"/>
      <c r="R141" s="95"/>
      <c r="S141" s="95"/>
    </row>
    <row r="142" spans="1:19" ht="15" x14ac:dyDescent="0.2">
      <c r="A142" s="126" t="s">
        <v>11</v>
      </c>
      <c r="B142" s="123">
        <v>0</v>
      </c>
      <c r="C142" s="123">
        <v>0</v>
      </c>
      <c r="D142" s="95"/>
      <c r="E142" s="95"/>
      <c r="F142" s="95"/>
      <c r="G142" s="95"/>
      <c r="H142" s="95"/>
      <c r="I142" s="95"/>
      <c r="J142" s="95"/>
      <c r="K142" s="95"/>
      <c r="L142" s="95"/>
      <c r="M142" s="95"/>
      <c r="N142" s="95"/>
      <c r="O142" s="95"/>
      <c r="P142" s="95"/>
      <c r="Q142" s="95"/>
      <c r="R142" s="95"/>
      <c r="S142" s="95"/>
    </row>
    <row r="143" spans="1:19" x14ac:dyDescent="0.2">
      <c r="A143" s="95"/>
      <c r="B143" s="135"/>
      <c r="C143" s="135"/>
      <c r="D143" s="95"/>
      <c r="E143" s="95"/>
      <c r="F143" s="95"/>
      <c r="G143" s="95"/>
      <c r="H143" s="95"/>
      <c r="I143" s="95"/>
      <c r="J143" s="95"/>
      <c r="K143" s="95"/>
      <c r="L143" s="95"/>
      <c r="M143" s="95"/>
      <c r="N143" s="95"/>
      <c r="O143" s="95"/>
      <c r="P143" s="95"/>
      <c r="Q143" s="95"/>
      <c r="R143" s="95"/>
      <c r="S143" s="95"/>
    </row>
    <row r="144" spans="1:19" x14ac:dyDescent="0.2">
      <c r="A144" s="130" t="s">
        <v>125</v>
      </c>
      <c r="B144" s="135"/>
      <c r="C144" s="135"/>
      <c r="D144" s="95"/>
      <c r="E144" s="95"/>
      <c r="F144" s="95"/>
      <c r="G144" s="95"/>
      <c r="H144" s="95"/>
      <c r="I144" s="95"/>
      <c r="J144" s="95"/>
      <c r="K144" s="95"/>
      <c r="L144" s="95"/>
      <c r="M144" s="95"/>
      <c r="N144" s="95"/>
      <c r="O144" s="95"/>
      <c r="P144" s="95"/>
      <c r="Q144" s="95"/>
      <c r="R144" s="95"/>
      <c r="S144" s="95"/>
    </row>
    <row r="145" spans="1:19" x14ac:dyDescent="0.2">
      <c r="A145" s="129" t="s">
        <v>134</v>
      </c>
      <c r="B145" s="141" t="str">
        <f>B128</f>
        <v>MyCounty</v>
      </c>
      <c r="C145" s="136" t="str">
        <f>C128</f>
        <v>MyRegion</v>
      </c>
      <c r="D145" s="95"/>
      <c r="E145" s="95"/>
      <c r="F145" s="95"/>
      <c r="G145" s="95"/>
      <c r="H145" s="95"/>
      <c r="I145" s="95"/>
      <c r="J145" s="95"/>
      <c r="K145" s="95"/>
      <c r="L145" s="95"/>
      <c r="M145" s="95"/>
      <c r="N145" s="95"/>
      <c r="O145" s="95"/>
      <c r="P145" s="95"/>
      <c r="Q145" s="95"/>
      <c r="R145" s="95"/>
      <c r="S145" s="95"/>
    </row>
    <row r="146" spans="1:19" ht="15" x14ac:dyDescent="0.2">
      <c r="A146" s="126" t="s">
        <v>7</v>
      </c>
      <c r="B146" s="123">
        <v>0</v>
      </c>
      <c r="C146" s="123">
        <v>0</v>
      </c>
      <c r="D146" s="95"/>
      <c r="E146" s="95"/>
      <c r="F146" s="95"/>
      <c r="G146" s="95"/>
      <c r="H146" s="95"/>
      <c r="I146" s="95"/>
      <c r="J146" s="95"/>
      <c r="K146" s="95"/>
      <c r="L146" s="95"/>
      <c r="M146" s="95"/>
      <c r="N146" s="95"/>
      <c r="O146" s="95"/>
      <c r="P146" s="95"/>
      <c r="Q146" s="95"/>
      <c r="R146" s="95"/>
      <c r="S146" s="95"/>
    </row>
    <row r="147" spans="1:19" ht="15" x14ac:dyDescent="0.2">
      <c r="A147" s="126" t="s">
        <v>77</v>
      </c>
      <c r="B147" s="123">
        <v>0</v>
      </c>
      <c r="C147" s="123">
        <v>0</v>
      </c>
      <c r="D147" s="95"/>
      <c r="E147" s="95"/>
      <c r="F147" s="95"/>
      <c r="G147" s="95"/>
      <c r="H147" s="95"/>
      <c r="I147" s="95"/>
      <c r="J147" s="95"/>
      <c r="K147" s="95"/>
      <c r="L147" s="95"/>
      <c r="M147" s="95"/>
      <c r="N147" s="95"/>
      <c r="O147" s="95"/>
      <c r="P147" s="95"/>
      <c r="Q147" s="95"/>
      <c r="R147" s="95"/>
      <c r="S147" s="95"/>
    </row>
    <row r="148" spans="1:19" ht="15" x14ac:dyDescent="0.2">
      <c r="A148" s="126" t="s">
        <v>8</v>
      </c>
      <c r="B148" s="123">
        <v>0</v>
      </c>
      <c r="C148" s="123">
        <v>0</v>
      </c>
      <c r="D148" s="95"/>
      <c r="E148" s="95"/>
      <c r="F148" s="95"/>
      <c r="G148" s="95"/>
      <c r="H148" s="95"/>
      <c r="I148" s="95"/>
      <c r="J148" s="95"/>
      <c r="K148" s="95"/>
      <c r="L148" s="95"/>
      <c r="M148" s="95"/>
      <c r="N148" s="95"/>
      <c r="O148" s="95"/>
      <c r="P148" s="95"/>
      <c r="Q148" s="95"/>
      <c r="R148" s="95"/>
      <c r="S148" s="95"/>
    </row>
    <row r="149" spans="1:19" ht="15" x14ac:dyDescent="0.2">
      <c r="A149" s="126" t="s">
        <v>78</v>
      </c>
      <c r="B149" s="123">
        <v>0</v>
      </c>
      <c r="C149" s="123">
        <v>0</v>
      </c>
      <c r="D149" s="95"/>
      <c r="E149" s="95"/>
      <c r="F149" s="95"/>
      <c r="G149" s="95"/>
      <c r="H149" s="95"/>
      <c r="I149" s="95"/>
      <c r="J149" s="95"/>
      <c r="K149" s="95"/>
      <c r="L149" s="95"/>
      <c r="M149" s="95"/>
      <c r="N149" s="95"/>
      <c r="O149" s="95"/>
      <c r="P149" s="95"/>
      <c r="Q149" s="95"/>
      <c r="R149" s="95"/>
      <c r="S149" s="95"/>
    </row>
    <row r="150" spans="1:19" ht="15" x14ac:dyDescent="0.2">
      <c r="A150" s="126" t="s">
        <v>79</v>
      </c>
      <c r="B150" s="123">
        <v>0</v>
      </c>
      <c r="C150" s="123">
        <v>0</v>
      </c>
      <c r="D150" s="95"/>
      <c r="E150" s="95"/>
      <c r="F150" s="95"/>
      <c r="G150" s="95"/>
      <c r="H150" s="95"/>
      <c r="I150" s="95"/>
      <c r="J150" s="95"/>
      <c r="K150" s="95"/>
      <c r="L150" s="95"/>
      <c r="M150" s="95"/>
      <c r="N150" s="95"/>
      <c r="O150" s="95"/>
      <c r="P150" s="95"/>
      <c r="Q150" s="95"/>
      <c r="R150" s="95"/>
      <c r="S150" s="95"/>
    </row>
    <row r="151" spans="1:19" ht="15" x14ac:dyDescent="0.2">
      <c r="A151" s="126" t="s">
        <v>80</v>
      </c>
      <c r="B151" s="123">
        <v>0</v>
      </c>
      <c r="C151" s="123">
        <v>0</v>
      </c>
      <c r="D151" s="95"/>
      <c r="E151" s="95"/>
      <c r="F151" s="95"/>
      <c r="G151" s="95"/>
      <c r="H151" s="95"/>
      <c r="I151" s="95"/>
      <c r="J151" s="95"/>
      <c r="K151" s="95"/>
      <c r="L151" s="95"/>
      <c r="M151" s="95"/>
      <c r="N151" s="95"/>
      <c r="O151" s="95"/>
      <c r="P151" s="95"/>
      <c r="Q151" s="95"/>
      <c r="R151" s="95"/>
      <c r="S151" s="95"/>
    </row>
    <row r="152" spans="1:19" ht="15" x14ac:dyDescent="0.2">
      <c r="A152" s="126" t="s">
        <v>81</v>
      </c>
      <c r="B152" s="123">
        <v>0</v>
      </c>
      <c r="C152" s="123">
        <v>0</v>
      </c>
      <c r="D152" s="95"/>
      <c r="E152" s="95"/>
      <c r="F152" s="95"/>
      <c r="G152" s="95"/>
      <c r="H152" s="95"/>
      <c r="I152" s="95"/>
      <c r="J152" s="95"/>
      <c r="K152" s="95"/>
      <c r="L152" s="95"/>
      <c r="M152" s="95"/>
      <c r="N152" s="95"/>
      <c r="O152" s="95"/>
      <c r="P152" s="95"/>
      <c r="Q152" s="95"/>
      <c r="R152" s="95"/>
      <c r="S152" s="95"/>
    </row>
    <row r="153" spans="1:19" ht="15" x14ac:dyDescent="0.2">
      <c r="A153" s="126" t="s">
        <v>82</v>
      </c>
      <c r="B153" s="123">
        <v>0</v>
      </c>
      <c r="C153" s="123">
        <v>0</v>
      </c>
      <c r="D153" s="95"/>
      <c r="E153" s="95"/>
      <c r="F153" s="95"/>
      <c r="G153" s="95"/>
      <c r="H153" s="95"/>
      <c r="I153" s="95"/>
      <c r="J153" s="95"/>
      <c r="K153" s="95"/>
      <c r="L153" s="95"/>
      <c r="M153" s="95"/>
      <c r="N153" s="95"/>
      <c r="O153" s="95"/>
      <c r="P153" s="95"/>
      <c r="Q153" s="95"/>
      <c r="R153" s="95"/>
      <c r="S153" s="95"/>
    </row>
    <row r="154" spans="1:19" ht="15" x14ac:dyDescent="0.2">
      <c r="A154" s="126" t="s">
        <v>9</v>
      </c>
      <c r="B154" s="123">
        <v>0</v>
      </c>
      <c r="C154" s="123">
        <v>0</v>
      </c>
      <c r="D154" s="95"/>
      <c r="E154" s="95"/>
      <c r="F154" s="95"/>
      <c r="G154" s="95"/>
      <c r="H154" s="95"/>
      <c r="I154" s="95"/>
      <c r="J154" s="95"/>
      <c r="K154" s="95"/>
      <c r="L154" s="95"/>
      <c r="M154" s="95"/>
      <c r="N154" s="95"/>
      <c r="O154" s="95"/>
      <c r="P154" s="95"/>
      <c r="Q154" s="95"/>
      <c r="R154" s="95"/>
      <c r="S154" s="95"/>
    </row>
    <row r="155" spans="1:19" ht="15" x14ac:dyDescent="0.2">
      <c r="A155" s="126" t="s">
        <v>10</v>
      </c>
      <c r="B155" s="123">
        <v>0</v>
      </c>
      <c r="C155" s="123">
        <v>0</v>
      </c>
      <c r="D155" s="95"/>
      <c r="E155" s="95"/>
      <c r="F155" s="95"/>
      <c r="G155" s="95"/>
      <c r="H155" s="95"/>
      <c r="I155" s="95"/>
      <c r="J155" s="95"/>
      <c r="K155" s="95"/>
      <c r="L155" s="95"/>
      <c r="M155" s="95"/>
      <c r="N155" s="95"/>
      <c r="O155" s="95"/>
      <c r="P155" s="95"/>
      <c r="Q155" s="95"/>
      <c r="R155" s="95"/>
      <c r="S155" s="95"/>
    </row>
    <row r="156" spans="1:19" ht="15" x14ac:dyDescent="0.2">
      <c r="A156" s="126" t="s">
        <v>83</v>
      </c>
      <c r="B156" s="123">
        <v>0</v>
      </c>
      <c r="C156" s="123">
        <v>0</v>
      </c>
      <c r="D156" s="95"/>
      <c r="E156" s="95"/>
      <c r="F156" s="95"/>
      <c r="G156" s="95"/>
      <c r="H156" s="95"/>
      <c r="I156" s="95"/>
      <c r="J156" s="95"/>
      <c r="K156" s="95"/>
      <c r="L156" s="95"/>
      <c r="M156" s="95"/>
      <c r="N156" s="95"/>
      <c r="O156" s="95"/>
      <c r="P156" s="95"/>
      <c r="Q156" s="95"/>
      <c r="R156" s="95"/>
      <c r="S156" s="95"/>
    </row>
    <row r="157" spans="1:19" ht="15" x14ac:dyDescent="0.2">
      <c r="A157" s="126" t="s">
        <v>84</v>
      </c>
      <c r="B157" s="123">
        <v>0</v>
      </c>
      <c r="C157" s="123">
        <v>0</v>
      </c>
      <c r="D157" s="95"/>
      <c r="E157" s="95"/>
      <c r="F157" s="95"/>
      <c r="G157" s="95"/>
      <c r="H157" s="95"/>
      <c r="I157" s="95"/>
      <c r="J157" s="95"/>
      <c r="K157" s="95"/>
      <c r="L157" s="95"/>
      <c r="M157" s="95"/>
      <c r="N157" s="95"/>
      <c r="O157" s="95"/>
      <c r="P157" s="95"/>
      <c r="Q157" s="95"/>
      <c r="R157" s="95"/>
      <c r="S157" s="95"/>
    </row>
    <row r="158" spans="1:19" ht="15" x14ac:dyDescent="0.2">
      <c r="A158" s="126" t="s">
        <v>85</v>
      </c>
      <c r="B158" s="123">
        <v>0</v>
      </c>
      <c r="C158" s="123">
        <v>0</v>
      </c>
      <c r="D158" s="95"/>
      <c r="E158" s="95"/>
      <c r="F158" s="95"/>
      <c r="G158" s="95"/>
      <c r="H158" s="95"/>
      <c r="I158" s="95"/>
      <c r="J158" s="95"/>
      <c r="K158" s="95"/>
      <c r="L158" s="95"/>
      <c r="M158" s="95"/>
      <c r="N158" s="95"/>
      <c r="O158" s="95"/>
      <c r="P158" s="95"/>
      <c r="Q158" s="95"/>
      <c r="R158" s="95"/>
      <c r="S158" s="95"/>
    </row>
    <row r="159" spans="1:19" ht="15" x14ac:dyDescent="0.2">
      <c r="A159" s="126" t="s">
        <v>11</v>
      </c>
      <c r="B159" s="123">
        <v>0</v>
      </c>
      <c r="C159" s="123">
        <v>0</v>
      </c>
      <c r="D159" s="95"/>
      <c r="E159" s="95"/>
      <c r="F159" s="95"/>
      <c r="G159" s="95"/>
      <c r="H159" s="95"/>
      <c r="I159" s="95"/>
      <c r="J159" s="95"/>
      <c r="K159" s="95"/>
      <c r="L159" s="95"/>
      <c r="M159" s="95"/>
      <c r="N159" s="95"/>
      <c r="O159" s="95"/>
      <c r="P159" s="95"/>
      <c r="Q159" s="95"/>
      <c r="R159" s="95"/>
      <c r="S159" s="95"/>
    </row>
    <row r="160" spans="1:19" x14ac:dyDescent="0.2">
      <c r="A160" s="95"/>
      <c r="B160" s="95"/>
      <c r="C160" s="95"/>
      <c r="D160" s="95"/>
      <c r="E160" s="95"/>
      <c r="F160" s="95"/>
      <c r="G160" s="95"/>
      <c r="H160" s="95"/>
      <c r="I160" s="95"/>
      <c r="J160" s="95"/>
      <c r="K160" s="95"/>
      <c r="L160" s="95"/>
      <c r="M160" s="95"/>
      <c r="N160" s="95"/>
      <c r="O160" s="95"/>
      <c r="P160" s="95"/>
      <c r="Q160" s="95"/>
      <c r="R160" s="95"/>
      <c r="S160" s="95"/>
    </row>
    <row r="161" spans="1:19" x14ac:dyDescent="0.2">
      <c r="A161" s="708" t="s">
        <v>632</v>
      </c>
      <c r="B161" s="709"/>
      <c r="C161" s="709"/>
      <c r="D161" s="95"/>
      <c r="E161" s="95"/>
      <c r="F161" s="95"/>
      <c r="G161" s="95"/>
      <c r="H161" s="95"/>
      <c r="I161" s="95"/>
      <c r="J161" s="95"/>
      <c r="K161" s="95"/>
      <c r="L161" s="95"/>
      <c r="M161" s="95"/>
      <c r="N161" s="95"/>
      <c r="O161" s="95"/>
      <c r="P161" s="95"/>
      <c r="Q161" s="95"/>
      <c r="R161" s="95"/>
      <c r="S161" s="95"/>
    </row>
    <row r="162" spans="1:19" x14ac:dyDescent="0.2">
      <c r="A162" s="710" t="s">
        <v>648</v>
      </c>
      <c r="B162" s="711" t="s">
        <v>151</v>
      </c>
      <c r="C162" s="711" t="s">
        <v>150</v>
      </c>
      <c r="D162" s="95"/>
      <c r="E162" s="95"/>
      <c r="F162" s="95"/>
      <c r="G162" s="95"/>
      <c r="H162" s="95"/>
      <c r="I162" s="95"/>
      <c r="J162" s="95"/>
      <c r="K162" s="95"/>
      <c r="L162" s="95"/>
      <c r="M162" s="95"/>
      <c r="N162" s="95"/>
      <c r="O162" s="95"/>
      <c r="P162" s="95"/>
      <c r="Q162" s="95"/>
      <c r="R162" s="95"/>
      <c r="S162" s="95"/>
    </row>
    <row r="163" spans="1:19" ht="15" x14ac:dyDescent="0.2">
      <c r="A163" s="712" t="s">
        <v>7</v>
      </c>
      <c r="B163" s="713">
        <v>0</v>
      </c>
      <c r="C163" s="713">
        <v>0</v>
      </c>
      <c r="D163" s="95"/>
      <c r="E163" s="95"/>
      <c r="F163" s="95"/>
      <c r="G163" s="95"/>
      <c r="H163" s="95"/>
      <c r="I163" s="95"/>
      <c r="J163" s="95"/>
      <c r="K163" s="95"/>
      <c r="L163" s="95"/>
      <c r="M163" s="95"/>
      <c r="N163" s="95"/>
      <c r="O163" s="95"/>
      <c r="P163" s="95"/>
      <c r="Q163" s="95"/>
      <c r="R163" s="95"/>
      <c r="S163" s="95"/>
    </row>
    <row r="164" spans="1:19" ht="15" x14ac:dyDescent="0.2">
      <c r="A164" s="712" t="s">
        <v>77</v>
      </c>
      <c r="B164" s="713">
        <v>0</v>
      </c>
      <c r="C164" s="713">
        <v>0</v>
      </c>
      <c r="D164" s="95"/>
      <c r="E164" s="95"/>
      <c r="F164" s="95"/>
      <c r="G164" s="95"/>
      <c r="H164" s="95"/>
      <c r="I164" s="95"/>
      <c r="J164" s="95"/>
      <c r="K164" s="95"/>
      <c r="L164" s="95"/>
      <c r="M164" s="95"/>
      <c r="N164" s="95"/>
      <c r="O164" s="95"/>
      <c r="P164" s="95"/>
      <c r="Q164" s="95"/>
      <c r="R164" s="95"/>
      <c r="S164" s="95"/>
    </row>
    <row r="165" spans="1:19" ht="15" x14ac:dyDescent="0.2">
      <c r="A165" s="712" t="s">
        <v>8</v>
      </c>
      <c r="B165" s="713">
        <v>0</v>
      </c>
      <c r="C165" s="713">
        <v>0</v>
      </c>
      <c r="D165" s="95"/>
      <c r="E165" s="95"/>
      <c r="F165" s="95"/>
      <c r="G165" s="95"/>
      <c r="H165" s="95"/>
      <c r="I165" s="95"/>
      <c r="J165" s="95"/>
      <c r="K165" s="95"/>
      <c r="L165" s="95"/>
      <c r="M165" s="95"/>
      <c r="N165" s="95"/>
      <c r="O165" s="95"/>
      <c r="P165" s="95"/>
      <c r="Q165" s="95"/>
      <c r="R165" s="95"/>
      <c r="S165" s="95"/>
    </row>
    <row r="166" spans="1:19" ht="15" x14ac:dyDescent="0.2">
      <c r="A166" s="712" t="s">
        <v>78</v>
      </c>
      <c r="B166" s="713">
        <v>0</v>
      </c>
      <c r="C166" s="713">
        <v>0</v>
      </c>
      <c r="D166" s="95"/>
      <c r="E166" s="95"/>
      <c r="F166" s="95"/>
      <c r="G166" s="95"/>
      <c r="H166" s="95"/>
      <c r="I166" s="95"/>
      <c r="J166" s="95"/>
      <c r="K166" s="95"/>
      <c r="L166" s="95"/>
      <c r="M166" s="95"/>
      <c r="N166" s="95"/>
      <c r="O166" s="95"/>
      <c r="P166" s="95"/>
      <c r="Q166" s="95"/>
      <c r="R166" s="95"/>
      <c r="S166" s="95"/>
    </row>
    <row r="167" spans="1:19" ht="15" x14ac:dyDescent="0.2">
      <c r="A167" s="712" t="s">
        <v>79</v>
      </c>
      <c r="B167" s="713">
        <v>0</v>
      </c>
      <c r="C167" s="713">
        <v>0</v>
      </c>
      <c r="D167" s="95"/>
      <c r="E167" s="95"/>
      <c r="F167" s="95"/>
      <c r="G167" s="95"/>
      <c r="H167" s="95"/>
      <c r="I167" s="95"/>
      <c r="J167" s="95"/>
      <c r="K167" s="95"/>
      <c r="L167" s="95"/>
      <c r="M167" s="95"/>
      <c r="N167" s="95"/>
      <c r="O167" s="95"/>
      <c r="P167" s="95"/>
      <c r="Q167" s="95"/>
      <c r="R167" s="95"/>
      <c r="S167" s="95"/>
    </row>
    <row r="168" spans="1:19" ht="15" x14ac:dyDescent="0.2">
      <c r="A168" s="712" t="s">
        <v>80</v>
      </c>
      <c r="B168" s="713">
        <v>0</v>
      </c>
      <c r="C168" s="713">
        <v>0</v>
      </c>
      <c r="D168" s="95"/>
      <c r="E168" s="95"/>
      <c r="F168" s="95"/>
      <c r="G168" s="95"/>
      <c r="H168" s="95"/>
      <c r="I168" s="95"/>
      <c r="J168" s="95"/>
      <c r="K168" s="95"/>
      <c r="L168" s="95"/>
      <c r="M168" s="95"/>
      <c r="N168" s="95"/>
      <c r="O168" s="95"/>
      <c r="P168" s="95"/>
      <c r="Q168" s="95"/>
      <c r="R168" s="95"/>
      <c r="S168" s="95"/>
    </row>
    <row r="169" spans="1:19" ht="15" x14ac:dyDescent="0.2">
      <c r="A169" s="712" t="s">
        <v>81</v>
      </c>
      <c r="B169" s="713">
        <v>0</v>
      </c>
      <c r="C169" s="713">
        <v>0</v>
      </c>
      <c r="D169" s="95"/>
      <c r="E169" s="95"/>
      <c r="F169" s="95"/>
      <c r="G169" s="95"/>
      <c r="H169" s="95"/>
      <c r="I169" s="95"/>
      <c r="J169" s="95"/>
      <c r="K169" s="95"/>
      <c r="L169" s="95"/>
      <c r="M169" s="95"/>
      <c r="N169" s="95"/>
      <c r="O169" s="95"/>
      <c r="P169" s="95"/>
      <c r="Q169" s="95"/>
      <c r="R169" s="95"/>
      <c r="S169" s="95"/>
    </row>
    <row r="170" spans="1:19" ht="15" x14ac:dyDescent="0.2">
      <c r="A170" s="712" t="s">
        <v>82</v>
      </c>
      <c r="B170" s="713">
        <v>0</v>
      </c>
      <c r="C170" s="713">
        <v>0</v>
      </c>
      <c r="D170" s="95"/>
      <c r="E170" s="95"/>
      <c r="F170" s="95"/>
      <c r="G170" s="95"/>
      <c r="H170" s="95"/>
      <c r="I170" s="95"/>
      <c r="J170" s="95"/>
      <c r="K170" s="95"/>
      <c r="L170" s="95"/>
      <c r="M170" s="95"/>
      <c r="N170" s="95"/>
      <c r="O170" s="95"/>
      <c r="P170" s="95"/>
      <c r="Q170" s="95"/>
      <c r="R170" s="95"/>
      <c r="S170" s="95"/>
    </row>
    <row r="171" spans="1:19" ht="15" x14ac:dyDescent="0.2">
      <c r="A171" s="712" t="s">
        <v>9</v>
      </c>
      <c r="B171" s="713">
        <v>0</v>
      </c>
      <c r="C171" s="713">
        <v>0</v>
      </c>
      <c r="D171" s="95"/>
      <c r="E171" s="95"/>
      <c r="F171" s="95"/>
      <c r="G171" s="95"/>
      <c r="H171" s="95"/>
      <c r="I171" s="95"/>
      <c r="J171" s="95"/>
      <c r="K171" s="95"/>
      <c r="L171" s="95"/>
      <c r="M171" s="95"/>
      <c r="N171" s="95"/>
      <c r="O171" s="95"/>
      <c r="P171" s="95"/>
      <c r="Q171" s="95"/>
      <c r="R171" s="95"/>
      <c r="S171" s="95"/>
    </row>
    <row r="172" spans="1:19" ht="15" x14ac:dyDescent="0.2">
      <c r="A172" s="712" t="s">
        <v>10</v>
      </c>
      <c r="B172" s="713">
        <v>0</v>
      </c>
      <c r="C172" s="713">
        <v>0</v>
      </c>
      <c r="D172" s="95"/>
      <c r="E172" s="95"/>
      <c r="F172" s="95"/>
      <c r="G172" s="95"/>
      <c r="H172" s="95"/>
      <c r="I172" s="95"/>
      <c r="J172" s="95"/>
      <c r="K172" s="95"/>
      <c r="L172" s="95"/>
      <c r="M172" s="95"/>
      <c r="N172" s="95"/>
      <c r="O172" s="95"/>
      <c r="P172" s="95"/>
      <c r="Q172" s="95"/>
      <c r="R172" s="95"/>
      <c r="S172" s="95"/>
    </row>
    <row r="173" spans="1:19" ht="15" x14ac:dyDescent="0.2">
      <c r="A173" s="712" t="s">
        <v>83</v>
      </c>
      <c r="B173" s="713">
        <v>0</v>
      </c>
      <c r="C173" s="713">
        <v>0</v>
      </c>
      <c r="D173" s="95"/>
      <c r="E173" s="95"/>
      <c r="F173" s="95"/>
      <c r="G173" s="95"/>
      <c r="H173" s="95"/>
      <c r="I173" s="95"/>
      <c r="J173" s="95"/>
      <c r="K173" s="95"/>
      <c r="L173" s="95"/>
      <c r="M173" s="95"/>
      <c r="N173" s="95"/>
      <c r="O173" s="95"/>
      <c r="P173" s="95"/>
      <c r="Q173" s="95"/>
      <c r="R173" s="95"/>
      <c r="S173" s="95"/>
    </row>
    <row r="174" spans="1:19" ht="15" x14ac:dyDescent="0.2">
      <c r="A174" s="712" t="s">
        <v>84</v>
      </c>
      <c r="B174" s="713">
        <v>0</v>
      </c>
      <c r="C174" s="713">
        <v>0</v>
      </c>
      <c r="D174" s="95"/>
      <c r="E174" s="95"/>
      <c r="F174" s="95"/>
      <c r="G174" s="95"/>
      <c r="H174" s="95"/>
      <c r="I174" s="95"/>
      <c r="J174" s="95"/>
      <c r="K174" s="95"/>
      <c r="L174" s="95"/>
      <c r="M174" s="95"/>
      <c r="N174" s="95"/>
      <c r="O174" s="95"/>
      <c r="P174" s="95"/>
      <c r="Q174" s="95"/>
      <c r="R174" s="95"/>
      <c r="S174" s="95"/>
    </row>
    <row r="175" spans="1:19" ht="15" x14ac:dyDescent="0.2">
      <c r="A175" s="712" t="s">
        <v>85</v>
      </c>
      <c r="B175" s="713">
        <v>0</v>
      </c>
      <c r="C175" s="713">
        <v>0</v>
      </c>
      <c r="D175" s="95"/>
      <c r="E175" s="95"/>
      <c r="F175" s="95"/>
      <c r="G175" s="95"/>
      <c r="H175" s="95"/>
      <c r="I175" s="95"/>
      <c r="J175" s="95"/>
      <c r="K175" s="95"/>
      <c r="L175" s="95"/>
      <c r="M175" s="95"/>
      <c r="N175" s="95"/>
      <c r="O175" s="95"/>
      <c r="P175" s="95"/>
      <c r="Q175" s="95"/>
      <c r="R175" s="95"/>
      <c r="S175" s="95"/>
    </row>
    <row r="176" spans="1:19" ht="15" x14ac:dyDescent="0.2">
      <c r="A176" s="712" t="s">
        <v>11</v>
      </c>
      <c r="B176" s="713">
        <v>0</v>
      </c>
      <c r="C176" s="713">
        <v>0</v>
      </c>
      <c r="D176" s="95"/>
      <c r="E176" s="95"/>
      <c r="F176" s="95"/>
      <c r="G176" s="95"/>
      <c r="H176" s="95"/>
      <c r="I176" s="95"/>
      <c r="J176" s="95"/>
      <c r="K176" s="95"/>
      <c r="L176" s="95"/>
      <c r="M176" s="95"/>
      <c r="N176" s="95"/>
      <c r="O176" s="95"/>
      <c r="P176" s="95"/>
      <c r="Q176" s="95"/>
      <c r="R176" s="95"/>
      <c r="S176" s="95"/>
    </row>
    <row r="177" spans="1:19" ht="15" x14ac:dyDescent="0.2">
      <c r="A177" s="712"/>
      <c r="B177" s="709"/>
      <c r="C177" s="709"/>
      <c r="D177" s="95"/>
      <c r="E177" s="95"/>
      <c r="F177" s="95"/>
      <c r="G177" s="95"/>
      <c r="H177" s="95"/>
      <c r="I177" s="95"/>
      <c r="J177" s="95"/>
      <c r="K177" s="95"/>
      <c r="L177" s="95"/>
      <c r="M177" s="95"/>
      <c r="N177" s="95"/>
      <c r="O177" s="95"/>
      <c r="P177" s="95"/>
      <c r="Q177" s="95"/>
      <c r="R177" s="95"/>
      <c r="S177" s="95"/>
    </row>
    <row r="178" spans="1:19" x14ac:dyDescent="0.2">
      <c r="A178" s="708" t="s">
        <v>632</v>
      </c>
      <c r="B178" s="709"/>
      <c r="C178" s="709"/>
      <c r="D178" s="95"/>
      <c r="E178" s="95"/>
      <c r="F178" s="95"/>
      <c r="G178" s="95"/>
      <c r="H178" s="95"/>
      <c r="I178" s="95"/>
      <c r="J178" s="95"/>
      <c r="K178" s="95"/>
      <c r="L178" s="95"/>
      <c r="M178" s="95"/>
      <c r="N178" s="95"/>
      <c r="O178" s="95"/>
      <c r="P178" s="95"/>
      <c r="Q178" s="95"/>
      <c r="R178" s="95"/>
      <c r="S178" s="95"/>
    </row>
    <row r="179" spans="1:19" x14ac:dyDescent="0.2">
      <c r="A179" s="710" t="s">
        <v>649</v>
      </c>
      <c r="B179" s="711" t="s">
        <v>151</v>
      </c>
      <c r="C179" s="711" t="s">
        <v>150</v>
      </c>
      <c r="D179" s="95"/>
      <c r="E179" s="95"/>
      <c r="F179" s="95"/>
      <c r="G179" s="95"/>
      <c r="H179" s="95"/>
      <c r="I179" s="95"/>
      <c r="J179" s="95"/>
      <c r="K179" s="95"/>
      <c r="L179" s="95"/>
      <c r="M179" s="95"/>
      <c r="N179" s="95"/>
      <c r="O179" s="95"/>
      <c r="P179" s="95"/>
      <c r="Q179" s="95"/>
      <c r="R179" s="95"/>
      <c r="S179" s="95"/>
    </row>
    <row r="180" spans="1:19" ht="15" x14ac:dyDescent="0.2">
      <c r="A180" s="712" t="s">
        <v>7</v>
      </c>
      <c r="B180" s="713">
        <v>0</v>
      </c>
      <c r="C180" s="713">
        <v>0</v>
      </c>
      <c r="D180" s="95"/>
      <c r="E180" s="95"/>
      <c r="F180" s="95"/>
      <c r="G180" s="95"/>
      <c r="H180" s="95"/>
      <c r="I180" s="95"/>
      <c r="J180" s="95"/>
      <c r="K180" s="95"/>
      <c r="L180" s="95"/>
      <c r="M180" s="95"/>
      <c r="N180" s="95"/>
      <c r="O180" s="95"/>
      <c r="P180" s="95"/>
      <c r="Q180" s="95"/>
      <c r="R180" s="95"/>
      <c r="S180" s="95"/>
    </row>
    <row r="181" spans="1:19" ht="15" x14ac:dyDescent="0.2">
      <c r="A181" s="712" t="s">
        <v>77</v>
      </c>
      <c r="B181" s="713">
        <v>0</v>
      </c>
      <c r="C181" s="713">
        <v>0</v>
      </c>
      <c r="D181" s="95"/>
      <c r="E181" s="95"/>
      <c r="F181" s="95"/>
      <c r="G181" s="95"/>
      <c r="H181" s="95"/>
      <c r="I181" s="95"/>
      <c r="J181" s="95"/>
      <c r="K181" s="95"/>
      <c r="L181" s="95"/>
      <c r="M181" s="95"/>
      <c r="N181" s="95"/>
      <c r="O181" s="95"/>
      <c r="P181" s="95"/>
      <c r="Q181" s="95"/>
      <c r="R181" s="95"/>
      <c r="S181" s="95"/>
    </row>
    <row r="182" spans="1:19" ht="15" x14ac:dyDescent="0.2">
      <c r="A182" s="712" t="s">
        <v>8</v>
      </c>
      <c r="B182" s="713">
        <v>0</v>
      </c>
      <c r="C182" s="713">
        <v>0</v>
      </c>
      <c r="D182" s="95"/>
      <c r="E182" s="95"/>
      <c r="F182" s="95"/>
      <c r="G182" s="95"/>
      <c r="H182" s="95"/>
      <c r="I182" s="95"/>
      <c r="J182" s="95"/>
      <c r="K182" s="95"/>
      <c r="L182" s="95"/>
      <c r="M182" s="95"/>
      <c r="N182" s="95"/>
      <c r="O182" s="95"/>
      <c r="P182" s="95"/>
      <c r="Q182" s="95"/>
      <c r="R182" s="95"/>
      <c r="S182" s="95"/>
    </row>
    <row r="183" spans="1:19" ht="15" x14ac:dyDescent="0.2">
      <c r="A183" s="712" t="s">
        <v>78</v>
      </c>
      <c r="B183" s="713">
        <v>0</v>
      </c>
      <c r="C183" s="713">
        <v>0</v>
      </c>
      <c r="D183" s="95"/>
      <c r="E183" s="95"/>
      <c r="F183" s="95"/>
      <c r="G183" s="95"/>
      <c r="H183" s="95"/>
      <c r="I183" s="95"/>
      <c r="J183" s="95"/>
      <c r="K183" s="95"/>
      <c r="L183" s="95"/>
      <c r="M183" s="95"/>
      <c r="N183" s="95"/>
      <c r="O183" s="95"/>
      <c r="P183" s="95"/>
      <c r="Q183" s="95"/>
      <c r="R183" s="95"/>
      <c r="S183" s="95"/>
    </row>
    <row r="184" spans="1:19" ht="15" x14ac:dyDescent="0.2">
      <c r="A184" s="712" t="s">
        <v>79</v>
      </c>
      <c r="B184" s="713">
        <v>0</v>
      </c>
      <c r="C184" s="713">
        <v>0</v>
      </c>
      <c r="D184" s="95"/>
      <c r="E184" s="95"/>
      <c r="F184" s="95"/>
      <c r="G184" s="95"/>
      <c r="H184" s="95"/>
      <c r="I184" s="95"/>
      <c r="J184" s="95"/>
      <c r="K184" s="95"/>
      <c r="L184" s="95"/>
      <c r="M184" s="95"/>
      <c r="N184" s="95"/>
      <c r="O184" s="95"/>
      <c r="P184" s="95"/>
      <c r="Q184" s="95"/>
      <c r="R184" s="95"/>
      <c r="S184" s="95"/>
    </row>
    <row r="185" spans="1:19" ht="15" x14ac:dyDescent="0.2">
      <c r="A185" s="712" t="s">
        <v>80</v>
      </c>
      <c r="B185" s="713">
        <v>0</v>
      </c>
      <c r="C185" s="713">
        <v>0</v>
      </c>
      <c r="D185" s="95"/>
      <c r="E185" s="95"/>
      <c r="F185" s="95"/>
      <c r="G185" s="95"/>
      <c r="H185" s="95"/>
      <c r="I185" s="95"/>
      <c r="J185" s="95"/>
      <c r="K185" s="95"/>
      <c r="L185" s="95"/>
      <c r="M185" s="95"/>
      <c r="N185" s="95"/>
      <c r="O185" s="95"/>
      <c r="P185" s="95"/>
      <c r="Q185" s="95"/>
      <c r="R185" s="95"/>
      <c r="S185" s="95"/>
    </row>
    <row r="186" spans="1:19" ht="15" x14ac:dyDescent="0.2">
      <c r="A186" s="712" t="s">
        <v>81</v>
      </c>
      <c r="B186" s="713">
        <v>0</v>
      </c>
      <c r="C186" s="713">
        <v>0</v>
      </c>
      <c r="D186" s="95"/>
      <c r="E186" s="95"/>
      <c r="F186" s="95"/>
      <c r="G186" s="95"/>
      <c r="H186" s="95"/>
      <c r="I186" s="95"/>
      <c r="J186" s="95"/>
      <c r="K186" s="95"/>
      <c r="L186" s="95"/>
      <c r="M186" s="95"/>
      <c r="N186" s="95"/>
      <c r="O186" s="95"/>
      <c r="P186" s="95"/>
      <c r="Q186" s="95"/>
      <c r="R186" s="95"/>
      <c r="S186" s="95"/>
    </row>
    <row r="187" spans="1:19" ht="15" x14ac:dyDescent="0.2">
      <c r="A187" s="712" t="s">
        <v>82</v>
      </c>
      <c r="B187" s="713">
        <v>0</v>
      </c>
      <c r="C187" s="713">
        <v>0</v>
      </c>
      <c r="D187" s="95"/>
      <c r="E187" s="95"/>
      <c r="F187" s="95"/>
      <c r="G187" s="95"/>
      <c r="H187" s="95"/>
      <c r="I187" s="95"/>
      <c r="J187" s="95"/>
      <c r="K187" s="95"/>
      <c r="L187" s="95"/>
      <c r="M187" s="95"/>
      <c r="N187" s="95"/>
      <c r="O187" s="95"/>
      <c r="P187" s="95"/>
      <c r="Q187" s="95"/>
      <c r="R187" s="95"/>
      <c r="S187" s="95"/>
    </row>
    <row r="188" spans="1:19" ht="15" x14ac:dyDescent="0.2">
      <c r="A188" s="712" t="s">
        <v>9</v>
      </c>
      <c r="B188" s="713">
        <v>0</v>
      </c>
      <c r="C188" s="713">
        <v>0</v>
      </c>
      <c r="D188" s="95"/>
      <c r="E188" s="95"/>
      <c r="F188" s="95"/>
      <c r="G188" s="95"/>
      <c r="H188" s="95"/>
      <c r="I188" s="95"/>
      <c r="J188" s="95"/>
      <c r="K188" s="95"/>
      <c r="L188" s="95"/>
      <c r="M188" s="95"/>
      <c r="N188" s="95"/>
      <c r="O188" s="95"/>
      <c r="P188" s="95"/>
      <c r="Q188" s="95"/>
      <c r="R188" s="95"/>
      <c r="S188" s="95"/>
    </row>
    <row r="189" spans="1:19" ht="15" x14ac:dyDescent="0.2">
      <c r="A189" s="712" t="s">
        <v>10</v>
      </c>
      <c r="B189" s="713">
        <v>0</v>
      </c>
      <c r="C189" s="713">
        <v>0</v>
      </c>
      <c r="D189" s="95"/>
      <c r="E189" s="95"/>
      <c r="F189" s="95"/>
      <c r="G189" s="95"/>
      <c r="H189" s="95"/>
      <c r="I189" s="95"/>
      <c r="J189" s="95"/>
      <c r="K189" s="95"/>
      <c r="L189" s="95"/>
      <c r="M189" s="95"/>
      <c r="N189" s="95"/>
      <c r="O189" s="95"/>
      <c r="P189" s="95"/>
      <c r="Q189" s="95"/>
      <c r="R189" s="95"/>
      <c r="S189" s="95"/>
    </row>
    <row r="190" spans="1:19" ht="15" x14ac:dyDescent="0.2">
      <c r="A190" s="712" t="s">
        <v>83</v>
      </c>
      <c r="B190" s="713">
        <v>0</v>
      </c>
      <c r="C190" s="713">
        <v>0</v>
      </c>
      <c r="D190" s="95"/>
      <c r="E190" s="95"/>
      <c r="F190" s="95"/>
      <c r="G190" s="95"/>
      <c r="H190" s="95"/>
      <c r="I190" s="95"/>
      <c r="J190" s="95"/>
      <c r="K190" s="95"/>
      <c r="L190" s="95"/>
      <c r="M190" s="95"/>
      <c r="N190" s="95"/>
      <c r="O190" s="95"/>
      <c r="P190" s="95"/>
      <c r="Q190" s="95"/>
      <c r="R190" s="95"/>
      <c r="S190" s="95"/>
    </row>
    <row r="191" spans="1:19" ht="15" x14ac:dyDescent="0.2">
      <c r="A191" s="712" t="s">
        <v>84</v>
      </c>
      <c r="B191" s="713">
        <v>0</v>
      </c>
      <c r="C191" s="713">
        <v>0</v>
      </c>
      <c r="D191" s="95"/>
      <c r="E191" s="95"/>
      <c r="F191" s="95"/>
      <c r="G191" s="95"/>
      <c r="H191" s="95"/>
      <c r="I191" s="95"/>
      <c r="J191" s="95"/>
      <c r="K191" s="95"/>
      <c r="L191" s="95"/>
      <c r="M191" s="95"/>
      <c r="N191" s="95"/>
      <c r="O191" s="95"/>
      <c r="P191" s="95"/>
      <c r="Q191" s="95"/>
      <c r="R191" s="95"/>
      <c r="S191" s="95"/>
    </row>
    <row r="192" spans="1:19" ht="15" x14ac:dyDescent="0.2">
      <c r="A192" s="712" t="s">
        <v>85</v>
      </c>
      <c r="B192" s="713">
        <v>0</v>
      </c>
      <c r="C192" s="713">
        <v>0</v>
      </c>
      <c r="D192" s="95"/>
      <c r="E192" s="95"/>
      <c r="F192" s="95"/>
      <c r="G192" s="95"/>
      <c r="H192" s="95"/>
      <c r="I192" s="95"/>
      <c r="J192" s="95"/>
      <c r="K192" s="95"/>
      <c r="L192" s="95"/>
      <c r="M192" s="95"/>
      <c r="N192" s="95"/>
      <c r="O192" s="95"/>
      <c r="P192" s="95"/>
      <c r="Q192" s="95"/>
      <c r="R192" s="95"/>
      <c r="S192" s="95"/>
    </row>
    <row r="193" spans="1:19" ht="15" x14ac:dyDescent="0.2">
      <c r="A193" s="712" t="s">
        <v>11</v>
      </c>
      <c r="B193" s="713">
        <v>0</v>
      </c>
      <c r="C193" s="713">
        <v>0</v>
      </c>
      <c r="D193" s="95"/>
      <c r="E193" s="95"/>
      <c r="F193" s="95"/>
      <c r="G193" s="95"/>
      <c r="H193" s="95"/>
      <c r="I193" s="95"/>
      <c r="J193" s="95"/>
      <c r="K193" s="95"/>
      <c r="L193" s="95"/>
      <c r="M193" s="95"/>
      <c r="N193" s="95"/>
      <c r="O193" s="95"/>
      <c r="P193" s="95"/>
      <c r="Q193" s="95"/>
      <c r="R193" s="95"/>
      <c r="S193" s="95"/>
    </row>
    <row r="194" spans="1:19" x14ac:dyDescent="0.2">
      <c r="A194" s="714"/>
      <c r="B194" s="715"/>
      <c r="C194" s="715"/>
      <c r="D194" s="95"/>
      <c r="E194" s="95"/>
      <c r="F194" s="95"/>
      <c r="G194" s="95"/>
      <c r="H194" s="95"/>
      <c r="I194" s="95"/>
      <c r="J194" s="95"/>
      <c r="K194" s="95"/>
      <c r="L194" s="95"/>
      <c r="M194" s="95"/>
      <c r="N194" s="95"/>
      <c r="O194" s="95"/>
      <c r="P194" s="95"/>
      <c r="Q194" s="95"/>
      <c r="R194" s="95"/>
      <c r="S194" s="95"/>
    </row>
    <row r="195" spans="1:19" x14ac:dyDescent="0.2">
      <c r="A195" s="708" t="s">
        <v>632</v>
      </c>
      <c r="B195" s="715"/>
      <c r="C195" s="715"/>
      <c r="D195" s="95"/>
      <c r="E195" s="95"/>
      <c r="F195" s="95"/>
      <c r="G195" s="95"/>
      <c r="H195" s="95"/>
      <c r="I195" s="95"/>
      <c r="J195" s="95"/>
      <c r="K195" s="95"/>
      <c r="L195" s="95"/>
      <c r="M195" s="95"/>
      <c r="N195" s="95"/>
      <c r="O195" s="95"/>
      <c r="P195" s="95"/>
      <c r="Q195" s="95"/>
      <c r="R195" s="95"/>
      <c r="S195" s="95"/>
    </row>
    <row r="196" spans="1:19" x14ac:dyDescent="0.2">
      <c r="A196" s="710" t="s">
        <v>650</v>
      </c>
      <c r="B196" s="711" t="s">
        <v>151</v>
      </c>
      <c r="C196" s="711" t="s">
        <v>150</v>
      </c>
      <c r="D196" s="95"/>
      <c r="E196" s="95"/>
      <c r="F196" s="95"/>
      <c r="G196" s="95"/>
      <c r="H196" s="95"/>
      <c r="I196" s="95"/>
      <c r="J196" s="95"/>
      <c r="K196" s="95"/>
      <c r="L196" s="95"/>
      <c r="M196" s="95"/>
      <c r="N196" s="95"/>
      <c r="O196" s="95"/>
      <c r="P196" s="95"/>
      <c r="Q196" s="95"/>
      <c r="R196" s="95"/>
      <c r="S196" s="95"/>
    </row>
    <row r="197" spans="1:19" ht="15" x14ac:dyDescent="0.2">
      <c r="A197" s="712" t="s">
        <v>7</v>
      </c>
      <c r="B197" s="713">
        <v>0</v>
      </c>
      <c r="C197" s="713">
        <v>0</v>
      </c>
      <c r="D197" s="95"/>
      <c r="E197" s="95"/>
      <c r="F197" s="95"/>
      <c r="G197" s="95"/>
      <c r="H197" s="95"/>
      <c r="I197" s="95"/>
      <c r="J197" s="95"/>
      <c r="K197" s="95"/>
      <c r="L197" s="95"/>
      <c r="M197" s="95"/>
      <c r="N197" s="95"/>
      <c r="O197" s="95"/>
      <c r="P197" s="95"/>
      <c r="Q197" s="95"/>
      <c r="R197" s="95"/>
      <c r="S197" s="95"/>
    </row>
    <row r="198" spans="1:19" ht="15" x14ac:dyDescent="0.2">
      <c r="A198" s="712" t="s">
        <v>77</v>
      </c>
      <c r="B198" s="713">
        <v>0</v>
      </c>
      <c r="C198" s="713">
        <v>0</v>
      </c>
      <c r="D198" s="95"/>
      <c r="E198" s="95"/>
      <c r="F198" s="95"/>
      <c r="G198" s="95"/>
      <c r="H198" s="95"/>
      <c r="I198" s="95"/>
      <c r="J198" s="95"/>
      <c r="K198" s="95"/>
      <c r="L198" s="95"/>
      <c r="M198" s="95"/>
      <c r="N198" s="95"/>
      <c r="O198" s="95"/>
      <c r="P198" s="95"/>
      <c r="Q198" s="95"/>
      <c r="R198" s="95"/>
      <c r="S198" s="95"/>
    </row>
    <row r="199" spans="1:19" ht="15" x14ac:dyDescent="0.2">
      <c r="A199" s="712" t="s">
        <v>8</v>
      </c>
      <c r="B199" s="713">
        <v>0</v>
      </c>
      <c r="C199" s="713">
        <v>0</v>
      </c>
      <c r="D199" s="95"/>
      <c r="E199" s="95"/>
      <c r="F199" s="95"/>
      <c r="G199" s="95"/>
      <c r="H199" s="95"/>
      <c r="I199" s="95"/>
      <c r="J199" s="95"/>
      <c r="K199" s="95"/>
      <c r="L199" s="95"/>
      <c r="M199" s="95"/>
      <c r="N199" s="95"/>
      <c r="O199" s="95"/>
      <c r="P199" s="95"/>
      <c r="Q199" s="95"/>
      <c r="R199" s="95"/>
      <c r="S199" s="95"/>
    </row>
    <row r="200" spans="1:19" ht="15" x14ac:dyDescent="0.2">
      <c r="A200" s="712" t="s">
        <v>78</v>
      </c>
      <c r="B200" s="713">
        <v>0</v>
      </c>
      <c r="C200" s="713">
        <v>0</v>
      </c>
      <c r="D200" s="95"/>
      <c r="E200" s="95"/>
      <c r="F200" s="95"/>
      <c r="G200" s="95"/>
      <c r="H200" s="95"/>
      <c r="I200" s="95"/>
      <c r="J200" s="95"/>
      <c r="K200" s="95"/>
      <c r="L200" s="95"/>
      <c r="M200" s="95"/>
      <c r="N200" s="95"/>
      <c r="O200" s="95"/>
      <c r="P200" s="95"/>
      <c r="Q200" s="95"/>
      <c r="R200" s="95"/>
      <c r="S200" s="95"/>
    </row>
    <row r="201" spans="1:19" ht="15" x14ac:dyDescent="0.2">
      <c r="A201" s="712" t="s">
        <v>79</v>
      </c>
      <c r="B201" s="713">
        <v>0</v>
      </c>
      <c r="C201" s="713">
        <v>0</v>
      </c>
      <c r="D201" s="95"/>
      <c r="E201" s="95"/>
      <c r="F201" s="95"/>
      <c r="G201" s="95"/>
      <c r="H201" s="95"/>
      <c r="I201" s="95"/>
      <c r="J201" s="95"/>
      <c r="K201" s="95"/>
      <c r="L201" s="95"/>
      <c r="M201" s="95"/>
      <c r="N201" s="95"/>
      <c r="O201" s="95"/>
      <c r="P201" s="95"/>
      <c r="Q201" s="95"/>
      <c r="R201" s="95"/>
      <c r="S201" s="95"/>
    </row>
    <row r="202" spans="1:19" ht="15" x14ac:dyDescent="0.2">
      <c r="A202" s="712" t="s">
        <v>80</v>
      </c>
      <c r="B202" s="713">
        <v>0</v>
      </c>
      <c r="C202" s="713">
        <v>0</v>
      </c>
      <c r="D202" s="95"/>
      <c r="E202" s="95"/>
      <c r="F202" s="95"/>
      <c r="G202" s="95"/>
      <c r="H202" s="95"/>
      <c r="I202" s="95"/>
      <c r="J202" s="95"/>
      <c r="K202" s="95"/>
      <c r="L202" s="95"/>
      <c r="M202" s="95"/>
      <c r="N202" s="95"/>
      <c r="O202" s="95"/>
      <c r="P202" s="95"/>
      <c r="Q202" s="95"/>
      <c r="R202" s="95"/>
      <c r="S202" s="95"/>
    </row>
    <row r="203" spans="1:19" ht="15" x14ac:dyDescent="0.2">
      <c r="A203" s="712" t="s">
        <v>81</v>
      </c>
      <c r="B203" s="713">
        <v>0</v>
      </c>
      <c r="C203" s="713">
        <v>0</v>
      </c>
      <c r="D203" s="95"/>
      <c r="E203" s="95"/>
      <c r="F203" s="95"/>
      <c r="G203" s="95"/>
      <c r="H203" s="95"/>
      <c r="I203" s="95"/>
      <c r="J203" s="95"/>
      <c r="K203" s="95"/>
      <c r="L203" s="95"/>
      <c r="M203" s="95"/>
      <c r="N203" s="95"/>
      <c r="O203" s="95"/>
      <c r="P203" s="95"/>
      <c r="Q203" s="95"/>
      <c r="R203" s="95"/>
      <c r="S203" s="95"/>
    </row>
    <row r="204" spans="1:19" ht="15" x14ac:dyDescent="0.2">
      <c r="A204" s="712" t="s">
        <v>82</v>
      </c>
      <c r="B204" s="713">
        <v>0</v>
      </c>
      <c r="C204" s="713">
        <v>0</v>
      </c>
      <c r="D204" s="95"/>
      <c r="E204" s="95"/>
      <c r="F204" s="95"/>
      <c r="G204" s="95"/>
      <c r="H204" s="95"/>
      <c r="I204" s="95"/>
      <c r="J204" s="95"/>
      <c r="K204" s="95"/>
      <c r="L204" s="95"/>
      <c r="M204" s="95"/>
      <c r="N204" s="95"/>
      <c r="O204" s="95"/>
      <c r="P204" s="95"/>
      <c r="Q204" s="95"/>
      <c r="R204" s="95"/>
      <c r="S204" s="95"/>
    </row>
    <row r="205" spans="1:19" ht="15" x14ac:dyDescent="0.2">
      <c r="A205" s="712" t="s">
        <v>9</v>
      </c>
      <c r="B205" s="713">
        <v>0</v>
      </c>
      <c r="C205" s="713">
        <v>0</v>
      </c>
      <c r="D205" s="95"/>
      <c r="E205" s="95"/>
      <c r="F205" s="95"/>
      <c r="G205" s="95"/>
      <c r="H205" s="95"/>
      <c r="I205" s="95"/>
      <c r="J205" s="95"/>
      <c r="K205" s="95"/>
      <c r="L205" s="95"/>
      <c r="M205" s="95"/>
      <c r="N205" s="95"/>
      <c r="O205" s="95"/>
      <c r="P205" s="95"/>
      <c r="Q205" s="95"/>
      <c r="R205" s="95"/>
      <c r="S205" s="95"/>
    </row>
    <row r="206" spans="1:19" ht="15" x14ac:dyDescent="0.2">
      <c r="A206" s="712" t="s">
        <v>10</v>
      </c>
      <c r="B206" s="713">
        <v>0</v>
      </c>
      <c r="C206" s="713">
        <v>0</v>
      </c>
      <c r="D206" s="95"/>
      <c r="E206" s="95"/>
      <c r="F206" s="95"/>
      <c r="G206" s="95"/>
      <c r="H206" s="95"/>
      <c r="I206" s="95"/>
      <c r="J206" s="95"/>
      <c r="K206" s="95"/>
      <c r="L206" s="95"/>
      <c r="M206" s="95"/>
      <c r="N206" s="95"/>
      <c r="O206" s="95"/>
      <c r="P206" s="95"/>
      <c r="Q206" s="95"/>
      <c r="R206" s="95"/>
      <c r="S206" s="95"/>
    </row>
    <row r="207" spans="1:19" ht="15" x14ac:dyDescent="0.2">
      <c r="A207" s="712" t="s">
        <v>83</v>
      </c>
      <c r="B207" s="713">
        <v>0</v>
      </c>
      <c r="C207" s="713">
        <v>0</v>
      </c>
      <c r="D207" s="95"/>
      <c r="E207" s="95"/>
      <c r="F207" s="95"/>
      <c r="G207" s="95"/>
      <c r="H207" s="95"/>
      <c r="I207" s="95"/>
      <c r="J207" s="95"/>
      <c r="K207" s="95"/>
      <c r="L207" s="95"/>
      <c r="M207" s="95"/>
      <c r="N207" s="95"/>
      <c r="O207" s="95"/>
      <c r="P207" s="95"/>
      <c r="Q207" s="95"/>
      <c r="R207" s="95"/>
      <c r="S207" s="95"/>
    </row>
    <row r="208" spans="1:19" ht="15" x14ac:dyDescent="0.2">
      <c r="A208" s="712" t="s">
        <v>84</v>
      </c>
      <c r="B208" s="713">
        <v>0</v>
      </c>
      <c r="C208" s="713">
        <v>0</v>
      </c>
      <c r="D208" s="95"/>
      <c r="E208" s="95"/>
      <c r="F208" s="95"/>
      <c r="G208" s="95"/>
      <c r="H208" s="95"/>
      <c r="I208" s="95"/>
      <c r="J208" s="95"/>
      <c r="K208" s="95"/>
      <c r="L208" s="95"/>
      <c r="M208" s="95"/>
      <c r="N208" s="95"/>
      <c r="O208" s="95"/>
      <c r="P208" s="95"/>
      <c r="Q208" s="95"/>
      <c r="R208" s="95"/>
      <c r="S208" s="95"/>
    </row>
    <row r="209" spans="1:19" ht="15" x14ac:dyDescent="0.2">
      <c r="A209" s="712" t="s">
        <v>85</v>
      </c>
      <c r="B209" s="713">
        <v>0</v>
      </c>
      <c r="C209" s="713">
        <v>0</v>
      </c>
      <c r="D209" s="95"/>
      <c r="E209" s="95"/>
      <c r="F209" s="95"/>
      <c r="G209" s="95"/>
      <c r="H209" s="95"/>
      <c r="I209" s="95"/>
      <c r="J209" s="95"/>
      <c r="K209" s="95"/>
      <c r="L209" s="95"/>
      <c r="M209" s="95"/>
      <c r="N209" s="95"/>
      <c r="O209" s="95"/>
      <c r="P209" s="95"/>
      <c r="Q209" s="95"/>
      <c r="R209" s="95"/>
      <c r="S209" s="95"/>
    </row>
    <row r="210" spans="1:19" ht="15" x14ac:dyDescent="0.2">
      <c r="A210" s="712" t="s">
        <v>11</v>
      </c>
      <c r="B210" s="713">
        <v>0</v>
      </c>
      <c r="C210" s="713">
        <v>0</v>
      </c>
      <c r="D210" s="95"/>
      <c r="E210" s="95"/>
      <c r="F210" s="95"/>
      <c r="G210" s="95"/>
      <c r="H210" s="95"/>
      <c r="I210" s="95"/>
      <c r="J210" s="95"/>
      <c r="K210" s="95"/>
      <c r="L210" s="95"/>
      <c r="M210" s="95"/>
      <c r="N210" s="95"/>
      <c r="O210" s="95"/>
      <c r="P210" s="95"/>
      <c r="Q210" s="95"/>
      <c r="R210" s="95"/>
      <c r="S210" s="95"/>
    </row>
    <row r="211" spans="1:19" x14ac:dyDescent="0.2">
      <c r="A211" s="95"/>
      <c r="B211" s="95"/>
      <c r="C211" s="95"/>
      <c r="D211" s="95"/>
      <c r="E211" s="95"/>
      <c r="F211" s="95"/>
      <c r="G211" s="95"/>
      <c r="H211" s="95"/>
      <c r="I211" s="95"/>
      <c r="J211" s="95"/>
      <c r="K211" s="95"/>
      <c r="L211" s="95"/>
      <c r="M211" s="95"/>
      <c r="N211" s="95"/>
      <c r="O211" s="95"/>
      <c r="P211" s="95"/>
      <c r="Q211" s="95"/>
      <c r="R211" s="95"/>
      <c r="S211" s="95"/>
    </row>
    <row r="212" spans="1:19" x14ac:dyDescent="0.2">
      <c r="A212" s="95"/>
      <c r="B212" s="95"/>
      <c r="C212" s="95"/>
      <c r="D212" s="95"/>
      <c r="E212" s="95"/>
      <c r="F212" s="95"/>
      <c r="G212" s="95"/>
      <c r="H212" s="95"/>
      <c r="I212" s="95"/>
      <c r="J212" s="95"/>
      <c r="K212" s="95"/>
      <c r="L212" s="95"/>
      <c r="M212" s="95"/>
      <c r="N212" s="95"/>
      <c r="O212" s="95"/>
      <c r="P212" s="95"/>
      <c r="Q212" s="95"/>
      <c r="R212" s="95"/>
      <c r="S212" s="95"/>
    </row>
    <row r="213" spans="1:19" x14ac:dyDescent="0.2">
      <c r="A213" s="95"/>
      <c r="B213" s="95"/>
      <c r="C213" s="95"/>
      <c r="D213" s="95"/>
      <c r="E213" s="95"/>
      <c r="F213" s="95"/>
      <c r="G213" s="95"/>
      <c r="H213" s="95"/>
      <c r="I213" s="95"/>
      <c r="J213" s="95"/>
      <c r="K213" s="95"/>
      <c r="L213" s="95"/>
      <c r="M213" s="95"/>
      <c r="N213" s="95"/>
      <c r="O213" s="95"/>
      <c r="P213" s="95"/>
      <c r="Q213" s="95"/>
      <c r="R213" s="95"/>
      <c r="S213" s="95"/>
    </row>
    <row r="214" spans="1:19" x14ac:dyDescent="0.2">
      <c r="A214" s="95"/>
      <c r="B214" s="95"/>
      <c r="C214" s="95"/>
      <c r="D214" s="95"/>
      <c r="E214" s="95"/>
      <c r="F214" s="95"/>
      <c r="G214" s="95"/>
      <c r="H214" s="95"/>
      <c r="I214" s="95"/>
      <c r="J214" s="95"/>
      <c r="K214" s="95"/>
      <c r="L214" s="95"/>
      <c r="M214" s="95"/>
      <c r="N214" s="95"/>
      <c r="O214" s="95"/>
      <c r="P214" s="95"/>
      <c r="Q214" s="95"/>
      <c r="R214" s="95"/>
      <c r="S214" s="95"/>
    </row>
    <row r="215" spans="1:19" x14ac:dyDescent="0.2">
      <c r="A215" s="95"/>
      <c r="B215" s="95"/>
      <c r="C215" s="95"/>
      <c r="D215" s="95"/>
      <c r="E215" s="95"/>
      <c r="F215" s="95"/>
      <c r="G215" s="95"/>
      <c r="H215" s="95"/>
      <c r="I215" s="95"/>
      <c r="J215" s="95"/>
      <c r="K215" s="95"/>
      <c r="L215" s="95"/>
      <c r="M215" s="95"/>
      <c r="N215" s="95"/>
      <c r="O215" s="95"/>
      <c r="P215" s="95"/>
      <c r="Q215" s="95"/>
      <c r="R215" s="95"/>
      <c r="S215" s="95"/>
    </row>
    <row r="216" spans="1:19" x14ac:dyDescent="0.2">
      <c r="A216" s="95"/>
      <c r="B216" s="95"/>
      <c r="C216" s="95"/>
      <c r="D216" s="95"/>
      <c r="E216" s="95"/>
      <c r="F216" s="95"/>
      <c r="G216" s="95"/>
      <c r="H216" s="95"/>
      <c r="I216" s="95"/>
      <c r="J216" s="95"/>
      <c r="K216" s="95"/>
      <c r="L216" s="95"/>
      <c r="M216" s="95"/>
      <c r="N216" s="95"/>
      <c r="O216" s="95"/>
      <c r="P216" s="95"/>
      <c r="Q216" s="95"/>
      <c r="R216" s="95"/>
      <c r="S216" s="95"/>
    </row>
    <row r="217" spans="1:19" x14ac:dyDescent="0.2">
      <c r="A217" s="95"/>
      <c r="B217" s="95"/>
      <c r="C217" s="95"/>
      <c r="D217" s="95"/>
      <c r="E217" s="95"/>
      <c r="F217" s="95"/>
      <c r="G217" s="95"/>
      <c r="H217" s="95"/>
      <c r="I217" s="95"/>
      <c r="J217" s="95"/>
      <c r="K217" s="95"/>
      <c r="L217" s="95"/>
      <c r="M217" s="95"/>
      <c r="N217" s="95"/>
      <c r="O217" s="95"/>
      <c r="P217" s="95"/>
      <c r="Q217" s="95"/>
      <c r="R217" s="95"/>
      <c r="S217" s="95"/>
    </row>
    <row r="218" spans="1:19" x14ac:dyDescent="0.2">
      <c r="A218" s="95"/>
      <c r="B218" s="95"/>
      <c r="C218" s="95"/>
      <c r="D218" s="95"/>
      <c r="E218" s="95"/>
      <c r="F218" s="95"/>
      <c r="G218" s="95"/>
      <c r="H218" s="95"/>
      <c r="I218" s="95"/>
      <c r="J218" s="95"/>
      <c r="K218" s="95"/>
      <c r="L218" s="95"/>
      <c r="M218" s="95"/>
      <c r="N218" s="95"/>
      <c r="O218" s="95"/>
      <c r="P218" s="95"/>
      <c r="Q218" s="95"/>
      <c r="R218" s="95"/>
      <c r="S218" s="95"/>
    </row>
    <row r="219" spans="1:19" x14ac:dyDescent="0.2">
      <c r="A219" s="95"/>
      <c r="B219" s="95"/>
      <c r="C219" s="95"/>
      <c r="D219" s="95"/>
      <c r="E219" s="95"/>
      <c r="F219" s="95"/>
      <c r="G219" s="95"/>
      <c r="H219" s="95"/>
      <c r="I219" s="95"/>
      <c r="J219" s="95"/>
      <c r="K219" s="95"/>
      <c r="L219" s="95"/>
      <c r="M219" s="95"/>
      <c r="N219" s="95"/>
      <c r="O219" s="95"/>
      <c r="P219" s="95"/>
      <c r="Q219" s="95"/>
      <c r="R219" s="95"/>
      <c r="S219" s="95"/>
    </row>
    <row r="220" spans="1:19" x14ac:dyDescent="0.2">
      <c r="A220" s="95"/>
      <c r="B220" s="95"/>
      <c r="C220" s="95"/>
      <c r="D220" s="95"/>
      <c r="E220" s="95"/>
      <c r="F220" s="95"/>
      <c r="G220" s="95"/>
      <c r="H220" s="95"/>
      <c r="I220" s="95"/>
      <c r="J220" s="95"/>
      <c r="K220" s="95"/>
      <c r="L220" s="95"/>
      <c r="M220" s="95"/>
      <c r="N220" s="95"/>
      <c r="O220" s="95"/>
      <c r="P220" s="95"/>
      <c r="Q220" s="95"/>
      <c r="R220" s="95"/>
      <c r="S220" s="95"/>
    </row>
    <row r="221" spans="1:19" x14ac:dyDescent="0.2">
      <c r="A221" s="95"/>
      <c r="B221" s="95"/>
      <c r="C221" s="95"/>
      <c r="D221" s="95"/>
      <c r="E221" s="95"/>
      <c r="F221" s="95"/>
      <c r="G221" s="95"/>
      <c r="H221" s="95"/>
      <c r="I221" s="95"/>
      <c r="J221" s="95"/>
      <c r="K221" s="95"/>
      <c r="L221" s="95"/>
      <c r="M221" s="95"/>
      <c r="N221" s="95"/>
      <c r="O221" s="95"/>
      <c r="P221" s="95"/>
      <c r="Q221" s="95"/>
      <c r="R221" s="95"/>
      <c r="S221" s="95"/>
    </row>
    <row r="222" spans="1:19" x14ac:dyDescent="0.2">
      <c r="A222" s="95"/>
      <c r="B222" s="95"/>
      <c r="C222" s="95"/>
      <c r="D222" s="95"/>
      <c r="E222" s="95"/>
      <c r="F222" s="95"/>
      <c r="G222" s="95"/>
      <c r="H222" s="95"/>
      <c r="I222" s="95"/>
      <c r="J222" s="95"/>
      <c r="K222" s="95"/>
      <c r="L222" s="95"/>
      <c r="M222" s="95"/>
      <c r="N222" s="95"/>
      <c r="O222" s="95"/>
      <c r="P222" s="95"/>
      <c r="Q222" s="95"/>
      <c r="R222" s="95"/>
      <c r="S222" s="95"/>
    </row>
    <row r="223" spans="1:19" x14ac:dyDescent="0.2">
      <c r="A223" s="95"/>
      <c r="B223" s="95"/>
      <c r="C223" s="95"/>
      <c r="D223" s="95"/>
      <c r="E223" s="95"/>
      <c r="F223" s="95"/>
      <c r="G223" s="95"/>
      <c r="H223" s="95"/>
      <c r="I223" s="95"/>
      <c r="J223" s="95"/>
      <c r="K223" s="95"/>
      <c r="L223" s="95"/>
      <c r="M223" s="95"/>
      <c r="N223" s="95"/>
      <c r="O223" s="95"/>
      <c r="P223" s="95"/>
      <c r="Q223" s="95"/>
      <c r="R223" s="95"/>
      <c r="S223" s="95"/>
    </row>
    <row r="224" spans="1:19" x14ac:dyDescent="0.2">
      <c r="A224" s="95"/>
      <c r="B224" s="95"/>
      <c r="C224" s="95"/>
      <c r="D224" s="95"/>
      <c r="E224" s="95"/>
      <c r="F224" s="95"/>
      <c r="G224" s="95"/>
      <c r="H224" s="95"/>
      <c r="I224" s="95"/>
      <c r="J224" s="95"/>
      <c r="K224" s="95"/>
      <c r="L224" s="95"/>
      <c r="M224" s="95"/>
      <c r="N224" s="95"/>
      <c r="O224" s="95"/>
      <c r="P224" s="95"/>
      <c r="Q224" s="95"/>
      <c r="R224" s="95"/>
      <c r="S224" s="95"/>
    </row>
    <row r="225" spans="1:19" x14ac:dyDescent="0.2">
      <c r="A225" s="95"/>
      <c r="B225" s="95"/>
      <c r="C225" s="95"/>
      <c r="D225" s="95"/>
      <c r="E225" s="95"/>
      <c r="F225" s="95"/>
      <c r="G225" s="95"/>
      <c r="H225" s="95"/>
      <c r="I225" s="95"/>
      <c r="J225" s="95"/>
      <c r="K225" s="95"/>
      <c r="L225" s="95"/>
      <c r="M225" s="95"/>
      <c r="N225" s="95"/>
      <c r="O225" s="95"/>
      <c r="P225" s="95"/>
      <c r="Q225" s="95"/>
      <c r="R225" s="95"/>
      <c r="S225" s="95"/>
    </row>
    <row r="226" spans="1:19" x14ac:dyDescent="0.2">
      <c r="A226" s="95"/>
      <c r="B226" s="95"/>
      <c r="C226" s="95"/>
      <c r="D226" s="95"/>
      <c r="E226" s="95"/>
      <c r="F226" s="95"/>
      <c r="G226" s="95"/>
      <c r="H226" s="95"/>
      <c r="I226" s="95"/>
      <c r="J226" s="95"/>
      <c r="K226" s="95"/>
      <c r="L226" s="95"/>
      <c r="M226" s="95"/>
      <c r="N226" s="95"/>
      <c r="O226" s="95"/>
      <c r="P226" s="95"/>
      <c r="Q226" s="95"/>
      <c r="R226" s="95"/>
      <c r="S226" s="95"/>
    </row>
    <row r="227" spans="1:19" x14ac:dyDescent="0.2">
      <c r="A227" s="95"/>
      <c r="B227" s="95"/>
      <c r="C227" s="95"/>
      <c r="D227" s="95"/>
      <c r="E227" s="95"/>
      <c r="F227" s="95"/>
      <c r="G227" s="95"/>
      <c r="H227" s="95"/>
      <c r="I227" s="95"/>
      <c r="J227" s="95"/>
      <c r="K227" s="95"/>
      <c r="L227" s="95"/>
      <c r="M227" s="95"/>
      <c r="N227" s="95"/>
      <c r="O227" s="95"/>
      <c r="P227" s="95"/>
      <c r="Q227" s="95"/>
      <c r="R227" s="95"/>
      <c r="S227" s="95"/>
    </row>
    <row r="228" spans="1:19" x14ac:dyDescent="0.2">
      <c r="A228" s="95"/>
      <c r="B228" s="95"/>
      <c r="C228" s="95"/>
      <c r="D228" s="95"/>
      <c r="E228" s="95"/>
      <c r="F228" s="95"/>
      <c r="G228" s="95"/>
      <c r="H228" s="95"/>
      <c r="I228" s="95"/>
      <c r="J228" s="95"/>
      <c r="K228" s="95"/>
      <c r="L228" s="95"/>
      <c r="M228" s="95"/>
      <c r="N228" s="95"/>
      <c r="O228" s="95"/>
      <c r="P228" s="95"/>
      <c r="Q228" s="95"/>
      <c r="R228" s="95"/>
      <c r="S228" s="95"/>
    </row>
    <row r="229" spans="1:19" x14ac:dyDescent="0.2">
      <c r="A229" s="95"/>
      <c r="B229" s="95"/>
      <c r="C229" s="95"/>
      <c r="D229" s="95"/>
      <c r="E229" s="95"/>
      <c r="F229" s="95"/>
      <c r="G229" s="95"/>
      <c r="H229" s="95"/>
      <c r="I229" s="95"/>
      <c r="J229" s="95"/>
      <c r="K229" s="95"/>
      <c r="L229" s="95"/>
      <c r="M229" s="95"/>
      <c r="N229" s="95"/>
      <c r="O229" s="95"/>
      <c r="P229" s="95"/>
      <c r="Q229" s="95"/>
      <c r="R229" s="95"/>
      <c r="S229" s="95"/>
    </row>
    <row r="230" spans="1:19" x14ac:dyDescent="0.2">
      <c r="A230" s="95"/>
      <c r="B230" s="95"/>
      <c r="C230" s="95"/>
      <c r="D230" s="95"/>
      <c r="E230" s="95"/>
      <c r="F230" s="95"/>
      <c r="G230" s="95"/>
      <c r="H230" s="95"/>
      <c r="I230" s="95"/>
      <c r="J230" s="95"/>
      <c r="K230" s="95"/>
      <c r="L230" s="95"/>
      <c r="M230" s="95"/>
      <c r="N230" s="95"/>
      <c r="O230" s="95"/>
      <c r="P230" s="95"/>
      <c r="Q230" s="95"/>
      <c r="R230" s="95"/>
      <c r="S230" s="95"/>
    </row>
    <row r="231" spans="1:19" x14ac:dyDescent="0.2">
      <c r="A231" s="95"/>
      <c r="B231" s="95"/>
      <c r="C231" s="95"/>
      <c r="D231" s="95"/>
      <c r="E231" s="95"/>
      <c r="F231" s="95"/>
      <c r="G231" s="95"/>
      <c r="H231" s="95"/>
      <c r="I231" s="95"/>
      <c r="J231" s="95"/>
      <c r="K231" s="95"/>
      <c r="L231" s="95"/>
      <c r="M231" s="95"/>
      <c r="N231" s="95"/>
      <c r="O231" s="95"/>
      <c r="P231" s="95"/>
      <c r="Q231" s="95"/>
      <c r="R231" s="95"/>
      <c r="S231" s="95"/>
    </row>
    <row r="232" spans="1:19" x14ac:dyDescent="0.2">
      <c r="A232" s="95"/>
      <c r="B232" s="95"/>
      <c r="C232" s="95"/>
      <c r="D232" s="95"/>
      <c r="E232" s="95"/>
      <c r="F232" s="95"/>
      <c r="G232" s="95"/>
      <c r="H232" s="95"/>
      <c r="I232" s="95"/>
      <c r="J232" s="95"/>
      <c r="K232" s="95"/>
      <c r="L232" s="95"/>
      <c r="M232" s="95"/>
      <c r="N232" s="95"/>
      <c r="O232" s="95"/>
      <c r="P232" s="95"/>
      <c r="Q232" s="95"/>
      <c r="R232" s="95"/>
      <c r="S232" s="95"/>
    </row>
    <row r="233" spans="1:19" x14ac:dyDescent="0.2">
      <c r="A233" s="95"/>
      <c r="B233" s="95"/>
      <c r="C233" s="95"/>
      <c r="D233" s="95"/>
      <c r="E233" s="95"/>
      <c r="F233" s="95"/>
      <c r="G233" s="95"/>
      <c r="H233" s="95"/>
      <c r="I233" s="95"/>
      <c r="J233" s="95"/>
      <c r="K233" s="95"/>
      <c r="L233" s="95"/>
      <c r="M233" s="95"/>
      <c r="N233" s="95"/>
      <c r="O233" s="95"/>
      <c r="P233" s="95"/>
      <c r="Q233" s="95"/>
      <c r="R233" s="95"/>
      <c r="S233" s="95"/>
    </row>
    <row r="234" spans="1:19" x14ac:dyDescent="0.2">
      <c r="A234" s="95"/>
      <c r="B234" s="95"/>
      <c r="C234" s="95"/>
      <c r="D234" s="95"/>
      <c r="E234" s="95"/>
      <c r="F234" s="95"/>
      <c r="G234" s="95"/>
      <c r="H234" s="95"/>
      <c r="I234" s="95"/>
      <c r="J234" s="95"/>
      <c r="K234" s="95"/>
      <c r="L234" s="95"/>
      <c r="M234" s="95"/>
      <c r="N234" s="95"/>
      <c r="O234" s="95"/>
      <c r="P234" s="95"/>
      <c r="Q234" s="95"/>
      <c r="R234" s="95"/>
      <c r="S234" s="95"/>
    </row>
    <row r="235" spans="1:19" x14ac:dyDescent="0.2">
      <c r="A235" s="95"/>
      <c r="B235" s="95"/>
      <c r="C235" s="95"/>
      <c r="D235" s="95"/>
      <c r="E235" s="95"/>
      <c r="F235" s="95"/>
      <c r="G235" s="95"/>
      <c r="H235" s="95"/>
      <c r="I235" s="95"/>
      <c r="J235" s="95"/>
      <c r="K235" s="95"/>
      <c r="L235" s="95"/>
      <c r="M235" s="95"/>
      <c r="N235" s="95"/>
      <c r="O235" s="95"/>
      <c r="P235" s="95"/>
      <c r="Q235" s="95"/>
      <c r="R235" s="95"/>
      <c r="S235" s="95"/>
    </row>
    <row r="236" spans="1:19" x14ac:dyDescent="0.2">
      <c r="A236" s="95"/>
      <c r="B236" s="95"/>
      <c r="C236" s="95"/>
      <c r="D236" s="95"/>
      <c r="E236" s="95"/>
      <c r="F236" s="95"/>
      <c r="G236" s="95"/>
      <c r="H236" s="95"/>
      <c r="I236" s="95"/>
      <c r="J236" s="95"/>
      <c r="K236" s="95"/>
      <c r="L236" s="95"/>
      <c r="M236" s="95"/>
      <c r="N236" s="95"/>
      <c r="O236" s="95"/>
      <c r="P236" s="95"/>
      <c r="Q236" s="95"/>
      <c r="R236" s="95"/>
      <c r="S236" s="95"/>
    </row>
    <row r="237" spans="1:19" x14ac:dyDescent="0.2">
      <c r="A237" s="95"/>
      <c r="B237" s="95"/>
      <c r="C237" s="95"/>
      <c r="D237" s="95"/>
      <c r="E237" s="95"/>
      <c r="F237" s="95"/>
      <c r="G237" s="95"/>
      <c r="H237" s="95"/>
      <c r="I237" s="95"/>
      <c r="J237" s="95"/>
      <c r="K237" s="95"/>
      <c r="L237" s="95"/>
      <c r="M237" s="95"/>
      <c r="N237" s="95"/>
      <c r="O237" s="95"/>
      <c r="P237" s="95"/>
      <c r="Q237" s="95"/>
      <c r="R237" s="95"/>
      <c r="S237" s="95"/>
    </row>
    <row r="238" spans="1:19" x14ac:dyDescent="0.2">
      <c r="A238" s="95"/>
      <c r="B238" s="95"/>
      <c r="C238" s="95"/>
      <c r="D238" s="95"/>
      <c r="E238" s="95"/>
      <c r="F238" s="95"/>
      <c r="G238" s="95"/>
      <c r="H238" s="95"/>
      <c r="I238" s="95"/>
      <c r="J238" s="95"/>
      <c r="K238" s="95"/>
      <c r="L238" s="95"/>
      <c r="M238" s="95"/>
      <c r="N238" s="95"/>
      <c r="O238" s="95"/>
      <c r="P238" s="95"/>
      <c r="Q238" s="95"/>
      <c r="R238" s="95"/>
      <c r="S238" s="95"/>
    </row>
    <row r="239" spans="1:19" x14ac:dyDescent="0.2">
      <c r="A239" s="95"/>
      <c r="B239" s="95"/>
      <c r="C239" s="95"/>
      <c r="D239" s="95"/>
      <c r="E239" s="95"/>
      <c r="F239" s="95"/>
      <c r="G239" s="95"/>
      <c r="H239" s="95"/>
      <c r="I239" s="95"/>
      <c r="J239" s="95"/>
      <c r="K239" s="95"/>
      <c r="L239" s="95"/>
      <c r="M239" s="95"/>
      <c r="N239" s="95"/>
      <c r="O239" s="95"/>
      <c r="P239" s="95"/>
      <c r="Q239" s="95"/>
      <c r="R239" s="95"/>
      <c r="S239" s="95"/>
    </row>
    <row r="240" spans="1:19" x14ac:dyDescent="0.2">
      <c r="A240" s="95"/>
      <c r="B240" s="95"/>
      <c r="C240" s="95"/>
      <c r="D240" s="95"/>
      <c r="E240" s="95"/>
      <c r="F240" s="95"/>
      <c r="G240" s="95"/>
      <c r="H240" s="95"/>
      <c r="I240" s="95"/>
      <c r="J240" s="95"/>
      <c r="K240" s="95"/>
      <c r="L240" s="95"/>
      <c r="M240" s="95"/>
      <c r="N240" s="95"/>
      <c r="O240" s="95"/>
      <c r="P240" s="95"/>
      <c r="Q240" s="95"/>
      <c r="R240" s="95"/>
      <c r="S240" s="95"/>
    </row>
    <row r="241" spans="1:2" x14ac:dyDescent="0.2">
      <c r="A241" s="131"/>
      <c r="B241" s="131"/>
    </row>
    <row r="242" spans="1:2" x14ac:dyDescent="0.2">
      <c r="A242" s="131"/>
      <c r="B242" s="131"/>
    </row>
    <row r="243" spans="1:2" x14ac:dyDescent="0.2">
      <c r="A243" s="131"/>
      <c r="B243" s="131"/>
    </row>
    <row r="244" spans="1:2" x14ac:dyDescent="0.2">
      <c r="A244" s="131"/>
      <c r="B244" s="131"/>
    </row>
    <row r="245" spans="1:2" x14ac:dyDescent="0.2">
      <c r="A245" s="131"/>
      <c r="B245" s="131"/>
    </row>
    <row r="246" spans="1:2" x14ac:dyDescent="0.2">
      <c r="A246" s="131"/>
      <c r="B246" s="131"/>
    </row>
    <row r="247" spans="1:2" x14ac:dyDescent="0.2">
      <c r="A247" s="131"/>
      <c r="B247" s="131"/>
    </row>
    <row r="248" spans="1:2" x14ac:dyDescent="0.2">
      <c r="A248" s="131"/>
      <c r="B248" s="131"/>
    </row>
    <row r="249" spans="1:2" x14ac:dyDescent="0.2">
      <c r="A249" s="131"/>
      <c r="B249" s="131"/>
    </row>
    <row r="250" spans="1:2" x14ac:dyDescent="0.2">
      <c r="A250" s="131"/>
      <c r="B250" s="131"/>
    </row>
    <row r="251" spans="1:2" x14ac:dyDescent="0.2">
      <c r="A251" s="131"/>
      <c r="B251" s="131"/>
    </row>
    <row r="252" spans="1:2" x14ac:dyDescent="0.2">
      <c r="A252" s="131"/>
      <c r="B252" s="131"/>
    </row>
    <row r="253" spans="1:2" x14ac:dyDescent="0.2">
      <c r="A253" s="131"/>
      <c r="B253" s="131"/>
    </row>
    <row r="254" spans="1:2" x14ac:dyDescent="0.2">
      <c r="A254" s="131"/>
      <c r="B254" s="131"/>
    </row>
    <row r="255" spans="1:2" x14ac:dyDescent="0.2">
      <c r="A255" s="131"/>
      <c r="B255" s="131"/>
    </row>
    <row r="256" spans="1:2" x14ac:dyDescent="0.2">
      <c r="A256" s="131"/>
      <c r="B256" s="131"/>
    </row>
    <row r="257" spans="1:2" x14ac:dyDescent="0.2">
      <c r="A257" s="131"/>
      <c r="B257" s="131"/>
    </row>
    <row r="258" spans="1:2" x14ac:dyDescent="0.2">
      <c r="A258" s="131"/>
      <c r="B258" s="131"/>
    </row>
    <row r="259" spans="1:2" x14ac:dyDescent="0.2">
      <c r="A259" s="131"/>
      <c r="B259" s="131"/>
    </row>
    <row r="260" spans="1:2" x14ac:dyDescent="0.2">
      <c r="A260" s="131"/>
      <c r="B260" s="131"/>
    </row>
    <row r="261" spans="1:2" x14ac:dyDescent="0.2">
      <c r="A261" s="131"/>
      <c r="B261" s="131"/>
    </row>
    <row r="262" spans="1:2" x14ac:dyDescent="0.2">
      <c r="A262" s="131"/>
      <c r="B262" s="131"/>
    </row>
    <row r="263" spans="1:2" x14ac:dyDescent="0.2">
      <c r="A263" s="131"/>
      <c r="B263" s="131"/>
    </row>
    <row r="264" spans="1:2" x14ac:dyDescent="0.2">
      <c r="A264" s="131"/>
      <c r="B264" s="131"/>
    </row>
    <row r="265" spans="1:2" x14ac:dyDescent="0.2">
      <c r="A265" s="131"/>
      <c r="B265" s="131"/>
    </row>
    <row r="266" spans="1:2" x14ac:dyDescent="0.2">
      <c r="A266" s="131"/>
      <c r="B266" s="131"/>
    </row>
    <row r="267" spans="1:2" x14ac:dyDescent="0.2">
      <c r="A267" s="131"/>
      <c r="B267" s="131"/>
    </row>
    <row r="268" spans="1:2" x14ac:dyDescent="0.2">
      <c r="A268" s="131"/>
      <c r="B268" s="131"/>
    </row>
    <row r="269" spans="1:2" x14ac:dyDescent="0.2">
      <c r="A269" s="131"/>
      <c r="B269" s="131"/>
    </row>
    <row r="270" spans="1:2" x14ac:dyDescent="0.2">
      <c r="A270" s="131"/>
      <c r="B270" s="131"/>
    </row>
    <row r="271" spans="1:2" x14ac:dyDescent="0.2">
      <c r="A271" s="131"/>
      <c r="B271" s="131"/>
    </row>
    <row r="272" spans="1:2" x14ac:dyDescent="0.2">
      <c r="A272" s="131"/>
      <c r="B272" s="131"/>
    </row>
    <row r="273" spans="1:2" x14ac:dyDescent="0.2">
      <c r="A273" s="131"/>
      <c r="B273" s="131"/>
    </row>
    <row r="274" spans="1:2" x14ac:dyDescent="0.2">
      <c r="A274" s="131"/>
      <c r="B274" s="131"/>
    </row>
    <row r="275" spans="1:2" x14ac:dyDescent="0.2">
      <c r="A275" s="131"/>
      <c r="B275" s="131"/>
    </row>
    <row r="276" spans="1:2" x14ac:dyDescent="0.2">
      <c r="A276" s="131"/>
      <c r="B276" s="131"/>
    </row>
    <row r="277" spans="1:2" x14ac:dyDescent="0.2">
      <c r="A277" s="131"/>
      <c r="B277" s="131"/>
    </row>
    <row r="278" spans="1:2" x14ac:dyDescent="0.2">
      <c r="A278" s="131"/>
      <c r="B278" s="131"/>
    </row>
    <row r="279" spans="1:2" x14ac:dyDescent="0.2">
      <c r="A279" s="131"/>
      <c r="B279" s="131"/>
    </row>
    <row r="280" spans="1:2" x14ac:dyDescent="0.2">
      <c r="A280" s="131"/>
      <c r="B280" s="131"/>
    </row>
    <row r="281" spans="1:2" x14ac:dyDescent="0.2">
      <c r="A281" s="131"/>
      <c r="B281" s="131"/>
    </row>
    <row r="282" spans="1:2" x14ac:dyDescent="0.2">
      <c r="A282" s="131"/>
      <c r="B282" s="131"/>
    </row>
    <row r="283" spans="1:2" x14ac:dyDescent="0.2">
      <c r="A283" s="131"/>
      <c r="B283" s="131"/>
    </row>
    <row r="284" spans="1:2" x14ac:dyDescent="0.2">
      <c r="A284" s="131"/>
      <c r="B284" s="131"/>
    </row>
    <row r="285" spans="1:2" x14ac:dyDescent="0.2">
      <c r="A285" s="131"/>
      <c r="B285" s="131"/>
    </row>
    <row r="286" spans="1:2" x14ac:dyDescent="0.2">
      <c r="A286" s="131"/>
      <c r="B286" s="131"/>
    </row>
    <row r="287" spans="1:2" x14ac:dyDescent="0.2">
      <c r="A287" s="131"/>
      <c r="B287" s="131"/>
    </row>
    <row r="288" spans="1:2" x14ac:dyDescent="0.2">
      <c r="A288" s="131"/>
      <c r="B288" s="131"/>
    </row>
    <row r="289" spans="1:2" x14ac:dyDescent="0.2">
      <c r="A289" s="131"/>
      <c r="B289" s="131"/>
    </row>
    <row r="290" spans="1:2" x14ac:dyDescent="0.2">
      <c r="A290" s="131"/>
      <c r="B290" s="131"/>
    </row>
    <row r="291" spans="1:2" x14ac:dyDescent="0.2">
      <c r="A291" s="131"/>
      <c r="B291" s="131"/>
    </row>
    <row r="292" spans="1:2" x14ac:dyDescent="0.2">
      <c r="A292" s="131"/>
      <c r="B292" s="131"/>
    </row>
    <row r="293" spans="1:2" x14ac:dyDescent="0.2">
      <c r="A293" s="131"/>
      <c r="B293" s="131"/>
    </row>
    <row r="294" spans="1:2" x14ac:dyDescent="0.2">
      <c r="A294" s="131"/>
      <c r="B294" s="131"/>
    </row>
    <row r="295" spans="1:2" x14ac:dyDescent="0.2">
      <c r="A295" s="131"/>
      <c r="B295" s="131"/>
    </row>
    <row r="296" spans="1:2" x14ac:dyDescent="0.2">
      <c r="A296" s="131"/>
      <c r="B296" s="131"/>
    </row>
    <row r="297" spans="1:2" x14ac:dyDescent="0.2">
      <c r="A297" s="131"/>
      <c r="B297" s="131"/>
    </row>
    <row r="298" spans="1:2" x14ac:dyDescent="0.2">
      <c r="A298" s="131"/>
      <c r="B298" s="131"/>
    </row>
    <row r="299" spans="1:2" x14ac:dyDescent="0.2">
      <c r="A299" s="131"/>
      <c r="B299" s="131"/>
    </row>
    <row r="300" spans="1:2" x14ac:dyDescent="0.2">
      <c r="A300" s="131"/>
      <c r="B300" s="131"/>
    </row>
    <row r="301" spans="1:2" x14ac:dyDescent="0.2">
      <c r="A301" s="131"/>
      <c r="B301" s="131"/>
    </row>
    <row r="302" spans="1:2" x14ac:dyDescent="0.2">
      <c r="A302" s="131"/>
      <c r="B302" s="131"/>
    </row>
    <row r="303" spans="1:2" x14ac:dyDescent="0.2">
      <c r="A303" s="131"/>
      <c r="B303" s="131"/>
    </row>
    <row r="304" spans="1:2" x14ac:dyDescent="0.2">
      <c r="A304" s="131"/>
      <c r="B304" s="131"/>
    </row>
    <row r="305" spans="1:2" x14ac:dyDescent="0.2">
      <c r="A305" s="131"/>
      <c r="B305" s="131"/>
    </row>
    <row r="306" spans="1:2" x14ac:dyDescent="0.2">
      <c r="A306" s="131"/>
      <c r="B306" s="131"/>
    </row>
    <row r="307" spans="1:2" x14ac:dyDescent="0.2">
      <c r="A307" s="131"/>
      <c r="B307" s="131"/>
    </row>
    <row r="308" spans="1:2" x14ac:dyDescent="0.2">
      <c r="A308" s="131"/>
      <c r="B308" s="131"/>
    </row>
    <row r="309" spans="1:2" x14ac:dyDescent="0.2">
      <c r="A309" s="131"/>
      <c r="B309" s="131"/>
    </row>
    <row r="310" spans="1:2" x14ac:dyDescent="0.2">
      <c r="A310" s="131"/>
      <c r="B310" s="131"/>
    </row>
    <row r="311" spans="1:2" x14ac:dyDescent="0.2">
      <c r="A311" s="131"/>
      <c r="B311" s="131"/>
    </row>
    <row r="312" spans="1:2" x14ac:dyDescent="0.2">
      <c r="A312" s="131"/>
      <c r="B312" s="131"/>
    </row>
    <row r="313" spans="1:2" x14ac:dyDescent="0.2">
      <c r="A313" s="131"/>
      <c r="B313" s="131"/>
    </row>
    <row r="314" spans="1:2" x14ac:dyDescent="0.2">
      <c r="A314" s="131"/>
      <c r="B314" s="131"/>
    </row>
    <row r="315" spans="1:2" x14ac:dyDescent="0.2">
      <c r="A315" s="131"/>
      <c r="B315" s="131"/>
    </row>
    <row r="316" spans="1:2" x14ac:dyDescent="0.2">
      <c r="A316" s="131"/>
      <c r="B316" s="131"/>
    </row>
    <row r="317" spans="1:2" x14ac:dyDescent="0.2">
      <c r="A317" s="131"/>
      <c r="B317" s="131"/>
    </row>
    <row r="318" spans="1:2" x14ac:dyDescent="0.2">
      <c r="A318" s="131"/>
      <c r="B318" s="131"/>
    </row>
    <row r="319" spans="1:2" x14ac:dyDescent="0.2">
      <c r="A319" s="131"/>
      <c r="B319" s="131"/>
    </row>
    <row r="320" spans="1:2" x14ac:dyDescent="0.2">
      <c r="A320" s="131"/>
      <c r="B320" s="131"/>
    </row>
    <row r="321" spans="1:2" x14ac:dyDescent="0.2">
      <c r="A321" s="131"/>
      <c r="B321" s="131"/>
    </row>
    <row r="322" spans="1:2" x14ac:dyDescent="0.2">
      <c r="A322" s="131"/>
      <c r="B322" s="131"/>
    </row>
    <row r="323" spans="1:2" x14ac:dyDescent="0.2">
      <c r="A323" s="131"/>
      <c r="B323" s="131"/>
    </row>
    <row r="324" spans="1:2" x14ac:dyDescent="0.2">
      <c r="A324" s="131"/>
      <c r="B324" s="131"/>
    </row>
    <row r="325" spans="1:2" x14ac:dyDescent="0.2">
      <c r="A325" s="131"/>
      <c r="B325" s="131"/>
    </row>
    <row r="326" spans="1:2" x14ac:dyDescent="0.2">
      <c r="A326" s="131"/>
      <c r="B326" s="131"/>
    </row>
    <row r="327" spans="1:2" x14ac:dyDescent="0.2">
      <c r="A327" s="131"/>
      <c r="B327" s="131"/>
    </row>
    <row r="328" spans="1:2" x14ac:dyDescent="0.2">
      <c r="A328" s="131"/>
      <c r="B328" s="131"/>
    </row>
    <row r="329" spans="1:2" x14ac:dyDescent="0.2">
      <c r="A329" s="131"/>
      <c r="B329" s="131"/>
    </row>
    <row r="330" spans="1:2" x14ac:dyDescent="0.2">
      <c r="A330" s="131"/>
      <c r="B330" s="131"/>
    </row>
    <row r="331" spans="1:2" x14ac:dyDescent="0.2">
      <c r="A331" s="131"/>
      <c r="B331" s="131"/>
    </row>
    <row r="332" spans="1:2" x14ac:dyDescent="0.2">
      <c r="A332" s="131"/>
      <c r="B332" s="131"/>
    </row>
    <row r="333" spans="1:2" x14ac:dyDescent="0.2">
      <c r="A333" s="131"/>
      <c r="B333" s="131"/>
    </row>
    <row r="334" spans="1:2" x14ac:dyDescent="0.2">
      <c r="A334" s="131"/>
      <c r="B334" s="131"/>
    </row>
    <row r="335" spans="1:2" x14ac:dyDescent="0.2">
      <c r="A335" s="131"/>
      <c r="B335" s="131"/>
    </row>
    <row r="336" spans="1:2" x14ac:dyDescent="0.2">
      <c r="A336" s="131"/>
      <c r="B336" s="131"/>
    </row>
    <row r="337" spans="1:2" x14ac:dyDescent="0.2">
      <c r="A337" s="131"/>
      <c r="B337" s="131"/>
    </row>
    <row r="338" spans="1:2" x14ac:dyDescent="0.2">
      <c r="A338" s="131"/>
      <c r="B338" s="131"/>
    </row>
    <row r="339" spans="1:2" x14ac:dyDescent="0.2">
      <c r="A339" s="131"/>
      <c r="B339" s="131"/>
    </row>
    <row r="340" spans="1:2" x14ac:dyDescent="0.2">
      <c r="A340" s="131"/>
      <c r="B340" s="131"/>
    </row>
    <row r="341" spans="1:2" x14ac:dyDescent="0.2">
      <c r="A341" s="131"/>
      <c r="B341" s="131"/>
    </row>
    <row r="342" spans="1:2" x14ac:dyDescent="0.2">
      <c r="A342" s="131"/>
      <c r="B342" s="131"/>
    </row>
    <row r="343" spans="1:2" x14ac:dyDescent="0.2">
      <c r="A343" s="131"/>
      <c r="B343" s="131"/>
    </row>
    <row r="344" spans="1:2" x14ac:dyDescent="0.2">
      <c r="A344" s="131"/>
      <c r="B344" s="131"/>
    </row>
    <row r="345" spans="1:2" x14ac:dyDescent="0.2">
      <c r="A345" s="131"/>
      <c r="B345" s="131"/>
    </row>
    <row r="346" spans="1:2" x14ac:dyDescent="0.2">
      <c r="A346" s="131"/>
      <c r="B346" s="131"/>
    </row>
    <row r="347" spans="1:2" x14ac:dyDescent="0.2">
      <c r="A347" s="131"/>
      <c r="B347" s="131"/>
    </row>
    <row r="348" spans="1:2" x14ac:dyDescent="0.2">
      <c r="A348" s="131"/>
      <c r="B348" s="131"/>
    </row>
    <row r="349" spans="1:2" x14ac:dyDescent="0.2">
      <c r="A349" s="131"/>
      <c r="B349" s="131"/>
    </row>
    <row r="350" spans="1:2" x14ac:dyDescent="0.2">
      <c r="A350" s="131"/>
      <c r="B350" s="131"/>
    </row>
    <row r="351" spans="1:2" x14ac:dyDescent="0.2">
      <c r="A351" s="131"/>
      <c r="B351" s="131"/>
    </row>
    <row r="352" spans="1:2" x14ac:dyDescent="0.2">
      <c r="A352" s="131"/>
      <c r="B352" s="131"/>
    </row>
    <row r="353" spans="1:2" x14ac:dyDescent="0.2">
      <c r="A353" s="131"/>
      <c r="B353" s="131"/>
    </row>
    <row r="354" spans="1:2" x14ac:dyDescent="0.2">
      <c r="A354" s="131"/>
      <c r="B354" s="131"/>
    </row>
    <row r="355" spans="1:2" x14ac:dyDescent="0.2">
      <c r="A355" s="131"/>
      <c r="B355" s="131"/>
    </row>
    <row r="356" spans="1:2" x14ac:dyDescent="0.2">
      <c r="A356" s="131"/>
      <c r="B356" s="131"/>
    </row>
    <row r="357" spans="1:2" x14ac:dyDescent="0.2">
      <c r="A357" s="131"/>
      <c r="B357" s="131"/>
    </row>
    <row r="358" spans="1:2" x14ac:dyDescent="0.2">
      <c r="A358" s="131"/>
      <c r="B358" s="131"/>
    </row>
    <row r="359" spans="1:2" x14ac:dyDescent="0.2">
      <c r="A359" s="131"/>
      <c r="B359" s="131"/>
    </row>
    <row r="360" spans="1:2" x14ac:dyDescent="0.2">
      <c r="A360" s="131"/>
      <c r="B360" s="131"/>
    </row>
    <row r="361" spans="1:2" x14ac:dyDescent="0.2">
      <c r="A361" s="131"/>
      <c r="B361" s="131"/>
    </row>
    <row r="362" spans="1:2" x14ac:dyDescent="0.2">
      <c r="A362" s="131"/>
      <c r="B362" s="131"/>
    </row>
    <row r="363" spans="1:2" x14ac:dyDescent="0.2">
      <c r="A363" s="131"/>
      <c r="B363" s="131"/>
    </row>
    <row r="364" spans="1:2" x14ac:dyDescent="0.2">
      <c r="A364" s="131"/>
      <c r="B364" s="131"/>
    </row>
    <row r="365" spans="1:2" x14ac:dyDescent="0.2">
      <c r="A365" s="131"/>
      <c r="B365" s="131"/>
    </row>
    <row r="366" spans="1:2" x14ac:dyDescent="0.2">
      <c r="A366" s="131"/>
      <c r="B366" s="131"/>
    </row>
    <row r="367" spans="1:2" x14ac:dyDescent="0.2">
      <c r="A367" s="131"/>
      <c r="B367" s="131"/>
    </row>
    <row r="368" spans="1:2" x14ac:dyDescent="0.2">
      <c r="A368" s="131"/>
      <c r="B368" s="131"/>
    </row>
    <row r="369" spans="1:2" x14ac:dyDescent="0.2">
      <c r="A369" s="131"/>
      <c r="B369" s="131"/>
    </row>
    <row r="370" spans="1:2" x14ac:dyDescent="0.2">
      <c r="A370" s="131"/>
      <c r="B370" s="131"/>
    </row>
    <row r="371" spans="1:2" x14ac:dyDescent="0.2">
      <c r="A371" s="131"/>
      <c r="B371" s="131"/>
    </row>
    <row r="372" spans="1:2" x14ac:dyDescent="0.2">
      <c r="A372" s="131"/>
      <c r="B372" s="131"/>
    </row>
    <row r="373" spans="1:2" x14ac:dyDescent="0.2">
      <c r="A373" s="131"/>
      <c r="B373" s="131"/>
    </row>
    <row r="374" spans="1:2" x14ac:dyDescent="0.2">
      <c r="A374" s="131"/>
      <c r="B374" s="131"/>
    </row>
    <row r="375" spans="1:2" x14ac:dyDescent="0.2">
      <c r="A375" s="131"/>
      <c r="B375" s="131"/>
    </row>
    <row r="376" spans="1:2" x14ac:dyDescent="0.2">
      <c r="A376" s="131"/>
      <c r="B376" s="131"/>
    </row>
    <row r="377" spans="1:2" x14ac:dyDescent="0.2">
      <c r="A377" s="131"/>
      <c r="B377" s="131"/>
    </row>
    <row r="378" spans="1:2" x14ac:dyDescent="0.2">
      <c r="A378" s="131"/>
      <c r="B378" s="131"/>
    </row>
    <row r="379" spans="1:2" x14ac:dyDescent="0.2">
      <c r="A379" s="131"/>
      <c r="B379" s="131"/>
    </row>
    <row r="380" spans="1:2" x14ac:dyDescent="0.2">
      <c r="A380" s="131"/>
      <c r="B380" s="131"/>
    </row>
    <row r="381" spans="1:2" x14ac:dyDescent="0.2">
      <c r="A381" s="131"/>
      <c r="B381" s="131"/>
    </row>
    <row r="382" spans="1:2" x14ac:dyDescent="0.2">
      <c r="A382" s="131"/>
      <c r="B382" s="131"/>
    </row>
    <row r="383" spans="1:2" x14ac:dyDescent="0.2">
      <c r="A383" s="131"/>
      <c r="B383" s="131"/>
    </row>
    <row r="384" spans="1:2" x14ac:dyDescent="0.2">
      <c r="A384" s="131"/>
      <c r="B384" s="131"/>
    </row>
    <row r="385" spans="1:2" x14ac:dyDescent="0.2">
      <c r="A385" s="131"/>
      <c r="B385" s="131"/>
    </row>
    <row r="386" spans="1:2" x14ac:dyDescent="0.2">
      <c r="A386" s="131"/>
      <c r="B386" s="131"/>
    </row>
    <row r="387" spans="1:2" x14ac:dyDescent="0.2">
      <c r="A387" s="131"/>
      <c r="B387" s="131"/>
    </row>
    <row r="388" spans="1:2" x14ac:dyDescent="0.2">
      <c r="A388" s="131"/>
      <c r="B388" s="131"/>
    </row>
    <row r="389" spans="1:2" x14ac:dyDescent="0.2">
      <c r="A389" s="131"/>
      <c r="B389" s="131"/>
    </row>
    <row r="390" spans="1:2" x14ac:dyDescent="0.2">
      <c r="A390" s="131"/>
      <c r="B390" s="131"/>
    </row>
    <row r="391" spans="1:2" x14ac:dyDescent="0.2">
      <c r="A391" s="131"/>
      <c r="B391" s="131"/>
    </row>
    <row r="392" spans="1:2" x14ac:dyDescent="0.2">
      <c r="A392" s="131"/>
      <c r="B392" s="131"/>
    </row>
    <row r="393" spans="1:2" x14ac:dyDescent="0.2">
      <c r="A393" s="131"/>
      <c r="B393" s="131"/>
    </row>
    <row r="394" spans="1:2" x14ac:dyDescent="0.2">
      <c r="A394" s="131"/>
      <c r="B394" s="131"/>
    </row>
    <row r="395" spans="1:2" x14ac:dyDescent="0.2">
      <c r="A395" s="131"/>
      <c r="B395" s="131"/>
    </row>
    <row r="396" spans="1:2" x14ac:dyDescent="0.2">
      <c r="A396" s="131"/>
      <c r="B396" s="131"/>
    </row>
    <row r="397" spans="1:2" x14ac:dyDescent="0.2">
      <c r="A397" s="131"/>
      <c r="B397" s="131"/>
    </row>
    <row r="398" spans="1:2" x14ac:dyDescent="0.2">
      <c r="A398" s="131"/>
      <c r="B398" s="131"/>
    </row>
    <row r="399" spans="1:2" x14ac:dyDescent="0.2">
      <c r="A399" s="131"/>
      <c r="B399" s="131"/>
    </row>
    <row r="400" spans="1:2" x14ac:dyDescent="0.2">
      <c r="A400" s="131"/>
      <c r="B400" s="131"/>
    </row>
    <row r="401" spans="1:2" x14ac:dyDescent="0.2">
      <c r="A401" s="131"/>
      <c r="B401" s="131"/>
    </row>
    <row r="402" spans="1:2" x14ac:dyDescent="0.2">
      <c r="A402" s="131"/>
      <c r="B402" s="131"/>
    </row>
    <row r="403" spans="1:2" x14ac:dyDescent="0.2">
      <c r="A403" s="131"/>
      <c r="B403" s="131"/>
    </row>
    <row r="404" spans="1:2" x14ac:dyDescent="0.2">
      <c r="A404" s="131"/>
      <c r="B404" s="131"/>
    </row>
    <row r="405" spans="1:2" x14ac:dyDescent="0.2">
      <c r="A405" s="131"/>
      <c r="B405" s="131"/>
    </row>
    <row r="406" spans="1:2" x14ac:dyDescent="0.2">
      <c r="A406" s="131"/>
      <c r="B406" s="131"/>
    </row>
    <row r="407" spans="1:2" x14ac:dyDescent="0.2">
      <c r="A407" s="131"/>
      <c r="B407" s="131"/>
    </row>
    <row r="408" spans="1:2" x14ac:dyDescent="0.2">
      <c r="A408" s="131"/>
      <c r="B408" s="131"/>
    </row>
    <row r="409" spans="1:2" x14ac:dyDescent="0.2">
      <c r="A409" s="131"/>
      <c r="B409" s="131"/>
    </row>
    <row r="410" spans="1:2" x14ac:dyDescent="0.2">
      <c r="A410" s="131"/>
      <c r="B410" s="131"/>
    </row>
    <row r="411" spans="1:2" x14ac:dyDescent="0.2">
      <c r="A411" s="131"/>
      <c r="B411" s="131"/>
    </row>
    <row r="412" spans="1:2" x14ac:dyDescent="0.2">
      <c r="A412" s="131"/>
      <c r="B412" s="131"/>
    </row>
    <row r="413" spans="1:2" x14ac:dyDescent="0.2">
      <c r="A413" s="131"/>
      <c r="B413" s="131"/>
    </row>
    <row r="414" spans="1:2" x14ac:dyDescent="0.2">
      <c r="A414" s="131"/>
      <c r="B414" s="131"/>
    </row>
    <row r="415" spans="1:2" x14ac:dyDescent="0.2">
      <c r="A415" s="131"/>
      <c r="B415" s="131"/>
    </row>
    <row r="416" spans="1:2" x14ac:dyDescent="0.2">
      <c r="A416" s="131"/>
      <c r="B416" s="131"/>
    </row>
    <row r="417" spans="1:2" x14ac:dyDescent="0.2">
      <c r="A417" s="131"/>
      <c r="B417" s="131"/>
    </row>
    <row r="418" spans="1:2" x14ac:dyDescent="0.2">
      <c r="A418" s="131"/>
      <c r="B418" s="131"/>
    </row>
    <row r="419" spans="1:2" x14ac:dyDescent="0.2">
      <c r="A419" s="131"/>
      <c r="B419" s="131"/>
    </row>
    <row r="420" spans="1:2" x14ac:dyDescent="0.2">
      <c r="A420" s="131"/>
      <c r="B420" s="131"/>
    </row>
    <row r="421" spans="1:2" x14ac:dyDescent="0.2">
      <c r="A421" s="131"/>
      <c r="B421" s="131"/>
    </row>
    <row r="422" spans="1:2" x14ac:dyDescent="0.2">
      <c r="A422" s="131"/>
      <c r="B422" s="131"/>
    </row>
    <row r="423" spans="1:2" x14ac:dyDescent="0.2">
      <c r="A423" s="131"/>
      <c r="B423" s="131"/>
    </row>
    <row r="424" spans="1:2" x14ac:dyDescent="0.2">
      <c r="A424" s="131"/>
      <c r="B424" s="131"/>
    </row>
    <row r="425" spans="1:2" x14ac:dyDescent="0.2">
      <c r="A425" s="131"/>
      <c r="B425" s="131"/>
    </row>
    <row r="426" spans="1:2" x14ac:dyDescent="0.2">
      <c r="A426" s="131"/>
      <c r="B426" s="131"/>
    </row>
    <row r="427" spans="1:2" x14ac:dyDescent="0.2">
      <c r="A427" s="131"/>
      <c r="B427" s="131"/>
    </row>
    <row r="428" spans="1:2" x14ac:dyDescent="0.2">
      <c r="A428" s="131"/>
      <c r="B428" s="131"/>
    </row>
    <row r="429" spans="1:2" x14ac:dyDescent="0.2">
      <c r="A429" s="131"/>
      <c r="B429" s="131"/>
    </row>
    <row r="430" spans="1:2" x14ac:dyDescent="0.2">
      <c r="A430" s="131"/>
      <c r="B430" s="131"/>
    </row>
    <row r="431" spans="1:2" x14ac:dyDescent="0.2">
      <c r="A431" s="131"/>
      <c r="B431" s="131"/>
    </row>
    <row r="432" spans="1:2" x14ac:dyDescent="0.2">
      <c r="A432" s="131"/>
      <c r="B432" s="131"/>
    </row>
    <row r="433" spans="1:2" x14ac:dyDescent="0.2">
      <c r="A433" s="131"/>
      <c r="B433" s="131"/>
    </row>
    <row r="434" spans="1:2" x14ac:dyDescent="0.2">
      <c r="A434" s="131"/>
      <c r="B434" s="131"/>
    </row>
    <row r="435" spans="1:2" x14ac:dyDescent="0.2">
      <c r="A435" s="131"/>
      <c r="B435" s="131"/>
    </row>
    <row r="436" spans="1:2" x14ac:dyDescent="0.2">
      <c r="A436" s="131"/>
      <c r="B436" s="131"/>
    </row>
    <row r="437" spans="1:2" x14ac:dyDescent="0.2">
      <c r="A437" s="131"/>
      <c r="B437" s="131"/>
    </row>
    <row r="438" spans="1:2" x14ac:dyDescent="0.2">
      <c r="A438" s="131"/>
      <c r="B438" s="131"/>
    </row>
    <row r="439" spans="1:2" x14ac:dyDescent="0.2">
      <c r="A439" s="131"/>
      <c r="B439" s="131"/>
    </row>
    <row r="440" spans="1:2" x14ac:dyDescent="0.2">
      <c r="A440" s="131"/>
      <c r="B440" s="131"/>
    </row>
    <row r="441" spans="1:2" x14ac:dyDescent="0.2">
      <c r="A441" s="131"/>
      <c r="B441" s="131"/>
    </row>
    <row r="442" spans="1:2" x14ac:dyDescent="0.2">
      <c r="A442" s="131"/>
      <c r="B442" s="131"/>
    </row>
    <row r="443" spans="1:2" x14ac:dyDescent="0.2">
      <c r="A443" s="131"/>
      <c r="B443" s="131"/>
    </row>
    <row r="444" spans="1:2" x14ac:dyDescent="0.2">
      <c r="A444" s="131"/>
      <c r="B444" s="131"/>
    </row>
    <row r="445" spans="1:2" x14ac:dyDescent="0.2">
      <c r="A445" s="131"/>
      <c r="B445" s="131"/>
    </row>
    <row r="446" spans="1:2" x14ac:dyDescent="0.2">
      <c r="A446" s="131"/>
      <c r="B446" s="131"/>
    </row>
    <row r="447" spans="1:2" x14ac:dyDescent="0.2">
      <c r="A447" s="131"/>
      <c r="B447" s="131"/>
    </row>
    <row r="448" spans="1:2" x14ac:dyDescent="0.2">
      <c r="A448" s="131"/>
      <c r="B448" s="131"/>
    </row>
    <row r="449" spans="1:2" x14ac:dyDescent="0.2">
      <c r="A449" s="131"/>
      <c r="B449" s="131"/>
    </row>
    <row r="450" spans="1:2" x14ac:dyDescent="0.2">
      <c r="A450" s="131"/>
      <c r="B450" s="131"/>
    </row>
    <row r="451" spans="1:2" x14ac:dyDescent="0.2">
      <c r="A451" s="131"/>
      <c r="B451" s="131"/>
    </row>
    <row r="452" spans="1:2" x14ac:dyDescent="0.2">
      <c r="A452" s="131"/>
      <c r="B452" s="131"/>
    </row>
    <row r="453" spans="1:2" x14ac:dyDescent="0.2">
      <c r="A453" s="131"/>
      <c r="B453" s="131"/>
    </row>
    <row r="454" spans="1:2" x14ac:dyDescent="0.2">
      <c r="A454" s="131"/>
      <c r="B454" s="131"/>
    </row>
    <row r="455" spans="1:2" x14ac:dyDescent="0.2">
      <c r="A455" s="131"/>
      <c r="B455" s="131"/>
    </row>
    <row r="456" spans="1:2" x14ac:dyDescent="0.2">
      <c r="A456" s="131"/>
      <c r="B456" s="131"/>
    </row>
    <row r="457" spans="1:2" x14ac:dyDescent="0.2">
      <c r="A457" s="131"/>
      <c r="B457" s="131"/>
    </row>
    <row r="458" spans="1:2" x14ac:dyDescent="0.2">
      <c r="A458" s="131"/>
      <c r="B458" s="131"/>
    </row>
    <row r="459" spans="1:2" x14ac:dyDescent="0.2">
      <c r="A459" s="131"/>
      <c r="B459" s="131"/>
    </row>
    <row r="460" spans="1:2" x14ac:dyDescent="0.2">
      <c r="A460" s="131"/>
      <c r="B460" s="131"/>
    </row>
    <row r="461" spans="1:2" x14ac:dyDescent="0.2">
      <c r="A461" s="131"/>
      <c r="B461" s="131"/>
    </row>
    <row r="462" spans="1:2" x14ac:dyDescent="0.2">
      <c r="A462" s="131"/>
      <c r="B462" s="131"/>
    </row>
    <row r="463" spans="1:2" x14ac:dyDescent="0.2">
      <c r="A463" s="131"/>
      <c r="B463" s="131"/>
    </row>
    <row r="464" spans="1:2" x14ac:dyDescent="0.2">
      <c r="A464" s="131"/>
      <c r="B464" s="131"/>
    </row>
    <row r="465" spans="1:2" x14ac:dyDescent="0.2">
      <c r="A465" s="131"/>
      <c r="B465" s="131"/>
    </row>
    <row r="466" spans="1:2" x14ac:dyDescent="0.2">
      <c r="A466" s="131"/>
      <c r="B466" s="131"/>
    </row>
    <row r="467" spans="1:2" x14ac:dyDescent="0.2">
      <c r="A467" s="131"/>
      <c r="B467" s="131"/>
    </row>
    <row r="468" spans="1:2" x14ac:dyDescent="0.2">
      <c r="A468" s="131"/>
      <c r="B468" s="131"/>
    </row>
    <row r="469" spans="1:2" x14ac:dyDescent="0.2">
      <c r="A469" s="131"/>
      <c r="B469" s="131"/>
    </row>
    <row r="470" spans="1:2" x14ac:dyDescent="0.2">
      <c r="A470" s="131"/>
      <c r="B470" s="131"/>
    </row>
    <row r="471" spans="1:2" x14ac:dyDescent="0.2">
      <c r="A471" s="131"/>
      <c r="B471" s="131"/>
    </row>
    <row r="472" spans="1:2" x14ac:dyDescent="0.2">
      <c r="A472" s="131"/>
      <c r="B472" s="131"/>
    </row>
    <row r="473" spans="1:2" x14ac:dyDescent="0.2">
      <c r="A473" s="131"/>
      <c r="B473" s="131"/>
    </row>
    <row r="474" spans="1:2" x14ac:dyDescent="0.2">
      <c r="A474" s="131"/>
      <c r="B474" s="131"/>
    </row>
    <row r="475" spans="1:2" x14ac:dyDescent="0.2">
      <c r="A475" s="131"/>
      <c r="B475" s="131"/>
    </row>
    <row r="476" spans="1:2" x14ac:dyDescent="0.2">
      <c r="A476" s="131"/>
      <c r="B476" s="131"/>
    </row>
    <row r="477" spans="1:2" x14ac:dyDescent="0.2">
      <c r="A477" s="131"/>
      <c r="B477" s="131"/>
    </row>
    <row r="478" spans="1:2" x14ac:dyDescent="0.2">
      <c r="A478" s="131"/>
      <c r="B478" s="131"/>
    </row>
    <row r="479" spans="1:2" x14ac:dyDescent="0.2">
      <c r="A479" s="131"/>
      <c r="B479" s="131"/>
    </row>
    <row r="480" spans="1:2" x14ac:dyDescent="0.2">
      <c r="A480" s="131"/>
      <c r="B480" s="131"/>
    </row>
    <row r="481" spans="1:2" x14ac:dyDescent="0.2">
      <c r="A481" s="131"/>
      <c r="B481" s="131"/>
    </row>
    <row r="482" spans="1:2" x14ac:dyDescent="0.2">
      <c r="A482" s="131"/>
      <c r="B482" s="131"/>
    </row>
    <row r="483" spans="1:2" x14ac:dyDescent="0.2">
      <c r="A483" s="131"/>
      <c r="B483" s="131"/>
    </row>
    <row r="484" spans="1:2" x14ac:dyDescent="0.2">
      <c r="A484" s="131"/>
      <c r="B484" s="131"/>
    </row>
    <row r="485" spans="1:2" x14ac:dyDescent="0.2">
      <c r="A485" s="131"/>
      <c r="B485" s="131"/>
    </row>
    <row r="486" spans="1:2" x14ac:dyDescent="0.2">
      <c r="A486" s="131"/>
      <c r="B486" s="131"/>
    </row>
    <row r="487" spans="1:2" x14ac:dyDescent="0.2">
      <c r="A487" s="131"/>
      <c r="B487" s="131"/>
    </row>
    <row r="488" spans="1:2" x14ac:dyDescent="0.2">
      <c r="A488" s="131"/>
      <c r="B488" s="131"/>
    </row>
    <row r="489" spans="1:2" x14ac:dyDescent="0.2">
      <c r="A489" s="131"/>
      <c r="B489" s="131"/>
    </row>
    <row r="490" spans="1:2" x14ac:dyDescent="0.2">
      <c r="A490" s="131"/>
      <c r="B490" s="131"/>
    </row>
    <row r="491" spans="1:2" x14ac:dyDescent="0.2">
      <c r="A491" s="131"/>
      <c r="B491" s="131"/>
    </row>
    <row r="492" spans="1:2" x14ac:dyDescent="0.2">
      <c r="A492" s="131"/>
      <c r="B492" s="131"/>
    </row>
    <row r="493" spans="1:2" x14ac:dyDescent="0.2">
      <c r="A493" s="131"/>
      <c r="B493" s="131"/>
    </row>
    <row r="494" spans="1:2" x14ac:dyDescent="0.2">
      <c r="A494" s="131"/>
      <c r="B494" s="131"/>
    </row>
    <row r="495" spans="1:2" x14ac:dyDescent="0.2">
      <c r="A495" s="131"/>
      <c r="B495" s="131"/>
    </row>
    <row r="496" spans="1:2" x14ac:dyDescent="0.2">
      <c r="A496" s="131"/>
      <c r="B496" s="131"/>
    </row>
    <row r="497" spans="1:2" x14ac:dyDescent="0.2">
      <c r="A497" s="131"/>
      <c r="B497" s="131"/>
    </row>
    <row r="498" spans="1:2" x14ac:dyDescent="0.2">
      <c r="A498" s="131"/>
      <c r="B498" s="131"/>
    </row>
    <row r="499" spans="1:2" x14ac:dyDescent="0.2">
      <c r="A499" s="131"/>
      <c r="B499" s="131"/>
    </row>
    <row r="500" spans="1:2" x14ac:dyDescent="0.2">
      <c r="A500" s="131"/>
      <c r="B500" s="131"/>
    </row>
    <row r="501" spans="1:2" x14ac:dyDescent="0.2">
      <c r="A501" s="131"/>
      <c r="B501" s="131"/>
    </row>
    <row r="502" spans="1:2" x14ac:dyDescent="0.2">
      <c r="A502" s="131"/>
      <c r="B502" s="131"/>
    </row>
    <row r="503" spans="1:2" x14ac:dyDescent="0.2">
      <c r="A503" s="131"/>
      <c r="B503" s="131"/>
    </row>
    <row r="504" spans="1:2" x14ac:dyDescent="0.2">
      <c r="A504" s="131"/>
      <c r="B504" s="131"/>
    </row>
    <row r="505" spans="1:2" x14ac:dyDescent="0.2">
      <c r="A505" s="131"/>
      <c r="B505" s="131"/>
    </row>
    <row r="506" spans="1:2" x14ac:dyDescent="0.2">
      <c r="A506" s="131"/>
      <c r="B506" s="131"/>
    </row>
    <row r="507" spans="1:2" x14ac:dyDescent="0.2">
      <c r="A507" s="131"/>
      <c r="B507" s="131"/>
    </row>
    <row r="508" spans="1:2" x14ac:dyDescent="0.2">
      <c r="A508" s="131"/>
      <c r="B508" s="131"/>
    </row>
    <row r="509" spans="1:2" x14ac:dyDescent="0.2">
      <c r="A509" s="131"/>
      <c r="B509" s="131"/>
    </row>
    <row r="510" spans="1:2" x14ac:dyDescent="0.2">
      <c r="A510" s="131"/>
      <c r="B510" s="131"/>
    </row>
    <row r="511" spans="1:2" x14ac:dyDescent="0.2">
      <c r="A511" s="131"/>
      <c r="B511" s="131"/>
    </row>
    <row r="512" spans="1:2" x14ac:dyDescent="0.2">
      <c r="A512" s="131"/>
      <c r="B512" s="131"/>
    </row>
    <row r="513" spans="1:2" x14ac:dyDescent="0.2">
      <c r="A513" s="131"/>
      <c r="B513" s="131"/>
    </row>
    <row r="514" spans="1:2" x14ac:dyDescent="0.2">
      <c r="A514" s="131"/>
      <c r="B514" s="131"/>
    </row>
    <row r="515" spans="1:2" x14ac:dyDescent="0.2">
      <c r="A515" s="131"/>
      <c r="B515" s="131"/>
    </row>
    <row r="516" spans="1:2" x14ac:dyDescent="0.2">
      <c r="A516" s="131"/>
      <c r="B516" s="131"/>
    </row>
    <row r="517" spans="1:2" x14ac:dyDescent="0.2">
      <c r="A517" s="131"/>
      <c r="B517" s="131"/>
    </row>
    <row r="518" spans="1:2" x14ac:dyDescent="0.2">
      <c r="A518" s="131"/>
      <c r="B518" s="131"/>
    </row>
    <row r="519" spans="1:2" x14ac:dyDescent="0.2">
      <c r="A519" s="131"/>
      <c r="B519" s="131"/>
    </row>
    <row r="520" spans="1:2" x14ac:dyDescent="0.2">
      <c r="A520" s="131"/>
      <c r="B520" s="131"/>
    </row>
    <row r="521" spans="1:2" x14ac:dyDescent="0.2">
      <c r="A521" s="131"/>
      <c r="B521" s="131"/>
    </row>
    <row r="522" spans="1:2" x14ac:dyDescent="0.2">
      <c r="A522" s="131"/>
      <c r="B522" s="131"/>
    </row>
    <row r="523" spans="1:2" x14ac:dyDescent="0.2">
      <c r="A523" s="131"/>
      <c r="B523" s="131"/>
    </row>
    <row r="524" spans="1:2" x14ac:dyDescent="0.2">
      <c r="A524" s="131"/>
      <c r="B524" s="131"/>
    </row>
    <row r="525" spans="1:2" x14ac:dyDescent="0.2">
      <c r="A525" s="131"/>
      <c r="B525" s="131"/>
    </row>
    <row r="526" spans="1:2" x14ac:dyDescent="0.2">
      <c r="A526" s="131"/>
      <c r="B526" s="131"/>
    </row>
    <row r="527" spans="1:2" x14ac:dyDescent="0.2">
      <c r="A527" s="131"/>
      <c r="B527" s="131"/>
    </row>
    <row r="528" spans="1:2" x14ac:dyDescent="0.2">
      <c r="A528" s="131"/>
      <c r="B528" s="131"/>
    </row>
    <row r="529" spans="1:2" x14ac:dyDescent="0.2">
      <c r="A529" s="131"/>
      <c r="B529" s="131"/>
    </row>
    <row r="530" spans="1:2" x14ac:dyDescent="0.2">
      <c r="A530" s="131"/>
      <c r="B530" s="131"/>
    </row>
    <row r="531" spans="1:2" x14ac:dyDescent="0.2">
      <c r="A531" s="131"/>
      <c r="B531" s="131"/>
    </row>
    <row r="532" spans="1:2" x14ac:dyDescent="0.2">
      <c r="A532" s="131"/>
      <c r="B532" s="131"/>
    </row>
    <row r="533" spans="1:2" x14ac:dyDescent="0.2">
      <c r="A533" s="131"/>
      <c r="B533" s="131"/>
    </row>
    <row r="534" spans="1:2" x14ac:dyDescent="0.2">
      <c r="A534" s="131"/>
      <c r="B534" s="131"/>
    </row>
    <row r="535" spans="1:2" x14ac:dyDescent="0.2">
      <c r="A535" s="131"/>
      <c r="B535" s="131"/>
    </row>
    <row r="536" spans="1:2" x14ac:dyDescent="0.2">
      <c r="A536" s="131"/>
      <c r="B536" s="131"/>
    </row>
    <row r="537" spans="1:2" x14ac:dyDescent="0.2">
      <c r="A537" s="131"/>
      <c r="B537" s="131"/>
    </row>
    <row r="538" spans="1:2" x14ac:dyDescent="0.2">
      <c r="A538" s="131"/>
      <c r="B538" s="131"/>
    </row>
    <row r="539" spans="1:2" x14ac:dyDescent="0.2">
      <c r="A539" s="131"/>
      <c r="B539" s="131"/>
    </row>
    <row r="540" spans="1:2" x14ac:dyDescent="0.2">
      <c r="A540" s="131"/>
      <c r="B540" s="131"/>
    </row>
    <row r="541" spans="1:2" x14ac:dyDescent="0.2">
      <c r="A541" s="131"/>
      <c r="B541" s="131"/>
    </row>
    <row r="542" spans="1:2" x14ac:dyDescent="0.2">
      <c r="A542" s="131"/>
      <c r="B542" s="131"/>
    </row>
    <row r="543" spans="1:2" x14ac:dyDescent="0.2">
      <c r="A543" s="131"/>
      <c r="B543" s="131"/>
    </row>
    <row r="544" spans="1:2" x14ac:dyDescent="0.2">
      <c r="A544" s="131"/>
      <c r="B544" s="131"/>
    </row>
  </sheetData>
  <sheetProtection password="DFD3" sheet="1" objects="1" scenarios="1"/>
  <phoneticPr fontId="0" type="noConversion"/>
  <pageMargins left="0.75" right="0.75" top="1" bottom="1" header="0.5" footer="0.5"/>
  <pageSetup orientation="portrait" horizontalDpi="36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P146"/>
  <sheetViews>
    <sheetView workbookViewId="0">
      <selection activeCell="BN1" sqref="BN1"/>
    </sheetView>
  </sheetViews>
  <sheetFormatPr defaultRowHeight="12.75" x14ac:dyDescent="0.2"/>
  <cols>
    <col min="1" max="1" width="139.85546875" style="228" customWidth="1"/>
    <col min="2" max="2" width="58.28515625" customWidth="1"/>
    <col min="3" max="3" width="19" customWidth="1"/>
    <col min="4" max="5" width="14.140625" bestFit="1" customWidth="1"/>
    <col min="6" max="6" width="12.28515625" customWidth="1"/>
    <col min="7" max="7" width="13" customWidth="1"/>
    <col min="8" max="8" width="12" customWidth="1"/>
    <col min="9" max="9" width="12.7109375" customWidth="1"/>
    <col min="10" max="10" width="12.85546875" customWidth="1"/>
    <col min="12" max="12" width="12.85546875" customWidth="1"/>
    <col min="13" max="13" width="20.7109375" customWidth="1"/>
    <col min="14" max="14" width="14" bestFit="1" customWidth="1"/>
    <col min="15" max="15" width="15" bestFit="1" customWidth="1"/>
    <col min="16" max="16" width="15" customWidth="1"/>
    <col min="17" max="18" width="15" bestFit="1" customWidth="1"/>
    <col min="19" max="19" width="13.42578125" customWidth="1"/>
    <col min="23" max="23" width="9.28515625" bestFit="1" customWidth="1"/>
    <col min="25" max="25" width="23.140625" customWidth="1"/>
    <col min="26" max="26" width="16.85546875" customWidth="1"/>
    <col min="27" max="27" width="13.85546875" customWidth="1"/>
    <col min="28" max="28" width="12.42578125" customWidth="1"/>
    <col min="29" max="29" width="19.85546875" customWidth="1"/>
    <col min="30" max="30" width="12.28515625" customWidth="1"/>
    <col min="31" max="31" width="13.7109375" customWidth="1"/>
    <col min="33" max="33" width="12.5703125" customWidth="1"/>
    <col min="34" max="34" width="13.5703125" customWidth="1"/>
    <col min="36" max="36" width="16.5703125" customWidth="1"/>
    <col min="37" max="37" width="13.85546875" customWidth="1"/>
    <col min="38" max="38" width="12.7109375" bestFit="1" customWidth="1"/>
    <col min="39" max="39" width="14.5703125" customWidth="1"/>
    <col min="40" max="40" width="13.85546875" bestFit="1" customWidth="1"/>
    <col min="41" max="41" width="15.85546875" bestFit="1" customWidth="1"/>
    <col min="42" max="42" width="15.85546875" style="462" customWidth="1"/>
    <col min="43" max="43" width="12.85546875" bestFit="1" customWidth="1"/>
    <col min="44" max="44" width="12.85546875" style="462" customWidth="1"/>
    <col min="45" max="45" width="17.28515625" customWidth="1"/>
    <col min="46" max="46" width="12.85546875" customWidth="1"/>
    <col min="47" max="47" width="13.28515625" customWidth="1"/>
    <col min="48" max="48" width="13.140625" customWidth="1"/>
    <col min="50" max="50" width="10.7109375" style="131" customWidth="1"/>
    <col min="53" max="53" width="13.85546875" bestFit="1" customWidth="1"/>
    <col min="54" max="54" width="12.7109375" bestFit="1" customWidth="1"/>
    <col min="58" max="58" width="13.5703125" customWidth="1"/>
    <col min="60" max="60" width="9.85546875" customWidth="1"/>
    <col min="61" max="61" width="10.28515625" customWidth="1"/>
    <col min="63" max="63" width="10.140625" bestFit="1" customWidth="1"/>
    <col min="68" max="68" width="9.7109375" customWidth="1"/>
    <col min="77" max="77" width="11.7109375" customWidth="1"/>
    <col min="81" max="81" width="9.85546875" customWidth="1"/>
    <col min="86" max="86" width="10.5703125" customWidth="1"/>
    <col min="88" max="88" width="9.7109375" customWidth="1"/>
    <col min="92" max="92" width="10.5703125" bestFit="1" customWidth="1"/>
  </cols>
  <sheetData>
    <row r="1" spans="1:63" x14ac:dyDescent="0.2">
      <c r="A1" s="224"/>
      <c r="C1" s="10" t="s">
        <v>202</v>
      </c>
      <c r="E1" s="10"/>
      <c r="F1" s="221"/>
      <c r="G1" s="52"/>
      <c r="AA1" s="29"/>
      <c r="AB1" s="29"/>
      <c r="AC1" s="29"/>
      <c r="AD1" s="29"/>
      <c r="AE1" s="29"/>
    </row>
    <row r="2" spans="1:63" x14ac:dyDescent="0.2">
      <c r="A2" s="224"/>
      <c r="C2" s="10" t="str">
        <f>ProjectData!B19</f>
        <v>230 kV AC</v>
      </c>
      <c r="D2" s="10"/>
      <c r="E2" s="10"/>
      <c r="AA2" s="29"/>
      <c r="AB2" s="29"/>
      <c r="AC2" s="29"/>
      <c r="AD2" s="29"/>
      <c r="AE2" s="29"/>
    </row>
    <row r="3" spans="1:63" x14ac:dyDescent="0.2">
      <c r="A3" s="224"/>
      <c r="AA3" s="29"/>
      <c r="AB3" s="29"/>
      <c r="AC3" s="29"/>
      <c r="AD3" s="29"/>
      <c r="AE3" s="29"/>
      <c r="AI3" s="507" t="s">
        <v>472</v>
      </c>
    </row>
    <row r="4" spans="1:63" x14ac:dyDescent="0.2">
      <c r="A4" s="224"/>
      <c r="C4" t="s">
        <v>306</v>
      </c>
      <c r="D4" s="10" t="s">
        <v>318</v>
      </c>
      <c r="E4" s="438" t="s">
        <v>466</v>
      </c>
      <c r="F4" s="507"/>
      <c r="AA4" s="29"/>
      <c r="AB4" s="29"/>
      <c r="AC4" s="29"/>
      <c r="AD4" s="29"/>
      <c r="AE4" s="29"/>
      <c r="AG4" s="507" t="s">
        <v>537</v>
      </c>
      <c r="AH4" s="24" t="str">
        <f>ProjectData!B21</f>
        <v>Flat w/access</v>
      </c>
      <c r="AI4" s="154">
        <f>VLOOKUP($AH4,'Terrain and Pop Multipliers'!B9:C13,2)</f>
        <v>1</v>
      </c>
      <c r="AX4" s="171"/>
    </row>
    <row r="5" spans="1:63" ht="23.25" x14ac:dyDescent="0.35">
      <c r="A5" s="225" t="s">
        <v>220</v>
      </c>
      <c r="C5" s="10">
        <f>ProjectData!B36</f>
        <v>1</v>
      </c>
      <c r="D5" s="10">
        <f>ProjectData!B20</f>
        <v>20</v>
      </c>
      <c r="E5" s="10">
        <f>IF(ProjectData!B19="500 kV HVDC",2,0)</f>
        <v>0</v>
      </c>
      <c r="AA5" s="29"/>
      <c r="AB5" s="29"/>
      <c r="AC5" s="29"/>
      <c r="AD5" s="29"/>
      <c r="AE5" s="29"/>
      <c r="AG5" s="507" t="s">
        <v>538</v>
      </c>
      <c r="AH5" s="24" t="str">
        <f>ProjectData!B22</f>
        <v>Rural</v>
      </c>
      <c r="AI5" s="154">
        <f>VLOOKUP($AH5,'Terrain and Pop Multipliers'!B18:D20,2)</f>
        <v>1</v>
      </c>
      <c r="BA5" s="440"/>
      <c r="BB5" s="440"/>
      <c r="BC5" s="440"/>
      <c r="BD5" s="440"/>
      <c r="BE5" s="440"/>
      <c r="BF5" s="440"/>
      <c r="BG5" s="440"/>
    </row>
    <row r="6" spans="1:63" x14ac:dyDescent="0.2">
      <c r="A6" s="224"/>
      <c r="Z6" s="29"/>
      <c r="AA6" s="29"/>
      <c r="AB6" s="29"/>
      <c r="AC6" s="29"/>
      <c r="AD6" s="29"/>
      <c r="AE6" s="29"/>
      <c r="AG6" s="507" t="s">
        <v>536</v>
      </c>
      <c r="AH6">
        <f>ProjectData!B20</f>
        <v>20</v>
      </c>
      <c r="AI6" s="154">
        <f>'Terrain and Pop Multipliers'!C25</f>
        <v>1</v>
      </c>
      <c r="AZ6" s="13"/>
      <c r="BA6" s="24"/>
      <c r="BB6" s="24"/>
      <c r="BC6" s="24"/>
      <c r="BD6" s="24"/>
      <c r="BE6" s="24"/>
      <c r="BF6" s="24"/>
      <c r="BG6" s="24"/>
    </row>
    <row r="7" spans="1:63" ht="15.75" x14ac:dyDescent="0.25">
      <c r="A7" s="226" t="s">
        <v>221</v>
      </c>
      <c r="C7" s="10" t="s">
        <v>8</v>
      </c>
      <c r="D7" s="10" t="s">
        <v>4</v>
      </c>
      <c r="E7" s="31" t="s">
        <v>453</v>
      </c>
      <c r="Z7" s="11"/>
      <c r="AA7" s="29"/>
      <c r="AB7" s="29"/>
      <c r="AC7" s="29"/>
      <c r="AD7" s="29"/>
      <c r="AE7" s="29"/>
      <c r="AG7" t="s">
        <v>540</v>
      </c>
      <c r="AH7">
        <f>IF(ProjectData!B$24="Advanced",ProjectData!B33,ProjectData!Z33)</f>
        <v>1</v>
      </c>
      <c r="AX7" s="514"/>
      <c r="AZ7" s="13"/>
    </row>
    <row r="8" spans="1:63" ht="15" x14ac:dyDescent="0.2">
      <c r="A8" s="227"/>
      <c r="C8" s="10" t="s">
        <v>356</v>
      </c>
      <c r="D8" s="10" t="s">
        <v>98</v>
      </c>
      <c r="E8" s="31" t="s">
        <v>371</v>
      </c>
      <c r="Z8" s="10"/>
      <c r="AA8" s="29"/>
      <c r="AB8" s="29"/>
      <c r="AC8" s="29"/>
      <c r="AD8" s="29"/>
      <c r="AE8" s="29"/>
      <c r="AG8" s="507" t="s">
        <v>607</v>
      </c>
      <c r="AH8" s="626">
        <f>IF(ProjectData!B$24="Advanced",ProjectData!B34,ProjectData!Z34)</f>
        <v>1</v>
      </c>
      <c r="AZ8" s="13"/>
    </row>
    <row r="9" spans="1:63" ht="15.75" x14ac:dyDescent="0.25">
      <c r="A9" s="226" t="s">
        <v>222</v>
      </c>
      <c r="C9" s="113">
        <f>ProjectData!B48</f>
        <v>1.492971827174624</v>
      </c>
      <c r="D9" s="395">
        <f>+C9*D5</f>
        <v>29.859436543492478</v>
      </c>
      <c r="E9" s="528">
        <f>VLOOKUP(ProjectData!B19,ProjectData!U827:V833,2)</f>
        <v>230</v>
      </c>
      <c r="AA9" s="29"/>
      <c r="AB9" s="29"/>
      <c r="AC9" s="29"/>
      <c r="AD9" s="29"/>
      <c r="AE9" s="29"/>
      <c r="AG9" s="507" t="s">
        <v>610</v>
      </c>
      <c r="AH9" s="626">
        <f>IF(ProjectData!B$24="Advanced",ProjectData!B35+ProjectData!B37,ProjectData!Z35+ProjectData!Z37)</f>
        <v>3</v>
      </c>
      <c r="AZ9" s="13"/>
      <c r="BC9" s="441"/>
    </row>
    <row r="10" spans="1:63" ht="15.75" x14ac:dyDescent="0.25">
      <c r="A10" s="226"/>
      <c r="D10" s="10"/>
      <c r="Z10" s="207"/>
      <c r="AA10" s="29"/>
      <c r="AB10" s="29"/>
      <c r="AC10" s="29"/>
      <c r="AD10" s="29"/>
      <c r="AE10" s="29"/>
      <c r="AG10" s="507" t="s">
        <v>611</v>
      </c>
      <c r="AH10" s="626">
        <f>IF(ProjectData!B$24="Advanced",ProjectData!B36,ProjectData!Z36)</f>
        <v>1</v>
      </c>
      <c r="AJ10" s="131">
        <f>AJ33+AJ34+AJ35+AJ40+AJ41+AJ42</f>
        <v>2000000</v>
      </c>
      <c r="AZ10" s="13"/>
    </row>
    <row r="11" spans="1:63" ht="15.75" x14ac:dyDescent="0.25">
      <c r="A11" s="291" t="s">
        <v>223</v>
      </c>
      <c r="B11" s="72" t="s">
        <v>0</v>
      </c>
      <c r="C11" s="17"/>
      <c r="D11" s="1"/>
      <c r="G11" s="11" t="s">
        <v>168</v>
      </c>
      <c r="H11" s="11" t="s">
        <v>165</v>
      </c>
      <c r="I11" s="11" t="s">
        <v>166</v>
      </c>
      <c r="J11" s="11" t="s">
        <v>167</v>
      </c>
      <c r="AA11" s="89"/>
      <c r="AH11" s="519" t="str">
        <f>ProjectData!B$19</f>
        <v>230 kV AC</v>
      </c>
      <c r="AJ11" s="10" t="s">
        <v>363</v>
      </c>
      <c r="AK11" s="10" t="s">
        <v>364</v>
      </c>
      <c r="AL11" s="10" t="s">
        <v>365</v>
      </c>
      <c r="AM11" s="10" t="s">
        <v>366</v>
      </c>
      <c r="AN11" s="31" t="s">
        <v>417</v>
      </c>
      <c r="AO11" s="10" t="s">
        <v>362</v>
      </c>
      <c r="AP11" s="10" t="s">
        <v>367</v>
      </c>
      <c r="AQ11" s="10" t="s">
        <v>250</v>
      </c>
      <c r="AR11" s="10" t="s">
        <v>544</v>
      </c>
      <c r="AZ11" s="13"/>
    </row>
    <row r="12" spans="1:63" ht="15" x14ac:dyDescent="0.25">
      <c r="A12" s="224"/>
      <c r="B12" s="3"/>
      <c r="E12" s="1"/>
      <c r="G12" s="159">
        <v>30000</v>
      </c>
      <c r="H12" s="159">
        <v>100000</v>
      </c>
      <c r="I12" s="159">
        <v>300000</v>
      </c>
      <c r="J12" s="198">
        <v>400000</v>
      </c>
      <c r="Z12" s="61"/>
      <c r="AA12" s="61"/>
      <c r="AB12" s="61"/>
      <c r="AC12" s="61"/>
      <c r="AH12" s="500"/>
      <c r="AI12">
        <v>2</v>
      </c>
      <c r="AJ12" s="10">
        <v>2</v>
      </c>
      <c r="AK12" s="10">
        <v>3</v>
      </c>
      <c r="AL12" s="10">
        <v>4</v>
      </c>
      <c r="AM12" s="10">
        <v>5</v>
      </c>
      <c r="AN12" s="10">
        <v>6</v>
      </c>
      <c r="AO12" s="10">
        <v>1</v>
      </c>
      <c r="AP12">
        <v>7</v>
      </c>
      <c r="AZ12" s="13"/>
      <c r="BC12" s="24"/>
      <c r="BD12" s="24"/>
      <c r="BE12" s="24"/>
      <c r="BF12" s="24"/>
      <c r="BG12" s="24"/>
      <c r="BH12" s="24"/>
      <c r="BI12" s="24"/>
    </row>
    <row r="13" spans="1:63" ht="15" x14ac:dyDescent="0.25">
      <c r="A13" s="224"/>
      <c r="B13" s="3" t="s">
        <v>373</v>
      </c>
      <c r="C13" s="8"/>
      <c r="E13" s="11"/>
      <c r="F13" s="11" t="s">
        <v>163</v>
      </c>
      <c r="G13" s="11" t="s">
        <v>164</v>
      </c>
      <c r="H13" s="11" t="s">
        <v>164</v>
      </c>
      <c r="I13" s="11" t="s">
        <v>164</v>
      </c>
      <c r="J13" s="11" t="s">
        <v>164</v>
      </c>
      <c r="L13" s="11">
        <f>ProjectData!B17</f>
        <v>0</v>
      </c>
      <c r="X13" s="11"/>
      <c r="Z13" s="29"/>
      <c r="AA13" s="1"/>
      <c r="AB13" s="29"/>
      <c r="AC13" s="1"/>
      <c r="AD13" s="11"/>
      <c r="AE13" s="11"/>
      <c r="AG13" s="11" t="s">
        <v>608</v>
      </c>
      <c r="AH13" s="518">
        <f>HLOOKUP(AH$11,AJ$11:AQ$81,AI13)*AH6*AI$4*AI$5*AI$6</f>
        <v>15000000</v>
      </c>
      <c r="AI13">
        <f>AI12+1</f>
        <v>3</v>
      </c>
      <c r="AJ13" s="508">
        <v>500000</v>
      </c>
      <c r="AK13" s="508">
        <v>750000</v>
      </c>
      <c r="AL13" s="508">
        <v>1100000</v>
      </c>
      <c r="AM13" s="508">
        <v>1650000</v>
      </c>
      <c r="AN13" s="508">
        <v>1300000</v>
      </c>
      <c r="AO13" s="508">
        <v>350000</v>
      </c>
      <c r="AP13" s="508">
        <v>2100000</v>
      </c>
      <c r="AS13" s="507" t="s">
        <v>516</v>
      </c>
      <c r="AU13" s="10"/>
      <c r="AV13" s="10"/>
      <c r="BC13" s="13"/>
      <c r="BD13" s="13"/>
      <c r="BE13" s="13"/>
      <c r="BF13" s="13"/>
      <c r="BG13" s="13"/>
      <c r="BH13" s="13"/>
      <c r="BI13" s="13"/>
      <c r="BK13" s="8"/>
    </row>
    <row r="14" spans="1:63" ht="25.5" x14ac:dyDescent="0.3">
      <c r="A14" s="224"/>
      <c r="B14" s="3" t="s">
        <v>497</v>
      </c>
      <c r="C14" s="11" t="s">
        <v>64</v>
      </c>
      <c r="D14" s="575" t="s">
        <v>551</v>
      </c>
      <c r="E14" s="11"/>
      <c r="F14" s="29" t="s">
        <v>5</v>
      </c>
      <c r="G14" s="29" t="s">
        <v>5</v>
      </c>
      <c r="H14" s="29" t="s">
        <v>5</v>
      </c>
      <c r="I14" s="29" t="s">
        <v>5</v>
      </c>
      <c r="J14" s="29" t="s">
        <v>5</v>
      </c>
      <c r="N14">
        <v>30000</v>
      </c>
      <c r="Z14" s="1"/>
      <c r="AA14" s="1"/>
      <c r="AB14" s="1"/>
      <c r="AC14" s="1"/>
      <c r="AD14" s="11"/>
      <c r="AE14" s="11"/>
      <c r="AG14" s="11" t="s">
        <v>609</v>
      </c>
      <c r="AH14" s="518">
        <f>HLOOKUP(AH$11,AJ$11:AQ$81,AI14)</f>
        <v>5550000</v>
      </c>
      <c r="AI14">
        <f>AI13+1</f>
        <v>4</v>
      </c>
      <c r="AJ14" s="471">
        <f>(AJ33+AJ40)*$AH9+(AJ34+AJ41)*$AH8+(AJ35+AJ42)*$AH10</f>
        <v>3800000</v>
      </c>
      <c r="AK14" s="471">
        <f t="shared" ref="AK14:AN14" si="0">(AK33+AK40)*$AH9+(AK34+AK41)*$AH8+(AK35+AK42)*$AH10</f>
        <v>5550000</v>
      </c>
      <c r="AL14" s="471">
        <f t="shared" si="0"/>
        <v>10520000</v>
      </c>
      <c r="AM14" s="471">
        <f t="shared" si="0"/>
        <v>12970000</v>
      </c>
      <c r="AN14" s="471">
        <f t="shared" si="0"/>
        <v>0</v>
      </c>
      <c r="AO14" s="471">
        <f>(AO33+AO40)*$AH9+(AO34+AO41)*$AH8+(AO35+AO42)*$AH10</f>
        <v>3050000</v>
      </c>
      <c r="AP14" s="471">
        <f>(AP33+AP40)*$AH9+(AP34+AP41)*$AH8+(AP35+AP42)*$AH10</f>
        <v>17120000</v>
      </c>
      <c r="AQ14" s="433"/>
      <c r="AR14" s="433"/>
      <c r="AS14" s="478" t="s">
        <v>517</v>
      </c>
      <c r="AU14" s="434"/>
      <c r="AV14" s="434"/>
      <c r="BB14" s="13"/>
      <c r="BC14" s="13"/>
      <c r="BD14" s="13"/>
      <c r="BE14" s="13"/>
      <c r="BF14" s="13"/>
      <c r="BG14" s="13"/>
      <c r="BH14" s="13"/>
      <c r="BI14" s="13"/>
      <c r="BK14" s="8"/>
    </row>
    <row r="15" spans="1:63" s="439" customFormat="1" ht="17.25" x14ac:dyDescent="0.3">
      <c r="A15" s="224"/>
      <c r="B15" s="507" t="s">
        <v>625</v>
      </c>
      <c r="C15" s="69">
        <f>AH$13*D15</f>
        <v>375000</v>
      </c>
      <c r="D15" s="354">
        <f t="shared" ref="D15:D18" si="1">AH15</f>
        <v>2.5000000000000001E-2</v>
      </c>
      <c r="E15" s="464"/>
      <c r="F15" s="520">
        <f>IF(ProjectData!$B$16="United States",DefaultData!AR15,AQ15)</f>
        <v>0.5</v>
      </c>
      <c r="G15" s="520">
        <v>0.5</v>
      </c>
      <c r="H15" s="520">
        <v>0.5</v>
      </c>
      <c r="I15" s="520">
        <v>0.5</v>
      </c>
      <c r="J15" s="520">
        <v>0.5</v>
      </c>
      <c r="Z15" s="1"/>
      <c r="AA15" s="1"/>
      <c r="AB15" s="1"/>
      <c r="AC15" s="1"/>
      <c r="AD15" s="11"/>
      <c r="AE15" s="11"/>
      <c r="AG15" s="11"/>
      <c r="AH15" s="500">
        <f>HLOOKUP(AH$11,AJ$11:AQ$81,AI15)</f>
        <v>2.5000000000000001E-2</v>
      </c>
      <c r="AI15" s="439">
        <f t="shared" ref="AI15:AI78" si="2">AI14+1</f>
        <v>5</v>
      </c>
      <c r="AJ15" s="488">
        <v>0.04</v>
      </c>
      <c r="AK15" s="488">
        <v>2.5000000000000001E-2</v>
      </c>
      <c r="AL15" s="468">
        <v>0.02</v>
      </c>
      <c r="AM15" s="468">
        <v>1.4999999999999999E-2</v>
      </c>
      <c r="AN15" s="468">
        <v>1.4999999999999999E-2</v>
      </c>
      <c r="AO15" s="488">
        <v>5.5E-2</v>
      </c>
      <c r="AP15" s="468">
        <v>0.01</v>
      </c>
      <c r="AQ15" s="477">
        <v>0.5</v>
      </c>
      <c r="AR15" s="466">
        <v>1</v>
      </c>
      <c r="AS15" s="478" t="s">
        <v>518</v>
      </c>
      <c r="AU15" s="434"/>
      <c r="AV15" s="434"/>
      <c r="AX15" s="131"/>
      <c r="BB15" s="438"/>
      <c r="BC15" s="438"/>
      <c r="BD15" s="438"/>
      <c r="BE15" s="438"/>
      <c r="BF15" s="438"/>
      <c r="BG15" s="438"/>
      <c r="BH15" s="438"/>
      <c r="BI15" s="438"/>
      <c r="BK15" s="8"/>
    </row>
    <row r="16" spans="1:63" s="439" customFormat="1" ht="17.25" x14ac:dyDescent="0.3">
      <c r="A16" s="224"/>
      <c r="B16" s="507" t="s">
        <v>539</v>
      </c>
      <c r="C16" s="69">
        <f>ProjectData!C44*ProjectData!C45</f>
        <v>363636.36363636365</v>
      </c>
      <c r="D16" s="354">
        <f>C16/AH13</f>
        <v>2.4242424242424242E-2</v>
      </c>
      <c r="E16" s="464"/>
      <c r="F16" s="520">
        <f>IF(ProjectData!$B$16="United States",DefaultData!AR16,AQ16)</f>
        <v>1</v>
      </c>
      <c r="G16" s="520">
        <v>1</v>
      </c>
      <c r="H16" s="520">
        <v>1</v>
      </c>
      <c r="I16" s="520">
        <v>1</v>
      </c>
      <c r="J16" s="520">
        <v>1</v>
      </c>
      <c r="Z16" s="1"/>
      <c r="AA16" s="1"/>
      <c r="AB16" s="1"/>
      <c r="AC16" s="1"/>
      <c r="AD16" s="11"/>
      <c r="AE16" s="11"/>
      <c r="AG16" s="11"/>
      <c r="AH16" s="500">
        <f>HLOOKUP(AH$11,AJ$11:AQ$81,AI16)</f>
        <v>0.05</v>
      </c>
      <c r="AI16" s="439">
        <f t="shared" si="2"/>
        <v>6</v>
      </c>
      <c r="AJ16" s="488">
        <v>0.06</v>
      </c>
      <c r="AK16" s="488">
        <v>0.05</v>
      </c>
      <c r="AL16" s="468">
        <v>3.5000000000000003E-2</v>
      </c>
      <c r="AM16" s="468">
        <v>0.03</v>
      </c>
      <c r="AN16" s="468">
        <v>0.04</v>
      </c>
      <c r="AO16" s="488">
        <v>7.0000000000000007E-2</v>
      </c>
      <c r="AP16" s="468">
        <v>2.5000000000000001E-2</v>
      </c>
      <c r="AQ16" s="477">
        <v>1</v>
      </c>
      <c r="AR16" s="466">
        <v>1</v>
      </c>
      <c r="AS16" s="478" t="s">
        <v>519</v>
      </c>
      <c r="AU16" s="434"/>
      <c r="AV16" s="434"/>
      <c r="AX16" s="131"/>
      <c r="BB16" s="438"/>
      <c r="BC16" s="438"/>
      <c r="BD16" s="438"/>
      <c r="BE16" s="438"/>
      <c r="BF16" s="438"/>
      <c r="BG16" s="438"/>
      <c r="BH16" s="438"/>
      <c r="BI16" s="438"/>
      <c r="BK16" s="8"/>
    </row>
    <row r="17" spans="1:63" s="439" customFormat="1" ht="17.25" x14ac:dyDescent="0.3">
      <c r="A17" s="224"/>
      <c r="B17" s="438" t="s">
        <v>374</v>
      </c>
      <c r="C17" s="69">
        <f>AH$13*D17</f>
        <v>900000</v>
      </c>
      <c r="D17" s="354">
        <f t="shared" si="1"/>
        <v>0.06</v>
      </c>
      <c r="E17" s="464"/>
      <c r="F17" s="520">
        <f>IF(ProjectData!$B$16="United States",DefaultData!AR17,AQ17)</f>
        <v>0.2</v>
      </c>
      <c r="G17" s="520">
        <v>0</v>
      </c>
      <c r="H17" s="520">
        <v>0.2</v>
      </c>
      <c r="I17" s="520">
        <v>0.2</v>
      </c>
      <c r="J17" s="520">
        <v>0.2</v>
      </c>
      <c r="Z17" s="1"/>
      <c r="AA17" s="1"/>
      <c r="AB17" s="1"/>
      <c r="AC17" s="1"/>
      <c r="AD17" s="11"/>
      <c r="AE17" s="11"/>
      <c r="AG17" s="11"/>
      <c r="AH17" s="500">
        <f>HLOOKUP(AH$11,AJ$11:AQ$81,AI17)</f>
        <v>0.06</v>
      </c>
      <c r="AI17" s="439">
        <f t="shared" si="2"/>
        <v>7</v>
      </c>
      <c r="AJ17" s="488">
        <v>0.08</v>
      </c>
      <c r="AK17" s="488">
        <v>0.06</v>
      </c>
      <c r="AL17" s="468">
        <v>0.04</v>
      </c>
      <c r="AM17" s="468">
        <v>0.03</v>
      </c>
      <c r="AN17" s="468">
        <v>0.05</v>
      </c>
      <c r="AO17" s="488">
        <v>0.1</v>
      </c>
      <c r="AP17" s="468">
        <v>2.5000000000000001E-2</v>
      </c>
      <c r="AQ17" s="477">
        <v>0.2</v>
      </c>
      <c r="AR17" s="466">
        <v>1</v>
      </c>
      <c r="AS17" s="478" t="s">
        <v>520</v>
      </c>
      <c r="AU17" s="434"/>
      <c r="AV17" s="434"/>
      <c r="AX17" s="131"/>
      <c r="BB17" s="438"/>
      <c r="BC17" s="438"/>
      <c r="BD17" s="438"/>
      <c r="BE17" s="438"/>
      <c r="BF17" s="438"/>
      <c r="BG17" s="438"/>
      <c r="BH17" s="438"/>
      <c r="BI17" s="438"/>
      <c r="BK17" s="8"/>
    </row>
    <row r="18" spans="1:63" s="439" customFormat="1" ht="17.25" x14ac:dyDescent="0.3">
      <c r="A18" s="226" t="s">
        <v>224</v>
      </c>
      <c r="B18" s="438" t="s">
        <v>375</v>
      </c>
      <c r="C18" s="69">
        <f>AH$13*D18</f>
        <v>675000</v>
      </c>
      <c r="D18" s="354">
        <f t="shared" si="1"/>
        <v>4.4999999999999998E-2</v>
      </c>
      <c r="E18" s="464"/>
      <c r="F18" s="520">
        <f>IF(ProjectData!$B$16="United States",DefaultData!AR18,AQ18)</f>
        <v>0.15</v>
      </c>
      <c r="G18" s="520">
        <v>0</v>
      </c>
      <c r="H18" s="520">
        <v>0.15</v>
      </c>
      <c r="I18" s="520">
        <v>0.15</v>
      </c>
      <c r="J18" s="520">
        <v>0.15</v>
      </c>
      <c r="Z18" s="1"/>
      <c r="AA18" s="1"/>
      <c r="AB18" s="1"/>
      <c r="AC18" s="1"/>
      <c r="AD18" s="11"/>
      <c r="AE18" s="11"/>
      <c r="AG18" s="11"/>
      <c r="AH18" s="500">
        <f>HLOOKUP(AH$11,AJ$11:AQ$81,AI18)*'Line Config Data'!D45</f>
        <v>4.4999999999999998E-2</v>
      </c>
      <c r="AI18" s="439">
        <f t="shared" si="2"/>
        <v>8</v>
      </c>
      <c r="AJ18" s="488">
        <v>0.06</v>
      </c>
      <c r="AK18" s="488">
        <v>4.4999999999999998E-2</v>
      </c>
      <c r="AL18" s="468">
        <v>0.03</v>
      </c>
      <c r="AM18" s="468">
        <v>2.5000000000000001E-2</v>
      </c>
      <c r="AN18" s="468">
        <v>2.5000000000000001E-2</v>
      </c>
      <c r="AO18" s="488">
        <v>7.0000000000000007E-2</v>
      </c>
      <c r="AP18" s="468">
        <v>0.02</v>
      </c>
      <c r="AQ18" s="477">
        <v>0.15</v>
      </c>
      <c r="AR18" s="466">
        <v>1</v>
      </c>
      <c r="AS18" s="478" t="s">
        <v>521</v>
      </c>
      <c r="AU18" s="434"/>
      <c r="AV18" s="434"/>
      <c r="AX18" s="131"/>
      <c r="BB18" s="438"/>
      <c r="BC18" s="438"/>
      <c r="BD18" s="438"/>
      <c r="BE18" s="438"/>
      <c r="BF18" s="438"/>
      <c r="BG18" s="438"/>
      <c r="BH18" s="438"/>
      <c r="BI18" s="438"/>
      <c r="BK18" s="8"/>
    </row>
    <row r="19" spans="1:63" s="439" customFormat="1" ht="17.25" x14ac:dyDescent="0.3">
      <c r="A19" s="224"/>
      <c r="B19" s="438" t="s">
        <v>376</v>
      </c>
      <c r="C19" s="464">
        <f>SUM(C15:C18)</f>
        <v>2313636.3636363638</v>
      </c>
      <c r="D19" s="522">
        <f>SUM(D15:D18)</f>
        <v>0.15424242424242424</v>
      </c>
      <c r="E19" s="464"/>
      <c r="F19" s="11"/>
      <c r="G19" s="11"/>
      <c r="H19" s="11"/>
      <c r="I19" s="11"/>
      <c r="J19" s="11"/>
      <c r="Z19" s="1"/>
      <c r="AA19" s="1"/>
      <c r="AB19" s="1"/>
      <c r="AC19" s="1"/>
      <c r="AD19" s="11"/>
      <c r="AE19" s="11"/>
      <c r="AG19" s="11"/>
      <c r="AH19" s="500">
        <f>HLOOKUP(AH$11,AJ$11:AQ$81,AI19)</f>
        <v>0</v>
      </c>
      <c r="AI19" s="439">
        <f t="shared" si="2"/>
        <v>9</v>
      </c>
      <c r="AJ19" s="488"/>
      <c r="AK19" s="488"/>
      <c r="AL19" s="468"/>
      <c r="AM19" s="468"/>
      <c r="AN19" s="468"/>
      <c r="AO19" s="488"/>
      <c r="AP19" s="468"/>
      <c r="AQ19" s="479"/>
      <c r="AR19" s="479"/>
      <c r="AS19" s="478" t="s">
        <v>3</v>
      </c>
      <c r="AU19" s="434"/>
      <c r="AV19" s="434"/>
      <c r="AX19" s="131"/>
      <c r="BB19" s="438"/>
      <c r="BC19" s="438"/>
      <c r="BD19" s="438"/>
      <c r="BE19" s="438"/>
      <c r="BF19" s="438"/>
      <c r="BG19" s="438"/>
      <c r="BH19" s="438"/>
      <c r="BI19" s="438"/>
      <c r="BK19" s="8"/>
    </row>
    <row r="20" spans="1:63" s="439" customFormat="1" ht="17.25" x14ac:dyDescent="0.3">
      <c r="A20" s="224"/>
      <c r="B20" s="3" t="s">
        <v>496</v>
      </c>
      <c r="C20" s="11"/>
      <c r="D20" s="11"/>
      <c r="E20" s="11"/>
      <c r="F20" s="11"/>
      <c r="G20" s="11"/>
      <c r="H20" s="11"/>
      <c r="I20" s="11"/>
      <c r="J20" s="11"/>
      <c r="Z20" s="1"/>
      <c r="AA20" s="1"/>
      <c r="AB20" s="1"/>
      <c r="AC20" s="1"/>
      <c r="AD20" s="11"/>
      <c r="AE20" s="11"/>
      <c r="AG20" s="11"/>
      <c r="AH20" s="500">
        <f>HLOOKUP(AH$11,AJ$11:AQ$81,AI20)</f>
        <v>0</v>
      </c>
      <c r="AI20" s="462">
        <f t="shared" si="2"/>
        <v>10</v>
      </c>
      <c r="AJ20" s="488"/>
      <c r="AK20" s="488"/>
      <c r="AL20" s="468"/>
      <c r="AM20" s="468"/>
      <c r="AN20" s="468"/>
      <c r="AO20" s="488"/>
      <c r="AP20" s="468"/>
      <c r="AQ20" s="479"/>
      <c r="AR20" s="479"/>
      <c r="AS20" s="478" t="s">
        <v>522</v>
      </c>
      <c r="AU20" s="434"/>
      <c r="AV20" s="434"/>
      <c r="AX20" s="131"/>
      <c r="BB20" s="438"/>
      <c r="BC20" s="438"/>
      <c r="BD20" s="438"/>
      <c r="BE20" s="438"/>
      <c r="BF20" s="438"/>
      <c r="BG20" s="438"/>
      <c r="BH20" s="438"/>
      <c r="BI20" s="438"/>
      <c r="BK20" s="8"/>
    </row>
    <row r="21" spans="1:63" ht="15" x14ac:dyDescent="0.25">
      <c r="A21" s="224"/>
      <c r="B21" s="193" t="s">
        <v>199</v>
      </c>
      <c r="D21" s="11"/>
      <c r="E21" s="401"/>
      <c r="N21">
        <v>100000</v>
      </c>
      <c r="Q21">
        <v>300000</v>
      </c>
      <c r="T21">
        <v>400000</v>
      </c>
      <c r="W21" s="10"/>
      <c r="Y21" s="187"/>
      <c r="Z21" s="300"/>
      <c r="AA21" s="301"/>
      <c r="AB21" s="300"/>
      <c r="AC21" s="301"/>
      <c r="AD21" s="289"/>
      <c r="AE21" s="89"/>
      <c r="AH21" s="500">
        <f>HLOOKUP(AH$11,AJ$11:AQ$81,AI21)</f>
        <v>0</v>
      </c>
      <c r="AI21" s="462">
        <f t="shared" si="2"/>
        <v>11</v>
      </c>
      <c r="AJ21" s="504"/>
      <c r="AK21" s="504"/>
      <c r="AL21" s="468"/>
      <c r="AM21" s="468"/>
      <c r="AN21" s="468"/>
      <c r="AO21" s="504"/>
      <c r="AP21" s="468"/>
      <c r="AQ21" s="477"/>
      <c r="AR21" s="477"/>
      <c r="AS21" s="509" t="s">
        <v>199</v>
      </c>
      <c r="AU21" s="435"/>
      <c r="AV21" s="435"/>
      <c r="BB21" s="13"/>
    </row>
    <row r="22" spans="1:63" x14ac:dyDescent="0.2">
      <c r="A22" s="224"/>
      <c r="B22" s="408" t="s">
        <v>299</v>
      </c>
      <c r="C22" s="69">
        <f>AH$13*D22</f>
        <v>600000</v>
      </c>
      <c r="D22" s="354">
        <f>AH22</f>
        <v>0.04</v>
      </c>
      <c r="E22" s="464"/>
      <c r="F22" s="520">
        <f>IF(ProjectData!$B$16="United States",DefaultData!AR22,AQ22)</f>
        <v>1</v>
      </c>
      <c r="G22" s="85">
        <v>0</v>
      </c>
      <c r="H22" s="85">
        <v>1</v>
      </c>
      <c r="I22" s="85">
        <v>1</v>
      </c>
      <c r="J22" s="85">
        <f>F22</f>
        <v>1</v>
      </c>
      <c r="L22" s="37">
        <f>(L$13-G$12)/(H$12-G$12)</f>
        <v>-0.42857142857142855</v>
      </c>
      <c r="M22" s="85">
        <f>+H22-G22</f>
        <v>1</v>
      </c>
      <c r="N22" s="85">
        <f>G22+(M22*L22)</f>
        <v>-0.42857142857142855</v>
      </c>
      <c r="O22" s="199">
        <f>(L$13-H$12)/(I$12-H$12)</f>
        <v>-0.5</v>
      </c>
      <c r="P22" s="85">
        <f>I22-H22</f>
        <v>0</v>
      </c>
      <c r="Q22" s="85">
        <f>H22+(O22*P22)</f>
        <v>1</v>
      </c>
      <c r="R22" s="199">
        <f>IF((L$13-I$12)/(J$12-I$12)&gt;1,1,(L$13-I$12)/(J$12-I$12))</f>
        <v>-3</v>
      </c>
      <c r="S22" s="85">
        <f>J22-I22</f>
        <v>0</v>
      </c>
      <c r="T22" s="85">
        <f>I22+(R22*S22)</f>
        <v>1</v>
      </c>
      <c r="W22" s="196"/>
      <c r="X22" s="196"/>
      <c r="Y22" s="187"/>
      <c r="Z22" s="290"/>
      <c r="AA22" s="290"/>
      <c r="AB22" s="290"/>
      <c r="AC22" s="290"/>
      <c r="AD22" s="289"/>
      <c r="AE22" s="89"/>
      <c r="AF22" s="10"/>
      <c r="AH22" s="500">
        <f>IF(AH$7=2,HLOOKUP(AH$11,AJ$11:AQ$81,AI22)*'Line Config Data'!D$33,HLOOKUP(AH$11,AJ$11:AQ$81,AI22))</f>
        <v>0.04</v>
      </c>
      <c r="AI22" s="462">
        <f t="shared" si="2"/>
        <v>12</v>
      </c>
      <c r="AJ22" s="488">
        <v>0.04</v>
      </c>
      <c r="AK22" s="488">
        <v>0.04</v>
      </c>
      <c r="AL22" s="468">
        <v>0.03</v>
      </c>
      <c r="AM22" s="468">
        <v>0.03</v>
      </c>
      <c r="AN22" s="468">
        <v>0.03</v>
      </c>
      <c r="AO22" s="488">
        <v>0.04</v>
      </c>
      <c r="AP22" s="468">
        <v>0.03</v>
      </c>
      <c r="AQ22" s="477">
        <v>1</v>
      </c>
      <c r="AR22" s="466">
        <v>1</v>
      </c>
      <c r="AS22" s="509" t="s">
        <v>299</v>
      </c>
      <c r="AU22" s="353"/>
      <c r="AV22" s="353"/>
    </row>
    <row r="23" spans="1:63" x14ac:dyDescent="0.2">
      <c r="A23" s="224"/>
      <c r="B23" s="408" t="s">
        <v>300</v>
      </c>
      <c r="C23" s="69">
        <f t="shared" ref="C23:C24" si="3">AH$13*D23</f>
        <v>4950000</v>
      </c>
      <c r="D23" s="354">
        <f>AH23</f>
        <v>0.33</v>
      </c>
      <c r="E23" s="464"/>
      <c r="F23" s="520">
        <f>IF(ProjectData!$B$16="United States",DefaultData!AR23,AQ23)</f>
        <v>0</v>
      </c>
      <c r="G23" s="85">
        <v>0</v>
      </c>
      <c r="H23" s="85">
        <v>0</v>
      </c>
      <c r="I23" s="85">
        <v>0</v>
      </c>
      <c r="J23" s="85">
        <f>F23</f>
        <v>0</v>
      </c>
      <c r="L23" s="37">
        <f>(L$13-G$12)/(H$12-G$12)</f>
        <v>-0.42857142857142855</v>
      </c>
      <c r="M23" s="85">
        <f>+H23-G23</f>
        <v>0</v>
      </c>
      <c r="N23" s="85">
        <f>G23+(M23*L23)</f>
        <v>0</v>
      </c>
      <c r="O23" s="199">
        <f>(L$13-H$12)/(I$12-H$12)</f>
        <v>-0.5</v>
      </c>
      <c r="P23" s="85">
        <f>I23-H23</f>
        <v>0</v>
      </c>
      <c r="Q23" s="85">
        <f>H23+(O23*P23)</f>
        <v>0</v>
      </c>
      <c r="R23" s="199">
        <f>IF((L$13-I$12)/(J$12-I$12)&gt;1,1,(L$13-I$12)/(J$12-I$12))</f>
        <v>-3</v>
      </c>
      <c r="S23" s="85">
        <f>J23-I23</f>
        <v>0</v>
      </c>
      <c r="T23" s="85">
        <f>I23+(R23*S23)</f>
        <v>0</v>
      </c>
      <c r="W23" s="196"/>
      <c r="X23" s="196"/>
      <c r="Y23" s="187"/>
      <c r="Z23" s="290"/>
      <c r="AA23" s="290"/>
      <c r="AB23" s="290"/>
      <c r="AC23" s="290"/>
      <c r="AD23" s="289"/>
      <c r="AE23" s="89"/>
      <c r="AF23" s="10"/>
      <c r="AG23" s="10"/>
      <c r="AH23" s="500">
        <f>IF(AH$7=2,HLOOKUP(AH$11,AJ$11:AQ$81,AI23)*'Line Config Data'!D$33,HLOOKUP(AH$11,AJ$11:AQ$81,AI23))</f>
        <v>0.33</v>
      </c>
      <c r="AI23" s="462">
        <f t="shared" si="2"/>
        <v>13</v>
      </c>
      <c r="AJ23" s="488">
        <v>0.33</v>
      </c>
      <c r="AK23" s="488">
        <v>0.33</v>
      </c>
      <c r="AL23" s="501">
        <v>0.2</v>
      </c>
      <c r="AM23" s="501">
        <v>0.2</v>
      </c>
      <c r="AN23" s="501">
        <v>0.2</v>
      </c>
      <c r="AO23" s="488">
        <v>0.33</v>
      </c>
      <c r="AP23" s="468">
        <v>0.2</v>
      </c>
      <c r="AQ23" s="477">
        <v>0</v>
      </c>
      <c r="AR23" s="466">
        <v>1</v>
      </c>
      <c r="AS23" s="509" t="s">
        <v>300</v>
      </c>
      <c r="AU23" s="353"/>
      <c r="AV23" s="353"/>
      <c r="BA23" s="8"/>
      <c r="BB23" s="8"/>
    </row>
    <row r="24" spans="1:63" x14ac:dyDescent="0.2">
      <c r="A24" s="224"/>
      <c r="B24" s="408" t="s">
        <v>501</v>
      </c>
      <c r="C24" s="69">
        <f t="shared" si="3"/>
        <v>3300000</v>
      </c>
      <c r="D24" s="354">
        <f>AH24</f>
        <v>0.22</v>
      </c>
      <c r="E24" s="464"/>
      <c r="F24" s="520">
        <f>IF(ProjectData!$B$16="United States",DefaultData!AR24,AQ24)</f>
        <v>0</v>
      </c>
      <c r="G24" s="85">
        <v>0</v>
      </c>
      <c r="H24" s="85">
        <v>0</v>
      </c>
      <c r="I24" s="85">
        <v>0</v>
      </c>
      <c r="J24" s="85">
        <v>0</v>
      </c>
      <c r="L24" s="37">
        <f>(L$13-G$12)/(H$12-G$12)</f>
        <v>-0.42857142857142855</v>
      </c>
      <c r="M24" s="85">
        <f>+H24-G24</f>
        <v>0</v>
      </c>
      <c r="N24" s="85">
        <f>G24+(M24*L24)</f>
        <v>0</v>
      </c>
      <c r="O24" s="199">
        <f>(L$13-H$12)/(I$12-H$12)</f>
        <v>-0.5</v>
      </c>
      <c r="P24" s="85">
        <f>I24-H24</f>
        <v>0</v>
      </c>
      <c r="Q24" s="85">
        <f>H24+(O24*P24)</f>
        <v>0</v>
      </c>
      <c r="R24" s="199">
        <f>IF((L$13-I$12)/(J$12-I$12)&gt;1,1,(L$13-I$12)/(J$12-I$12))</f>
        <v>-3</v>
      </c>
      <c r="S24" s="85">
        <f>J24-I24</f>
        <v>0</v>
      </c>
      <c r="T24" s="85">
        <f>I24+(R24*S24)</f>
        <v>0</v>
      </c>
      <c r="W24" s="196"/>
      <c r="X24" s="196"/>
      <c r="Y24" s="187"/>
      <c r="Z24" s="290"/>
      <c r="AA24" s="290"/>
      <c r="AB24" s="290"/>
      <c r="AC24" s="290"/>
      <c r="AD24" s="289"/>
      <c r="AE24" s="89"/>
      <c r="AF24" s="10"/>
      <c r="AG24" s="10"/>
      <c r="AH24" s="500">
        <f>IF(AH$7=2,HLOOKUP(AH$11,AJ$11:AQ$81,AI24)*'Line Config Data'!D$29,HLOOKUP(AH$11,AJ$11:AQ$81,AI24))</f>
        <v>0.22</v>
      </c>
      <c r="AI24" s="462">
        <f t="shared" si="2"/>
        <v>14</v>
      </c>
      <c r="AJ24" s="488">
        <v>0.22</v>
      </c>
      <c r="AK24" s="488">
        <v>0.22</v>
      </c>
      <c r="AL24" s="487">
        <v>0.28000000000000003</v>
      </c>
      <c r="AM24" s="487">
        <v>0.28000000000000003</v>
      </c>
      <c r="AN24" s="487">
        <v>0.28000000000000003</v>
      </c>
      <c r="AO24" s="488">
        <v>0.22</v>
      </c>
      <c r="AP24" s="468">
        <v>0.3</v>
      </c>
      <c r="AQ24" s="477">
        <v>0</v>
      </c>
      <c r="AR24" s="466">
        <v>1</v>
      </c>
      <c r="AS24" s="509" t="s">
        <v>523</v>
      </c>
      <c r="AU24" s="353"/>
      <c r="AV24" s="353"/>
      <c r="BA24" s="8"/>
      <c r="BB24" s="8"/>
    </row>
    <row r="25" spans="1:63" x14ac:dyDescent="0.2">
      <c r="A25" s="224"/>
      <c r="B25" s="409" t="s">
        <v>383</v>
      </c>
      <c r="C25" s="69">
        <f>SUM(C22:C24)</f>
        <v>8850000</v>
      </c>
      <c r="D25" s="354">
        <f>SUM(D22:D24)</f>
        <v>0.59</v>
      </c>
      <c r="E25" s="620"/>
      <c r="F25" s="7"/>
      <c r="L25" s="37"/>
      <c r="M25" s="85"/>
      <c r="N25" s="85"/>
      <c r="P25" s="85"/>
      <c r="Q25" s="85"/>
      <c r="R25" s="199"/>
      <c r="S25" s="85"/>
      <c r="T25" s="85"/>
      <c r="W25" s="196"/>
      <c r="X25" s="196"/>
      <c r="Y25" s="187"/>
      <c r="Z25" s="290"/>
      <c r="AA25" s="301"/>
      <c r="AB25" s="290"/>
      <c r="AC25" s="290"/>
      <c r="AD25" s="289"/>
      <c r="AE25" s="89"/>
      <c r="AG25" s="10"/>
      <c r="AH25" s="500">
        <f>HLOOKUP(AH$11,AJ$11:AQ$81,AI25)</f>
        <v>0</v>
      </c>
      <c r="AI25" s="462">
        <f t="shared" si="2"/>
        <v>15</v>
      </c>
      <c r="AJ25" s="467"/>
      <c r="AK25" s="467"/>
      <c r="AL25" s="469"/>
      <c r="AM25" s="469"/>
      <c r="AN25" s="469"/>
      <c r="AO25" s="467"/>
      <c r="AP25" s="468"/>
      <c r="AQ25" s="479"/>
      <c r="AR25" s="479"/>
      <c r="AS25" s="486" t="s">
        <v>1</v>
      </c>
      <c r="AU25" s="420"/>
      <c r="AV25" s="420"/>
      <c r="BA25" s="8"/>
      <c r="BB25" s="8"/>
    </row>
    <row r="26" spans="1:63" ht="15" x14ac:dyDescent="0.25">
      <c r="A26" s="224"/>
      <c r="B26" s="410" t="s">
        <v>304</v>
      </c>
      <c r="C26" s="69"/>
      <c r="D26" s="10"/>
      <c r="E26" s="404"/>
      <c r="F26" s="7"/>
      <c r="L26" s="37">
        <f>(L$13-G$12)/(H$12-G$12)</f>
        <v>-0.42857142857142855</v>
      </c>
      <c r="M26" s="85">
        <f>+H26-G26</f>
        <v>0</v>
      </c>
      <c r="N26" s="85">
        <f>G26+(M26*L26)</f>
        <v>0</v>
      </c>
      <c r="O26" s="199">
        <f>(L$13-H$12)/(I$12-H$12)</f>
        <v>-0.5</v>
      </c>
      <c r="P26" s="85">
        <f>I26-H26</f>
        <v>0</v>
      </c>
      <c r="Q26" s="85">
        <f>H26+(O26*P26)</f>
        <v>0</v>
      </c>
      <c r="R26" s="199">
        <f>IF((L$13-I$12)/(J$12-I$12)&gt;1,1,(L$13-I$12)/(J$12-I$12))</f>
        <v>-3</v>
      </c>
      <c r="S26" s="85">
        <f>J26-I26</f>
        <v>0</v>
      </c>
      <c r="T26" s="85">
        <f>I26+(R26*S26)</f>
        <v>0</v>
      </c>
      <c r="W26" s="196"/>
      <c r="X26" s="196"/>
      <c r="Y26" s="187"/>
      <c r="Z26" s="290"/>
      <c r="AA26" s="301"/>
      <c r="AB26" s="290"/>
      <c r="AC26" s="290"/>
      <c r="AD26" s="289"/>
      <c r="AE26" s="89"/>
      <c r="AH26" s="500">
        <f>HLOOKUP(AH$11,AJ$11:AQ$81,AI26)</f>
        <v>0</v>
      </c>
      <c r="AI26" s="462">
        <f t="shared" si="2"/>
        <v>16</v>
      </c>
      <c r="AJ26" s="470"/>
      <c r="AK26" s="470"/>
      <c r="AL26" s="469"/>
      <c r="AM26" s="469"/>
      <c r="AN26" s="469"/>
      <c r="AO26" s="470"/>
      <c r="AP26" s="468"/>
      <c r="AQ26" s="477"/>
      <c r="AR26" s="477"/>
      <c r="AS26" s="478" t="s">
        <v>304</v>
      </c>
      <c r="AU26" s="408"/>
      <c r="AV26" s="408"/>
      <c r="BA26" s="8"/>
      <c r="BB26" s="8"/>
    </row>
    <row r="27" spans="1:63" x14ac:dyDescent="0.2">
      <c r="A27" s="224"/>
      <c r="B27" s="408" t="s">
        <v>301</v>
      </c>
      <c r="C27" s="69">
        <f t="shared" ref="C27:C28" si="4">AH$13*D27</f>
        <v>1765400.1798561153</v>
      </c>
      <c r="D27" s="354">
        <f>AH27</f>
        <v>0.11769334532374101</v>
      </c>
      <c r="E27" s="464"/>
      <c r="F27" s="520">
        <f>IF(ProjectData!$B$16="United States",DefaultData!AR27,AQ27)</f>
        <v>0.8</v>
      </c>
      <c r="G27" s="85">
        <v>0</v>
      </c>
      <c r="H27" s="85">
        <v>0.8</v>
      </c>
      <c r="I27" s="85">
        <v>0.8</v>
      </c>
      <c r="J27" s="85">
        <v>0.8</v>
      </c>
      <c r="L27" s="37">
        <f>(L$13-G$12)/(H$12-G$12)</f>
        <v>-0.42857142857142855</v>
      </c>
      <c r="M27" s="85">
        <f>+H27-G27</f>
        <v>0.8</v>
      </c>
      <c r="N27" s="85">
        <f>G27+(M27*L27)</f>
        <v>-0.34285714285714286</v>
      </c>
      <c r="O27" s="199">
        <f>(L$13-H$12)/(I$12-H$12)</f>
        <v>-0.5</v>
      </c>
      <c r="P27" s="85">
        <f>I27-H27</f>
        <v>0</v>
      </c>
      <c r="Q27" s="85">
        <f>H27+(O27*P27)</f>
        <v>0.8</v>
      </c>
      <c r="R27" s="199">
        <f>IF((L$13-I$12)/(J$12-I$12)&gt;1,1,(L$13-I$12)/(J$12-I$12))</f>
        <v>-3</v>
      </c>
      <c r="S27" s="85">
        <f>J27-I27</f>
        <v>0</v>
      </c>
      <c r="T27" s="85">
        <f>I27+(R27*S27)</f>
        <v>0.8</v>
      </c>
      <c r="W27" s="196"/>
      <c r="X27" s="196"/>
      <c r="Y27" s="187"/>
      <c r="Z27" s="290"/>
      <c r="AA27" s="302"/>
      <c r="AB27" s="290"/>
      <c r="AC27" s="290"/>
      <c r="AD27" s="289"/>
      <c r="AE27" s="89"/>
      <c r="AF27" s="10"/>
      <c r="AH27" s="500">
        <f>IF(AH$7=2,HLOOKUP(AH$11,AJ$11:AQ$81,AI27)*'Line Config Data'!D$33*'Wage Data'!G36,HLOOKUP(AH$11,AJ$11:AQ$81,AI27)*'Wage Data'!G36)</f>
        <v>0.11769334532374101</v>
      </c>
      <c r="AI27" s="462">
        <f t="shared" si="2"/>
        <v>17</v>
      </c>
      <c r="AJ27" s="488">
        <v>0.15</v>
      </c>
      <c r="AK27" s="488">
        <v>0.15</v>
      </c>
      <c r="AL27" s="502">
        <v>0.24</v>
      </c>
      <c r="AM27" s="502">
        <v>0.24</v>
      </c>
      <c r="AN27" s="502">
        <v>0.24</v>
      </c>
      <c r="AO27" s="488">
        <v>0.15</v>
      </c>
      <c r="AP27" s="468">
        <v>0.23</v>
      </c>
      <c r="AQ27" s="477">
        <v>0.8</v>
      </c>
      <c r="AR27" s="466">
        <v>1</v>
      </c>
      <c r="AS27" s="509" t="s">
        <v>301</v>
      </c>
      <c r="AU27" s="353"/>
      <c r="AV27" s="353"/>
      <c r="BA27" s="8"/>
      <c r="BB27" s="8"/>
    </row>
    <row r="28" spans="1:63" x14ac:dyDescent="0.2">
      <c r="A28" s="224"/>
      <c r="B28" s="408" t="s">
        <v>302</v>
      </c>
      <c r="C28" s="69">
        <f t="shared" si="4"/>
        <v>3276000</v>
      </c>
      <c r="D28" s="354">
        <f>AH28</f>
        <v>0.21840000000000001</v>
      </c>
      <c r="E28" s="464"/>
      <c r="F28" s="520">
        <f>IF(ProjectData!$B$16="United States",DefaultData!AR28,AQ28)</f>
        <v>0.5</v>
      </c>
      <c r="G28" s="85">
        <v>0</v>
      </c>
      <c r="H28" s="85">
        <v>0</v>
      </c>
      <c r="I28" s="543">
        <v>0.5</v>
      </c>
      <c r="J28" s="543">
        <v>0.5</v>
      </c>
      <c r="L28" s="37">
        <f>(L$13-G$12)/(H$12-G$12)</f>
        <v>-0.42857142857142855</v>
      </c>
      <c r="M28" s="85">
        <f>+H28-G28</f>
        <v>0</v>
      </c>
      <c r="N28" s="85">
        <f>G28+(M28*L28)</f>
        <v>0</v>
      </c>
      <c r="O28" s="199">
        <f>(L$13-H$12)/(I$12-H$12)</f>
        <v>-0.5</v>
      </c>
      <c r="P28" s="85">
        <f>I28-H28</f>
        <v>0.5</v>
      </c>
      <c r="Q28" s="85">
        <f>H28+(O28*P28)</f>
        <v>-0.25</v>
      </c>
      <c r="R28" s="199">
        <f>IF((L$13-I$12)/(J$12-I$12)&gt;1,1,(L$13-I$12)/(J$12-I$12))</f>
        <v>-3</v>
      </c>
      <c r="S28" s="85">
        <f>J28-I28</f>
        <v>0</v>
      </c>
      <c r="T28" s="85">
        <f>I28+(R28*S28)</f>
        <v>0.5</v>
      </c>
      <c r="W28" s="196"/>
      <c r="X28" s="196"/>
      <c r="Y28" s="187"/>
      <c r="Z28" s="290"/>
      <c r="AA28" s="302"/>
      <c r="AB28" s="290"/>
      <c r="AC28" s="290"/>
      <c r="AD28" s="289"/>
      <c r="AE28" s="89"/>
      <c r="AF28" s="10"/>
      <c r="AH28" s="500">
        <f>IF(AH$7=2,HLOOKUP(AH$11,AJ$11:AQ$81,AI28)*'Line Config Data'!D$33*'Wage Data'!G32,HLOOKUP(AH$11,AJ$11:AQ$81,AI28)*'Wage Data'!G32)</f>
        <v>0.21840000000000001</v>
      </c>
      <c r="AI28" s="462">
        <f t="shared" si="2"/>
        <v>18</v>
      </c>
      <c r="AJ28" s="488">
        <v>0.26</v>
      </c>
      <c r="AK28" s="488">
        <v>0.26</v>
      </c>
      <c r="AL28" s="502">
        <v>0.25</v>
      </c>
      <c r="AM28" s="502">
        <v>0.25</v>
      </c>
      <c r="AN28" s="502">
        <v>0.25</v>
      </c>
      <c r="AO28" s="488">
        <v>0.26</v>
      </c>
      <c r="AP28" s="503">
        <v>0.24</v>
      </c>
      <c r="AQ28" s="477">
        <v>0.5</v>
      </c>
      <c r="AR28" s="466">
        <v>1</v>
      </c>
      <c r="AS28" s="509" t="s">
        <v>302</v>
      </c>
      <c r="AU28" s="353"/>
      <c r="AV28" s="353"/>
      <c r="BA28" s="8"/>
      <c r="BB28" s="8"/>
    </row>
    <row r="29" spans="1:63" x14ac:dyDescent="0.2">
      <c r="A29" s="224"/>
      <c r="B29" s="409" t="s">
        <v>500</v>
      </c>
      <c r="C29" s="69">
        <f>SUM(C27:C28)</f>
        <v>5041400.179856115</v>
      </c>
      <c r="D29" s="354">
        <f>SUM(D27:D28)</f>
        <v>0.33609334532374102</v>
      </c>
      <c r="E29" s="464"/>
      <c r="F29" s="7"/>
      <c r="L29" s="37"/>
      <c r="M29" s="85"/>
      <c r="N29" s="85"/>
      <c r="O29" s="199"/>
      <c r="P29" s="85"/>
      <c r="Q29" s="85"/>
      <c r="R29" s="199"/>
      <c r="S29" s="85"/>
      <c r="T29" s="85"/>
      <c r="W29" s="196"/>
      <c r="X29" s="196"/>
      <c r="Y29" s="187"/>
      <c r="Z29" s="290"/>
      <c r="AA29" s="301"/>
      <c r="AB29" s="303"/>
      <c r="AC29" s="301"/>
      <c r="AD29" s="289"/>
      <c r="AE29" s="89"/>
      <c r="AH29" s="500">
        <f t="shared" ref="AH29:AH39" si="5">HLOOKUP(AH$11,AJ$11:AQ$81,AI29)</f>
        <v>0</v>
      </c>
      <c r="AI29" s="462">
        <f t="shared" si="2"/>
        <v>19</v>
      </c>
      <c r="AJ29" s="420"/>
      <c r="AK29" s="420"/>
      <c r="AL29" s="249"/>
      <c r="AM29" s="249"/>
      <c r="AN29" s="249"/>
      <c r="AO29" s="420"/>
      <c r="AP29"/>
      <c r="AQ29" s="479"/>
      <c r="AR29" s="479"/>
      <c r="AS29" s="486" t="s">
        <v>1</v>
      </c>
      <c r="AU29" s="420"/>
      <c r="AV29" s="420"/>
      <c r="BA29" s="8"/>
      <c r="BB29" s="8"/>
    </row>
    <row r="30" spans="1:63" x14ac:dyDescent="0.2">
      <c r="A30" s="224"/>
      <c r="B30" s="351" t="s">
        <v>495</v>
      </c>
      <c r="C30" s="69">
        <f>+C29+C25+C19</f>
        <v>16205036.543492477</v>
      </c>
      <c r="D30" s="354">
        <f>+D29+D25+D19</f>
        <v>1.0803357695661653</v>
      </c>
      <c r="E30" s="620"/>
      <c r="F30" s="7"/>
      <c r="L30" s="37"/>
      <c r="M30" s="85"/>
      <c r="N30" s="85"/>
      <c r="O30" s="199"/>
      <c r="P30" s="85"/>
      <c r="Q30" s="85"/>
      <c r="R30" s="199"/>
      <c r="S30" s="85"/>
      <c r="T30" s="85"/>
      <c r="W30" s="90"/>
      <c r="X30" s="90"/>
      <c r="Y30" s="187"/>
      <c r="Z30" s="290"/>
      <c r="AA30" s="172"/>
      <c r="AB30" s="303"/>
      <c r="AC30" s="172"/>
      <c r="AD30" s="187"/>
      <c r="AH30" s="500">
        <f t="shared" si="5"/>
        <v>0</v>
      </c>
      <c r="AI30" s="462">
        <f t="shared" si="2"/>
        <v>20</v>
      </c>
      <c r="AJ30" s="353"/>
      <c r="AK30" s="353"/>
      <c r="AL30" s="249"/>
      <c r="AM30" s="249"/>
      <c r="AN30" s="249"/>
      <c r="AO30" s="353"/>
      <c r="AP30"/>
      <c r="AQ30" s="477"/>
      <c r="AR30" s="477"/>
      <c r="AS30" s="509" t="s">
        <v>524</v>
      </c>
      <c r="AU30" s="353"/>
      <c r="AV30" s="353"/>
      <c r="BA30" s="8"/>
      <c r="BB30" s="8"/>
    </row>
    <row r="31" spans="1:63" ht="17.25" x14ac:dyDescent="0.3">
      <c r="A31" s="224"/>
      <c r="B31" s="410" t="s">
        <v>498</v>
      </c>
      <c r="C31" s="69"/>
      <c r="D31" s="11" t="s">
        <v>64</v>
      </c>
      <c r="E31" s="406"/>
      <c r="F31" s="7"/>
      <c r="L31" s="37"/>
      <c r="M31" s="85"/>
      <c r="N31" s="85"/>
      <c r="P31" s="85"/>
      <c r="Q31" s="85"/>
      <c r="R31" s="199"/>
      <c r="S31" s="85"/>
      <c r="T31" s="85"/>
      <c r="Y31" s="187"/>
      <c r="Z31" s="290"/>
      <c r="AA31" s="172"/>
      <c r="AB31" s="303"/>
      <c r="AC31" s="172"/>
      <c r="AD31" s="187"/>
      <c r="AH31" s="500">
        <f t="shared" si="5"/>
        <v>0</v>
      </c>
      <c r="AI31" s="462">
        <f t="shared" si="2"/>
        <v>21</v>
      </c>
      <c r="AJ31" s="486" t="s">
        <v>506</v>
      </c>
      <c r="AK31" s="420"/>
      <c r="AL31" s="249"/>
      <c r="AM31" s="249"/>
      <c r="AN31" s="249"/>
      <c r="AO31" s="420">
        <v>1</v>
      </c>
      <c r="AP31"/>
      <c r="AQ31" s="479"/>
      <c r="AR31" s="479"/>
      <c r="AS31" s="509" t="s">
        <v>525</v>
      </c>
      <c r="AU31" s="420"/>
      <c r="AV31" s="420"/>
      <c r="BA31" s="8"/>
      <c r="BB31" s="8"/>
    </row>
    <row r="32" spans="1:63" ht="15" x14ac:dyDescent="0.25">
      <c r="A32" s="224"/>
      <c r="B32" s="411" t="s">
        <v>199</v>
      </c>
      <c r="C32" s="69"/>
      <c r="D32" s="11" t="s">
        <v>314</v>
      </c>
      <c r="E32" s="402"/>
      <c r="F32" s="7"/>
      <c r="L32" s="37"/>
      <c r="M32" s="85"/>
      <c r="N32" s="85"/>
      <c r="P32" s="85"/>
      <c r="Q32" s="85"/>
      <c r="R32" s="199"/>
      <c r="S32" s="85"/>
      <c r="T32" s="85"/>
      <c r="Y32" s="187"/>
      <c r="Z32" s="290"/>
      <c r="AA32" s="172"/>
      <c r="AB32" s="303"/>
      <c r="AC32" s="172"/>
      <c r="AD32" s="187"/>
      <c r="AH32" s="500">
        <f t="shared" si="5"/>
        <v>0</v>
      </c>
      <c r="AI32" s="462">
        <f t="shared" si="2"/>
        <v>22</v>
      </c>
      <c r="AJ32" s="353"/>
      <c r="AK32" s="353"/>
      <c r="AL32" s="249"/>
      <c r="AM32" s="249"/>
      <c r="AN32" s="249"/>
      <c r="AO32" s="353"/>
      <c r="AP32"/>
      <c r="AQ32" s="477"/>
      <c r="AR32" s="477"/>
      <c r="AS32" s="509" t="s">
        <v>526</v>
      </c>
      <c r="AU32" s="353"/>
      <c r="AV32" s="353"/>
      <c r="BA32" s="8"/>
      <c r="BB32" s="8"/>
    </row>
    <row r="33" spans="1:54" s="439" customFormat="1" x14ac:dyDescent="0.2">
      <c r="A33" s="224"/>
      <c r="B33" s="409" t="s">
        <v>377</v>
      </c>
      <c r="C33" s="69">
        <f>D33*IF(ProjectData!B$24="Advanced",(ProjectData!B$35+ProjectData!B$37),(ProjectData!Z$35+ProjectData!Z$37))</f>
        <v>1800000</v>
      </c>
      <c r="D33" s="69">
        <f>AH33</f>
        <v>600000</v>
      </c>
      <c r="E33" s="464"/>
      <c r="F33" s="520">
        <f>IF(ProjectData!$B$16="United States",DefaultData!AR33,AQ33)</f>
        <v>0.05</v>
      </c>
      <c r="G33" s="85">
        <v>0</v>
      </c>
      <c r="H33" s="85">
        <v>0</v>
      </c>
      <c r="I33" s="543">
        <v>0.05</v>
      </c>
      <c r="J33" s="543">
        <v>0.05</v>
      </c>
      <c r="L33" s="37"/>
      <c r="M33" s="85"/>
      <c r="N33" s="85"/>
      <c r="P33" s="85"/>
      <c r="Q33" s="85"/>
      <c r="R33" s="199"/>
      <c r="S33" s="85"/>
      <c r="T33" s="85"/>
      <c r="Y33" s="187"/>
      <c r="Z33" s="290"/>
      <c r="AA33" s="172"/>
      <c r="AB33" s="303"/>
      <c r="AC33" s="172"/>
      <c r="AD33" s="187"/>
      <c r="AF33" s="10"/>
      <c r="AH33" s="500">
        <f t="shared" si="5"/>
        <v>600000</v>
      </c>
      <c r="AI33" s="462">
        <f t="shared" si="2"/>
        <v>23</v>
      </c>
      <c r="AJ33" s="471">
        <v>400000</v>
      </c>
      <c r="AK33" s="471">
        <v>600000</v>
      </c>
      <c r="AL33" s="472">
        <v>1300000</v>
      </c>
      <c r="AM33" s="472">
        <v>1600000</v>
      </c>
      <c r="AN33" s="472">
        <v>0</v>
      </c>
      <c r="AO33" s="471">
        <v>300000</v>
      </c>
      <c r="AP33" s="473">
        <v>2150000</v>
      </c>
      <c r="AQ33" s="477">
        <v>0.05</v>
      </c>
      <c r="AR33" s="466">
        <v>1</v>
      </c>
      <c r="AS33" s="509" t="s">
        <v>527</v>
      </c>
      <c r="AU33" s="353"/>
      <c r="AV33" s="353"/>
      <c r="AX33" s="131"/>
      <c r="BA33" s="8"/>
      <c r="BB33" s="8"/>
    </row>
    <row r="34" spans="1:54" s="439" customFormat="1" x14ac:dyDescent="0.2">
      <c r="A34" s="224"/>
      <c r="B34" s="412" t="s">
        <v>378</v>
      </c>
      <c r="C34" s="69">
        <f>D34*IF(ProjectData!B$24="Advanced",ProjectData!B$34,ProjectData!Z$34)</f>
        <v>650000</v>
      </c>
      <c r="D34" s="69">
        <f>AH34</f>
        <v>650000</v>
      </c>
      <c r="E34" s="464"/>
      <c r="F34" s="520">
        <f>IF(ProjectData!$B$16="United States",DefaultData!AR34,AQ34)</f>
        <v>0.1</v>
      </c>
      <c r="G34" s="85">
        <v>0</v>
      </c>
      <c r="H34" s="85">
        <v>0</v>
      </c>
      <c r="I34" s="85">
        <v>0.1</v>
      </c>
      <c r="J34" s="85">
        <v>0.1</v>
      </c>
      <c r="K34"/>
      <c r="L34" s="37">
        <f>(L$13-G$12)/(H$12-G$12)</f>
        <v>-0.42857142857142855</v>
      </c>
      <c r="M34" s="85">
        <f>+H34-G34</f>
        <v>0</v>
      </c>
      <c r="N34" s="85">
        <f>G34+(M34*L34)</f>
        <v>0</v>
      </c>
      <c r="O34" s="199">
        <f>(L$13-H$12)/(I$12-H$12)</f>
        <v>-0.5</v>
      </c>
      <c r="P34" s="85">
        <f>I34-H34</f>
        <v>0.1</v>
      </c>
      <c r="Q34" s="85">
        <f>H34+(O34*P34)</f>
        <v>-0.05</v>
      </c>
      <c r="R34" s="199">
        <f>IF((L$13-I$12)/(J$12-I$12)&gt;1,1,(L$13-I$12)/(J$12-I$12))</f>
        <v>-3</v>
      </c>
      <c r="S34" s="85">
        <f>J34-I34</f>
        <v>0</v>
      </c>
      <c r="T34" s="85">
        <f>I34+(R34*S34)</f>
        <v>0.1</v>
      </c>
      <c r="Y34" s="187"/>
      <c r="Z34" s="290"/>
      <c r="AA34" s="172"/>
      <c r="AB34" s="303"/>
      <c r="AC34" s="172"/>
      <c r="AD34" s="187"/>
      <c r="AF34" s="10"/>
      <c r="AH34" s="500">
        <f t="shared" si="5"/>
        <v>650000</v>
      </c>
      <c r="AI34" s="462">
        <f t="shared" si="2"/>
        <v>24</v>
      </c>
      <c r="AJ34" s="471">
        <v>450000</v>
      </c>
      <c r="AK34" s="471">
        <v>650000</v>
      </c>
      <c r="AL34" s="472">
        <v>800000</v>
      </c>
      <c r="AM34" s="472">
        <v>950000</v>
      </c>
      <c r="AN34" s="472">
        <v>0</v>
      </c>
      <c r="AO34" s="471">
        <v>400000</v>
      </c>
      <c r="AP34" s="473">
        <v>1200000</v>
      </c>
      <c r="AQ34" s="477">
        <v>0.1</v>
      </c>
      <c r="AR34" s="466">
        <v>1</v>
      </c>
      <c r="AS34" s="509" t="s">
        <v>528</v>
      </c>
      <c r="AU34" s="353"/>
      <c r="AV34" s="353"/>
      <c r="AX34" s="131"/>
      <c r="BA34" s="8"/>
      <c r="BB34" s="8"/>
    </row>
    <row r="35" spans="1:54" s="439" customFormat="1" x14ac:dyDescent="0.2">
      <c r="A35" s="224"/>
      <c r="B35" s="412" t="s">
        <v>379</v>
      </c>
      <c r="C35" s="69">
        <f>D35*IF(ProjectData!B$24="Advanced",ProjectData!B$36,ProjectData!Z$36)</f>
        <v>20000</v>
      </c>
      <c r="D35" s="69">
        <f>AH35</f>
        <v>20000</v>
      </c>
      <c r="E35" s="464"/>
      <c r="F35" s="520">
        <f>IF(ProjectData!$B$16="United States",DefaultData!AR35,AQ35)</f>
        <v>0.1</v>
      </c>
      <c r="G35" s="85">
        <v>0</v>
      </c>
      <c r="H35" s="85">
        <v>0</v>
      </c>
      <c r="I35" s="85">
        <v>0.1</v>
      </c>
      <c r="J35" s="85">
        <v>0.1</v>
      </c>
      <c r="L35" s="37"/>
      <c r="M35" s="85"/>
      <c r="N35" s="85"/>
      <c r="O35" s="199"/>
      <c r="P35" s="85"/>
      <c r="Q35" s="85"/>
      <c r="R35" s="199"/>
      <c r="S35" s="85"/>
      <c r="T35" s="85"/>
      <c r="Y35" s="187"/>
      <c r="Z35" s="290"/>
      <c r="AA35" s="172"/>
      <c r="AB35" s="303"/>
      <c r="AC35" s="172"/>
      <c r="AD35" s="187"/>
      <c r="AF35" s="10"/>
      <c r="AH35" s="500">
        <f t="shared" si="5"/>
        <v>20000</v>
      </c>
      <c r="AI35" s="462">
        <f t="shared" si="2"/>
        <v>25</v>
      </c>
      <c r="AJ35" s="471">
        <v>20000</v>
      </c>
      <c r="AK35" s="471">
        <v>20000</v>
      </c>
      <c r="AL35" s="472">
        <v>30000</v>
      </c>
      <c r="AM35" s="472">
        <v>30000</v>
      </c>
      <c r="AN35" s="472">
        <v>0</v>
      </c>
      <c r="AO35" s="471">
        <v>20000</v>
      </c>
      <c r="AP35" s="473">
        <v>30000</v>
      </c>
      <c r="AQ35" s="477">
        <v>0.1</v>
      </c>
      <c r="AR35" s="466">
        <v>1</v>
      </c>
      <c r="AS35" s="509" t="s">
        <v>529</v>
      </c>
      <c r="AU35" s="353"/>
      <c r="AV35" s="353"/>
      <c r="AX35" s="131"/>
      <c r="BA35" s="8"/>
      <c r="BB35" s="8"/>
    </row>
    <row r="36" spans="1:54" x14ac:dyDescent="0.2">
      <c r="A36" s="224"/>
      <c r="B36" s="409" t="s">
        <v>380</v>
      </c>
      <c r="C36" s="69">
        <f>D36</f>
        <v>4800000</v>
      </c>
      <c r="D36" s="69">
        <f>'Transformer Data'!P12</f>
        <v>4800000</v>
      </c>
      <c r="E36" s="464"/>
      <c r="F36" s="520">
        <f>IF(ProjectData!$B$16="United States",DefaultData!AR36,AQ36)</f>
        <v>0</v>
      </c>
      <c r="G36" s="85">
        <v>0</v>
      </c>
      <c r="H36" s="85">
        <v>0</v>
      </c>
      <c r="I36" s="85">
        <v>0</v>
      </c>
      <c r="J36" s="85">
        <v>0</v>
      </c>
      <c r="L36" s="37">
        <f>(L$13-G$12)/(H$12-G$12)</f>
        <v>-0.42857142857142855</v>
      </c>
      <c r="M36" s="85">
        <f>+H36-G36</f>
        <v>0</v>
      </c>
      <c r="N36" s="85">
        <f>G36+(M36*L36)</f>
        <v>0</v>
      </c>
      <c r="O36" s="199">
        <f>(L$13-H$12)/(I$12-H$12)</f>
        <v>-0.5</v>
      </c>
      <c r="P36" s="85">
        <f>I36-H36</f>
        <v>0</v>
      </c>
      <c r="Q36" s="85">
        <f>H36+(O36*P36)</f>
        <v>0</v>
      </c>
      <c r="R36" s="199">
        <f>IF((L$13-I$12)/(J$12-I$12)&gt;1,1,(L$13-I$12)/(J$12-I$12))</f>
        <v>-3</v>
      </c>
      <c r="S36" s="85">
        <f>J36-I36</f>
        <v>0</v>
      </c>
      <c r="T36" s="85">
        <f>I36+(R36*S36)</f>
        <v>0</v>
      </c>
      <c r="Y36" s="187"/>
      <c r="Z36" s="172"/>
      <c r="AA36" s="172"/>
      <c r="AB36" s="303"/>
      <c r="AC36" s="172"/>
      <c r="AD36" s="187"/>
      <c r="AF36" s="10"/>
      <c r="AH36" s="500">
        <f t="shared" si="5"/>
        <v>0</v>
      </c>
      <c r="AI36" s="462">
        <f t="shared" si="2"/>
        <v>26</v>
      </c>
      <c r="AJ36" s="471">
        <v>0</v>
      </c>
      <c r="AK36" s="471">
        <v>0</v>
      </c>
      <c r="AL36" s="476">
        <v>0</v>
      </c>
      <c r="AM36" s="476">
        <v>0</v>
      </c>
      <c r="AN36" s="476">
        <v>0</v>
      </c>
      <c r="AO36" s="471">
        <v>0</v>
      </c>
      <c r="AP36" s="473">
        <v>0</v>
      </c>
      <c r="AQ36" s="477">
        <v>0</v>
      </c>
      <c r="AR36" s="466">
        <v>1</v>
      </c>
      <c r="AS36" s="509" t="s">
        <v>530</v>
      </c>
      <c r="AU36" s="353"/>
      <c r="AV36" s="353"/>
      <c r="BA36" s="8"/>
      <c r="BB36" s="8"/>
    </row>
    <row r="37" spans="1:54" x14ac:dyDescent="0.2">
      <c r="A37" s="224"/>
      <c r="B37" s="412" t="s">
        <v>317</v>
      </c>
      <c r="C37" s="69">
        <f>D37*E5</f>
        <v>0</v>
      </c>
      <c r="D37" s="69">
        <f>AH37</f>
        <v>0</v>
      </c>
      <c r="E37" s="464"/>
      <c r="F37" s="520">
        <f>IF(ProjectData!$B$16="United States",DefaultData!AR37,AQ37)</f>
        <v>0</v>
      </c>
      <c r="G37" s="85">
        <v>0</v>
      </c>
      <c r="H37" s="85">
        <v>0</v>
      </c>
      <c r="I37" s="85">
        <v>0</v>
      </c>
      <c r="J37" s="85">
        <v>0</v>
      </c>
      <c r="L37" s="37">
        <f>(L$13-G$12)/(H$12-G$12)</f>
        <v>-0.42857142857142855</v>
      </c>
      <c r="M37" s="85">
        <f>+H37-G37</f>
        <v>0</v>
      </c>
      <c r="N37" s="85">
        <f>G37+(M37*L37)</f>
        <v>0</v>
      </c>
      <c r="O37" s="199">
        <f>(L$13-H$12)/(I$12-H$12)</f>
        <v>-0.5</v>
      </c>
      <c r="P37" s="85">
        <f>I37-H37</f>
        <v>0</v>
      </c>
      <c r="Q37" s="85">
        <f>H37+(O37*P37)</f>
        <v>0</v>
      </c>
      <c r="R37" s="199">
        <f>IF((L$13-I$12)/(J$12-I$12)&gt;1,1,(L$13-I$12)/(J$12-I$12))</f>
        <v>-3</v>
      </c>
      <c r="S37" s="85">
        <f>J37-I37</f>
        <v>0</v>
      </c>
      <c r="T37" s="85">
        <f>I37+(R37*S37)</f>
        <v>0</v>
      </c>
      <c r="W37" s="206"/>
      <c r="X37" s="206"/>
      <c r="Y37" s="187"/>
      <c r="Z37" s="290"/>
      <c r="AA37" s="304"/>
      <c r="AB37" s="303"/>
      <c r="AC37" s="304"/>
      <c r="AD37" s="187"/>
      <c r="AF37" s="10"/>
      <c r="AG37" s="10"/>
      <c r="AH37" s="500">
        <f t="shared" si="5"/>
        <v>0</v>
      </c>
      <c r="AI37" s="462">
        <f t="shared" si="2"/>
        <v>27</v>
      </c>
      <c r="AJ37" s="471">
        <v>0</v>
      </c>
      <c r="AK37" s="471">
        <v>0</v>
      </c>
      <c r="AL37" s="472">
        <v>0</v>
      </c>
      <c r="AM37" s="472">
        <v>0</v>
      </c>
      <c r="AN37" s="472">
        <v>275000000</v>
      </c>
      <c r="AO37" s="471">
        <v>0</v>
      </c>
      <c r="AP37" s="473">
        <v>0</v>
      </c>
      <c r="AQ37" s="477">
        <v>0</v>
      </c>
      <c r="AR37" s="466">
        <v>1</v>
      </c>
      <c r="AS37" s="509" t="s">
        <v>531</v>
      </c>
      <c r="AU37" s="353"/>
      <c r="AV37" s="353"/>
      <c r="BA37" s="8"/>
      <c r="BB37" s="8"/>
    </row>
    <row r="38" spans="1:54" x14ac:dyDescent="0.2">
      <c r="A38" s="224"/>
      <c r="B38" s="409" t="s">
        <v>383</v>
      </c>
      <c r="C38" s="69">
        <f>SUM(C33:C37)</f>
        <v>7270000</v>
      </c>
      <c r="D38" s="69">
        <f>SUM(D33:D37)</f>
        <v>6070000</v>
      </c>
      <c r="E38" s="620"/>
      <c r="F38" s="7"/>
      <c r="G38" s="85"/>
      <c r="H38" s="85"/>
      <c r="I38" s="85"/>
      <c r="J38" s="85"/>
      <c r="L38" s="37"/>
      <c r="M38" s="85"/>
      <c r="N38" s="85"/>
      <c r="O38" s="199"/>
      <c r="P38" s="85"/>
      <c r="Q38" s="85"/>
      <c r="R38" s="199"/>
      <c r="S38" s="85"/>
      <c r="T38" s="85"/>
      <c r="Y38" s="187"/>
      <c r="Z38" s="172"/>
      <c r="AA38" s="172"/>
      <c r="AB38" s="303"/>
      <c r="AC38" s="172"/>
      <c r="AD38" s="187"/>
      <c r="AG38" s="10"/>
      <c r="AH38" s="500">
        <f t="shared" si="5"/>
        <v>0</v>
      </c>
      <c r="AI38" s="462">
        <f t="shared" si="2"/>
        <v>28</v>
      </c>
      <c r="AJ38" s="474"/>
      <c r="AK38" s="474"/>
      <c r="AL38" s="472"/>
      <c r="AM38" s="472"/>
      <c r="AN38" s="472"/>
      <c r="AO38" s="474"/>
      <c r="AP38" s="473"/>
      <c r="AQ38" s="479"/>
      <c r="AR38" s="479"/>
      <c r="AU38" s="420"/>
      <c r="AV38" s="420"/>
      <c r="BA38" s="8"/>
      <c r="BB38" s="8"/>
    </row>
    <row r="39" spans="1:54" ht="15" x14ac:dyDescent="0.25">
      <c r="A39" s="224"/>
      <c r="B39" s="410" t="s">
        <v>2</v>
      </c>
      <c r="C39" s="69"/>
      <c r="D39" s="69"/>
      <c r="E39" s="407"/>
      <c r="F39" s="7"/>
      <c r="G39" s="85"/>
      <c r="H39" s="85"/>
      <c r="I39" s="85"/>
      <c r="J39" s="85"/>
      <c r="L39" s="37"/>
      <c r="M39" s="85"/>
      <c r="N39" s="85"/>
      <c r="O39" s="199"/>
      <c r="P39" s="85"/>
      <c r="Q39" s="85"/>
      <c r="R39" s="199"/>
      <c r="S39" s="85"/>
      <c r="T39" s="85"/>
      <c r="Y39" s="187"/>
      <c r="Z39" s="172"/>
      <c r="AA39" s="172"/>
      <c r="AB39" s="303"/>
      <c r="AC39" s="172"/>
      <c r="AD39" s="187"/>
      <c r="AG39" s="10"/>
      <c r="AH39" s="500">
        <f t="shared" si="5"/>
        <v>0</v>
      </c>
      <c r="AI39" s="462">
        <f t="shared" si="2"/>
        <v>29</v>
      </c>
      <c r="AJ39" s="475"/>
      <c r="AK39" s="475"/>
      <c r="AL39" s="472"/>
      <c r="AM39" s="472"/>
      <c r="AN39" s="472"/>
      <c r="AO39" s="475"/>
      <c r="AP39" s="473"/>
      <c r="AQ39" s="477"/>
      <c r="AR39" s="477"/>
      <c r="AS39" s="486" t="s">
        <v>2</v>
      </c>
      <c r="AU39" s="421"/>
      <c r="AV39" s="421"/>
      <c r="BA39" s="8"/>
      <c r="BB39" s="8"/>
    </row>
    <row r="40" spans="1:54" x14ac:dyDescent="0.2">
      <c r="A40" s="224"/>
      <c r="B40" s="409" t="s">
        <v>377</v>
      </c>
      <c r="C40" s="69">
        <f>D40*IF(ProjectData!B$24="Advanced",(ProjectData!B$35+ProjectData!B$37),(ProjectData!Z$35+ProjectData!Z$37))</f>
        <v>2092500</v>
      </c>
      <c r="D40" s="69">
        <f>AH40</f>
        <v>697500</v>
      </c>
      <c r="E40" s="464"/>
      <c r="F40" s="520">
        <f>IF(ProjectData!$B$16="United States",DefaultData!AR40,AQ40)</f>
        <v>0.2</v>
      </c>
      <c r="G40" s="85">
        <v>0</v>
      </c>
      <c r="H40" s="543">
        <v>0.2</v>
      </c>
      <c r="I40" s="543">
        <v>0.2</v>
      </c>
      <c r="J40" s="543">
        <v>0.2</v>
      </c>
      <c r="L40" s="37">
        <f>(L$13-G$12)/(H$12-G$12)</f>
        <v>-0.42857142857142855</v>
      </c>
      <c r="M40" s="85">
        <f>+H40-G40</f>
        <v>0.2</v>
      </c>
      <c r="N40" s="85">
        <f>G40+(M40*L40)</f>
        <v>-8.5714285714285715E-2</v>
      </c>
      <c r="O40" s="199">
        <f>(L$13-H$12)/(I$12-H$12)</f>
        <v>-0.5</v>
      </c>
      <c r="P40" s="85">
        <f>I40-H40</f>
        <v>0</v>
      </c>
      <c r="Q40" s="85">
        <f>H40+(O40*P40)</f>
        <v>0.2</v>
      </c>
      <c r="R40" s="199">
        <f>IF((L$13-I$12)/(J$12-I$12)&gt;1,1,(L$13-I$12)/(J$12-I$12))</f>
        <v>-3</v>
      </c>
      <c r="S40" s="85">
        <f>J40-I40</f>
        <v>0</v>
      </c>
      <c r="T40" s="85">
        <f>I40+(R40*S40)</f>
        <v>0.2</v>
      </c>
      <c r="Y40" s="187"/>
      <c r="Z40" s="172"/>
      <c r="AA40" s="172"/>
      <c r="AB40" s="303"/>
      <c r="AC40" s="172"/>
      <c r="AD40" s="187"/>
      <c r="AF40" s="10"/>
      <c r="AG40" s="10"/>
      <c r="AH40" s="500">
        <f>HLOOKUP(AH$11,AJ$11:AQ$81,AI40)*'Wage Data'!G$34</f>
        <v>697500</v>
      </c>
      <c r="AI40" s="462">
        <f t="shared" si="2"/>
        <v>30</v>
      </c>
      <c r="AJ40" s="475">
        <v>500000</v>
      </c>
      <c r="AK40" s="475">
        <v>750000</v>
      </c>
      <c r="AL40" s="472">
        <v>1600000</v>
      </c>
      <c r="AM40" s="472">
        <v>2000000</v>
      </c>
      <c r="AN40" s="472">
        <v>0</v>
      </c>
      <c r="AO40" s="475">
        <v>400000</v>
      </c>
      <c r="AP40" s="473">
        <v>2650000</v>
      </c>
      <c r="AQ40" s="477">
        <v>0.2</v>
      </c>
      <c r="AR40" s="466">
        <v>1</v>
      </c>
      <c r="AS40" s="478" t="s">
        <v>527</v>
      </c>
      <c r="AU40" s="421"/>
      <c r="AV40" s="421"/>
      <c r="AW40" s="462"/>
      <c r="AY40" s="462"/>
      <c r="AZ40" s="462"/>
      <c r="BA40" s="8"/>
      <c r="BB40" s="8"/>
    </row>
    <row r="41" spans="1:54" s="439" customFormat="1" x14ac:dyDescent="0.2">
      <c r="A41" s="224"/>
      <c r="B41" s="412" t="s">
        <v>382</v>
      </c>
      <c r="C41" s="69">
        <f>D41*IF(ProjectData!B$24="Advanced",ProjectData!B$34,ProjectData!Z$34)</f>
        <v>744000</v>
      </c>
      <c r="D41" s="69">
        <f t="shared" ref="D41:D44" si="6">AH41</f>
        <v>744000</v>
      </c>
      <c r="E41" s="464"/>
      <c r="F41" s="520">
        <f>IF(ProjectData!$B$16="United States",DefaultData!AR41,AQ41)</f>
        <v>0.3</v>
      </c>
      <c r="G41" s="85">
        <v>0</v>
      </c>
      <c r="H41" s="543">
        <v>0.3</v>
      </c>
      <c r="I41" s="543">
        <v>0.3</v>
      </c>
      <c r="J41" s="543">
        <v>0.3</v>
      </c>
      <c r="L41" s="37"/>
      <c r="M41" s="85"/>
      <c r="N41" s="85"/>
      <c r="O41" s="199"/>
      <c r="P41" s="85"/>
      <c r="Q41" s="85"/>
      <c r="R41" s="199"/>
      <c r="S41" s="85"/>
      <c r="T41" s="85"/>
      <c r="Y41" s="187"/>
      <c r="Z41" s="172"/>
      <c r="AA41" s="172"/>
      <c r="AB41" s="303"/>
      <c r="AC41" s="172"/>
      <c r="AD41" s="187"/>
      <c r="AF41" s="10"/>
      <c r="AG41" s="10"/>
      <c r="AH41" s="500">
        <f>HLOOKUP(AH$11,AJ$11:AQ$81,AI41)*'Wage Data'!G$34</f>
        <v>744000</v>
      </c>
      <c r="AI41" s="462">
        <f t="shared" si="2"/>
        <v>31</v>
      </c>
      <c r="AJ41" s="471">
        <v>600000</v>
      </c>
      <c r="AK41" s="471">
        <v>800000</v>
      </c>
      <c r="AL41" s="472">
        <v>950000</v>
      </c>
      <c r="AM41" s="472">
        <v>1150000</v>
      </c>
      <c r="AN41" s="472">
        <v>0</v>
      </c>
      <c r="AO41" s="471">
        <v>500000</v>
      </c>
      <c r="AP41" s="473">
        <v>1450000</v>
      </c>
      <c r="AQ41" s="477">
        <v>0.3</v>
      </c>
      <c r="AR41" s="466">
        <v>1</v>
      </c>
      <c r="AS41" s="509" t="s">
        <v>528</v>
      </c>
      <c r="AU41" s="353"/>
      <c r="AV41" s="353"/>
      <c r="AW41" s="462"/>
      <c r="AX41" s="131"/>
      <c r="AY41" s="462"/>
      <c r="AZ41" s="462"/>
      <c r="BA41" s="8"/>
      <c r="BB41" s="8"/>
    </row>
    <row r="42" spans="1:54" x14ac:dyDescent="0.2">
      <c r="A42" s="224"/>
      <c r="B42" s="412" t="s">
        <v>379</v>
      </c>
      <c r="C42" s="69">
        <f>D42*IF(ProjectData!B$24="Advanced",ProjectData!B$36,ProjectData!Z$36)</f>
        <v>27900</v>
      </c>
      <c r="D42" s="69">
        <f t="shared" si="6"/>
        <v>27900</v>
      </c>
      <c r="E42" s="464"/>
      <c r="F42" s="520">
        <f>IF(ProjectData!$B$16="United States",DefaultData!AR42,AQ42)</f>
        <v>0.2</v>
      </c>
      <c r="G42" s="85">
        <v>0</v>
      </c>
      <c r="H42" s="543">
        <v>0.2</v>
      </c>
      <c r="I42" s="543">
        <v>0.2</v>
      </c>
      <c r="J42" s="543">
        <v>0.2</v>
      </c>
      <c r="L42" s="37">
        <f>(L$13-G$12)/(H$12-G$12)</f>
        <v>-0.42857142857142855</v>
      </c>
      <c r="M42" s="85">
        <f>+H42-G42</f>
        <v>0.2</v>
      </c>
      <c r="N42" s="85">
        <f>G42+(M42*L42)</f>
        <v>-8.5714285714285715E-2</v>
      </c>
      <c r="O42" s="199">
        <f>(L$13-H$12)/(I$12-H$12)</f>
        <v>-0.5</v>
      </c>
      <c r="P42" s="85">
        <f>I42-H42</f>
        <v>0</v>
      </c>
      <c r="Q42" s="85">
        <f>H42+(O42*P42)</f>
        <v>0.2</v>
      </c>
      <c r="R42" s="199">
        <f>IF((L$13-I$12)/(J$12-I$12)&gt;1,1,(L$13-I$12)/(J$12-I$12))</f>
        <v>-3</v>
      </c>
      <c r="S42" s="85">
        <f>J42-I42</f>
        <v>0</v>
      </c>
      <c r="T42" s="85">
        <f>I42+(R42*S42)</f>
        <v>0.2</v>
      </c>
      <c r="Y42" s="187"/>
      <c r="Z42" s="172"/>
      <c r="AA42" s="172"/>
      <c r="AB42" s="303"/>
      <c r="AC42" s="172"/>
      <c r="AD42" s="187"/>
      <c r="AF42" s="10"/>
      <c r="AG42" s="10"/>
      <c r="AH42" s="500">
        <f>HLOOKUP(AH$11,AJ$11:AQ$81,AI42)*'Wage Data'!G$34</f>
        <v>27900</v>
      </c>
      <c r="AI42" s="462">
        <f t="shared" si="2"/>
        <v>32</v>
      </c>
      <c r="AJ42" s="471">
        <v>30000</v>
      </c>
      <c r="AK42" s="471">
        <v>30000</v>
      </c>
      <c r="AL42" s="472">
        <v>40000</v>
      </c>
      <c r="AM42" s="472">
        <v>40000</v>
      </c>
      <c r="AN42" s="472">
        <v>0</v>
      </c>
      <c r="AO42" s="471">
        <v>30000</v>
      </c>
      <c r="AP42" s="473">
        <v>40000</v>
      </c>
      <c r="AQ42" s="477">
        <v>0.2</v>
      </c>
      <c r="AR42" s="466">
        <v>1</v>
      </c>
      <c r="AS42" s="509" t="s">
        <v>529</v>
      </c>
      <c r="AU42" s="353"/>
      <c r="AV42" s="353"/>
      <c r="AW42" s="462"/>
      <c r="AY42" s="462"/>
      <c r="AZ42" s="462"/>
      <c r="BA42" s="8"/>
      <c r="BB42" s="8"/>
    </row>
    <row r="43" spans="1:54" s="462" customFormat="1" x14ac:dyDescent="0.2">
      <c r="A43" s="224"/>
      <c r="B43" s="408" t="s">
        <v>380</v>
      </c>
      <c r="C43" s="69">
        <f>D43</f>
        <v>0</v>
      </c>
      <c r="D43" s="69">
        <f t="shared" si="6"/>
        <v>0</v>
      </c>
      <c r="E43" s="464"/>
      <c r="F43" s="520">
        <f>IF(ProjectData!$B$16="United States",DefaultData!AR43,AQ43)</f>
        <v>0.2</v>
      </c>
      <c r="G43" s="85">
        <v>0</v>
      </c>
      <c r="H43" s="543">
        <v>0.2</v>
      </c>
      <c r="I43" s="543">
        <v>0.2</v>
      </c>
      <c r="J43" s="543">
        <v>0.2</v>
      </c>
      <c r="L43" s="37"/>
      <c r="M43" s="85"/>
      <c r="N43" s="85"/>
      <c r="O43" s="199"/>
      <c r="P43" s="85"/>
      <c r="Q43" s="85"/>
      <c r="R43" s="199"/>
      <c r="S43" s="85"/>
      <c r="T43" s="85"/>
      <c r="Y43" s="187"/>
      <c r="Z43" s="172"/>
      <c r="AA43" s="172"/>
      <c r="AB43" s="303"/>
      <c r="AC43" s="172"/>
      <c r="AD43" s="187"/>
      <c r="AF43" s="10"/>
      <c r="AG43" s="10"/>
      <c r="AH43" s="500">
        <f>HLOOKUP(AH$11,AJ$11:AQ$81,AI43)*'Wage Data'!G$34</f>
        <v>0</v>
      </c>
      <c r="AI43" s="462">
        <f t="shared" si="2"/>
        <v>33</v>
      </c>
      <c r="AJ43" s="471">
        <v>0</v>
      </c>
      <c r="AK43" s="471">
        <v>0</v>
      </c>
      <c r="AL43" s="472">
        <v>0</v>
      </c>
      <c r="AM43" s="472">
        <v>0</v>
      </c>
      <c r="AN43" s="472">
        <v>0</v>
      </c>
      <c r="AO43" s="471">
        <v>0</v>
      </c>
      <c r="AP43" s="473">
        <v>0</v>
      </c>
      <c r="AQ43" s="477">
        <v>0.2</v>
      </c>
      <c r="AR43" s="466">
        <v>1</v>
      </c>
      <c r="AS43" s="509" t="s">
        <v>530</v>
      </c>
      <c r="AU43" s="353"/>
      <c r="AV43" s="353"/>
      <c r="AX43" s="131"/>
      <c r="BA43" s="8"/>
      <c r="BB43" s="8"/>
    </row>
    <row r="44" spans="1:54" x14ac:dyDescent="0.2">
      <c r="A44" s="224"/>
      <c r="B44" s="408" t="s">
        <v>381</v>
      </c>
      <c r="C44" s="69">
        <f>D44*E5</f>
        <v>0</v>
      </c>
      <c r="D44" s="69">
        <f t="shared" si="6"/>
        <v>0</v>
      </c>
      <c r="E44" s="464"/>
      <c r="F44" s="520">
        <f>IF(ProjectData!$B$16="United States",DefaultData!AR44,AQ44)</f>
        <v>0.05</v>
      </c>
      <c r="G44" s="85">
        <v>0</v>
      </c>
      <c r="H44" s="543">
        <v>0.05</v>
      </c>
      <c r="I44" s="543">
        <v>0.05</v>
      </c>
      <c r="J44" s="543">
        <v>0.05</v>
      </c>
      <c r="L44" s="37">
        <f>(L$13-G$12)/(H$12-G$12)</f>
        <v>-0.42857142857142855</v>
      </c>
      <c r="M44" s="85">
        <f>+H44-G44</f>
        <v>0.05</v>
      </c>
      <c r="N44" s="85">
        <f>G44+(M44*L44)</f>
        <v>-2.1428571428571429E-2</v>
      </c>
      <c r="O44" s="199">
        <f>(L$13-H$12)/(I$12-H$12)</f>
        <v>-0.5</v>
      </c>
      <c r="P44" s="85">
        <f>I44-H44</f>
        <v>0</v>
      </c>
      <c r="Q44" s="85">
        <f>H44+(O44*P44)</f>
        <v>0.05</v>
      </c>
      <c r="R44" s="199">
        <f>IF((L$13-I$12)/(J$12-I$12)&gt;1,1,(L$13-I$12)/(J$12-I$12))</f>
        <v>-3</v>
      </c>
      <c r="S44" s="85">
        <f>J44-I44</f>
        <v>0</v>
      </c>
      <c r="T44" s="85">
        <f>I44+(R44*S44)</f>
        <v>0.05</v>
      </c>
      <c r="Y44" s="187"/>
      <c r="Z44" s="172"/>
      <c r="AA44" s="172"/>
      <c r="AB44" s="303"/>
      <c r="AC44" s="172"/>
      <c r="AD44" s="187"/>
      <c r="AF44" s="10"/>
      <c r="AG44" s="10"/>
      <c r="AH44" s="500">
        <f>HLOOKUP(AH$11,AJ$11:AQ$81,AI44)*'Wage Data'!G$34</f>
        <v>0</v>
      </c>
      <c r="AI44" s="462">
        <f t="shared" si="2"/>
        <v>34</v>
      </c>
      <c r="AJ44" s="471">
        <v>0</v>
      </c>
      <c r="AK44" s="471">
        <v>0</v>
      </c>
      <c r="AL44" s="472">
        <v>0</v>
      </c>
      <c r="AM44" s="472">
        <v>0</v>
      </c>
      <c r="AN44" s="472">
        <v>75000000</v>
      </c>
      <c r="AO44" s="471">
        <v>0</v>
      </c>
      <c r="AP44" s="473">
        <v>0</v>
      </c>
      <c r="AQ44" s="477">
        <v>0.05</v>
      </c>
      <c r="AR44" s="466">
        <v>1</v>
      </c>
      <c r="AS44" s="509" t="s">
        <v>531</v>
      </c>
      <c r="AU44" s="353"/>
      <c r="AV44" s="353"/>
      <c r="BA44" s="8"/>
      <c r="BB44" s="8"/>
    </row>
    <row r="45" spans="1:54" x14ac:dyDescent="0.2">
      <c r="A45" s="224"/>
      <c r="B45" s="409" t="s">
        <v>384</v>
      </c>
      <c r="C45" s="69">
        <f>SUM(C40:C44)</f>
        <v>2864400</v>
      </c>
      <c r="D45" s="69">
        <f>SUM(D40:D44)</f>
        <v>1469400</v>
      </c>
      <c r="E45" s="620"/>
      <c r="F45" s="7"/>
      <c r="L45" s="37"/>
      <c r="M45" s="85"/>
      <c r="N45" s="85"/>
      <c r="O45" s="199"/>
      <c r="P45" s="85"/>
      <c r="Q45" s="85"/>
      <c r="R45" s="199"/>
      <c r="S45" s="85"/>
      <c r="T45" s="85"/>
      <c r="Y45" s="187"/>
      <c r="Z45" s="290"/>
      <c r="AA45" s="290"/>
      <c r="AB45" s="290"/>
      <c r="AC45" s="290"/>
      <c r="AD45" s="187"/>
      <c r="AH45" s="500">
        <f>HLOOKUP(AH$11,AJ$11:AQ$81,AI45)</f>
        <v>0</v>
      </c>
      <c r="AI45" s="462">
        <f t="shared" si="2"/>
        <v>35</v>
      </c>
      <c r="AJ45" s="420"/>
      <c r="AK45" s="420"/>
      <c r="AL45" s="249"/>
      <c r="AM45" s="249"/>
      <c r="AN45" s="249"/>
      <c r="AO45" s="420"/>
      <c r="AP45"/>
      <c r="AQ45" s="479"/>
      <c r="AR45" s="479"/>
      <c r="AS45" s="486" t="s">
        <v>532</v>
      </c>
      <c r="AU45" s="420"/>
      <c r="AV45" s="420"/>
      <c r="BA45" s="8"/>
      <c r="BB45" s="8"/>
    </row>
    <row r="46" spans="1:54" ht="17.25" x14ac:dyDescent="0.3">
      <c r="A46" s="224"/>
      <c r="B46" s="411" t="s">
        <v>494</v>
      </c>
      <c r="C46" s="69">
        <f>C45+C38</f>
        <v>10134400</v>
      </c>
      <c r="D46" s="69">
        <f>D45+D38</f>
        <v>7539400</v>
      </c>
      <c r="E46" s="405"/>
      <c r="F46" s="7"/>
      <c r="L46" s="37"/>
      <c r="M46" s="85"/>
      <c r="N46" s="85"/>
      <c r="O46" s="199"/>
      <c r="P46" s="85"/>
      <c r="Q46" s="85"/>
      <c r="R46" s="199"/>
      <c r="S46" s="85"/>
      <c r="T46" s="85"/>
      <c r="Y46" s="187"/>
      <c r="Z46" s="290"/>
      <c r="AA46" s="290"/>
      <c r="AB46" s="290"/>
      <c r="AC46" s="290"/>
      <c r="AD46" s="187"/>
      <c r="AH46" s="500">
        <f>HLOOKUP(AH$11,AJ$11:AQ$81,AI46)</f>
        <v>0</v>
      </c>
      <c r="AI46" s="462">
        <f t="shared" si="2"/>
        <v>36</v>
      </c>
      <c r="AJ46" s="353"/>
      <c r="AK46" s="353"/>
      <c r="AL46" s="249"/>
      <c r="AM46" s="249"/>
      <c r="AN46" s="249"/>
      <c r="AO46" s="353"/>
      <c r="AP46"/>
      <c r="AQ46" s="477"/>
      <c r="AR46" s="477"/>
      <c r="AS46" s="509" t="s">
        <v>533</v>
      </c>
      <c r="AU46" s="353"/>
      <c r="AV46" s="353"/>
      <c r="BA46" s="8"/>
      <c r="BB46" s="8"/>
    </row>
    <row r="47" spans="1:54" ht="25.5" x14ac:dyDescent="0.3">
      <c r="A47" s="224"/>
      <c r="B47" s="410" t="s">
        <v>493</v>
      </c>
      <c r="C47" s="208" t="s">
        <v>64</v>
      </c>
      <c r="D47" s="575" t="s">
        <v>551</v>
      </c>
      <c r="E47" s="406"/>
      <c r="F47" s="7"/>
      <c r="L47" s="37"/>
      <c r="M47" s="85"/>
      <c r="N47" s="85"/>
      <c r="O47" s="199"/>
      <c r="P47" s="85"/>
      <c r="Q47" s="85"/>
      <c r="R47" s="199"/>
      <c r="S47" s="85"/>
      <c r="T47" s="85"/>
      <c r="Y47" s="187"/>
      <c r="Z47" s="290"/>
      <c r="AA47" s="290"/>
      <c r="AB47" s="290"/>
      <c r="AC47" s="290"/>
      <c r="AD47" s="187"/>
      <c r="AH47" s="500">
        <f>HLOOKUP(AH$11,AJ$11:AQ$81,AI47)</f>
        <v>0</v>
      </c>
      <c r="AI47" s="462">
        <f t="shared" si="2"/>
        <v>37</v>
      </c>
      <c r="AJ47" s="420"/>
      <c r="AK47" s="420"/>
      <c r="AL47" s="249"/>
      <c r="AM47" s="249"/>
      <c r="AN47" s="249"/>
      <c r="AO47" s="490" t="s">
        <v>507</v>
      </c>
      <c r="AP47"/>
      <c r="AQ47" s="479"/>
      <c r="AR47" s="479"/>
      <c r="AS47" s="486" t="s">
        <v>534</v>
      </c>
      <c r="AU47" s="420"/>
      <c r="AV47" s="420"/>
      <c r="BA47" s="8"/>
      <c r="BB47" s="8"/>
    </row>
    <row r="48" spans="1:54" s="462" customFormat="1" ht="17.25" x14ac:dyDescent="0.3">
      <c r="A48" s="224"/>
      <c r="B48" s="410" t="s">
        <v>548</v>
      </c>
      <c r="C48" s="69"/>
      <c r="D48" s="465"/>
      <c r="E48" s="406"/>
      <c r="F48" s="7"/>
      <c r="G48" s="11"/>
      <c r="H48" s="11"/>
      <c r="I48" s="11"/>
      <c r="J48" s="11"/>
      <c r="L48" s="37"/>
      <c r="M48" s="85"/>
      <c r="N48" s="85"/>
      <c r="O48" s="199"/>
      <c r="P48" s="85"/>
      <c r="Q48" s="85"/>
      <c r="R48" s="199"/>
      <c r="S48" s="85"/>
      <c r="T48" s="85"/>
      <c r="Y48" s="187"/>
      <c r="Z48" s="290"/>
      <c r="AA48" s="290"/>
      <c r="AB48" s="290"/>
      <c r="AC48" s="290"/>
      <c r="AD48" s="187"/>
      <c r="AH48" s="500"/>
      <c r="AI48" s="462">
        <f t="shared" si="2"/>
        <v>38</v>
      </c>
      <c r="AJ48" s="420"/>
      <c r="AK48" s="420"/>
      <c r="AL48" s="249"/>
      <c r="AM48" s="249"/>
      <c r="AN48" s="249"/>
      <c r="AO48" s="490"/>
      <c r="AQ48" s="479"/>
      <c r="AR48" s="479"/>
      <c r="AS48" s="486"/>
      <c r="AU48" s="420"/>
      <c r="AV48" s="420"/>
      <c r="AX48" s="131"/>
      <c r="BA48" s="8"/>
      <c r="BB48" s="8"/>
    </row>
    <row r="49" spans="1:54" s="462" customFormat="1" x14ac:dyDescent="0.2">
      <c r="A49" s="228"/>
      <c r="B49" s="463" t="s">
        <v>614</v>
      </c>
      <c r="C49" s="69">
        <f>AH$13*D49</f>
        <v>375000</v>
      </c>
      <c r="D49" s="354">
        <f t="shared" ref="D49:D54" si="7">AH49</f>
        <v>2.5000000000000001E-2</v>
      </c>
      <c r="E49" s="464"/>
      <c r="F49" s="520">
        <f>IF(ProjectData!$B$16="United States",DefaultData!AR49,AQ49)</f>
        <v>0.6</v>
      </c>
      <c r="G49" s="85">
        <v>0</v>
      </c>
      <c r="H49" s="85">
        <v>0</v>
      </c>
      <c r="I49" s="543">
        <v>0.6</v>
      </c>
      <c r="J49" s="543">
        <v>0.6</v>
      </c>
      <c r="L49" s="37">
        <f t="shared" ref="L49:L50" si="8">(L$13-G$12)/(H$12-G$12)</f>
        <v>-0.42857142857142855</v>
      </c>
      <c r="M49" s="85">
        <f t="shared" ref="M49:M50" si="9">+H49-G49</f>
        <v>0</v>
      </c>
      <c r="N49" s="85">
        <f t="shared" ref="N49:N50" si="10">G49+(M49*L49)</f>
        <v>0</v>
      </c>
      <c r="O49" s="199">
        <f t="shared" ref="O49:O50" si="11">(L$13-H$12)/(I$12-H$12)</f>
        <v>-0.5</v>
      </c>
      <c r="P49" s="85">
        <f t="shared" ref="P49:P50" si="12">I49-H49</f>
        <v>0.6</v>
      </c>
      <c r="Q49" s="85">
        <f t="shared" ref="Q49:Q50" si="13">H49+(O49*P49)</f>
        <v>-0.3</v>
      </c>
      <c r="R49" s="199">
        <f t="shared" ref="R49:R50" si="14">IF((L$13-I$12)/(J$12-I$12)&gt;1,1,(L$13-I$12)/(J$12-I$12))</f>
        <v>-3</v>
      </c>
      <c r="S49" s="85">
        <f t="shared" ref="S49:S50" si="15">J49-I49</f>
        <v>0</v>
      </c>
      <c r="T49" s="85">
        <f t="shared" ref="T49:T50" si="16">I49+(R49*S49)</f>
        <v>0.6</v>
      </c>
      <c r="Y49" s="187"/>
      <c r="Z49" s="290"/>
      <c r="AA49" s="290"/>
      <c r="AB49" s="290"/>
      <c r="AC49" s="290"/>
      <c r="AD49" s="187"/>
      <c r="AF49" s="10"/>
      <c r="AH49" s="500">
        <f>IF(AH$7=2,HLOOKUP(AH$11,AJ$11:AQ$81,AI49)*'Line Config Data'!D$30,HLOOKUP(AH$11,AJ$11:AQ$81,AI49))</f>
        <v>2.5000000000000001E-2</v>
      </c>
      <c r="AI49" s="462">
        <f t="shared" si="2"/>
        <v>39</v>
      </c>
      <c r="AJ49" s="488">
        <v>3.5000000000000003E-2</v>
      </c>
      <c r="AK49" s="488">
        <v>2.5000000000000001E-2</v>
      </c>
      <c r="AL49" s="527">
        <v>0.02</v>
      </c>
      <c r="AM49" s="527">
        <v>1.4999999999999999E-2</v>
      </c>
      <c r="AN49" s="527">
        <v>0.02</v>
      </c>
      <c r="AO49" s="488">
        <v>4.4999999999999998E-2</v>
      </c>
      <c r="AP49" s="468">
        <v>1.4999999999999999E-2</v>
      </c>
      <c r="AQ49" s="477">
        <v>0.6</v>
      </c>
      <c r="AR49" s="466">
        <v>1</v>
      </c>
      <c r="AS49" s="486" t="s">
        <v>502</v>
      </c>
      <c r="AU49" s="420"/>
      <c r="AV49" s="420"/>
      <c r="AX49" s="131"/>
      <c r="BA49" s="8"/>
      <c r="BB49" s="8"/>
    </row>
    <row r="50" spans="1:54" s="462" customFormat="1" x14ac:dyDescent="0.2">
      <c r="A50" s="228"/>
      <c r="B50" s="463" t="s">
        <v>504</v>
      </c>
      <c r="C50" s="69">
        <f>AH$13*D50</f>
        <v>750000</v>
      </c>
      <c r="D50" s="354">
        <f>AH50</f>
        <v>0.05</v>
      </c>
      <c r="E50" s="464"/>
      <c r="F50" s="520">
        <f>IF(ProjectData!$B$16="United States",DefaultData!AR50,AQ50)</f>
        <v>0.6</v>
      </c>
      <c r="G50" s="85">
        <v>0</v>
      </c>
      <c r="H50" s="85">
        <v>0</v>
      </c>
      <c r="I50" s="543">
        <v>0.6</v>
      </c>
      <c r="J50" s="543">
        <v>0.6</v>
      </c>
      <c r="L50" s="37">
        <f t="shared" si="8"/>
        <v>-0.42857142857142855</v>
      </c>
      <c r="M50" s="85">
        <f t="shared" si="9"/>
        <v>0</v>
      </c>
      <c r="N50" s="85">
        <f t="shared" si="10"/>
        <v>0</v>
      </c>
      <c r="O50" s="199">
        <f t="shared" si="11"/>
        <v>-0.5</v>
      </c>
      <c r="P50" s="85">
        <f t="shared" si="12"/>
        <v>0.6</v>
      </c>
      <c r="Q50" s="85">
        <f t="shared" si="13"/>
        <v>-0.3</v>
      </c>
      <c r="R50" s="199">
        <f t="shared" si="14"/>
        <v>-3</v>
      </c>
      <c r="S50" s="85">
        <f t="shared" si="15"/>
        <v>0</v>
      </c>
      <c r="T50" s="85">
        <f t="shared" si="16"/>
        <v>0.6</v>
      </c>
      <c r="Y50" s="187"/>
      <c r="Z50" s="290"/>
      <c r="AA50" s="290"/>
      <c r="AB50" s="290"/>
      <c r="AC50" s="290"/>
      <c r="AD50" s="187"/>
      <c r="AF50" s="10"/>
      <c r="AH50" s="500">
        <f>IF(AH$7=2,HLOOKUP(AH$11,AJ$11:AQ$81,AI50)*'Line Config Data'!D$30,HLOOKUP(AH$11,AJ$11:AQ$81,AI50))</f>
        <v>0.05</v>
      </c>
      <c r="AI50" s="462">
        <f t="shared" si="2"/>
        <v>40</v>
      </c>
      <c r="AJ50" s="488">
        <v>7.0000000000000007E-2</v>
      </c>
      <c r="AK50" s="488">
        <v>0.05</v>
      </c>
      <c r="AL50" s="527">
        <v>0.04</v>
      </c>
      <c r="AM50" s="527">
        <v>0.03</v>
      </c>
      <c r="AN50" s="527">
        <v>0.04</v>
      </c>
      <c r="AO50" s="488">
        <v>0.09</v>
      </c>
      <c r="AP50" s="468">
        <v>2.5000000000000001E-2</v>
      </c>
      <c r="AQ50" s="477">
        <v>0.6</v>
      </c>
      <c r="AR50" s="466">
        <v>1</v>
      </c>
      <c r="AS50" s="486" t="s">
        <v>504</v>
      </c>
      <c r="AU50" s="420"/>
      <c r="AV50" s="420"/>
      <c r="AX50" s="131"/>
      <c r="BA50" s="8"/>
      <c r="BB50" s="8"/>
    </row>
    <row r="51" spans="1:54" s="462" customFormat="1" x14ac:dyDescent="0.2">
      <c r="A51" s="228"/>
      <c r="B51" s="463" t="s">
        <v>547</v>
      </c>
      <c r="C51" s="69">
        <f>SUM(C49:C50)</f>
        <v>1125000</v>
      </c>
      <c r="D51" s="354">
        <f>SUM(D49:D50)</f>
        <v>7.5000000000000011E-2</v>
      </c>
      <c r="E51" s="619"/>
      <c r="F51" s="520"/>
      <c r="G51" s="11"/>
      <c r="H51" s="11"/>
      <c r="I51" s="11"/>
      <c r="J51" s="11"/>
      <c r="L51" s="37"/>
      <c r="M51" s="85"/>
      <c r="N51" s="85"/>
      <c r="O51" s="199"/>
      <c r="P51" s="85"/>
      <c r="Q51" s="85"/>
      <c r="R51" s="199"/>
      <c r="S51" s="85"/>
      <c r="T51" s="85"/>
      <c r="Y51" s="187"/>
      <c r="Z51" s="290"/>
      <c r="AA51" s="290"/>
      <c r="AB51" s="290"/>
      <c r="AC51" s="290"/>
      <c r="AD51" s="187"/>
      <c r="AF51" s="10"/>
      <c r="AH51" s="500"/>
      <c r="AI51" s="462">
        <f t="shared" si="2"/>
        <v>41</v>
      </c>
      <c r="AJ51" s="488"/>
      <c r="AK51" s="488"/>
      <c r="AL51" s="527"/>
      <c r="AM51" s="527"/>
      <c r="AN51" s="527"/>
      <c r="AO51" s="488"/>
      <c r="AP51" s="468"/>
      <c r="AQ51" s="477"/>
      <c r="AR51" s="466"/>
      <c r="AS51" s="486"/>
      <c r="AU51" s="420"/>
      <c r="AV51" s="420"/>
      <c r="AX51" s="131"/>
      <c r="BA51" s="8"/>
      <c r="BB51" s="8"/>
    </row>
    <row r="52" spans="1:54" s="462" customFormat="1" ht="17.25" x14ac:dyDescent="0.3">
      <c r="A52" s="228"/>
      <c r="B52" s="411" t="s">
        <v>554</v>
      </c>
      <c r="C52" s="69"/>
      <c r="D52" s="354"/>
      <c r="E52" s="406"/>
      <c r="F52" s="520"/>
      <c r="G52" s="11"/>
      <c r="H52" s="11"/>
      <c r="I52" s="11"/>
      <c r="J52" s="11"/>
      <c r="L52" s="37"/>
      <c r="M52" s="85"/>
      <c r="N52" s="85"/>
      <c r="O52" s="199"/>
      <c r="P52" s="85"/>
      <c r="Q52" s="85"/>
      <c r="R52" s="199"/>
      <c r="S52" s="85"/>
      <c r="T52" s="85"/>
      <c r="Y52" s="187"/>
      <c r="Z52" s="290"/>
      <c r="AA52" s="290"/>
      <c r="AB52" s="290"/>
      <c r="AC52" s="290"/>
      <c r="AD52" s="187"/>
      <c r="AF52" s="10"/>
      <c r="AH52" s="500"/>
      <c r="AI52" s="462">
        <f t="shared" si="2"/>
        <v>42</v>
      </c>
      <c r="AJ52" s="488"/>
      <c r="AK52" s="488"/>
      <c r="AL52" s="527"/>
      <c r="AM52" s="527"/>
      <c r="AN52" s="527"/>
      <c r="AO52" s="488"/>
      <c r="AP52" s="468"/>
      <c r="AQ52" s="477"/>
      <c r="AR52" s="466"/>
      <c r="AS52" s="486"/>
      <c r="AU52" s="420"/>
      <c r="AV52" s="420"/>
      <c r="AX52" s="131"/>
      <c r="BA52" s="8"/>
      <c r="BB52" s="8"/>
    </row>
    <row r="53" spans="1:54" s="462" customFormat="1" x14ac:dyDescent="0.2">
      <c r="A53" s="228"/>
      <c r="B53" s="463" t="s">
        <v>503</v>
      </c>
      <c r="C53" s="69">
        <f>AH$14*D53</f>
        <v>222000</v>
      </c>
      <c r="D53" s="354">
        <f>AH53</f>
        <v>0.04</v>
      </c>
      <c r="E53" s="464"/>
      <c r="F53" s="520">
        <f>IF(ProjectData!$B$16="United States",DefaultData!AR53,AQ53)</f>
        <v>0.5</v>
      </c>
      <c r="G53" s="85">
        <v>0</v>
      </c>
      <c r="H53" s="85">
        <v>0</v>
      </c>
      <c r="I53" s="543">
        <v>0.5</v>
      </c>
      <c r="J53" s="543">
        <v>0.5</v>
      </c>
      <c r="L53" s="37">
        <f t="shared" ref="L53:L54" si="17">(L$13-G$12)/(H$12-G$12)</f>
        <v>-0.42857142857142855</v>
      </c>
      <c r="M53" s="85">
        <f t="shared" ref="M53:M54" si="18">+H53-G53</f>
        <v>0</v>
      </c>
      <c r="N53" s="85">
        <f t="shared" ref="N53:N54" si="19">G53+(M53*L53)</f>
        <v>0</v>
      </c>
      <c r="O53" s="199">
        <f t="shared" ref="O53:O54" si="20">(L$13-H$12)/(I$12-H$12)</f>
        <v>-0.5</v>
      </c>
      <c r="P53" s="85">
        <f t="shared" ref="P53:P54" si="21">I53-H53</f>
        <v>0.5</v>
      </c>
      <c r="Q53" s="85">
        <f t="shared" ref="Q53:Q54" si="22">H53+(O53*P53)</f>
        <v>-0.25</v>
      </c>
      <c r="R53" s="199">
        <f t="shared" ref="R53:R54" si="23">IF((L$13-I$12)/(J$12-I$12)&gt;1,1,(L$13-I$12)/(J$12-I$12))</f>
        <v>-3</v>
      </c>
      <c r="S53" s="85">
        <f t="shared" ref="S53:S54" si="24">J53-I53</f>
        <v>0</v>
      </c>
      <c r="T53" s="85">
        <f t="shared" ref="T53:T54" si="25">I53+(R53*S53)</f>
        <v>0.5</v>
      </c>
      <c r="Y53" s="187"/>
      <c r="Z53" s="290"/>
      <c r="AA53" s="290"/>
      <c r="AB53" s="290"/>
      <c r="AC53" s="290"/>
      <c r="AD53" s="187"/>
      <c r="AF53" s="10"/>
      <c r="AH53" s="500">
        <f>HLOOKUP(AH$11,AJ$11:AQ$81,AI53)</f>
        <v>0.04</v>
      </c>
      <c r="AI53" s="462">
        <f t="shared" si="2"/>
        <v>43</v>
      </c>
      <c r="AJ53" s="488">
        <v>0.04</v>
      </c>
      <c r="AK53" s="488">
        <v>0.04</v>
      </c>
      <c r="AL53" s="527">
        <v>0.04</v>
      </c>
      <c r="AM53" s="527">
        <v>0.04</v>
      </c>
      <c r="AN53" s="527">
        <v>2E-3</v>
      </c>
      <c r="AO53" s="488">
        <v>0.04</v>
      </c>
      <c r="AP53" s="468">
        <v>0.04</v>
      </c>
      <c r="AQ53" s="477">
        <v>0.5</v>
      </c>
      <c r="AR53" s="466">
        <v>1</v>
      </c>
      <c r="AS53" s="486" t="s">
        <v>503</v>
      </c>
      <c r="AU53" s="420"/>
      <c r="AV53" s="420"/>
      <c r="AX53" s="131"/>
      <c r="BA53" s="8"/>
      <c r="BB53" s="8"/>
    </row>
    <row r="54" spans="1:54" s="462" customFormat="1" x14ac:dyDescent="0.2">
      <c r="A54" s="228"/>
      <c r="B54" s="463" t="s">
        <v>505</v>
      </c>
      <c r="C54" s="69">
        <f>AH$14*D54</f>
        <v>1110000</v>
      </c>
      <c r="D54" s="354">
        <f t="shared" si="7"/>
        <v>0.2</v>
      </c>
      <c r="E54" s="464"/>
      <c r="F54" s="520">
        <f>IF(ProjectData!$B$16="United States",DefaultData!AR54,AQ54)</f>
        <v>0.2</v>
      </c>
      <c r="G54" s="85">
        <v>0</v>
      </c>
      <c r="H54" s="85">
        <v>0</v>
      </c>
      <c r="I54" s="543">
        <v>0.2</v>
      </c>
      <c r="J54" s="543">
        <v>0.2</v>
      </c>
      <c r="L54" s="37">
        <f t="shared" si="17"/>
        <v>-0.42857142857142855</v>
      </c>
      <c r="M54" s="85">
        <f t="shared" si="18"/>
        <v>0</v>
      </c>
      <c r="N54" s="85">
        <f t="shared" si="19"/>
        <v>0</v>
      </c>
      <c r="O54" s="199">
        <f t="shared" si="20"/>
        <v>-0.5</v>
      </c>
      <c r="P54" s="85">
        <f t="shared" si="21"/>
        <v>0.2</v>
      </c>
      <c r="Q54" s="85">
        <f t="shared" si="22"/>
        <v>-0.1</v>
      </c>
      <c r="R54" s="199">
        <f t="shared" si="23"/>
        <v>-3</v>
      </c>
      <c r="S54" s="85">
        <f t="shared" si="24"/>
        <v>0</v>
      </c>
      <c r="T54" s="85">
        <f t="shared" si="25"/>
        <v>0.2</v>
      </c>
      <c r="Y54" s="187"/>
      <c r="Z54" s="290"/>
      <c r="AA54" s="290"/>
      <c r="AB54" s="290"/>
      <c r="AC54" s="290"/>
      <c r="AD54" s="187"/>
      <c r="AF54" s="10"/>
      <c r="AH54" s="500">
        <f>HLOOKUP(AH$11,AJ$11:AQ$81,AI54)</f>
        <v>0.2</v>
      </c>
      <c r="AI54" s="462">
        <f t="shared" si="2"/>
        <v>44</v>
      </c>
      <c r="AJ54" s="488">
        <v>0.2</v>
      </c>
      <c r="AK54" s="488">
        <v>0.2</v>
      </c>
      <c r="AL54" s="527">
        <v>0.2</v>
      </c>
      <c r="AM54" s="527">
        <v>0.2</v>
      </c>
      <c r="AN54" s="527">
        <v>0.01</v>
      </c>
      <c r="AO54" s="488">
        <v>0.2</v>
      </c>
      <c r="AP54" s="468">
        <v>0.2</v>
      </c>
      <c r="AQ54" s="477">
        <v>0.2</v>
      </c>
      <c r="AR54" s="466">
        <v>1</v>
      </c>
      <c r="AS54" s="486" t="s">
        <v>505</v>
      </c>
      <c r="AU54" s="420"/>
      <c r="AV54" s="420"/>
      <c r="AX54" s="131"/>
      <c r="BA54" s="8"/>
      <c r="BB54" s="8"/>
    </row>
    <row r="55" spans="1:54" s="462" customFormat="1" x14ac:dyDescent="0.2">
      <c r="A55" s="228"/>
      <c r="B55" s="463" t="s">
        <v>547</v>
      </c>
      <c r="C55" s="69">
        <f>SUM(C53:C54)</f>
        <v>1332000</v>
      </c>
      <c r="D55" s="354">
        <f>SUM(D53:D54)</f>
        <v>0.24000000000000002</v>
      </c>
      <c r="E55" s="619"/>
      <c r="F55" s="520"/>
      <c r="G55" s="11"/>
      <c r="H55" s="11"/>
      <c r="I55" s="11"/>
      <c r="J55" s="11"/>
      <c r="L55" s="37"/>
      <c r="M55" s="85"/>
      <c r="N55" s="85"/>
      <c r="O55" s="199"/>
      <c r="P55" s="85"/>
      <c r="Q55" s="85"/>
      <c r="R55" s="199"/>
      <c r="S55" s="85"/>
      <c r="T55" s="85"/>
      <c r="Y55" s="187"/>
      <c r="Z55" s="290"/>
      <c r="AA55" s="290"/>
      <c r="AB55" s="290"/>
      <c r="AC55" s="290"/>
      <c r="AD55" s="187"/>
      <c r="AF55" s="10"/>
      <c r="AH55" s="500"/>
      <c r="AI55" s="462">
        <f t="shared" si="2"/>
        <v>45</v>
      </c>
      <c r="AJ55" s="488"/>
      <c r="AK55" s="488"/>
      <c r="AL55" s="527"/>
      <c r="AM55" s="527"/>
      <c r="AN55" s="527"/>
      <c r="AO55" s="488"/>
      <c r="AP55" s="468"/>
      <c r="AQ55" s="477"/>
      <c r="AR55" s="466"/>
      <c r="AS55" s="486"/>
      <c r="AU55" s="420"/>
      <c r="AV55" s="420"/>
      <c r="AX55" s="131"/>
      <c r="BA55" s="8"/>
      <c r="BB55" s="8"/>
    </row>
    <row r="56" spans="1:54" s="462" customFormat="1" ht="17.25" x14ac:dyDescent="0.3">
      <c r="A56" s="228"/>
      <c r="B56" s="411" t="s">
        <v>534</v>
      </c>
      <c r="C56" s="69"/>
      <c r="D56" s="354"/>
      <c r="E56" s="406"/>
      <c r="F56" s="520"/>
      <c r="G56" s="11"/>
      <c r="H56" s="11"/>
      <c r="I56" s="11"/>
      <c r="J56" s="11"/>
      <c r="L56" s="37"/>
      <c r="M56" s="85"/>
      <c r="N56" s="85"/>
      <c r="O56" s="199"/>
      <c r="P56" s="85"/>
      <c r="Q56" s="85"/>
      <c r="R56" s="199"/>
      <c r="S56" s="85"/>
      <c r="T56" s="85"/>
      <c r="Y56" s="187"/>
      <c r="Z56" s="290"/>
      <c r="AA56" s="290"/>
      <c r="AB56" s="290"/>
      <c r="AC56" s="290"/>
      <c r="AD56" s="187"/>
      <c r="AF56" s="10"/>
      <c r="AH56" s="500"/>
      <c r="AI56" s="462">
        <f t="shared" si="2"/>
        <v>46</v>
      </c>
      <c r="AJ56" s="488"/>
      <c r="AK56" s="488"/>
      <c r="AL56" s="527"/>
      <c r="AM56" s="527"/>
      <c r="AN56" s="527"/>
      <c r="AO56" s="488"/>
      <c r="AP56" s="468"/>
      <c r="AQ56" s="477"/>
      <c r="AR56" s="466"/>
      <c r="AS56" s="486"/>
      <c r="AU56" s="420"/>
      <c r="AV56" s="420"/>
      <c r="AX56" s="131"/>
      <c r="BA56" s="8"/>
      <c r="BB56" s="8"/>
    </row>
    <row r="57" spans="1:54" x14ac:dyDescent="0.2">
      <c r="B57" s="408" t="s">
        <v>305</v>
      </c>
      <c r="C57" s="69">
        <f>(AH$13+AH$14)*D57</f>
        <v>0</v>
      </c>
      <c r="D57" s="354">
        <f t="shared" ref="D57:D60" si="26">AH57</f>
        <v>0</v>
      </c>
      <c r="E57" s="464"/>
      <c r="F57" s="520">
        <f>IF(ProjectData!$B$16="United States",DefaultData!AR57,AQ57)</f>
        <v>0.7</v>
      </c>
      <c r="G57" s="85">
        <v>0</v>
      </c>
      <c r="H57" s="85">
        <v>0</v>
      </c>
      <c r="I57" s="85">
        <v>0.7</v>
      </c>
      <c r="J57" s="85">
        <v>0.7</v>
      </c>
      <c r="L57" s="37">
        <f>(L$13-G$12)/(H$12-G$12)</f>
        <v>-0.42857142857142855</v>
      </c>
      <c r="M57" s="85">
        <f t="shared" ref="M57:M60" si="27">+H57-G57</f>
        <v>0</v>
      </c>
      <c r="N57" s="85">
        <f t="shared" ref="N57:N60" si="28">G57+(M57*L57)</f>
        <v>0</v>
      </c>
      <c r="O57" s="199">
        <f>(L$13-H$12)/(I$12-H$12)</f>
        <v>-0.5</v>
      </c>
      <c r="P57" s="85">
        <f t="shared" ref="P57:P60" si="29">I57-H57</f>
        <v>0.7</v>
      </c>
      <c r="Q57" s="85">
        <f t="shared" ref="Q57:Q60" si="30">H57+(O57*P57)</f>
        <v>-0.35</v>
      </c>
      <c r="R57" s="199">
        <f>IF((L$13-I$12)/(J$12-I$12)&gt;1,1,(L$13-I$12)/(J$12-I$12))</f>
        <v>-3</v>
      </c>
      <c r="S57" s="85">
        <f t="shared" ref="S57:S60" si="31">J57-I57</f>
        <v>0</v>
      </c>
      <c r="T57" s="85">
        <f t="shared" ref="T57:T60" si="32">I57+(R57*S57)</f>
        <v>0.7</v>
      </c>
      <c r="Y57" s="187"/>
      <c r="Z57" s="290"/>
      <c r="AA57" s="290"/>
      <c r="AB57" s="290"/>
      <c r="AC57" s="290"/>
      <c r="AD57" s="187"/>
      <c r="AF57" s="10"/>
      <c r="AH57" s="500">
        <f>HLOOKUP(AH$11,AJ$11:AQ$81,AI57)</f>
        <v>0</v>
      </c>
      <c r="AI57" s="462">
        <f t="shared" si="2"/>
        <v>47</v>
      </c>
      <c r="AJ57" s="488"/>
      <c r="AK57" s="488"/>
      <c r="AL57" s="487"/>
      <c r="AM57" s="487"/>
      <c r="AN57" s="487"/>
      <c r="AO57" s="488"/>
      <c r="AP57"/>
      <c r="AQ57" s="477">
        <v>0.7</v>
      </c>
      <c r="AR57" s="466">
        <v>1</v>
      </c>
      <c r="AS57" s="509" t="s">
        <v>305</v>
      </c>
      <c r="AU57" s="353"/>
      <c r="AV57" s="353"/>
      <c r="BA57" s="8"/>
      <c r="BB57" s="8"/>
    </row>
    <row r="58" spans="1:54" s="439" customFormat="1" x14ac:dyDescent="0.2">
      <c r="A58" s="228"/>
      <c r="B58" s="408" t="s">
        <v>499</v>
      </c>
      <c r="C58" s="69">
        <f t="shared" ref="C58:C59" si="33">(AH$13+AH$14)*D58</f>
        <v>0</v>
      </c>
      <c r="D58" s="354">
        <f t="shared" ref="D58" si="34">AH58</f>
        <v>0</v>
      </c>
      <c r="E58" s="464"/>
      <c r="F58" s="520">
        <f>IF(ProjectData!$B$16="United States",DefaultData!AR58,AQ58)</f>
        <v>0.1</v>
      </c>
      <c r="G58" s="85">
        <v>0</v>
      </c>
      <c r="H58" s="85">
        <v>0</v>
      </c>
      <c r="I58" s="543">
        <v>0.1</v>
      </c>
      <c r="J58" s="543">
        <v>0.1</v>
      </c>
      <c r="L58" s="37">
        <f t="shared" ref="L58" si="35">(L$13-G$12)/(H$12-G$12)</f>
        <v>-0.42857142857142855</v>
      </c>
      <c r="M58" s="85">
        <f t="shared" ref="M58" si="36">+H58-G58</f>
        <v>0</v>
      </c>
      <c r="N58" s="85">
        <f t="shared" ref="N58" si="37">G58+(M58*L58)</f>
        <v>0</v>
      </c>
      <c r="O58" s="199">
        <f t="shared" ref="O58" si="38">(L$13-H$12)/(I$12-H$12)</f>
        <v>-0.5</v>
      </c>
      <c r="P58" s="85">
        <f t="shared" ref="P58" si="39">I58-H58</f>
        <v>0.1</v>
      </c>
      <c r="Q58" s="85">
        <f t="shared" ref="Q58" si="40">H58+(O58*P58)</f>
        <v>-0.05</v>
      </c>
      <c r="R58" s="199">
        <f t="shared" ref="R58" si="41">IF((L$13-I$12)/(J$12-I$12)&gt;1,1,(L$13-I$12)/(J$12-I$12))</f>
        <v>-3</v>
      </c>
      <c r="S58" s="85">
        <f t="shared" ref="S58" si="42">J58-I58</f>
        <v>0</v>
      </c>
      <c r="T58" s="85">
        <f t="shared" ref="T58" si="43">I58+(R58*S58)</f>
        <v>0.1</v>
      </c>
      <c r="Y58" s="187"/>
      <c r="Z58" s="290"/>
      <c r="AA58" s="290"/>
      <c r="AB58" s="290"/>
      <c r="AC58" s="290"/>
      <c r="AD58" s="187"/>
      <c r="AF58" s="10"/>
      <c r="AH58" s="500">
        <f>HLOOKUP(AH$11,AJ$11:AQ$81,AI58)</f>
        <v>0</v>
      </c>
      <c r="AI58" s="462">
        <f t="shared" si="2"/>
        <v>48</v>
      </c>
      <c r="AQ58" s="448">
        <v>0.1</v>
      </c>
      <c r="AR58" s="466">
        <v>1</v>
      </c>
      <c r="AS58" s="509" t="s">
        <v>499</v>
      </c>
      <c r="AU58" s="353"/>
      <c r="AV58" s="353"/>
      <c r="AX58" s="131"/>
      <c r="BA58" s="8"/>
      <c r="BB58" s="8"/>
    </row>
    <row r="59" spans="1:54" x14ac:dyDescent="0.2">
      <c r="B59" s="408" t="s">
        <v>307</v>
      </c>
      <c r="C59" s="69">
        <f t="shared" si="33"/>
        <v>0</v>
      </c>
      <c r="D59" s="354">
        <f t="shared" si="26"/>
        <v>0</v>
      </c>
      <c r="E59" s="464"/>
      <c r="F59" s="520">
        <f>IF(ProjectData!$B$16="United States",DefaultData!AR59,AQ59)</f>
        <v>0.2</v>
      </c>
      <c r="G59" s="85">
        <v>0</v>
      </c>
      <c r="H59" s="85">
        <v>0</v>
      </c>
      <c r="I59" s="85">
        <v>0.2</v>
      </c>
      <c r="J59" s="85">
        <v>0.2</v>
      </c>
      <c r="L59" s="37">
        <f>(L$13-G$12)/(H$12-G$12)</f>
        <v>-0.42857142857142855</v>
      </c>
      <c r="M59" s="85">
        <f t="shared" si="27"/>
        <v>0</v>
      </c>
      <c r="N59" s="85">
        <f t="shared" si="28"/>
        <v>0</v>
      </c>
      <c r="O59" s="199">
        <f>(L$13-H$12)/(I$12-H$12)</f>
        <v>-0.5</v>
      </c>
      <c r="P59" s="85">
        <f t="shared" si="29"/>
        <v>0.2</v>
      </c>
      <c r="Q59" s="85">
        <f t="shared" si="30"/>
        <v>-0.1</v>
      </c>
      <c r="R59" s="199">
        <f>IF((L$13-I$12)/(J$12-I$12)&gt;1,1,(L$13-I$12)/(J$12-I$12))</f>
        <v>-3</v>
      </c>
      <c r="S59" s="85">
        <f t="shared" si="31"/>
        <v>0</v>
      </c>
      <c r="T59" s="85">
        <f t="shared" si="32"/>
        <v>0.2</v>
      </c>
      <c r="Y59" s="187"/>
      <c r="Z59" s="290"/>
      <c r="AA59" s="290"/>
      <c r="AB59" s="290"/>
      <c r="AC59" s="290"/>
      <c r="AD59" s="187"/>
      <c r="AF59" s="10"/>
      <c r="AH59" s="500">
        <f>HLOOKUP(AH$11,AJ$11:AQ$81,AI59)</f>
        <v>0</v>
      </c>
      <c r="AI59" s="462">
        <f t="shared" si="2"/>
        <v>49</v>
      </c>
      <c r="AJ59" s="353"/>
      <c r="AK59" s="353"/>
      <c r="AL59" s="249"/>
      <c r="AM59" s="249"/>
      <c r="AN59" s="249"/>
      <c r="AO59" s="353"/>
      <c r="AP59"/>
      <c r="AQ59" s="466">
        <v>0.2</v>
      </c>
      <c r="AR59" s="466">
        <v>1</v>
      </c>
      <c r="AS59" s="509" t="s">
        <v>307</v>
      </c>
      <c r="AU59" s="353"/>
      <c r="AV59" s="353"/>
      <c r="BA59" s="8"/>
      <c r="BB59" s="8"/>
    </row>
    <row r="60" spans="1:54" x14ac:dyDescent="0.2">
      <c r="B60" s="413" t="s">
        <v>546</v>
      </c>
      <c r="C60" s="69">
        <f>AH$14*C$5*D60</f>
        <v>55500</v>
      </c>
      <c r="D60" s="354">
        <f t="shared" si="26"/>
        <v>0.01</v>
      </c>
      <c r="E60" s="464"/>
      <c r="F60" s="520">
        <f>IF(ProjectData!$B$16="United States",DefaultData!AR60,AQ60)</f>
        <v>0</v>
      </c>
      <c r="G60" s="85">
        <v>0</v>
      </c>
      <c r="H60" s="85">
        <v>0</v>
      </c>
      <c r="I60" s="85">
        <v>0</v>
      </c>
      <c r="J60" s="85">
        <v>0</v>
      </c>
      <c r="L60" s="37">
        <f>(L$13-G$12)/(H$12-G$12)</f>
        <v>-0.42857142857142855</v>
      </c>
      <c r="M60" s="85">
        <f t="shared" si="27"/>
        <v>0</v>
      </c>
      <c r="N60" s="85">
        <f t="shared" si="28"/>
        <v>0</v>
      </c>
      <c r="O60" s="199">
        <f>(L$13-H$12)/(I$12-H$12)</f>
        <v>-0.5</v>
      </c>
      <c r="P60" s="85">
        <f t="shared" si="29"/>
        <v>0</v>
      </c>
      <c r="Q60" s="85">
        <f t="shared" si="30"/>
        <v>0</v>
      </c>
      <c r="R60" s="199">
        <f>IF((L$13-I$12)/(J$12-I$12)&gt;1,1,(L$13-I$12)/(J$12-I$12))</f>
        <v>-3</v>
      </c>
      <c r="S60" s="85">
        <f t="shared" si="31"/>
        <v>0</v>
      </c>
      <c r="T60" s="85">
        <f t="shared" si="32"/>
        <v>0</v>
      </c>
      <c r="Y60" s="187"/>
      <c r="Z60" s="290"/>
      <c r="AA60" s="290"/>
      <c r="AB60" s="290"/>
      <c r="AC60" s="290"/>
      <c r="AD60" s="187"/>
      <c r="AF60" s="10"/>
      <c r="AH60" s="500">
        <f>HLOOKUP(AH$11,AJ$11:AQ$81,AI60)</f>
        <v>0.01</v>
      </c>
      <c r="AI60" s="462">
        <f t="shared" si="2"/>
        <v>50</v>
      </c>
      <c r="AJ60" s="496">
        <v>0.01</v>
      </c>
      <c r="AK60" s="496">
        <v>0.01</v>
      </c>
      <c r="AL60" s="498">
        <v>0.01</v>
      </c>
      <c r="AM60" s="498">
        <v>0.01</v>
      </c>
      <c r="AN60" s="470">
        <v>2E-3</v>
      </c>
      <c r="AO60" s="496">
        <v>0.01</v>
      </c>
      <c r="AP60" s="470">
        <v>0.01</v>
      </c>
      <c r="AQ60" s="521">
        <v>0</v>
      </c>
      <c r="AR60" s="466">
        <v>1</v>
      </c>
      <c r="AS60" s="513" t="s">
        <v>535</v>
      </c>
      <c r="AU60" s="487"/>
      <c r="AV60" s="487"/>
      <c r="AW60" s="439"/>
      <c r="AX60" s="477"/>
      <c r="BA60" s="8"/>
      <c r="BB60" s="8"/>
    </row>
    <row r="61" spans="1:54" ht="15" x14ac:dyDescent="0.25">
      <c r="B61" s="408" t="s">
        <v>549</v>
      </c>
      <c r="C61" s="69">
        <f>SUM(C57:C60)</f>
        <v>55500</v>
      </c>
      <c r="D61" s="90">
        <f>SUM(D49:D60)</f>
        <v>0.64</v>
      </c>
      <c r="E61" s="618"/>
      <c r="F61" s="7"/>
      <c r="L61" s="37"/>
      <c r="M61" s="85"/>
      <c r="N61" s="85"/>
      <c r="O61" s="199"/>
      <c r="P61" s="85"/>
      <c r="Q61" s="85"/>
      <c r="R61" s="199"/>
      <c r="S61" s="85"/>
      <c r="T61" s="85"/>
      <c r="Y61" s="187"/>
      <c r="Z61" s="172"/>
      <c r="AA61" s="305"/>
      <c r="AB61" s="172"/>
      <c r="AC61" s="172"/>
      <c r="AD61" s="187"/>
      <c r="AH61" s="500">
        <f>HLOOKUP(AH$11,AJ$11:AQ$81,AI61)</f>
        <v>0</v>
      </c>
      <c r="AI61" s="462">
        <f t="shared" si="2"/>
        <v>51</v>
      </c>
      <c r="AJ61" s="420"/>
      <c r="AK61" s="420"/>
      <c r="AL61" s="252"/>
      <c r="AM61" s="252"/>
      <c r="AN61" s="252"/>
      <c r="AO61" s="420"/>
      <c r="AP61"/>
      <c r="AQ61" s="479"/>
      <c r="AR61" s="479"/>
      <c r="AS61" s="486" t="s">
        <v>3</v>
      </c>
      <c r="AU61" s="420"/>
      <c r="AV61" s="420"/>
      <c r="BA61" s="8"/>
      <c r="BB61" s="8"/>
    </row>
    <row r="62" spans="1:54" s="462" customFormat="1" ht="15" x14ac:dyDescent="0.25">
      <c r="A62" s="228"/>
      <c r="B62" s="552" t="s">
        <v>561</v>
      </c>
      <c r="C62" s="69">
        <f>C61+C55+C51</f>
        <v>2512500</v>
      </c>
      <c r="D62" s="90"/>
      <c r="E62" s="403"/>
      <c r="F62" s="7"/>
      <c r="G62" s="159"/>
      <c r="H62" s="159"/>
      <c r="I62" s="159"/>
      <c r="J62" s="198"/>
      <c r="L62" s="37"/>
      <c r="M62" s="85"/>
      <c r="N62" s="85"/>
      <c r="O62" s="199"/>
      <c r="P62" s="85"/>
      <c r="Q62" s="85"/>
      <c r="R62" s="199"/>
      <c r="S62" s="85"/>
      <c r="T62" s="85"/>
      <c r="Y62" s="187"/>
      <c r="Z62" s="172"/>
      <c r="AA62" s="305"/>
      <c r="AB62" s="172"/>
      <c r="AC62" s="172"/>
      <c r="AD62" s="187"/>
      <c r="AH62" s="500"/>
      <c r="AI62" s="462">
        <f t="shared" si="2"/>
        <v>52</v>
      </c>
      <c r="AJ62" s="420"/>
      <c r="AK62" s="420"/>
      <c r="AL62" s="252"/>
      <c r="AM62" s="252"/>
      <c r="AN62" s="252"/>
      <c r="AO62" s="420"/>
      <c r="AQ62" s="479"/>
      <c r="AR62" s="479"/>
      <c r="AS62" s="486"/>
      <c r="AU62" s="420"/>
      <c r="AV62" s="420"/>
      <c r="AX62" s="131"/>
      <c r="BA62" s="8"/>
      <c r="BB62" s="8"/>
    </row>
    <row r="63" spans="1:54" ht="15" x14ac:dyDescent="0.25">
      <c r="B63" s="4" t="s">
        <v>313</v>
      </c>
      <c r="C63" s="69">
        <f>C62+C46+C30</f>
        <v>28851936.543492477</v>
      </c>
      <c r="D63" s="69"/>
      <c r="E63" s="621"/>
      <c r="F63" s="7"/>
      <c r="L63" s="37"/>
      <c r="M63" s="85"/>
      <c r="N63" s="85"/>
      <c r="O63" s="199"/>
      <c r="P63" s="85"/>
      <c r="Q63" s="85"/>
      <c r="R63" s="199"/>
      <c r="S63" s="85"/>
      <c r="T63" s="85"/>
      <c r="Y63" s="187"/>
      <c r="Z63" s="187"/>
      <c r="AA63" s="187"/>
      <c r="AB63" s="187"/>
      <c r="AC63" s="187"/>
      <c r="AD63" s="187"/>
      <c r="AH63" s="500">
        <f t="shared" ref="AH63:AH69" si="44">HLOOKUP(AH$11,AJ$11:AQ$81,AI63)</f>
        <v>0</v>
      </c>
      <c r="AI63" s="462">
        <f t="shared" si="2"/>
        <v>53</v>
      </c>
      <c r="AJ63" s="353"/>
      <c r="AK63" s="353"/>
      <c r="AL63" s="262"/>
      <c r="AM63" s="262"/>
      <c r="AN63" s="262"/>
      <c r="AO63" s="353"/>
      <c r="AP63"/>
      <c r="AQ63" s="477"/>
      <c r="AR63" s="477"/>
      <c r="AS63" s="509" t="s">
        <v>313</v>
      </c>
      <c r="AU63" s="353"/>
      <c r="AV63" s="353"/>
    </row>
    <row r="64" spans="1:54" x14ac:dyDescent="0.2">
      <c r="B64" s="397" t="s">
        <v>238</v>
      </c>
      <c r="C64" s="69">
        <f>(C25+C38)*C105</f>
        <v>1007500</v>
      </c>
      <c r="D64" s="10"/>
      <c r="E64" s="180"/>
      <c r="F64" s="7"/>
      <c r="G64" s="11"/>
      <c r="H64" s="11"/>
      <c r="I64" s="11"/>
      <c r="J64" s="11"/>
      <c r="L64" s="37"/>
      <c r="M64" s="85"/>
      <c r="N64" s="85"/>
      <c r="O64" s="199"/>
      <c r="P64" s="85"/>
      <c r="Q64" s="85"/>
      <c r="R64" s="199"/>
      <c r="S64" s="85"/>
      <c r="T64" s="85"/>
      <c r="Y64" s="187"/>
      <c r="Z64" s="187"/>
      <c r="AA64" s="187"/>
      <c r="AB64" s="187"/>
      <c r="AC64" s="187"/>
      <c r="AD64" s="187"/>
      <c r="AH64" s="500">
        <f t="shared" si="44"/>
        <v>0</v>
      </c>
      <c r="AI64" s="462">
        <f t="shared" si="2"/>
        <v>54</v>
      </c>
      <c r="AJ64" s="353"/>
      <c r="AK64" s="353"/>
      <c r="AL64" s="262"/>
      <c r="AM64" s="262"/>
      <c r="AN64" s="262"/>
      <c r="AO64" s="353"/>
      <c r="AP64"/>
      <c r="AQ64" s="477"/>
      <c r="AR64" s="477"/>
      <c r="AS64" s="509" t="s">
        <v>238</v>
      </c>
      <c r="AU64" s="353"/>
      <c r="AV64" s="353"/>
    </row>
    <row r="65" spans="1:51" x14ac:dyDescent="0.2">
      <c r="B65" s="74" t="s">
        <v>298</v>
      </c>
      <c r="C65" s="69">
        <f>C64+C63</f>
        <v>29859436.543492477</v>
      </c>
      <c r="D65" s="69">
        <f>C65/D5</f>
        <v>1492971.827174624</v>
      </c>
      <c r="E65" s="180"/>
      <c r="F65" s="7"/>
      <c r="G65" s="11" t="s">
        <v>168</v>
      </c>
      <c r="H65" s="11" t="s">
        <v>165</v>
      </c>
      <c r="I65" s="11" t="s">
        <v>166</v>
      </c>
      <c r="J65" s="11" t="s">
        <v>167</v>
      </c>
      <c r="L65" s="37"/>
      <c r="M65" s="85"/>
      <c r="N65" s="85"/>
      <c r="O65" s="199"/>
      <c r="P65" s="85"/>
      <c r="Q65" s="85"/>
      <c r="R65" s="199"/>
      <c r="S65" s="85"/>
      <c r="T65" s="85"/>
      <c r="Y65" s="187"/>
      <c r="Z65" s="187"/>
      <c r="AA65" s="187"/>
      <c r="AB65" s="187"/>
      <c r="AC65" s="187"/>
      <c r="AD65" s="187"/>
      <c r="AH65" s="500">
        <f t="shared" si="44"/>
        <v>0</v>
      </c>
      <c r="AI65" s="462">
        <f t="shared" si="2"/>
        <v>55</v>
      </c>
      <c r="AJ65" s="353"/>
      <c r="AK65" s="353"/>
      <c r="AL65" s="262"/>
      <c r="AM65" s="262"/>
      <c r="AN65" s="262"/>
      <c r="AO65" s="353"/>
      <c r="AP65"/>
      <c r="AQ65" s="477"/>
      <c r="AR65" s="477"/>
      <c r="AS65" s="509" t="s">
        <v>312</v>
      </c>
      <c r="AU65" s="353"/>
      <c r="AV65" s="353"/>
    </row>
    <row r="66" spans="1:51" x14ac:dyDescent="0.2">
      <c r="B66" s="74"/>
      <c r="C66" s="69"/>
      <c r="D66" s="10"/>
      <c r="E66" s="8"/>
      <c r="F66" s="7"/>
      <c r="G66" s="159">
        <v>30000</v>
      </c>
      <c r="H66" s="159">
        <v>100000</v>
      </c>
      <c r="I66" s="159">
        <v>300000</v>
      </c>
      <c r="J66" s="198">
        <v>400000</v>
      </c>
      <c r="L66" s="37"/>
      <c r="M66" s="85"/>
      <c r="N66" s="85"/>
      <c r="O66" s="199"/>
      <c r="P66" s="85"/>
      <c r="Q66" s="85"/>
      <c r="R66" s="199"/>
      <c r="S66" s="85"/>
      <c r="T66" s="85"/>
      <c r="Y66" s="187"/>
      <c r="Z66" s="187"/>
      <c r="AA66" s="187"/>
      <c r="AB66" s="187"/>
      <c r="AC66" s="187"/>
      <c r="AD66" s="187"/>
      <c r="AH66" s="500">
        <f t="shared" si="44"/>
        <v>0</v>
      </c>
      <c r="AI66" s="462">
        <f t="shared" si="2"/>
        <v>56</v>
      </c>
      <c r="AJ66" s="353"/>
      <c r="AK66" s="353"/>
      <c r="AL66" s="262"/>
      <c r="AM66" s="262"/>
      <c r="AN66" s="262"/>
      <c r="AO66" s="489"/>
      <c r="AP66"/>
      <c r="AQ66" s="477"/>
      <c r="AR66" s="477"/>
      <c r="AS66" s="509"/>
      <c r="AU66" s="353"/>
      <c r="AV66" s="353"/>
    </row>
    <row r="67" spans="1:51" ht="15.75" x14ac:dyDescent="0.25">
      <c r="B67" s="74"/>
      <c r="C67" s="69"/>
      <c r="D67" s="10"/>
      <c r="E67" s="8"/>
      <c r="F67" s="7"/>
      <c r="G67" s="11" t="s">
        <v>164</v>
      </c>
      <c r="H67" s="11" t="s">
        <v>164</v>
      </c>
      <c r="I67" s="11" t="s">
        <v>164</v>
      </c>
      <c r="J67" s="11" t="s">
        <v>164</v>
      </c>
      <c r="L67" s="37"/>
      <c r="M67" s="85"/>
      <c r="N67" s="85"/>
      <c r="O67" s="199"/>
      <c r="P67" s="85"/>
      <c r="Q67" s="85"/>
      <c r="R67" s="199"/>
      <c r="S67" s="85"/>
      <c r="T67" s="85"/>
      <c r="Y67" s="187"/>
      <c r="Z67" s="187"/>
      <c r="AA67" s="187"/>
      <c r="AB67" s="187"/>
      <c r="AC67" s="187"/>
      <c r="AD67" s="187"/>
      <c r="AH67" s="500">
        <f t="shared" si="44"/>
        <v>0</v>
      </c>
      <c r="AI67" s="462">
        <f t="shared" si="2"/>
        <v>57</v>
      </c>
      <c r="AJ67" s="481"/>
      <c r="AK67" s="481"/>
      <c r="AL67" s="472"/>
      <c r="AM67" s="472"/>
      <c r="AO67" s="481"/>
      <c r="AP67"/>
      <c r="AQ67" s="448"/>
      <c r="AR67" s="448"/>
      <c r="AS67" s="510"/>
      <c r="AU67" s="415"/>
      <c r="AV67" s="415"/>
      <c r="AX67" s="424"/>
      <c r="AY67" s="425"/>
    </row>
    <row r="68" spans="1:51" ht="15.75" x14ac:dyDescent="0.25">
      <c r="B68" s="71" t="s">
        <v>308</v>
      </c>
      <c r="C68" s="11" t="s">
        <v>64</v>
      </c>
      <c r="D68" s="11" t="s">
        <v>64</v>
      </c>
      <c r="E68" s="11"/>
      <c r="F68" s="29" t="s">
        <v>5</v>
      </c>
      <c r="G68" s="29" t="s">
        <v>5</v>
      </c>
      <c r="H68" s="29" t="s">
        <v>5</v>
      </c>
      <c r="I68" s="29" t="s">
        <v>5</v>
      </c>
      <c r="J68" s="29" t="s">
        <v>5</v>
      </c>
      <c r="L68" s="29"/>
      <c r="M68" s="85"/>
      <c r="N68" s="85"/>
      <c r="P68" s="85"/>
      <c r="Q68" s="85"/>
      <c r="R68" s="199"/>
      <c r="S68" s="85"/>
      <c r="T68" s="85"/>
      <c r="AH68" s="500">
        <f t="shared" si="44"/>
        <v>0</v>
      </c>
      <c r="AI68" s="462">
        <f t="shared" si="2"/>
        <v>58</v>
      </c>
      <c r="AJ68" s="482"/>
      <c r="AK68" s="482"/>
      <c r="AL68" s="473"/>
      <c r="AM68" s="473"/>
      <c r="AO68" s="482"/>
      <c r="AP68"/>
      <c r="AQ68" s="448"/>
      <c r="AR68" s="448"/>
      <c r="AS68" s="509" t="s">
        <v>308</v>
      </c>
      <c r="AU68" s="416"/>
      <c r="AV68" s="416"/>
      <c r="AW68" s="131"/>
      <c r="AX68" s="424"/>
      <c r="AY68" s="424"/>
    </row>
    <row r="69" spans="1:51" ht="15.75" x14ac:dyDescent="0.25">
      <c r="B69" s="197" t="s">
        <v>510</v>
      </c>
      <c r="C69" s="10"/>
      <c r="D69" s="11" t="s">
        <v>545</v>
      </c>
      <c r="E69" s="11"/>
      <c r="L69" s="37"/>
      <c r="M69" s="85"/>
      <c r="N69" s="85"/>
      <c r="P69" s="85"/>
      <c r="Q69" s="85"/>
      <c r="R69" s="199"/>
      <c r="S69" s="85"/>
      <c r="T69" s="85"/>
      <c r="AH69" s="500">
        <f t="shared" si="44"/>
        <v>0</v>
      </c>
      <c r="AI69" s="462">
        <f t="shared" si="2"/>
        <v>59</v>
      </c>
      <c r="AJ69" s="353"/>
      <c r="AK69" s="353"/>
      <c r="AL69" s="262"/>
      <c r="AM69" s="262"/>
      <c r="AN69" s="262"/>
      <c r="AO69" s="489" t="s">
        <v>508</v>
      </c>
      <c r="AQ69" s="477"/>
      <c r="AR69" s="477"/>
      <c r="AS69" s="509" t="s">
        <v>510</v>
      </c>
      <c r="AU69" s="417"/>
      <c r="AV69" s="417"/>
      <c r="AW69" s="131"/>
      <c r="AX69" s="426"/>
      <c r="AY69" s="424"/>
    </row>
    <row r="70" spans="1:51" ht="15" x14ac:dyDescent="0.25">
      <c r="B70" s="491" t="s">
        <v>515</v>
      </c>
      <c r="C70" s="69">
        <f>D70*D$5</f>
        <v>139104</v>
      </c>
      <c r="D70" s="390">
        <f>AH70</f>
        <v>6955.2</v>
      </c>
      <c r="E70" s="464"/>
      <c r="F70" s="520">
        <f>IF(ProjectData!$B$16="United States",DefaultData!AR70,AQ70)</f>
        <v>0.6</v>
      </c>
      <c r="G70" s="7">
        <v>0</v>
      </c>
      <c r="H70" s="85">
        <v>0.6</v>
      </c>
      <c r="I70" s="85">
        <v>0.6</v>
      </c>
      <c r="J70" s="85">
        <v>0.6</v>
      </c>
      <c r="L70" s="37"/>
      <c r="M70" s="85"/>
      <c r="N70" s="85"/>
      <c r="O70" s="199"/>
      <c r="P70" s="85"/>
      <c r="Q70" s="85"/>
      <c r="R70" s="199"/>
      <c r="S70" s="85"/>
      <c r="T70" s="85"/>
      <c r="AH70" s="500">
        <f>HLOOKUP(AH$11,AJ$11:AQ$81,AI70)*AI$6*'Wage Data'!G32</f>
        <v>6955.2</v>
      </c>
      <c r="AI70" s="462">
        <f t="shared" si="2"/>
        <v>60</v>
      </c>
      <c r="AJ70" s="523">
        <v>8280</v>
      </c>
      <c r="AK70" s="523">
        <v>8280</v>
      </c>
      <c r="AL70" s="476">
        <v>8280</v>
      </c>
      <c r="AM70" s="476">
        <v>8280</v>
      </c>
      <c r="AN70" s="524">
        <v>8280</v>
      </c>
      <c r="AO70" s="523">
        <v>8280</v>
      </c>
      <c r="AP70" s="507">
        <v>8280</v>
      </c>
      <c r="AQ70" s="448">
        <v>0.6</v>
      </c>
      <c r="AR70" s="466">
        <v>1</v>
      </c>
      <c r="AS70" s="509" t="s">
        <v>511</v>
      </c>
      <c r="AU70" s="353"/>
      <c r="AV70" s="353"/>
      <c r="AW70" s="180"/>
      <c r="AX70" s="493"/>
      <c r="AY70" s="423"/>
    </row>
    <row r="71" spans="1:51" s="462" customFormat="1" ht="15" x14ac:dyDescent="0.25">
      <c r="A71" s="228"/>
      <c r="B71" s="491" t="s">
        <v>512</v>
      </c>
      <c r="C71" s="69">
        <f t="shared" ref="C71:C73" si="45">D71*D$5</f>
        <v>34400</v>
      </c>
      <c r="D71" s="390">
        <f t="shared" ref="D71:D73" si="46">AH71</f>
        <v>1720</v>
      </c>
      <c r="E71" s="464"/>
      <c r="F71" s="520">
        <f>IF(ProjectData!$B$16="United States",DefaultData!AR71,AQ71)</f>
        <v>0.1</v>
      </c>
      <c r="G71" s="7">
        <v>0</v>
      </c>
      <c r="H71" s="85">
        <v>0.1</v>
      </c>
      <c r="I71" s="85">
        <v>0.1</v>
      </c>
      <c r="J71" s="85">
        <v>0.1</v>
      </c>
      <c r="L71" s="37"/>
      <c r="M71" s="85"/>
      <c r="N71" s="85"/>
      <c r="O71" s="199"/>
      <c r="P71" s="85"/>
      <c r="Q71" s="85"/>
      <c r="R71" s="199"/>
      <c r="S71" s="85"/>
      <c r="T71" s="85"/>
      <c r="AH71" s="500">
        <f>HLOOKUP(AH$11,AJ$11:AQ$81,AI71)*AI$6</f>
        <v>1720</v>
      </c>
      <c r="AI71" s="462">
        <f t="shared" si="2"/>
        <v>61</v>
      </c>
      <c r="AJ71" s="525">
        <v>1720</v>
      </c>
      <c r="AK71" s="525">
        <v>1720</v>
      </c>
      <c r="AL71" s="508">
        <v>1720</v>
      </c>
      <c r="AM71" s="508">
        <v>1720</v>
      </c>
      <c r="AN71" s="524">
        <v>1720</v>
      </c>
      <c r="AO71" s="525">
        <v>1720</v>
      </c>
      <c r="AP71" s="507">
        <v>1720</v>
      </c>
      <c r="AQ71" s="448">
        <v>0.1</v>
      </c>
      <c r="AR71" s="466">
        <v>1</v>
      </c>
      <c r="AS71" s="509" t="s">
        <v>512</v>
      </c>
      <c r="AU71" s="353"/>
      <c r="AV71" s="353"/>
      <c r="AW71" s="180"/>
      <c r="AX71" s="493"/>
      <c r="AY71" s="423"/>
    </row>
    <row r="72" spans="1:51" s="462" customFormat="1" ht="15" x14ac:dyDescent="0.25">
      <c r="A72" s="228"/>
      <c r="B72" s="491" t="s">
        <v>513</v>
      </c>
      <c r="C72" s="69">
        <f t="shared" si="45"/>
        <v>20000</v>
      </c>
      <c r="D72" s="390">
        <f t="shared" si="46"/>
        <v>1000</v>
      </c>
      <c r="E72" s="464"/>
      <c r="F72" s="520">
        <f>IF(ProjectData!$B$16="United States",DefaultData!AR72,AQ72)</f>
        <v>0</v>
      </c>
      <c r="G72" s="7">
        <v>0</v>
      </c>
      <c r="H72" s="7">
        <v>0</v>
      </c>
      <c r="I72" s="7">
        <v>0</v>
      </c>
      <c r="J72" s="7">
        <v>0</v>
      </c>
      <c r="L72" s="37"/>
      <c r="M72" s="85"/>
      <c r="N72" s="85"/>
      <c r="O72" s="199"/>
      <c r="P72" s="85"/>
      <c r="Q72" s="85"/>
      <c r="R72" s="199"/>
      <c r="S72" s="85"/>
      <c r="T72" s="85"/>
      <c r="AH72" s="500">
        <f>HLOOKUP(AH$11,AJ$11:AQ$81,AI72)</f>
        <v>1000</v>
      </c>
      <c r="AI72" s="462">
        <f t="shared" si="2"/>
        <v>62</v>
      </c>
      <c r="AJ72" s="471">
        <v>1000</v>
      </c>
      <c r="AK72" s="471">
        <v>1000</v>
      </c>
      <c r="AL72" s="508">
        <v>1000</v>
      </c>
      <c r="AM72" s="508">
        <v>1000</v>
      </c>
      <c r="AN72" s="524">
        <v>1000</v>
      </c>
      <c r="AO72" s="471">
        <v>1000</v>
      </c>
      <c r="AP72" s="507">
        <v>1000</v>
      </c>
      <c r="AQ72" s="448">
        <v>0</v>
      </c>
      <c r="AR72" s="466">
        <v>1</v>
      </c>
      <c r="AS72" s="511" t="s">
        <v>513</v>
      </c>
      <c r="AU72" s="353"/>
      <c r="AV72" s="353"/>
      <c r="AW72" s="180"/>
      <c r="AX72" s="493"/>
      <c r="AY72" s="423"/>
    </row>
    <row r="73" spans="1:51" s="462" customFormat="1" ht="15" x14ac:dyDescent="0.25">
      <c r="A73" s="228"/>
      <c r="B73" s="491" t="s">
        <v>310</v>
      </c>
      <c r="C73" s="69">
        <f t="shared" si="45"/>
        <v>20000</v>
      </c>
      <c r="D73" s="390">
        <f t="shared" si="46"/>
        <v>1000</v>
      </c>
      <c r="E73" s="464"/>
      <c r="F73" s="520">
        <f>IF(ProjectData!$B$16="United States",DefaultData!AR73,AQ73)</f>
        <v>0</v>
      </c>
      <c r="G73" s="7">
        <v>0</v>
      </c>
      <c r="H73" s="7">
        <v>0</v>
      </c>
      <c r="I73" s="7">
        <v>0</v>
      </c>
      <c r="J73" s="7">
        <v>0</v>
      </c>
      <c r="L73" s="37"/>
      <c r="M73" s="85"/>
      <c r="N73" s="85"/>
      <c r="O73" s="199"/>
      <c r="P73" s="85"/>
      <c r="Q73" s="85"/>
      <c r="R73" s="199"/>
      <c r="S73" s="85"/>
      <c r="T73" s="85"/>
      <c r="AH73" s="500">
        <f>HLOOKUP(AH$11,AJ$11:AQ$81,AI73)*AI$6</f>
        <v>1000</v>
      </c>
      <c r="AI73" s="462">
        <f t="shared" si="2"/>
        <v>63</v>
      </c>
      <c r="AJ73" s="471">
        <v>1000</v>
      </c>
      <c r="AK73" s="471">
        <v>1000</v>
      </c>
      <c r="AL73" s="526">
        <v>1000</v>
      </c>
      <c r="AM73" s="526">
        <v>1000</v>
      </c>
      <c r="AN73" s="476">
        <v>1000</v>
      </c>
      <c r="AO73" s="471">
        <v>1000</v>
      </c>
      <c r="AP73" s="508">
        <v>1000</v>
      </c>
      <c r="AQ73" s="499">
        <v>0</v>
      </c>
      <c r="AR73" s="466">
        <v>1</v>
      </c>
      <c r="AS73" s="512" t="s">
        <v>310</v>
      </c>
      <c r="AU73" s="353"/>
      <c r="AV73" s="353"/>
      <c r="AW73" s="180"/>
      <c r="AX73" s="493"/>
      <c r="AY73" s="423"/>
    </row>
    <row r="74" spans="1:51" s="439" customFormat="1" ht="15" x14ac:dyDescent="0.25">
      <c r="A74" s="228"/>
      <c r="B74" s="414" t="s">
        <v>1</v>
      </c>
      <c r="C74" s="69">
        <f>SUM(C70:C73)</f>
        <v>213504</v>
      </c>
      <c r="D74" s="390">
        <f>SUM(D70:D73)</f>
        <v>10675.2</v>
      </c>
      <c r="E74" s="390"/>
      <c r="F74" s="7"/>
      <c r="G74" s="7">
        <v>0</v>
      </c>
      <c r="H74" s="85">
        <v>0.5</v>
      </c>
      <c r="I74" s="85">
        <v>0.5</v>
      </c>
      <c r="J74" s="85">
        <v>0.5</v>
      </c>
      <c r="L74" s="37"/>
      <c r="M74" s="85"/>
      <c r="N74" s="85"/>
      <c r="O74" s="199"/>
      <c r="P74" s="85"/>
      <c r="Q74" s="85"/>
      <c r="R74" s="199"/>
      <c r="S74" s="85"/>
      <c r="T74" s="85"/>
      <c r="AH74" s="500">
        <f>HLOOKUP(AH$11,AJ$11:AQ$81,AI74)</f>
        <v>0</v>
      </c>
      <c r="AI74" s="462">
        <f t="shared" si="2"/>
        <v>64</v>
      </c>
      <c r="AJ74" s="417"/>
      <c r="AK74" s="417"/>
      <c r="AL74" s="253"/>
      <c r="AM74" s="253"/>
      <c r="AN74" s="483"/>
      <c r="AO74" s="417"/>
      <c r="AP74" s="483"/>
      <c r="AQ74" s="477"/>
      <c r="AR74" s="477"/>
      <c r="AS74" s="512" t="s">
        <v>1</v>
      </c>
      <c r="AU74" s="417"/>
      <c r="AV74" s="417"/>
      <c r="AW74" s="131"/>
      <c r="AX74" s="427"/>
      <c r="AY74" s="423"/>
    </row>
    <row r="75" spans="1:51" ht="17.25" customHeight="1" x14ac:dyDescent="0.25">
      <c r="B75" s="4" t="s">
        <v>514</v>
      </c>
      <c r="C75" s="69"/>
      <c r="D75" s="542" t="s">
        <v>551</v>
      </c>
      <c r="E75" s="89"/>
      <c r="F75" s="7"/>
      <c r="L75" s="37"/>
      <c r="M75" s="85"/>
      <c r="N75" s="85"/>
      <c r="O75" s="199"/>
      <c r="P75" s="85"/>
      <c r="Q75" s="85"/>
      <c r="R75" s="199"/>
      <c r="S75" s="85"/>
      <c r="T75" s="85"/>
      <c r="AG75" s="1"/>
      <c r="AH75" s="500">
        <f>HLOOKUP(AH$11,AJ$11:AQ$81,AI75)</f>
        <v>0</v>
      </c>
      <c r="AI75" s="462">
        <f t="shared" si="2"/>
        <v>65</v>
      </c>
      <c r="AJ75" s="484"/>
      <c r="AK75" s="484"/>
      <c r="AL75" s="485"/>
      <c r="AM75" s="485"/>
      <c r="AN75" s="483"/>
      <c r="AO75" s="418" t="s">
        <v>509</v>
      </c>
      <c r="AP75" s="483"/>
      <c r="AQ75" s="477"/>
      <c r="AR75" s="477"/>
      <c r="AS75" s="511" t="s">
        <v>514</v>
      </c>
      <c r="AU75" s="418"/>
      <c r="AV75" s="418"/>
      <c r="AW75" s="131"/>
      <c r="AX75" s="428"/>
      <c r="AY75" s="423"/>
    </row>
    <row r="76" spans="1:51" ht="17.25" customHeight="1" x14ac:dyDescent="0.25">
      <c r="B76" s="413" t="s">
        <v>309</v>
      </c>
      <c r="C76" s="69">
        <f>D76*AH$14</f>
        <v>5161.5</v>
      </c>
      <c r="D76" s="354">
        <f t="shared" ref="D76:D78" si="47">AH76</f>
        <v>9.3000000000000005E-4</v>
      </c>
      <c r="E76" s="464"/>
      <c r="F76" s="520">
        <f>IF(ProjectData!$B$16="United States",DefaultData!AR76,AQ76)</f>
        <v>0.5</v>
      </c>
      <c r="G76" s="7">
        <v>0.5</v>
      </c>
      <c r="H76" s="85">
        <v>0.5</v>
      </c>
      <c r="I76" s="85">
        <v>0.5</v>
      </c>
      <c r="J76" s="85">
        <v>0.5</v>
      </c>
      <c r="L76" s="37"/>
      <c r="M76" s="85"/>
      <c r="N76" s="85"/>
      <c r="O76" s="199"/>
      <c r="P76" s="85"/>
      <c r="Q76" s="85"/>
      <c r="R76" s="199"/>
      <c r="S76" s="85"/>
      <c r="T76" s="85"/>
      <c r="AG76" s="10"/>
      <c r="AH76" s="500">
        <f>HLOOKUP(AH$11,AJ$11:AQ$81,AI76)*'Wage Data'!G34</f>
        <v>9.3000000000000005E-4</v>
      </c>
      <c r="AI76" s="462">
        <f t="shared" si="2"/>
        <v>66</v>
      </c>
      <c r="AJ76" s="470">
        <v>1E-3</v>
      </c>
      <c r="AK76" s="470">
        <v>1E-3</v>
      </c>
      <c r="AL76" s="494">
        <v>1E-3</v>
      </c>
      <c r="AM76" s="494">
        <v>1E-3</v>
      </c>
      <c r="AN76" s="495">
        <v>1E-3</v>
      </c>
      <c r="AO76" s="470">
        <v>1E-3</v>
      </c>
      <c r="AP76" s="495">
        <v>1E-3</v>
      </c>
      <c r="AQ76" s="470">
        <v>0.5</v>
      </c>
      <c r="AR76" s="466">
        <v>1</v>
      </c>
      <c r="AS76" s="512" t="s">
        <v>309</v>
      </c>
      <c r="AU76" s="417"/>
      <c r="AV76" s="417"/>
      <c r="AW76" s="131"/>
      <c r="AX76" s="428"/>
      <c r="AY76" s="423"/>
    </row>
    <row r="77" spans="1:51" s="439" customFormat="1" ht="15" x14ac:dyDescent="0.25">
      <c r="A77" s="228"/>
      <c r="B77" s="460" t="s">
        <v>513</v>
      </c>
      <c r="C77" s="69">
        <f t="shared" ref="C77:C78" si="48">D77*AH$14</f>
        <v>11100</v>
      </c>
      <c r="D77" s="354">
        <f t="shared" si="47"/>
        <v>2E-3</v>
      </c>
      <c r="E77" s="464"/>
      <c r="F77" s="520">
        <f>IF(ProjectData!$B$16="United States",DefaultData!AR77,AQ77)</f>
        <v>0</v>
      </c>
      <c r="G77" s="7">
        <v>0</v>
      </c>
      <c r="H77" s="7">
        <v>0</v>
      </c>
      <c r="I77" s="7">
        <v>0</v>
      </c>
      <c r="J77" s="7">
        <v>0</v>
      </c>
      <c r="L77" s="37"/>
      <c r="M77" s="85"/>
      <c r="N77" s="85"/>
      <c r="O77" s="199"/>
      <c r="P77" s="85"/>
      <c r="Q77" s="85"/>
      <c r="R77" s="199"/>
      <c r="S77" s="85"/>
      <c r="T77" s="85"/>
      <c r="AG77" s="10"/>
      <c r="AH77" s="500">
        <f>HLOOKUP(AH$11,AJ$11:AQ$81,AI77)</f>
        <v>2E-3</v>
      </c>
      <c r="AI77" s="462">
        <f t="shared" si="2"/>
        <v>67</v>
      </c>
      <c r="AJ77" s="496">
        <v>2E-3</v>
      </c>
      <c r="AK77" s="496">
        <v>2E-3</v>
      </c>
      <c r="AL77" s="494">
        <v>2E-3</v>
      </c>
      <c r="AM77" s="494">
        <v>2E-3</v>
      </c>
      <c r="AN77" s="494">
        <v>2E-3</v>
      </c>
      <c r="AO77" s="496">
        <v>2E-3</v>
      </c>
      <c r="AP77" s="494">
        <v>2E-3</v>
      </c>
      <c r="AQ77" s="497">
        <v>0</v>
      </c>
      <c r="AR77" s="466">
        <v>1</v>
      </c>
      <c r="AS77" s="512" t="s">
        <v>513</v>
      </c>
      <c r="AU77" s="418"/>
      <c r="AV77" s="418"/>
      <c r="AW77" s="131"/>
      <c r="AX77" s="429"/>
      <c r="AY77" s="430"/>
    </row>
    <row r="78" spans="1:51" ht="15" x14ac:dyDescent="0.25">
      <c r="B78" s="442" t="s">
        <v>310</v>
      </c>
      <c r="C78" s="69">
        <f t="shared" si="48"/>
        <v>5550</v>
      </c>
      <c r="D78" s="354">
        <f t="shared" si="47"/>
        <v>1E-3</v>
      </c>
      <c r="E78" s="464"/>
      <c r="F78" s="520">
        <f>IF(ProjectData!$B$16="United States",DefaultData!AR78,AQ78)</f>
        <v>0</v>
      </c>
      <c r="G78" s="7">
        <v>0</v>
      </c>
      <c r="H78" s="7">
        <v>0</v>
      </c>
      <c r="I78" s="7">
        <v>0</v>
      </c>
      <c r="J78" s="7">
        <v>0</v>
      </c>
      <c r="L78" s="37"/>
      <c r="M78" s="85"/>
      <c r="N78" s="85"/>
      <c r="O78" s="199"/>
      <c r="P78" s="85"/>
      <c r="Q78" s="85"/>
      <c r="R78" s="199"/>
      <c r="S78" s="85"/>
      <c r="T78" s="85"/>
      <c r="AG78" s="10"/>
      <c r="AH78" s="500">
        <f>HLOOKUP(AH$11,AJ$11:AQ$81,AI78)</f>
        <v>1E-3</v>
      </c>
      <c r="AI78" s="462">
        <f t="shared" si="2"/>
        <v>68</v>
      </c>
      <c r="AJ78" s="496">
        <v>1E-3</v>
      </c>
      <c r="AK78" s="496">
        <v>1E-3</v>
      </c>
      <c r="AL78" s="494">
        <v>1E-3</v>
      </c>
      <c r="AM78" s="494">
        <v>1E-3</v>
      </c>
      <c r="AN78" s="494">
        <v>1E-3</v>
      </c>
      <c r="AO78" s="496">
        <v>1E-3</v>
      </c>
      <c r="AP78" s="494">
        <v>1E-3</v>
      </c>
      <c r="AQ78" s="497">
        <v>0</v>
      </c>
      <c r="AR78" s="466">
        <v>1</v>
      </c>
      <c r="AS78" s="512" t="s">
        <v>310</v>
      </c>
      <c r="AU78" s="418"/>
      <c r="AV78" s="418"/>
      <c r="AW78" s="131"/>
      <c r="AX78" s="431"/>
      <c r="AY78" s="432"/>
    </row>
    <row r="79" spans="1:51" ht="15" customHeight="1" x14ac:dyDescent="0.25">
      <c r="B79" s="414" t="s">
        <v>1</v>
      </c>
      <c r="C79" s="69">
        <f>SUM(C76:C78)</f>
        <v>21811.5</v>
      </c>
      <c r="D79" s="354">
        <f>SUM(D76:D78)</f>
        <v>3.9300000000000003E-3</v>
      </c>
      <c r="E79" s="390"/>
      <c r="F79" s="7"/>
      <c r="G79" s="7"/>
      <c r="H79" s="7"/>
      <c r="I79" s="7"/>
      <c r="J79" s="7"/>
      <c r="L79" s="37"/>
      <c r="M79" s="85"/>
      <c r="N79" s="85"/>
      <c r="O79" s="199"/>
      <c r="P79" s="85"/>
      <c r="Q79" s="85"/>
      <c r="R79" s="199"/>
      <c r="S79" s="85"/>
      <c r="T79" s="85"/>
      <c r="AG79" s="10"/>
      <c r="AH79" s="500"/>
      <c r="AI79" s="462"/>
      <c r="AJ79" s="418"/>
      <c r="AK79" s="418"/>
      <c r="AL79" s="418"/>
      <c r="AM79" s="254"/>
      <c r="AN79" s="254"/>
      <c r="AO79" s="485"/>
      <c r="AP79" s="485"/>
      <c r="AQ79" s="485"/>
      <c r="AR79" s="485"/>
      <c r="AS79" s="480"/>
      <c r="AU79" s="418"/>
      <c r="AV79" s="418"/>
      <c r="AW79" s="131"/>
      <c r="AX79" s="431"/>
      <c r="AY79" s="432"/>
    </row>
    <row r="80" spans="1:51" ht="15.75" x14ac:dyDescent="0.25">
      <c r="B80" s="29" t="s">
        <v>555</v>
      </c>
      <c r="C80" s="69">
        <f>C79+C74</f>
        <v>235315.5</v>
      </c>
      <c r="D80" s="69"/>
      <c r="I80" s="7"/>
      <c r="J80" s="7"/>
      <c r="L80" s="37"/>
      <c r="M80" s="85"/>
      <c r="N80" s="85"/>
      <c r="O80" s="199"/>
      <c r="P80" s="85"/>
      <c r="Q80" s="85"/>
      <c r="R80" s="199"/>
      <c r="S80" s="85"/>
      <c r="T80" s="85"/>
      <c r="AG80" s="10"/>
      <c r="AH80" s="500"/>
      <c r="AI80" s="462"/>
      <c r="AJ80" s="417"/>
      <c r="AK80" s="417"/>
      <c r="AL80" s="417"/>
      <c r="AM80" s="254"/>
      <c r="AN80" s="254"/>
      <c r="AO80" s="254"/>
      <c r="AP80" s="254"/>
      <c r="AQ80" s="254"/>
      <c r="AR80" s="254"/>
      <c r="AS80" s="436"/>
      <c r="AT80" s="417"/>
      <c r="AU80" s="417"/>
      <c r="AV80" s="417"/>
      <c r="AW80" s="131"/>
      <c r="AX80" s="422"/>
      <c r="AY80" s="423"/>
    </row>
    <row r="81" spans="2:93" ht="15.75" x14ac:dyDescent="0.25">
      <c r="B81" s="397" t="s">
        <v>349</v>
      </c>
      <c r="C81" s="69">
        <f>(C71+C73+C78)*C105</f>
        <v>3746.875</v>
      </c>
      <c r="D81" s="354"/>
      <c r="F81" s="15">
        <v>1</v>
      </c>
      <c r="G81" s="7">
        <v>1</v>
      </c>
      <c r="H81" s="7">
        <v>1</v>
      </c>
      <c r="I81" s="7">
        <v>1</v>
      </c>
      <c r="J81" s="7">
        <v>1</v>
      </c>
      <c r="L81" s="37"/>
      <c r="M81" s="85"/>
      <c r="N81" s="85"/>
      <c r="O81" s="199"/>
      <c r="P81" s="85"/>
      <c r="Q81" s="85"/>
      <c r="R81" s="199"/>
      <c r="S81" s="85"/>
      <c r="T81" s="85"/>
      <c r="AG81" s="10"/>
      <c r="AH81" s="500"/>
      <c r="AI81" s="462"/>
      <c r="AJ81" s="417"/>
      <c r="AK81" s="417"/>
      <c r="AL81" s="417"/>
      <c r="AM81" s="254"/>
      <c r="AN81" s="254"/>
      <c r="AO81" s="254"/>
      <c r="AP81" s="254"/>
      <c r="AQ81" s="254"/>
      <c r="AR81" s="254"/>
      <c r="AS81" s="436"/>
      <c r="AT81" s="417"/>
      <c r="AU81" s="417"/>
      <c r="AV81" s="417"/>
      <c r="AW81" s="131"/>
      <c r="AX81" s="422"/>
      <c r="AY81" s="423"/>
    </row>
    <row r="82" spans="2:93" x14ac:dyDescent="0.2">
      <c r="B82" s="1" t="s">
        <v>556</v>
      </c>
      <c r="C82" s="69">
        <f>IF(ProjectData!B24="Advanced",ProjectData!B45*ProjectData!B44,ProjectData!Z45*ProjectData!Z44)</f>
        <v>18181.818181818184</v>
      </c>
      <c r="D82" s="354"/>
      <c r="E82" s="464"/>
      <c r="F82" s="15">
        <v>1</v>
      </c>
      <c r="G82" s="7">
        <v>1</v>
      </c>
      <c r="H82" s="7">
        <v>1</v>
      </c>
      <c r="I82" s="7">
        <v>1</v>
      </c>
      <c r="J82" s="7">
        <v>1</v>
      </c>
      <c r="AH82" s="251"/>
      <c r="AJ82" s="419"/>
      <c r="AK82" s="419"/>
      <c r="AL82" s="419"/>
      <c r="AM82" s="254"/>
      <c r="AN82" s="254"/>
      <c r="AO82" s="254"/>
      <c r="AP82" s="254"/>
      <c r="AQ82" s="254"/>
      <c r="AR82" s="254"/>
      <c r="AW82" s="131"/>
    </row>
    <row r="83" spans="2:93" x14ac:dyDescent="0.2">
      <c r="B83" s="1" t="s">
        <v>348</v>
      </c>
      <c r="C83" s="69">
        <f>C82+C81+C80</f>
        <v>257244.19318181818</v>
      </c>
      <c r="D83" s="354"/>
      <c r="E83" s="468">
        <f>(C83-C82)/C65</f>
        <v>8.0062587467713258E-3</v>
      </c>
      <c r="H83" s="8"/>
      <c r="AH83" s="251"/>
      <c r="AJ83" s="254"/>
      <c r="AK83" s="254"/>
      <c r="AL83" s="254"/>
      <c r="AM83" s="254"/>
      <c r="AN83" s="254"/>
      <c r="AO83" s="254"/>
      <c r="AP83" s="254"/>
      <c r="AQ83" s="254"/>
      <c r="AR83" s="254"/>
      <c r="AW83" s="131"/>
    </row>
    <row r="84" spans="2:93" x14ac:dyDescent="0.2">
      <c r="C84" s="362"/>
      <c r="D84" s="10"/>
      <c r="AH84" s="20"/>
      <c r="AJ84" s="265"/>
      <c r="AK84" s="265"/>
      <c r="AL84" s="265"/>
      <c r="AM84" s="265"/>
      <c r="AN84" s="265"/>
      <c r="AO84" s="265"/>
      <c r="AP84" s="265"/>
      <c r="AW84" s="131"/>
    </row>
    <row r="85" spans="2:93" ht="15.75" x14ac:dyDescent="0.25">
      <c r="B85" s="73" t="s">
        <v>89</v>
      </c>
      <c r="AW85" s="131"/>
    </row>
    <row r="86" spans="2:93" ht="15" x14ac:dyDescent="0.25">
      <c r="B86" s="3" t="s">
        <v>65</v>
      </c>
      <c r="E86" s="29" t="s">
        <v>5</v>
      </c>
      <c r="H86" s="61"/>
      <c r="AW86" s="131"/>
    </row>
    <row r="87" spans="2:93" x14ac:dyDescent="0.2">
      <c r="B87" s="1" t="s">
        <v>116</v>
      </c>
      <c r="E87" s="29"/>
      <c r="H87" s="103"/>
      <c r="AW87" s="131"/>
    </row>
    <row r="88" spans="2:93" x14ac:dyDescent="0.2">
      <c r="B88" s="13" t="s">
        <v>66</v>
      </c>
      <c r="C88" s="15">
        <v>0.48</v>
      </c>
      <c r="D88" s="15"/>
      <c r="E88" s="520">
        <f>IF(ProjectData!$B$16="United States",1,0)</f>
        <v>0</v>
      </c>
    </row>
    <row r="89" spans="2:93" x14ac:dyDescent="0.2">
      <c r="B89" s="13" t="s">
        <v>67</v>
      </c>
      <c r="C89" s="10">
        <v>40</v>
      </c>
      <c r="D89" s="10"/>
      <c r="E89" s="10"/>
      <c r="G89" s="85"/>
    </row>
    <row r="90" spans="2:93" x14ac:dyDescent="0.2">
      <c r="B90" s="13" t="s">
        <v>68</v>
      </c>
      <c r="C90" s="75">
        <v>6.3E-2</v>
      </c>
      <c r="O90" s="84"/>
      <c r="P90" s="84"/>
      <c r="Q90" s="84"/>
      <c r="R90" s="84"/>
      <c r="CO90" s="349"/>
    </row>
    <row r="91" spans="2:93" x14ac:dyDescent="0.2">
      <c r="B91" s="86" t="s">
        <v>117</v>
      </c>
      <c r="C91" s="118">
        <f>Calculations!F252</f>
        <v>988807.4351593625</v>
      </c>
      <c r="D91" s="86"/>
      <c r="G91" s="118"/>
      <c r="O91" s="84"/>
      <c r="P91" s="84"/>
      <c r="Q91" s="84"/>
      <c r="R91" s="84"/>
      <c r="CO91" s="349"/>
    </row>
    <row r="92" spans="2:93" x14ac:dyDescent="0.2">
      <c r="B92" s="17" t="s">
        <v>320</v>
      </c>
      <c r="C92" s="84"/>
      <c r="D92" s="11"/>
      <c r="E92" s="11" t="s">
        <v>5</v>
      </c>
      <c r="G92" s="118"/>
      <c r="O92" s="84"/>
      <c r="P92" s="84"/>
      <c r="Q92" s="84"/>
      <c r="R92" s="84"/>
      <c r="CO92" s="349"/>
    </row>
    <row r="93" spans="2:93" x14ac:dyDescent="0.2">
      <c r="B93" s="86" t="s">
        <v>321</v>
      </c>
      <c r="C93" s="90">
        <f>1-C88</f>
        <v>0.52</v>
      </c>
      <c r="D93" s="356"/>
      <c r="E93" s="11"/>
      <c r="G93" s="118"/>
      <c r="O93" s="84"/>
      <c r="P93" s="84"/>
      <c r="Q93" s="84"/>
      <c r="R93" s="84"/>
      <c r="CO93" s="349"/>
    </row>
    <row r="94" spans="2:93" x14ac:dyDescent="0.2">
      <c r="B94" s="86" t="s">
        <v>322</v>
      </c>
      <c r="C94" s="90">
        <v>0</v>
      </c>
      <c r="D94" s="15"/>
      <c r="E94" s="520">
        <f>IF(ProjectData!$B$16="United States",1,0)</f>
        <v>0</v>
      </c>
      <c r="G94" s="118"/>
      <c r="O94" s="84"/>
      <c r="P94" s="84"/>
      <c r="Q94" s="84"/>
      <c r="R94" s="84"/>
      <c r="CO94" s="349"/>
    </row>
    <row r="95" spans="2:93" x14ac:dyDescent="0.2">
      <c r="B95" s="86" t="s">
        <v>323</v>
      </c>
      <c r="C95" s="90">
        <f>1-C94</f>
        <v>1</v>
      </c>
      <c r="D95" s="15"/>
      <c r="E95" s="520">
        <f>IF(ProjectData!$B$16="United States",1,0)</f>
        <v>0</v>
      </c>
      <c r="G95" s="118"/>
      <c r="O95" s="84"/>
      <c r="P95" s="84"/>
      <c r="Q95" s="84"/>
      <c r="R95" s="84"/>
      <c r="CO95" s="349"/>
    </row>
    <row r="96" spans="2:93" x14ac:dyDescent="0.2">
      <c r="B96" s="357" t="s">
        <v>324</v>
      </c>
      <c r="C96" s="354">
        <v>0.114</v>
      </c>
      <c r="D96" s="15"/>
      <c r="E96" s="10"/>
      <c r="G96" s="118"/>
      <c r="O96" s="84"/>
      <c r="P96" s="84"/>
      <c r="Q96" s="84"/>
      <c r="R96" s="84"/>
      <c r="CO96" s="349"/>
    </row>
    <row r="97" spans="2:94" ht="26.25" customHeight="1" x14ac:dyDescent="0.2">
      <c r="B97" s="86" t="s">
        <v>325</v>
      </c>
      <c r="C97" s="358">
        <v>10</v>
      </c>
      <c r="D97" s="15"/>
      <c r="E97" s="10"/>
      <c r="G97" s="83"/>
      <c r="O97" s="84"/>
      <c r="P97" s="84"/>
      <c r="Q97" s="84"/>
      <c r="R97" s="84"/>
      <c r="AH97" s="228"/>
      <c r="AI97" s="228" t="s">
        <v>13</v>
      </c>
      <c r="AJ97" s="228" t="s">
        <v>14</v>
      </c>
      <c r="AK97" s="228" t="s">
        <v>15</v>
      </c>
      <c r="AL97" s="228" t="s">
        <v>16</v>
      </c>
      <c r="AM97" s="228" t="s">
        <v>17</v>
      </c>
      <c r="AN97" s="228" t="s">
        <v>18</v>
      </c>
      <c r="AO97" s="228" t="s">
        <v>19</v>
      </c>
      <c r="AP97" s="228" t="s">
        <v>20</v>
      </c>
      <c r="AQ97" s="228" t="s">
        <v>21</v>
      </c>
      <c r="AR97" s="228" t="s">
        <v>22</v>
      </c>
      <c r="AS97" s="228" t="s">
        <v>23</v>
      </c>
      <c r="AT97" s="228" t="s">
        <v>24</v>
      </c>
      <c r="AU97" s="228" t="s">
        <v>25</v>
      </c>
      <c r="AV97" s="229" t="s">
        <v>26</v>
      </c>
      <c r="AW97" s="228" t="s">
        <v>27</v>
      </c>
      <c r="AX97" s="228" t="s">
        <v>28</v>
      </c>
      <c r="AY97" s="228" t="s">
        <v>29</v>
      </c>
      <c r="AZ97" s="228" t="s">
        <v>30</v>
      </c>
      <c r="BA97" s="228" t="s">
        <v>31</v>
      </c>
      <c r="BB97" s="228" t="s">
        <v>32</v>
      </c>
      <c r="BC97" s="228" t="s">
        <v>33</v>
      </c>
      <c r="BD97" s="228" t="s">
        <v>34</v>
      </c>
      <c r="BE97" s="228" t="s">
        <v>35</v>
      </c>
      <c r="BF97" s="228" t="s">
        <v>36</v>
      </c>
      <c r="BG97" s="228" t="s">
        <v>37</v>
      </c>
      <c r="BH97" s="228" t="s">
        <v>38</v>
      </c>
      <c r="BI97" s="228" t="s">
        <v>39</v>
      </c>
      <c r="BJ97" s="230" t="s">
        <v>151</v>
      </c>
      <c r="BK97" s="230" t="s">
        <v>150</v>
      </c>
      <c r="BL97" s="228" t="s">
        <v>40</v>
      </c>
      <c r="BM97" s="228" t="s">
        <v>41</v>
      </c>
      <c r="BN97" s="228" t="s">
        <v>42</v>
      </c>
      <c r="BO97" s="228" t="s">
        <v>43</v>
      </c>
      <c r="BP97" s="228" t="s">
        <v>44</v>
      </c>
      <c r="BQ97" s="228" t="s">
        <v>45</v>
      </c>
      <c r="BR97" s="228" t="s">
        <v>46</v>
      </c>
      <c r="BS97" s="228" t="s">
        <v>47</v>
      </c>
      <c r="BT97" s="228" t="s">
        <v>48</v>
      </c>
      <c r="BU97" s="228" t="s">
        <v>49</v>
      </c>
      <c r="BV97" s="228" t="s">
        <v>50</v>
      </c>
      <c r="BW97" s="228" t="s">
        <v>51</v>
      </c>
      <c r="BX97" s="228" t="s">
        <v>52</v>
      </c>
      <c r="BY97" s="228" t="s">
        <v>53</v>
      </c>
      <c r="BZ97" s="228" t="s">
        <v>54</v>
      </c>
      <c r="CA97" s="228" t="s">
        <v>55</v>
      </c>
      <c r="CB97" s="228" t="s">
        <v>56</v>
      </c>
      <c r="CC97" s="507" t="s">
        <v>489</v>
      </c>
      <c r="CD97" s="228" t="s">
        <v>57</v>
      </c>
      <c r="CE97" s="228" t="s">
        <v>58</v>
      </c>
      <c r="CF97" s="228" t="s">
        <v>59</v>
      </c>
      <c r="CG97" s="228" t="s">
        <v>60</v>
      </c>
      <c r="CH97" s="228" t="s">
        <v>61</v>
      </c>
      <c r="CI97" s="228" t="s">
        <v>62</v>
      </c>
      <c r="CJ97" s="228" t="s">
        <v>12</v>
      </c>
      <c r="CL97" s="264"/>
      <c r="CO97" s="8"/>
      <c r="CP97" s="349"/>
    </row>
    <row r="98" spans="2:94" ht="15" x14ac:dyDescent="0.25">
      <c r="B98" s="91" t="s">
        <v>103</v>
      </c>
      <c r="C98" s="15"/>
      <c r="D98" s="15"/>
      <c r="E98" s="10"/>
      <c r="O98" s="84"/>
      <c r="P98" s="84"/>
      <c r="Q98" s="84"/>
      <c r="R98" s="84"/>
      <c r="AG98" s="10">
        <v>2</v>
      </c>
      <c r="AH98" s="228"/>
      <c r="AI98" s="333"/>
      <c r="AJ98" s="333"/>
      <c r="AK98" s="333"/>
      <c r="AL98" s="333"/>
      <c r="AM98" s="333"/>
      <c r="AN98" s="333"/>
      <c r="AO98" s="333"/>
      <c r="AP98" s="333"/>
      <c r="AR98"/>
      <c r="AU98" s="333"/>
      <c r="AV98" s="515"/>
      <c r="AW98" s="333"/>
      <c r="AX98" s="333"/>
      <c r="AY98" s="333"/>
      <c r="AZ98" s="333"/>
      <c r="BA98" s="333"/>
      <c r="BB98" s="333"/>
      <c r="BC98" s="333"/>
      <c r="BD98" s="333"/>
      <c r="BE98" s="333"/>
      <c r="BF98" s="333"/>
      <c r="BG98" s="333"/>
      <c r="BH98" s="333"/>
      <c r="BI98" s="333"/>
      <c r="BJ98" s="333"/>
      <c r="BK98" s="333"/>
      <c r="BL98" s="333"/>
      <c r="BM98" s="333"/>
      <c r="BN98" s="333"/>
      <c r="BO98" s="333"/>
      <c r="BP98" s="333"/>
      <c r="BQ98" s="333"/>
      <c r="BR98" s="333"/>
      <c r="BS98" s="333"/>
      <c r="BT98" s="333"/>
      <c r="BU98" s="333"/>
      <c r="BV98" s="333"/>
      <c r="BW98" s="333"/>
      <c r="BX98" s="333"/>
      <c r="BY98" s="333"/>
      <c r="BZ98" s="333"/>
      <c r="CA98" s="333"/>
      <c r="CB98" s="333"/>
      <c r="CD98" s="333"/>
      <c r="CE98" s="333"/>
      <c r="CF98" s="333"/>
      <c r="CG98" s="333"/>
      <c r="CH98" s="333"/>
      <c r="CI98" s="333"/>
      <c r="CJ98" s="333"/>
      <c r="CL98" s="9"/>
      <c r="CO98" s="9"/>
      <c r="CP98" s="258"/>
    </row>
    <row r="99" spans="2:94" x14ac:dyDescent="0.2">
      <c r="B99" s="23" t="s">
        <v>267</v>
      </c>
      <c r="C99" s="75">
        <v>0</v>
      </c>
      <c r="O99" s="84"/>
      <c r="P99" s="84"/>
      <c r="Q99" s="84"/>
      <c r="R99" s="84"/>
      <c r="AG99" s="10">
        <f>AG98+1</f>
        <v>3</v>
      </c>
      <c r="AH99" s="228"/>
      <c r="AI99" s="333"/>
      <c r="AJ99" s="333"/>
      <c r="AK99" s="333"/>
      <c r="AL99" s="333"/>
      <c r="AM99" s="333"/>
      <c r="AN99" s="333"/>
      <c r="AO99" s="333"/>
      <c r="AP99" s="333"/>
      <c r="AR99"/>
      <c r="AU99" s="333"/>
      <c r="AV99" s="515"/>
      <c r="AW99" s="333"/>
      <c r="AX99" s="333"/>
      <c r="AY99" s="333"/>
      <c r="AZ99" s="333"/>
      <c r="BA99" s="333"/>
      <c r="BB99" s="333"/>
      <c r="BC99" s="333"/>
      <c r="BD99" s="333"/>
      <c r="BE99" s="333"/>
      <c r="BF99" s="333"/>
      <c r="BG99" s="333"/>
      <c r="BH99" s="333"/>
      <c r="BI99" s="333"/>
      <c r="BJ99" s="333"/>
      <c r="BK99" s="333"/>
      <c r="BL99" s="333"/>
      <c r="BM99" s="333"/>
      <c r="BN99" s="333"/>
      <c r="BO99" s="333"/>
      <c r="BP99" s="333"/>
      <c r="BQ99" s="333"/>
      <c r="BR99" s="333"/>
      <c r="BS99" s="333"/>
      <c r="BT99" s="333"/>
      <c r="BU99" s="333"/>
      <c r="BV99" s="333"/>
      <c r="BW99" s="333"/>
      <c r="BX99" s="333"/>
      <c r="BY99" s="333"/>
      <c r="BZ99" s="333"/>
      <c r="CA99" s="333"/>
      <c r="CB99" s="333"/>
      <c r="CD99" s="333"/>
      <c r="CE99" s="333"/>
      <c r="CF99" s="333"/>
      <c r="CG99" s="333"/>
      <c r="CH99" s="333"/>
      <c r="CI99" s="333"/>
      <c r="CJ99" s="333"/>
      <c r="CL99" s="9"/>
      <c r="CO99" s="9"/>
      <c r="CP99" s="258"/>
    </row>
    <row r="100" spans="2:94" ht="17.25" customHeight="1" x14ac:dyDescent="0.2">
      <c r="B100" s="23" t="s">
        <v>140</v>
      </c>
      <c r="C100" s="15">
        <v>1</v>
      </c>
      <c r="G100" s="84"/>
      <c r="O100" s="84"/>
      <c r="P100" s="84"/>
      <c r="Q100" s="84"/>
      <c r="R100" s="84"/>
      <c r="AG100" s="10">
        <f t="shared" ref="AG100:AG114" si="49">AG99+1</f>
        <v>4</v>
      </c>
      <c r="AH100" s="228"/>
      <c r="AI100" s="333"/>
      <c r="AJ100" s="333"/>
      <c r="AK100" s="333"/>
      <c r="AL100" s="333"/>
      <c r="AM100" s="333"/>
      <c r="AN100" s="333"/>
      <c r="AO100" s="333"/>
      <c r="AP100" s="333"/>
      <c r="AR100"/>
      <c r="AU100" s="333"/>
      <c r="AV100" s="515"/>
      <c r="AW100" s="333"/>
      <c r="AX100" s="333"/>
      <c r="AY100" s="333"/>
      <c r="AZ100" s="333"/>
      <c r="BA100" s="333"/>
      <c r="BB100" s="333"/>
      <c r="BC100" s="333"/>
      <c r="BD100" s="333"/>
      <c r="BE100" s="333"/>
      <c r="BF100" s="333"/>
      <c r="BG100" s="333"/>
      <c r="BH100" s="333"/>
      <c r="BI100" s="333"/>
      <c r="BJ100" s="333"/>
      <c r="BK100" s="333"/>
      <c r="BL100" s="333"/>
      <c r="BM100" s="333"/>
      <c r="BN100" s="333"/>
      <c r="BO100" s="333"/>
      <c r="BP100" s="333"/>
      <c r="BQ100" s="333"/>
      <c r="BR100" s="333"/>
      <c r="BS100" s="333"/>
      <c r="BT100" s="333"/>
      <c r="BU100" s="333"/>
      <c r="BV100" s="333"/>
      <c r="BW100" s="333"/>
      <c r="BX100" s="333"/>
      <c r="BY100" s="333"/>
      <c r="BZ100" s="333"/>
      <c r="CA100" s="333"/>
      <c r="CB100" s="333"/>
      <c r="CD100" s="333"/>
      <c r="CE100" s="333"/>
      <c r="CF100" s="333"/>
      <c r="CG100" s="333"/>
      <c r="CH100" s="333"/>
      <c r="CI100" s="333"/>
      <c r="CJ100" s="333"/>
      <c r="CL100" s="9"/>
      <c r="CO100" s="9"/>
      <c r="CP100" s="258"/>
    </row>
    <row r="101" spans="2:94" x14ac:dyDescent="0.2">
      <c r="B101" s="23" t="s">
        <v>139</v>
      </c>
      <c r="C101" s="90">
        <v>1</v>
      </c>
      <c r="G101" s="84"/>
      <c r="O101" s="84"/>
      <c r="P101" s="84"/>
      <c r="Q101" s="84"/>
      <c r="R101" s="84"/>
      <c r="AG101" s="10">
        <f t="shared" si="49"/>
        <v>5</v>
      </c>
      <c r="AH101" s="228"/>
      <c r="AI101" s="333"/>
      <c r="AJ101" s="333"/>
      <c r="AK101" s="333"/>
      <c r="AL101" s="333"/>
      <c r="AM101" s="333"/>
      <c r="AN101" s="333"/>
      <c r="AO101" s="333"/>
      <c r="AP101" s="333"/>
      <c r="AR101"/>
      <c r="AU101" s="333"/>
      <c r="AV101" s="515"/>
      <c r="AW101" s="333"/>
      <c r="AX101" s="333"/>
      <c r="AY101" s="333"/>
      <c r="AZ101" s="333"/>
      <c r="BA101" s="333"/>
      <c r="BB101" s="333"/>
      <c r="BC101" s="333"/>
      <c r="BD101" s="333"/>
      <c r="BE101" s="333"/>
      <c r="BF101" s="333"/>
      <c r="BG101" s="333"/>
      <c r="BH101" s="333"/>
      <c r="BI101" s="333"/>
      <c r="BJ101" s="333"/>
      <c r="BK101" s="333"/>
      <c r="BL101" s="333"/>
      <c r="BM101" s="333"/>
      <c r="BN101" s="333"/>
      <c r="BO101" s="333"/>
      <c r="BP101" s="333"/>
      <c r="BQ101" s="333"/>
      <c r="BR101" s="333"/>
      <c r="BS101" s="333"/>
      <c r="BT101" s="333"/>
      <c r="BU101" s="333"/>
      <c r="BV101" s="333"/>
      <c r="BW101" s="333"/>
      <c r="BX101" s="333"/>
      <c r="BY101" s="333"/>
      <c r="BZ101" s="333"/>
      <c r="CA101" s="333"/>
      <c r="CB101" s="333"/>
      <c r="CD101" s="333"/>
      <c r="CE101" s="333"/>
      <c r="CF101" s="333"/>
      <c r="CG101" s="333"/>
      <c r="CH101" s="333"/>
      <c r="CI101" s="333"/>
      <c r="CJ101" s="333"/>
      <c r="CL101" s="9"/>
      <c r="CO101" s="9"/>
      <c r="CP101" s="258"/>
    </row>
    <row r="102" spans="2:94" x14ac:dyDescent="0.2">
      <c r="B102" s="23" t="s">
        <v>138</v>
      </c>
      <c r="C102" s="69">
        <f>+C65*C100*C101</f>
        <v>29859436.543492477</v>
      </c>
      <c r="O102" s="84"/>
      <c r="P102" s="84"/>
      <c r="Q102" s="84"/>
      <c r="R102" s="84"/>
      <c r="AG102" s="10">
        <f t="shared" si="49"/>
        <v>6</v>
      </c>
      <c r="AH102" s="264"/>
      <c r="AI102" s="21"/>
      <c r="AJ102" s="21"/>
      <c r="AK102" s="21"/>
      <c r="AL102" s="21"/>
      <c r="AM102" s="21"/>
      <c r="AN102" s="21"/>
      <c r="AO102" s="21"/>
      <c r="AP102" s="21"/>
      <c r="AQ102" s="21"/>
      <c r="AR102" s="21"/>
      <c r="AS102" s="21"/>
      <c r="AT102" s="21"/>
      <c r="AU102" s="21"/>
      <c r="AV102" s="516"/>
      <c r="AW102" s="21"/>
      <c r="AX102" s="21"/>
      <c r="AY102" s="21"/>
      <c r="AZ102" s="21"/>
      <c r="BA102" s="21"/>
      <c r="BB102" s="21"/>
      <c r="BC102" s="21"/>
      <c r="BD102" s="21"/>
      <c r="BE102" s="21"/>
      <c r="BF102" s="21"/>
      <c r="BG102" s="21"/>
      <c r="BH102" s="21"/>
      <c r="BI102" s="21"/>
      <c r="BJ102" s="21"/>
      <c r="BK102" s="21"/>
      <c r="BL102" s="21"/>
      <c r="BM102" s="21"/>
      <c r="BN102" s="21"/>
      <c r="BO102" s="21"/>
      <c r="BP102" s="21"/>
      <c r="BQ102" s="21"/>
      <c r="BR102" s="21"/>
      <c r="BS102" s="21"/>
      <c r="BT102" s="21"/>
      <c r="BU102" s="21"/>
      <c r="BV102" s="21"/>
      <c r="BW102" s="21"/>
      <c r="BX102" s="21"/>
      <c r="BY102" s="21"/>
      <c r="BZ102" s="21"/>
      <c r="CA102" s="21"/>
      <c r="CB102" s="21"/>
      <c r="CD102" s="21"/>
      <c r="CE102" s="21"/>
      <c r="CF102" s="21"/>
      <c r="CG102" s="21"/>
      <c r="CH102" s="21"/>
      <c r="CI102" s="21"/>
      <c r="CJ102" s="21"/>
      <c r="CO102" s="9"/>
      <c r="CP102" s="258"/>
    </row>
    <row r="103" spans="2:94" x14ac:dyDescent="0.2">
      <c r="B103" s="175" t="s">
        <v>277</v>
      </c>
      <c r="C103" s="90">
        <v>0</v>
      </c>
      <c r="O103" s="84"/>
      <c r="P103" s="84"/>
      <c r="Q103" s="84"/>
      <c r="R103" s="84"/>
      <c r="AG103" s="10">
        <f t="shared" si="49"/>
        <v>7</v>
      </c>
      <c r="AH103" s="264"/>
      <c r="AI103" s="21"/>
      <c r="AJ103" s="21"/>
      <c r="AK103" s="21"/>
      <c r="AL103" s="21"/>
      <c r="AM103" s="21"/>
      <c r="AN103" s="21"/>
      <c r="AO103" s="21"/>
      <c r="AP103" s="21"/>
      <c r="AQ103" s="21"/>
      <c r="AR103" s="21"/>
      <c r="AS103" s="21"/>
      <c r="AT103" s="21"/>
      <c r="AU103" s="21"/>
      <c r="AV103" s="516"/>
      <c r="AW103" s="21"/>
      <c r="AX103" s="21"/>
      <c r="AY103" s="21"/>
      <c r="AZ103" s="21"/>
      <c r="BA103" s="21"/>
      <c r="BB103" s="21"/>
      <c r="BC103" s="21"/>
      <c r="BD103" s="21"/>
      <c r="BE103" s="21"/>
      <c r="BF103" s="21"/>
      <c r="BG103" s="21"/>
      <c r="BH103" s="21"/>
      <c r="BI103" s="21"/>
      <c r="BJ103" s="21"/>
      <c r="BK103" s="21"/>
      <c r="BL103" s="21"/>
      <c r="BM103" s="21"/>
      <c r="BN103" s="21"/>
      <c r="BO103" s="21"/>
      <c r="BP103" s="21"/>
      <c r="BQ103" s="21"/>
      <c r="BR103" s="21"/>
      <c r="BS103" s="21"/>
      <c r="BT103" s="21"/>
      <c r="BU103" s="21"/>
      <c r="BV103" s="21"/>
      <c r="BW103" s="21"/>
      <c r="BX103" s="21"/>
      <c r="BY103" s="21"/>
      <c r="BZ103" s="21"/>
      <c r="CA103" s="21"/>
      <c r="CB103" s="21"/>
      <c r="CD103" s="21"/>
      <c r="CE103" s="228"/>
      <c r="CN103" s="348"/>
      <c r="CO103" s="9"/>
      <c r="CP103" s="258"/>
    </row>
    <row r="104" spans="2:94" x14ac:dyDescent="0.2">
      <c r="B104" s="175" t="s">
        <v>278</v>
      </c>
      <c r="C104" s="69">
        <f>+C99*C102*(1-C103)</f>
        <v>0</v>
      </c>
      <c r="E104" s="15">
        <v>1</v>
      </c>
      <c r="O104" s="84"/>
      <c r="P104" s="84"/>
      <c r="Q104" s="84"/>
      <c r="R104" s="84"/>
      <c r="AG104" s="10">
        <f t="shared" si="49"/>
        <v>8</v>
      </c>
      <c r="AH104" s="264" t="s">
        <v>163</v>
      </c>
      <c r="AI104" t="str">
        <f>ProjectData!B16</f>
        <v>Texas</v>
      </c>
      <c r="AP104"/>
      <c r="AR104"/>
      <c r="AV104" s="131"/>
      <c r="AX104"/>
      <c r="CO104" s="9"/>
      <c r="CP104" s="258"/>
    </row>
    <row r="105" spans="2:94" ht="14.25" customHeight="1" x14ac:dyDescent="0.2">
      <c r="B105" s="258" t="s">
        <v>239</v>
      </c>
      <c r="C105" s="196">
        <f>AI119</f>
        <v>6.25E-2</v>
      </c>
      <c r="E105" s="15">
        <v>1</v>
      </c>
      <c r="O105" s="84"/>
      <c r="P105" s="84"/>
      <c r="Q105" s="84"/>
      <c r="R105" s="84"/>
      <c r="AG105" s="10">
        <f t="shared" si="49"/>
        <v>9</v>
      </c>
      <c r="AH105" s="264" t="s">
        <v>358</v>
      </c>
      <c r="AI105" s="21">
        <f>ProjectData!B20</f>
        <v>20</v>
      </c>
      <c r="AP105"/>
      <c r="AR105"/>
      <c r="AV105" s="131"/>
      <c r="AX105"/>
      <c r="CO105" s="9"/>
      <c r="CP105" s="258"/>
    </row>
    <row r="106" spans="2:94" x14ac:dyDescent="0.2">
      <c r="G106" s="14"/>
      <c r="H106" s="14"/>
      <c r="O106" s="84"/>
      <c r="P106" s="84"/>
      <c r="Q106" s="84"/>
      <c r="R106" s="84"/>
      <c r="AG106" s="10">
        <f t="shared" si="49"/>
        <v>10</v>
      </c>
      <c r="AH106" s="264"/>
      <c r="AP106"/>
      <c r="AR106"/>
      <c r="AV106" s="131"/>
      <c r="AX106"/>
      <c r="CO106" s="9"/>
      <c r="CP106" s="258"/>
    </row>
    <row r="107" spans="2:94" x14ac:dyDescent="0.2">
      <c r="B107" s="1" t="s">
        <v>145</v>
      </c>
      <c r="O107" s="84"/>
      <c r="P107" s="84"/>
      <c r="Q107" s="84"/>
      <c r="R107" s="84"/>
      <c r="AG107" s="10">
        <f t="shared" si="49"/>
        <v>11</v>
      </c>
      <c r="AP107"/>
      <c r="AR107"/>
      <c r="AV107" s="131"/>
      <c r="AX107"/>
    </row>
    <row r="108" spans="2:94" x14ac:dyDescent="0.2">
      <c r="C108" t="s">
        <v>7</v>
      </c>
      <c r="D108" t="s">
        <v>77</v>
      </c>
      <c r="E108" t="s">
        <v>8</v>
      </c>
      <c r="F108" t="s">
        <v>147</v>
      </c>
      <c r="G108" t="s">
        <v>79</v>
      </c>
      <c r="H108" t="s">
        <v>80</v>
      </c>
      <c r="I108" t="s">
        <v>81</v>
      </c>
      <c r="J108" t="s">
        <v>82</v>
      </c>
      <c r="K108" t="s">
        <v>9</v>
      </c>
      <c r="L108" t="s">
        <v>10</v>
      </c>
      <c r="M108" t="s">
        <v>83</v>
      </c>
      <c r="N108" t="s">
        <v>146</v>
      </c>
      <c r="O108" s="84" t="s">
        <v>85</v>
      </c>
      <c r="P108" s="84" t="s">
        <v>11</v>
      </c>
      <c r="Q108" s="84" t="s">
        <v>4</v>
      </c>
      <c r="R108" s="84"/>
      <c r="AG108" s="10">
        <f t="shared" si="49"/>
        <v>12</v>
      </c>
      <c r="AH108" s="264"/>
      <c r="AI108" s="8"/>
      <c r="AJ108" s="8"/>
      <c r="AP108"/>
      <c r="AR108"/>
      <c r="AV108" s="131"/>
      <c r="AX108"/>
    </row>
    <row r="109" spans="2:94" ht="15" x14ac:dyDescent="0.2">
      <c r="B109" s="6" t="s">
        <v>7</v>
      </c>
      <c r="C109" s="61">
        <v>0.58366899999999999</v>
      </c>
      <c r="D109" s="61">
        <v>0</v>
      </c>
      <c r="E109" s="61">
        <v>0</v>
      </c>
      <c r="F109" s="61">
        <v>0</v>
      </c>
      <c r="G109" s="61">
        <v>0</v>
      </c>
      <c r="H109" s="61">
        <v>0</v>
      </c>
      <c r="I109" s="61">
        <v>0</v>
      </c>
      <c r="J109" s="61">
        <v>5.1572E-2</v>
      </c>
      <c r="K109" s="61">
        <v>7.2450000000000001E-2</v>
      </c>
      <c r="L109" s="61">
        <v>0.29230899999999999</v>
      </c>
      <c r="M109" s="61">
        <v>0</v>
      </c>
      <c r="N109" s="61">
        <v>0</v>
      </c>
      <c r="O109" s="61">
        <v>0</v>
      </c>
      <c r="P109" s="61">
        <v>0</v>
      </c>
      <c r="Q109" s="122">
        <f>SUM(C109:P109)</f>
        <v>1</v>
      </c>
      <c r="R109" s="122"/>
      <c r="AG109" s="10">
        <f t="shared" si="49"/>
        <v>13</v>
      </c>
      <c r="AH109" s="264"/>
      <c r="AI109" s="8"/>
      <c r="AP109"/>
      <c r="AR109"/>
      <c r="AV109" s="131"/>
      <c r="AX109"/>
    </row>
    <row r="110" spans="2:94" ht="15" x14ac:dyDescent="0.2">
      <c r="B110" s="6" t="s">
        <v>77</v>
      </c>
      <c r="C110" s="61">
        <v>0</v>
      </c>
      <c r="D110" s="61">
        <v>0.36205100000000001</v>
      </c>
      <c r="E110" s="61">
        <v>0</v>
      </c>
      <c r="F110" s="61">
        <v>0</v>
      </c>
      <c r="G110" s="61">
        <v>0</v>
      </c>
      <c r="H110" s="61">
        <v>0</v>
      </c>
      <c r="I110" s="61">
        <v>0</v>
      </c>
      <c r="J110" s="61">
        <f>0.284423+0.346126</f>
        <v>0.63054900000000003</v>
      </c>
      <c r="K110" s="61">
        <v>7.4000000000000003E-3</v>
      </c>
      <c r="L110" s="61">
        <v>0</v>
      </c>
      <c r="M110" s="61">
        <v>0</v>
      </c>
      <c r="N110" s="61">
        <v>0</v>
      </c>
      <c r="O110" s="61">
        <v>0</v>
      </c>
      <c r="P110" s="61">
        <v>0</v>
      </c>
      <c r="Q110" s="122">
        <f t="shared" ref="Q110:Q122" si="50">SUM(C110:P110)</f>
        <v>1</v>
      </c>
      <c r="R110" s="122"/>
      <c r="AG110" s="10">
        <f t="shared" si="49"/>
        <v>14</v>
      </c>
      <c r="AI110" s="8"/>
      <c r="AP110"/>
      <c r="AR110"/>
      <c r="AV110" s="131"/>
      <c r="AX110"/>
    </row>
    <row r="111" spans="2:94" ht="29.25" customHeight="1" x14ac:dyDescent="0.2">
      <c r="B111" s="6" t="s">
        <v>8</v>
      </c>
      <c r="C111" s="61">
        <v>0</v>
      </c>
      <c r="D111" s="61">
        <v>0</v>
      </c>
      <c r="E111" s="61">
        <v>1</v>
      </c>
      <c r="F111" s="61">
        <v>0</v>
      </c>
      <c r="G111" s="61">
        <v>0</v>
      </c>
      <c r="H111" s="61">
        <v>0</v>
      </c>
      <c r="I111" s="61">
        <v>0</v>
      </c>
      <c r="J111" s="61">
        <v>0</v>
      </c>
      <c r="K111" s="61">
        <v>0</v>
      </c>
      <c r="L111" s="61">
        <v>0</v>
      </c>
      <c r="M111" s="61">
        <v>0</v>
      </c>
      <c r="N111" s="61">
        <v>0</v>
      </c>
      <c r="O111" s="61">
        <v>0</v>
      </c>
      <c r="P111" s="61">
        <v>0</v>
      </c>
      <c r="Q111" s="122">
        <f t="shared" si="50"/>
        <v>1</v>
      </c>
      <c r="R111" s="122"/>
      <c r="AG111" s="10">
        <f t="shared" si="49"/>
        <v>15</v>
      </c>
      <c r="AH111" s="283" t="s">
        <v>274</v>
      </c>
      <c r="AI111" s="743">
        <v>0.04</v>
      </c>
      <c r="AJ111" s="743">
        <v>0</v>
      </c>
      <c r="AK111" s="743">
        <v>5.6000000000000001E-2</v>
      </c>
      <c r="AL111" s="743">
        <v>6.5000000000000002E-2</v>
      </c>
      <c r="AM111" s="743">
        <v>7.4999999999999997E-2</v>
      </c>
      <c r="AN111" s="743">
        <v>2.9000000000000001E-2</v>
      </c>
      <c r="AO111" s="743">
        <v>6.3500000000000001E-2</v>
      </c>
      <c r="AP111" s="743">
        <v>0</v>
      </c>
      <c r="AQ111" s="743">
        <v>5.7500000000000002E-2</v>
      </c>
      <c r="AR111" s="743">
        <v>0.06</v>
      </c>
      <c r="AS111" s="743">
        <v>0.04</v>
      </c>
      <c r="AT111" s="743">
        <v>0.04</v>
      </c>
      <c r="AU111" s="743">
        <v>0.06</v>
      </c>
      <c r="AV111" s="743">
        <v>6.25E-2</v>
      </c>
      <c r="AW111" s="743">
        <v>7.0000000000000007E-2</v>
      </c>
      <c r="AX111" s="743">
        <v>0.06</v>
      </c>
      <c r="AY111" s="743">
        <v>6.5000000000000002E-2</v>
      </c>
      <c r="AZ111" s="743">
        <v>0.06</v>
      </c>
      <c r="BA111" s="743">
        <v>0.05</v>
      </c>
      <c r="BB111" s="743">
        <v>5.5E-2</v>
      </c>
      <c r="BC111" s="743">
        <v>0.06</v>
      </c>
      <c r="BD111" s="743">
        <v>6.25E-2</v>
      </c>
      <c r="BE111" s="743">
        <v>0.06</v>
      </c>
      <c r="BF111" s="743">
        <v>6.8750000000000006E-2</v>
      </c>
      <c r="BG111" s="743">
        <v>7.0000000000000007E-2</v>
      </c>
      <c r="BH111" s="744">
        <v>4.2250000000000003E-2</v>
      </c>
      <c r="BI111" s="744">
        <v>0</v>
      </c>
      <c r="BJ111" s="334">
        <f>'User Add-in Location'!$B$5</f>
        <v>0</v>
      </c>
      <c r="BK111" s="334">
        <f>'User Add-in Location'!$B$5</f>
        <v>0</v>
      </c>
      <c r="BL111" s="744">
        <v>5.5E-2</v>
      </c>
      <c r="BM111" s="744">
        <v>6.8500000000000005E-2</v>
      </c>
      <c r="BN111" s="744">
        <v>0</v>
      </c>
      <c r="BO111" s="744">
        <v>7.0000000000000007E-2</v>
      </c>
      <c r="BP111" s="744">
        <v>5.1249999999999997E-2</v>
      </c>
      <c r="BQ111" s="744">
        <v>0.04</v>
      </c>
      <c r="BR111" s="744">
        <v>4.7500000000000001E-2</v>
      </c>
      <c r="BS111" s="744">
        <v>0.05</v>
      </c>
      <c r="BT111" s="744">
        <v>5.7500000000000002E-2</v>
      </c>
      <c r="BU111" s="744">
        <v>4.4999999999999998E-2</v>
      </c>
      <c r="BV111" s="744">
        <v>0</v>
      </c>
      <c r="BW111" s="744">
        <v>0.06</v>
      </c>
      <c r="BX111" s="744">
        <v>7.0000000000000007E-2</v>
      </c>
      <c r="BY111" s="744">
        <v>0.06</v>
      </c>
      <c r="BZ111" s="744">
        <v>4.4999999999999998E-2</v>
      </c>
      <c r="CA111" s="744">
        <v>7.0000000000000007E-2</v>
      </c>
      <c r="CB111" s="744">
        <v>6.25E-2</v>
      </c>
      <c r="CC111" s="745">
        <v>4.7E-2</v>
      </c>
      <c r="CD111" s="744">
        <v>0.06</v>
      </c>
      <c r="CE111" s="744">
        <v>4.2999999999999997E-2</v>
      </c>
      <c r="CF111" s="744">
        <v>6.5000000000000002E-2</v>
      </c>
      <c r="CG111" s="744">
        <v>0.06</v>
      </c>
      <c r="CH111" s="744">
        <v>0.05</v>
      </c>
      <c r="CI111" s="744">
        <v>0.04</v>
      </c>
      <c r="CJ111" s="744">
        <v>5.1499999999999997E-2</v>
      </c>
    </row>
    <row r="112" spans="2:94" ht="15" x14ac:dyDescent="0.2">
      <c r="B112" s="6" t="s">
        <v>78</v>
      </c>
      <c r="C112" s="61">
        <v>0</v>
      </c>
      <c r="D112" s="61">
        <v>0</v>
      </c>
      <c r="E112" s="61">
        <v>0</v>
      </c>
      <c r="F112" s="61">
        <v>0.55841200000000002</v>
      </c>
      <c r="G112" s="61">
        <v>0</v>
      </c>
      <c r="H112" s="61">
        <v>0</v>
      </c>
      <c r="I112" s="61">
        <v>0</v>
      </c>
      <c r="J112" s="61">
        <v>2.3014E-2</v>
      </c>
      <c r="K112" s="61">
        <f>0.080398+0.338175</f>
        <v>0.41857299999999997</v>
      </c>
      <c r="L112" s="61">
        <v>0</v>
      </c>
      <c r="M112" s="61">
        <v>0</v>
      </c>
      <c r="N112" s="61">
        <v>0</v>
      </c>
      <c r="O112" s="61">
        <v>0</v>
      </c>
      <c r="P112" s="61">
        <v>0</v>
      </c>
      <c r="Q112" s="122">
        <f t="shared" si="50"/>
        <v>0.99999899999999997</v>
      </c>
      <c r="R112" s="122"/>
      <c r="AG112" s="10">
        <f t="shared" si="49"/>
        <v>16</v>
      </c>
      <c r="AH112" s="264"/>
      <c r="AI112" s="334"/>
      <c r="AJ112" s="334"/>
      <c r="AK112" s="334"/>
      <c r="AL112" s="334"/>
      <c r="AM112" s="334"/>
      <c r="AN112" s="334"/>
      <c r="AO112" s="334"/>
      <c r="AP112" s="334"/>
      <c r="AQ112" s="334"/>
      <c r="AR112" s="334"/>
      <c r="AS112" s="334"/>
      <c r="AT112" s="334"/>
      <c r="AU112" s="334"/>
      <c r="AV112" s="334"/>
      <c r="AW112" s="334"/>
      <c r="AX112" s="334"/>
      <c r="AY112" s="334"/>
      <c r="AZ112" s="334"/>
      <c r="BA112" s="334"/>
      <c r="BB112" s="334"/>
      <c r="BC112" s="334"/>
      <c r="BD112" s="231"/>
      <c r="BE112" s="231"/>
      <c r="BF112" s="231"/>
      <c r="BG112" s="231"/>
      <c r="BH112" s="334"/>
      <c r="BI112" s="334"/>
      <c r="BJ112" s="334"/>
      <c r="BK112" s="334"/>
      <c r="BL112" s="334"/>
      <c r="BM112" s="334"/>
      <c r="BN112" s="334"/>
      <c r="BO112" s="334"/>
      <c r="BP112" s="334"/>
      <c r="BQ112" s="334"/>
      <c r="BR112" s="334"/>
      <c r="BS112" s="334"/>
      <c r="BT112" s="334"/>
      <c r="BU112" s="334"/>
      <c r="BV112" s="334"/>
      <c r="BW112" s="334"/>
      <c r="BX112" s="334"/>
      <c r="BY112" s="334"/>
      <c r="BZ112" s="334"/>
      <c r="CA112" s="334"/>
      <c r="CB112" s="334"/>
      <c r="CC112" s="334"/>
      <c r="CD112" s="334"/>
      <c r="CE112" s="335"/>
      <c r="CF112" s="334"/>
      <c r="CG112" s="334"/>
      <c r="CH112" s="334"/>
      <c r="CI112" s="334"/>
      <c r="CJ112" s="334"/>
      <c r="CK112" s="334"/>
    </row>
    <row r="113" spans="2:89" ht="44.25" customHeight="1" x14ac:dyDescent="0.2">
      <c r="B113" s="6" t="s">
        <v>79</v>
      </c>
      <c r="C113" s="61">
        <v>0</v>
      </c>
      <c r="D113" s="61">
        <v>0</v>
      </c>
      <c r="E113" s="61">
        <v>0</v>
      </c>
      <c r="F113" s="61">
        <v>0</v>
      </c>
      <c r="G113" s="61">
        <v>1</v>
      </c>
      <c r="H113" s="61">
        <v>0</v>
      </c>
      <c r="I113" s="61">
        <v>0</v>
      </c>
      <c r="J113" s="61">
        <v>0</v>
      </c>
      <c r="K113" s="61">
        <v>0</v>
      </c>
      <c r="L113" s="61">
        <v>0</v>
      </c>
      <c r="M113" s="61">
        <v>0</v>
      </c>
      <c r="N113" s="61">
        <v>0</v>
      </c>
      <c r="O113" s="61">
        <v>0</v>
      </c>
      <c r="P113" s="61">
        <v>0</v>
      </c>
      <c r="Q113" s="122">
        <f t="shared" si="50"/>
        <v>1</v>
      </c>
      <c r="R113" s="122"/>
      <c r="AG113" s="10">
        <f t="shared" si="49"/>
        <v>17</v>
      </c>
      <c r="AH113" s="283" t="s">
        <v>368</v>
      </c>
      <c r="AI113" s="85"/>
      <c r="AJ113" s="85"/>
      <c r="AK113" s="85"/>
      <c r="AL113" s="85"/>
      <c r="AM113" s="85"/>
      <c r="AN113" s="85"/>
      <c r="AO113" s="85"/>
      <c r="AP113" s="85"/>
      <c r="AQ113" s="85"/>
      <c r="AR113" s="85"/>
      <c r="AS113" s="85"/>
      <c r="AT113" s="85"/>
      <c r="AU113" s="85"/>
      <c r="AV113" s="85"/>
      <c r="AW113" s="85"/>
      <c r="AX113" s="517"/>
      <c r="AY113" s="85"/>
      <c r="AZ113" s="85"/>
      <c r="BA113" s="85"/>
      <c r="BB113" s="85"/>
      <c r="BC113" s="85"/>
      <c r="BD113" s="85"/>
      <c r="BE113" s="85"/>
      <c r="BF113" s="85"/>
      <c r="BG113" s="85"/>
      <c r="BH113" s="85"/>
      <c r="BI113" s="85"/>
      <c r="BJ113" s="85"/>
      <c r="BK113" s="85"/>
      <c r="BL113" s="85"/>
      <c r="BM113" s="85"/>
      <c r="BN113" s="85"/>
      <c r="BO113" s="85"/>
      <c r="BP113" s="85"/>
      <c r="BQ113" s="85"/>
      <c r="BR113" s="85"/>
      <c r="BS113" s="85"/>
      <c r="BT113" s="85"/>
      <c r="BU113" s="85"/>
      <c r="BV113" s="85"/>
      <c r="BW113" s="85"/>
      <c r="BX113" s="85"/>
      <c r="BY113" s="85"/>
      <c r="BZ113" s="85"/>
      <c r="CA113" s="85"/>
      <c r="CB113" s="85"/>
      <c r="CC113" s="85"/>
      <c r="CD113" s="85"/>
      <c r="CE113" s="85"/>
      <c r="CF113" s="85"/>
      <c r="CG113" s="85"/>
      <c r="CH113" s="85"/>
      <c r="CI113" s="85"/>
      <c r="CJ113" s="85"/>
      <c r="CK113" s="85"/>
    </row>
    <row r="114" spans="2:89" ht="15" x14ac:dyDescent="0.2">
      <c r="B114" s="6" t="s">
        <v>80</v>
      </c>
      <c r="C114" s="61">
        <v>0</v>
      </c>
      <c r="D114" s="61">
        <v>0</v>
      </c>
      <c r="E114" s="61">
        <v>0</v>
      </c>
      <c r="F114" s="61">
        <v>0</v>
      </c>
      <c r="G114" s="61">
        <v>0</v>
      </c>
      <c r="H114" s="61">
        <v>0.63125100000000001</v>
      </c>
      <c r="I114" s="61">
        <v>0</v>
      </c>
      <c r="J114" s="61">
        <f>0.000889</f>
        <v>8.8900000000000003E-4</v>
      </c>
      <c r="K114" s="61">
        <f>0.1018+0.266059</f>
        <v>0.36785899999999999</v>
      </c>
      <c r="L114" s="61">
        <v>0</v>
      </c>
      <c r="M114" s="61">
        <v>0</v>
      </c>
      <c r="N114" s="61">
        <v>0</v>
      </c>
      <c r="O114" s="61">
        <v>0</v>
      </c>
      <c r="P114" s="61">
        <v>0</v>
      </c>
      <c r="Q114" s="122">
        <f t="shared" si="50"/>
        <v>0.99999900000000008</v>
      </c>
      <c r="R114" s="122"/>
      <c r="AG114" s="10">
        <f t="shared" si="49"/>
        <v>18</v>
      </c>
      <c r="AI114" s="85"/>
      <c r="AJ114" s="85"/>
      <c r="AK114" s="85"/>
      <c r="AL114" s="85"/>
      <c r="AM114" s="85"/>
      <c r="AN114" s="85"/>
      <c r="AO114" s="85"/>
      <c r="AP114" s="85"/>
      <c r="AQ114" s="85"/>
      <c r="AR114" s="85"/>
      <c r="AS114" s="85"/>
      <c r="AT114" s="85"/>
      <c r="AU114" s="85"/>
      <c r="AV114" s="85"/>
      <c r="AW114" s="85"/>
      <c r="AX114" s="517"/>
      <c r="AY114" s="85"/>
      <c r="AZ114" s="85"/>
      <c r="BA114" s="85"/>
      <c r="BB114" s="85"/>
      <c r="BC114" s="85"/>
      <c r="BD114" s="85"/>
      <c r="BE114" s="85"/>
      <c r="BF114" s="85"/>
      <c r="BG114" s="85"/>
      <c r="BH114" s="85"/>
      <c r="BI114" s="85"/>
      <c r="BJ114" s="85"/>
      <c r="BK114" s="85"/>
      <c r="BL114" s="85"/>
      <c r="BM114" s="85"/>
      <c r="BN114" s="85"/>
      <c r="BO114" s="85"/>
      <c r="BP114" s="85"/>
      <c r="BQ114" s="85"/>
      <c r="BR114" s="85"/>
      <c r="BS114" s="85"/>
      <c r="BT114" s="85"/>
      <c r="BU114" s="85"/>
      <c r="BV114" s="85"/>
      <c r="BW114" s="85"/>
      <c r="BX114" s="85"/>
      <c r="BY114" s="85"/>
      <c r="BZ114" s="85"/>
      <c r="CA114" s="85"/>
      <c r="CB114" s="85"/>
    </row>
    <row r="115" spans="2:89" ht="15" x14ac:dyDescent="0.2">
      <c r="B115" s="6" t="s">
        <v>81</v>
      </c>
      <c r="C115" s="61">
        <v>0</v>
      </c>
      <c r="D115" s="61">
        <v>0</v>
      </c>
      <c r="E115" s="61">
        <v>0</v>
      </c>
      <c r="F115" s="61">
        <v>0</v>
      </c>
      <c r="G115" s="61">
        <v>0</v>
      </c>
      <c r="H115" s="61">
        <v>0</v>
      </c>
      <c r="I115" s="61">
        <v>0.51277399999999995</v>
      </c>
      <c r="J115" s="61">
        <v>1.2135999999999999E-2</v>
      </c>
      <c r="K115" s="61">
        <f>0.075345+0.399745</f>
        <v>0.47509000000000001</v>
      </c>
      <c r="L115" s="61">
        <v>0</v>
      </c>
      <c r="M115" s="61">
        <v>0</v>
      </c>
      <c r="N115" s="61">
        <v>0</v>
      </c>
      <c r="O115" s="61">
        <v>0</v>
      </c>
      <c r="P115" s="61">
        <v>0</v>
      </c>
      <c r="Q115" s="122">
        <f t="shared" si="50"/>
        <v>1</v>
      </c>
      <c r="R115" s="122"/>
    </row>
    <row r="116" spans="2:89" ht="14.25" customHeight="1" x14ac:dyDescent="0.2">
      <c r="B116" s="6" t="s">
        <v>82</v>
      </c>
      <c r="C116" s="61">
        <v>0</v>
      </c>
      <c r="D116" s="61">
        <v>0</v>
      </c>
      <c r="E116" s="61">
        <v>0</v>
      </c>
      <c r="F116" s="61">
        <v>0</v>
      </c>
      <c r="G116" s="61">
        <v>0</v>
      </c>
      <c r="H116" s="61">
        <v>0</v>
      </c>
      <c r="I116" s="61">
        <v>0</v>
      </c>
      <c r="J116" s="61">
        <v>1</v>
      </c>
      <c r="K116" s="61">
        <v>0</v>
      </c>
      <c r="L116" s="61">
        <v>0</v>
      </c>
      <c r="M116" s="61">
        <v>0</v>
      </c>
      <c r="N116" s="61">
        <v>0</v>
      </c>
      <c r="O116" s="61">
        <v>0</v>
      </c>
      <c r="P116" s="61">
        <v>0</v>
      </c>
      <c r="Q116" s="122">
        <f t="shared" si="50"/>
        <v>1</v>
      </c>
      <c r="R116" s="122"/>
      <c r="AH116" s="264" t="s">
        <v>275</v>
      </c>
      <c r="AI116" s="85">
        <f>HLOOKUP(AI$104,AI$97:CK$114,AI117)</f>
        <v>0</v>
      </c>
      <c r="AJ116" s="24" t="s">
        <v>276</v>
      </c>
      <c r="AK116" s="85">
        <f>1-AI116</f>
        <v>1</v>
      </c>
    </row>
    <row r="117" spans="2:89" ht="15" x14ac:dyDescent="0.2">
      <c r="B117" s="6" t="s">
        <v>9</v>
      </c>
      <c r="C117" s="61">
        <v>0</v>
      </c>
      <c r="D117" s="61">
        <v>0</v>
      </c>
      <c r="E117" s="61">
        <v>0</v>
      </c>
      <c r="F117" s="61">
        <v>0</v>
      </c>
      <c r="G117" s="61">
        <v>0</v>
      </c>
      <c r="H117" s="61">
        <v>0</v>
      </c>
      <c r="I117" s="61">
        <v>0</v>
      </c>
      <c r="J117" s="61">
        <v>0</v>
      </c>
      <c r="K117" s="61">
        <v>1</v>
      </c>
      <c r="L117" s="61">
        <v>0</v>
      </c>
      <c r="M117" s="61">
        <v>0</v>
      </c>
      <c r="N117" s="61">
        <v>0</v>
      </c>
      <c r="O117" s="61">
        <v>0</v>
      </c>
      <c r="P117" s="61">
        <v>0</v>
      </c>
      <c r="Q117" s="122">
        <f t="shared" si="50"/>
        <v>1</v>
      </c>
      <c r="R117" s="122"/>
      <c r="AH117" s="264" t="s">
        <v>273</v>
      </c>
      <c r="AI117">
        <f>AG113</f>
        <v>17</v>
      </c>
    </row>
    <row r="118" spans="2:89" ht="15" x14ac:dyDescent="0.2">
      <c r="B118" s="6" t="s">
        <v>10</v>
      </c>
      <c r="C118" s="61">
        <v>0</v>
      </c>
      <c r="D118" s="61">
        <v>0</v>
      </c>
      <c r="E118" s="61">
        <v>0</v>
      </c>
      <c r="F118" s="61">
        <v>0</v>
      </c>
      <c r="G118" s="61">
        <v>0</v>
      </c>
      <c r="H118" s="61">
        <v>0</v>
      </c>
      <c r="I118" s="61">
        <v>0</v>
      </c>
      <c r="J118" s="61">
        <v>0</v>
      </c>
      <c r="K118" s="61">
        <f>1-L118</f>
        <v>0.68871400000000005</v>
      </c>
      <c r="L118" s="61">
        <v>0.31128600000000001</v>
      </c>
      <c r="M118" s="61">
        <v>0</v>
      </c>
      <c r="N118" s="61">
        <v>0</v>
      </c>
      <c r="O118" s="61">
        <v>0</v>
      </c>
      <c r="P118" s="61">
        <v>0</v>
      </c>
      <c r="Q118" s="122">
        <f t="shared" si="50"/>
        <v>1</v>
      </c>
      <c r="R118" s="122"/>
    </row>
    <row r="119" spans="2:89" ht="15" x14ac:dyDescent="0.2">
      <c r="B119" s="6" t="s">
        <v>83</v>
      </c>
      <c r="C119" s="61">
        <v>0</v>
      </c>
      <c r="D119" s="61">
        <v>0</v>
      </c>
      <c r="E119" s="61">
        <v>0</v>
      </c>
      <c r="F119" s="61">
        <v>0</v>
      </c>
      <c r="G119" s="61">
        <v>0</v>
      </c>
      <c r="H119" s="61">
        <v>0</v>
      </c>
      <c r="I119" s="61">
        <v>0</v>
      </c>
      <c r="J119" s="61">
        <v>0</v>
      </c>
      <c r="K119" s="61">
        <v>0</v>
      </c>
      <c r="L119" s="61">
        <v>0</v>
      </c>
      <c r="M119" s="61">
        <v>1</v>
      </c>
      <c r="N119" s="61">
        <v>0</v>
      </c>
      <c r="O119" s="61">
        <v>0</v>
      </c>
      <c r="P119" s="61">
        <v>0</v>
      </c>
      <c r="Q119" s="122">
        <f t="shared" si="50"/>
        <v>1</v>
      </c>
      <c r="R119" s="122"/>
      <c r="AH119" t="s">
        <v>274</v>
      </c>
      <c r="AI119" s="89">
        <f>HLOOKUP(AI$104,AI$97:CK$114,AI120)</f>
        <v>6.25E-2</v>
      </c>
    </row>
    <row r="120" spans="2:89" ht="15" x14ac:dyDescent="0.2">
      <c r="B120" s="6" t="s">
        <v>84</v>
      </c>
      <c r="C120" s="61">
        <v>0</v>
      </c>
      <c r="D120" s="61">
        <v>0</v>
      </c>
      <c r="E120" s="61">
        <v>0</v>
      </c>
      <c r="F120" s="61">
        <v>0</v>
      </c>
      <c r="G120" s="61">
        <v>0</v>
      </c>
      <c r="H120" s="61">
        <v>0</v>
      </c>
      <c r="I120" s="61">
        <v>0</v>
      </c>
      <c r="J120" s="61">
        <v>4.2428E-2</v>
      </c>
      <c r="K120" s="61">
        <v>9.2082999999999998E-2</v>
      </c>
      <c r="L120" s="61">
        <v>0.361097</v>
      </c>
      <c r="M120" s="61">
        <v>0</v>
      </c>
      <c r="N120" s="61">
        <v>0.50439199999999995</v>
      </c>
      <c r="O120" s="61">
        <v>0</v>
      </c>
      <c r="P120" s="61">
        <v>0</v>
      </c>
      <c r="Q120" s="122">
        <f t="shared" si="50"/>
        <v>1</v>
      </c>
      <c r="R120" s="122"/>
      <c r="AH120" t="s">
        <v>273</v>
      </c>
      <c r="AI120">
        <f>AG111</f>
        <v>15</v>
      </c>
    </row>
    <row r="121" spans="2:89" ht="15" x14ac:dyDescent="0.2">
      <c r="B121" s="6" t="s">
        <v>85</v>
      </c>
      <c r="C121" s="61">
        <v>0</v>
      </c>
      <c r="D121" s="61">
        <v>0</v>
      </c>
      <c r="E121" s="61">
        <v>0</v>
      </c>
      <c r="F121" s="61">
        <v>0</v>
      </c>
      <c r="G121" s="61">
        <v>0</v>
      </c>
      <c r="H121" s="61">
        <v>0</v>
      </c>
      <c r="I121" s="61">
        <v>0</v>
      </c>
      <c r="J121" s="61">
        <v>0</v>
      </c>
      <c r="K121" s="61">
        <v>0</v>
      </c>
      <c r="L121" s="61">
        <v>0</v>
      </c>
      <c r="M121" s="61">
        <v>0</v>
      </c>
      <c r="N121" s="61">
        <v>0</v>
      </c>
      <c r="O121" s="61">
        <v>1</v>
      </c>
      <c r="P121" s="61">
        <v>0</v>
      </c>
      <c r="Q121" s="122">
        <f t="shared" si="50"/>
        <v>1</v>
      </c>
      <c r="R121" s="122"/>
    </row>
    <row r="122" spans="2:89" ht="15" x14ac:dyDescent="0.2">
      <c r="B122" s="6" t="s">
        <v>11</v>
      </c>
      <c r="C122" s="61">
        <v>0</v>
      </c>
      <c r="D122" s="61">
        <v>0</v>
      </c>
      <c r="E122" s="61">
        <v>0</v>
      </c>
      <c r="F122" s="61">
        <v>0</v>
      </c>
      <c r="G122" s="61">
        <v>0</v>
      </c>
      <c r="H122" s="61">
        <v>0</v>
      </c>
      <c r="I122" s="61">
        <v>0</v>
      </c>
      <c r="J122" s="61">
        <v>0</v>
      </c>
      <c r="K122" s="61">
        <v>0</v>
      </c>
      <c r="L122" s="61">
        <v>0</v>
      </c>
      <c r="M122" s="61">
        <v>0</v>
      </c>
      <c r="N122" s="61">
        <v>0</v>
      </c>
      <c r="O122" s="61">
        <v>0</v>
      </c>
      <c r="P122" s="61">
        <v>1</v>
      </c>
      <c r="Q122" s="122">
        <f t="shared" si="50"/>
        <v>1</v>
      </c>
      <c r="R122" s="122"/>
      <c r="AH122" s="507" t="s">
        <v>581</v>
      </c>
    </row>
    <row r="123" spans="2:89" x14ac:dyDescent="0.2">
      <c r="C123" s="61"/>
      <c r="D123" s="61"/>
      <c r="E123" s="61"/>
      <c r="F123" s="61"/>
      <c r="G123" s="61"/>
      <c r="O123" s="84"/>
      <c r="P123" s="84"/>
    </row>
    <row r="124" spans="2:89" x14ac:dyDescent="0.2">
      <c r="O124" s="84"/>
      <c r="P124" s="84"/>
    </row>
    <row r="125" spans="2:89" x14ac:dyDescent="0.2">
      <c r="O125" s="84"/>
      <c r="P125" s="84"/>
    </row>
    <row r="126" spans="2:89" x14ac:dyDescent="0.2">
      <c r="O126" s="84"/>
      <c r="P126" s="84"/>
    </row>
    <row r="127" spans="2:89" x14ac:dyDescent="0.2">
      <c r="O127" s="84"/>
      <c r="P127" s="84"/>
    </row>
    <row r="128" spans="2:89" x14ac:dyDescent="0.2">
      <c r="O128" s="84"/>
      <c r="P128" s="84"/>
    </row>
    <row r="129" spans="15:16" x14ac:dyDescent="0.2">
      <c r="O129" s="84"/>
      <c r="P129" s="84"/>
    </row>
    <row r="130" spans="15:16" x14ac:dyDescent="0.2">
      <c r="O130" s="84"/>
      <c r="P130" s="84"/>
    </row>
    <row r="131" spans="15:16" x14ac:dyDescent="0.2">
      <c r="O131" s="84"/>
      <c r="P131" s="84"/>
    </row>
    <row r="132" spans="15:16" x14ac:dyDescent="0.2">
      <c r="O132" s="84"/>
      <c r="P132" s="84"/>
    </row>
    <row r="133" spans="15:16" x14ac:dyDescent="0.2">
      <c r="O133" s="84"/>
      <c r="P133" s="84"/>
    </row>
    <row r="134" spans="15:16" x14ac:dyDescent="0.2">
      <c r="O134" s="84"/>
      <c r="P134" s="84"/>
    </row>
    <row r="135" spans="15:16" x14ac:dyDescent="0.2">
      <c r="O135" s="84"/>
      <c r="P135" s="84"/>
    </row>
    <row r="136" spans="15:16" x14ac:dyDescent="0.2">
      <c r="O136" s="84"/>
      <c r="P136" s="84"/>
    </row>
    <row r="137" spans="15:16" x14ac:dyDescent="0.2">
      <c r="O137" s="84"/>
      <c r="P137" s="84"/>
    </row>
    <row r="138" spans="15:16" x14ac:dyDescent="0.2">
      <c r="O138" s="84"/>
      <c r="P138" s="84"/>
    </row>
    <row r="139" spans="15:16" x14ac:dyDescent="0.2">
      <c r="O139" s="84"/>
      <c r="P139" s="84"/>
    </row>
    <row r="140" spans="15:16" x14ac:dyDescent="0.2">
      <c r="O140" s="84"/>
      <c r="P140" s="84"/>
    </row>
    <row r="141" spans="15:16" x14ac:dyDescent="0.2">
      <c r="O141" s="84"/>
      <c r="P141" s="84"/>
    </row>
    <row r="142" spans="15:16" x14ac:dyDescent="0.2">
      <c r="O142" s="84"/>
      <c r="P142" s="84"/>
    </row>
    <row r="143" spans="15:16" x14ac:dyDescent="0.2">
      <c r="O143" s="84"/>
      <c r="P143" s="84"/>
    </row>
    <row r="144" spans="15:16" x14ac:dyDescent="0.2">
      <c r="O144" s="84"/>
      <c r="P144" s="84"/>
    </row>
    <row r="145" spans="15:16" x14ac:dyDescent="0.2">
      <c r="O145" s="84"/>
      <c r="P145" s="84"/>
    </row>
    <row r="146" spans="15:16" x14ac:dyDescent="0.2">
      <c r="O146" s="84"/>
      <c r="P146" s="84"/>
    </row>
  </sheetData>
  <sheetProtection password="DFD3" sheet="1" objects="1" scenarios="1"/>
  <customSheetViews>
    <customSheetView guid="{55B80D82-F000-11D6-8735-C8E5A357943D}" showRuler="0" topLeftCell="A56">
      <selection activeCell="B65" sqref="B65"/>
      <pageMargins left="0.75" right="0.75" top="1" bottom="1" header="0.5" footer="0.5"/>
      <headerFooter alignWithMargins="0"/>
    </customSheetView>
  </customSheetViews>
  <phoneticPr fontId="0" type="noConversion"/>
  <pageMargins left="0.75" right="0.75" top="1" bottom="1" header="0.5" footer="0.5"/>
  <pageSetup orientation="portrait" horizontalDpi="4294967293" verticalDpi="300"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Q300"/>
  <sheetViews>
    <sheetView zoomScaleNormal="100" workbookViewId="0">
      <selection activeCell="D1" sqref="D1"/>
    </sheetView>
  </sheetViews>
  <sheetFormatPr defaultRowHeight="12.75" x14ac:dyDescent="0.2"/>
  <cols>
    <col min="1" max="1" width="139.85546875" style="228" customWidth="1"/>
    <col min="3" max="3" width="50.7109375" customWidth="1"/>
    <col min="4" max="4" width="16.140625" customWidth="1"/>
    <col min="5" max="5" width="17" customWidth="1"/>
    <col min="6" max="6" width="19.140625" customWidth="1"/>
    <col min="7" max="7" width="15.7109375" customWidth="1"/>
    <col min="8" max="8" width="16.28515625" customWidth="1"/>
    <col min="9" max="9" width="13.28515625" customWidth="1"/>
    <col min="10" max="10" width="13.85546875" customWidth="1"/>
    <col min="11" max="11" width="16.28515625" customWidth="1"/>
    <col min="12" max="12" width="13.85546875" customWidth="1"/>
    <col min="14" max="14" width="14" bestFit="1" customWidth="1"/>
    <col min="15" max="15" width="13.140625" customWidth="1"/>
    <col min="16" max="16" width="15.140625" customWidth="1"/>
    <col min="18" max="18" width="11.7109375" bestFit="1" customWidth="1"/>
    <col min="21" max="21" width="10.140625" bestFit="1" customWidth="1"/>
    <col min="23" max="23" width="22.140625" customWidth="1"/>
    <col min="24" max="24" width="10.140625" bestFit="1" customWidth="1"/>
    <col min="25" max="26" width="10.140625" customWidth="1"/>
    <col min="27" max="27" width="11.7109375" bestFit="1" customWidth="1"/>
    <col min="28" max="28" width="51.28515625" customWidth="1"/>
    <col min="29" max="30" width="20" customWidth="1"/>
    <col min="31" max="31" width="13.42578125" bestFit="1" customWidth="1"/>
    <col min="32" max="32" width="11.140625" customWidth="1"/>
    <col min="33" max="33" width="72.5703125" customWidth="1"/>
    <col min="34" max="34" width="11.140625" customWidth="1"/>
    <col min="35" max="35" width="11.140625" bestFit="1" customWidth="1"/>
    <col min="36" max="36" width="12.28515625" customWidth="1"/>
  </cols>
  <sheetData>
    <row r="1" spans="1:35" x14ac:dyDescent="0.2">
      <c r="A1" s="224"/>
      <c r="C1" s="1" t="s">
        <v>73</v>
      </c>
      <c r="D1" s="1"/>
      <c r="E1" s="11" t="str">
        <f>ProjectData!B16</f>
        <v>Texas</v>
      </c>
      <c r="F1" s="1" t="str">
        <f>Project_Data</f>
        <v>Transmission Line Project Data</v>
      </c>
      <c r="G1" s="1"/>
      <c r="I1" s="11"/>
      <c r="J1" s="11"/>
      <c r="K1" s="11"/>
    </row>
    <row r="2" spans="1:35" x14ac:dyDescent="0.2">
      <c r="A2" s="224"/>
      <c r="C2" s="1"/>
      <c r="D2" s="1"/>
      <c r="E2" s="1"/>
      <c r="F2" s="1"/>
      <c r="G2" s="1"/>
      <c r="H2" s="11"/>
      <c r="I2" s="11"/>
      <c r="J2" s="11"/>
      <c r="K2" s="11"/>
    </row>
    <row r="3" spans="1:35" ht="15.75" x14ac:dyDescent="0.25">
      <c r="A3" s="224"/>
      <c r="C3" s="6"/>
      <c r="I3" s="11" t="s">
        <v>205</v>
      </c>
      <c r="AB3" s="72" t="s">
        <v>198</v>
      </c>
      <c r="AC3" s="11" t="str">
        <f>IF(ProjectData!B$16="MyCounty",'User Add-in Location'!B$3,IF(ProjectData!B$16="MyRegion",'User Add-in Location'!B4,ProjectData!B$16))</f>
        <v>Texas</v>
      </c>
      <c r="AD3" s="105">
        <f>ProjectData!_xlnm.Print_Area</f>
        <v>2014</v>
      </c>
      <c r="AE3" s="105"/>
    </row>
    <row r="4" spans="1:35" ht="15" x14ac:dyDescent="0.2">
      <c r="A4" s="224"/>
      <c r="C4" s="17" t="s">
        <v>87</v>
      </c>
      <c r="F4" s="11"/>
      <c r="I4" s="11"/>
      <c r="W4" s="6"/>
      <c r="X4" s="8"/>
      <c r="Y4" s="8"/>
      <c r="Z4" s="8"/>
      <c r="AA4" s="8"/>
      <c r="AE4" s="208"/>
      <c r="AF4" s="8"/>
      <c r="AG4" s="8"/>
      <c r="AH4" s="8"/>
      <c r="AI4" s="8"/>
    </row>
    <row r="5" spans="1:35" ht="23.25" x14ac:dyDescent="0.35">
      <c r="A5" s="225" t="s">
        <v>220</v>
      </c>
      <c r="C5" s="193" t="str">
        <f>DefaultData!B13</f>
        <v>Transmission Line Costs</v>
      </c>
      <c r="D5" s="11" t="s">
        <v>64</v>
      </c>
      <c r="E5" s="138" t="s">
        <v>5</v>
      </c>
      <c r="F5" s="11"/>
      <c r="G5" s="17" t="s">
        <v>88</v>
      </c>
      <c r="H5" s="1"/>
      <c r="I5" s="11"/>
      <c r="J5" s="11"/>
      <c r="W5" s="6"/>
      <c r="X5" s="8"/>
      <c r="Y5" s="8"/>
      <c r="Z5" s="8"/>
      <c r="AA5" s="8"/>
      <c r="AB5" s="193" t="str">
        <f t="shared" ref="AB5:AB12" si="0">C5</f>
        <v>Transmission Line Costs</v>
      </c>
      <c r="AC5" s="11" t="s">
        <v>64</v>
      </c>
      <c r="AD5" s="11" t="s">
        <v>5</v>
      </c>
      <c r="AE5" s="11"/>
      <c r="AF5" s="8"/>
      <c r="AG5" s="8"/>
      <c r="AH5" s="8"/>
      <c r="AI5" s="8"/>
    </row>
    <row r="6" spans="1:35" s="462" customFormat="1" ht="17.25" customHeight="1" x14ac:dyDescent="0.2">
      <c r="A6" s="224"/>
      <c r="C6" s="2" t="str">
        <f>DefaultData!B14</f>
        <v xml:space="preserve">  Development and Preconstruction Activites</v>
      </c>
      <c r="D6" s="8"/>
      <c r="E6" s="7"/>
      <c r="F6" s="15"/>
      <c r="G6" s="8"/>
      <c r="H6" s="1"/>
      <c r="I6" s="11"/>
      <c r="J6" s="11"/>
      <c r="W6" s="6"/>
      <c r="X6" s="8"/>
      <c r="Y6" s="8"/>
      <c r="Z6" s="8"/>
      <c r="AA6" s="8"/>
      <c r="AB6" s="2" t="str">
        <f t="shared" si="0"/>
        <v xml:space="preserve">  Development and Preconstruction Activites</v>
      </c>
      <c r="AC6" s="8"/>
      <c r="AD6" s="90"/>
      <c r="AE6" s="11"/>
      <c r="AF6" s="8"/>
      <c r="AG6" s="8"/>
      <c r="AH6" s="8"/>
      <c r="AI6" s="8"/>
    </row>
    <row r="7" spans="1:35" s="462" customFormat="1" ht="17.25" customHeight="1" x14ac:dyDescent="0.25">
      <c r="A7" s="226" t="s">
        <v>221</v>
      </c>
      <c r="C7" s="2" t="str">
        <f>DefaultData!B15</f>
        <v xml:space="preserve">     Land Acquisition Services</v>
      </c>
      <c r="D7" s="8">
        <f>IF(ProjectData!$U$24="y",DefaultData!C15,ProjectData!B55)</f>
        <v>375000</v>
      </c>
      <c r="E7" s="7">
        <f>IF(ProjectData!$U$24="y",IF(ProjectData!U$15=0,DefaultData!F15,ProjectData!U55),ProjectData!F55)</f>
        <v>0.5</v>
      </c>
      <c r="F7" s="15"/>
      <c r="G7" s="8">
        <f t="shared" ref="G7:G10" si="1">E7*D7</f>
        <v>187500</v>
      </c>
      <c r="H7" s="1"/>
      <c r="I7" s="11"/>
      <c r="J7" s="11"/>
      <c r="W7" s="6"/>
      <c r="X7" s="8"/>
      <c r="Y7" s="8"/>
      <c r="Z7" s="8"/>
      <c r="AA7" s="8"/>
      <c r="AB7" s="2" t="str">
        <f t="shared" si="0"/>
        <v xml:space="preserve">     Land Acquisition Services</v>
      </c>
      <c r="AC7" s="8">
        <f t="shared" ref="AC7:AC11" si="2">D7</f>
        <v>375000</v>
      </c>
      <c r="AD7" s="90">
        <f t="shared" ref="AD7:AD11" si="3">E7</f>
        <v>0.5</v>
      </c>
      <c r="AE7" s="11"/>
      <c r="AF7" s="8"/>
      <c r="AG7" s="8"/>
      <c r="AH7" s="8"/>
      <c r="AI7" s="8"/>
    </row>
    <row r="8" spans="1:35" s="462" customFormat="1" ht="17.25" customHeight="1" x14ac:dyDescent="0.2">
      <c r="A8" s="227"/>
      <c r="C8" s="2" t="str">
        <f>DefaultData!B16</f>
        <v xml:space="preserve">     Private Land Acquisition Payment</v>
      </c>
      <c r="D8" s="8">
        <f>IF(ProjectData!$U$24="y",DefaultData!C16,ProjectData!B56)</f>
        <v>363636.36363636365</v>
      </c>
      <c r="E8" s="7">
        <f>IF(ProjectData!$U$24="y",IF(ProjectData!U$15=0,DefaultData!F16,ProjectData!U56),ProjectData!F56)</f>
        <v>1</v>
      </c>
      <c r="F8" s="15"/>
      <c r="G8" s="8">
        <f t="shared" si="1"/>
        <v>363636.36363636365</v>
      </c>
      <c r="H8" s="1"/>
      <c r="I8" s="11"/>
      <c r="J8" s="11"/>
      <c r="W8" s="6"/>
      <c r="X8" s="8"/>
      <c r="Y8" s="8"/>
      <c r="Z8" s="8"/>
      <c r="AA8" s="8"/>
      <c r="AB8" s="2" t="str">
        <f t="shared" si="0"/>
        <v xml:space="preserve">     Private Land Acquisition Payment</v>
      </c>
      <c r="AC8" s="8">
        <f t="shared" si="2"/>
        <v>363636.36363636365</v>
      </c>
      <c r="AD8" s="90">
        <f t="shared" si="3"/>
        <v>1</v>
      </c>
      <c r="AE8" s="11"/>
      <c r="AF8" s="8"/>
      <c r="AG8" s="8"/>
      <c r="AH8" s="8"/>
      <c r="AI8" s="8"/>
    </row>
    <row r="9" spans="1:35" s="462" customFormat="1" ht="17.25" customHeight="1" x14ac:dyDescent="0.25">
      <c r="A9" s="226" t="s">
        <v>222</v>
      </c>
      <c r="C9" s="2" t="str">
        <f>DefaultData!B17</f>
        <v xml:space="preserve">     Engineering/Surveying/Geotechnical Consulting Services</v>
      </c>
      <c r="D9" s="8">
        <f>IF(ProjectData!$U$24="y",DefaultData!C17,ProjectData!B57)</f>
        <v>900000</v>
      </c>
      <c r="E9" s="7">
        <f>IF(ProjectData!$U$24="y",IF(ProjectData!U$15=0,DefaultData!F17,ProjectData!U57),ProjectData!F57)</f>
        <v>0.2</v>
      </c>
      <c r="F9" s="15"/>
      <c r="G9" s="8">
        <f t="shared" si="1"/>
        <v>180000</v>
      </c>
      <c r="H9" s="1"/>
      <c r="I9" s="11"/>
      <c r="J9" s="11"/>
      <c r="W9" s="6"/>
      <c r="X9" s="8"/>
      <c r="Y9" s="8"/>
      <c r="Z9" s="8"/>
      <c r="AA9" s="8"/>
      <c r="AB9" s="2" t="str">
        <f t="shared" si="0"/>
        <v xml:space="preserve">     Engineering/Surveying/Geotechnical Consulting Services</v>
      </c>
      <c r="AC9" s="8">
        <f t="shared" si="2"/>
        <v>900000</v>
      </c>
      <c r="AD9" s="90">
        <f t="shared" si="3"/>
        <v>0.2</v>
      </c>
      <c r="AE9" s="11"/>
      <c r="AF9" s="8"/>
      <c r="AG9" s="8"/>
      <c r="AH9" s="8"/>
      <c r="AI9" s="8"/>
    </row>
    <row r="10" spans="1:35" s="462" customFormat="1" ht="17.25" customHeight="1" x14ac:dyDescent="0.25">
      <c r="A10" s="226"/>
      <c r="C10" s="2" t="str">
        <f>DefaultData!B18</f>
        <v xml:space="preserve">     Environmental &amp; Permitting Services</v>
      </c>
      <c r="D10" s="8">
        <f>IF(ProjectData!$U$24="y",DefaultData!C18,ProjectData!B58)</f>
        <v>675000</v>
      </c>
      <c r="E10" s="7">
        <f>IF(ProjectData!$U$24="y",IF(ProjectData!U$15=0,DefaultData!F18,ProjectData!U58),ProjectData!F58)</f>
        <v>0.15</v>
      </c>
      <c r="F10" s="15"/>
      <c r="G10" s="8">
        <f t="shared" si="1"/>
        <v>101250</v>
      </c>
      <c r="H10" s="1"/>
      <c r="I10" s="11"/>
      <c r="J10" s="11"/>
      <c r="W10" s="6"/>
      <c r="X10" s="8"/>
      <c r="Y10" s="8"/>
      <c r="Z10" s="8"/>
      <c r="AA10" s="8"/>
      <c r="AB10" s="2" t="str">
        <f t="shared" si="0"/>
        <v xml:space="preserve">     Environmental &amp; Permitting Services</v>
      </c>
      <c r="AC10" s="8">
        <f t="shared" si="2"/>
        <v>675000</v>
      </c>
      <c r="AD10" s="90">
        <f t="shared" si="3"/>
        <v>0.15</v>
      </c>
      <c r="AE10" s="11"/>
      <c r="AF10" s="8"/>
      <c r="AG10" s="8"/>
      <c r="AH10" s="8"/>
      <c r="AI10" s="8"/>
    </row>
    <row r="11" spans="1:35" s="462" customFormat="1" ht="17.25" customHeight="1" x14ac:dyDescent="0.25">
      <c r="A11" s="291" t="s">
        <v>223</v>
      </c>
      <c r="C11" s="2" t="str">
        <f>DefaultData!B19</f>
        <v xml:space="preserve">  Subtotal Development and Preconstruction</v>
      </c>
      <c r="D11" s="8">
        <f>SUM(D7:D10)</f>
        <v>2313636.3636363638</v>
      </c>
      <c r="E11" s="7"/>
      <c r="F11" s="15"/>
      <c r="G11" s="8">
        <f>SUM(G7:G10)</f>
        <v>832386.36363636365</v>
      </c>
      <c r="H11" s="1"/>
      <c r="I11" s="11"/>
      <c r="J11" s="11"/>
      <c r="W11" s="6"/>
      <c r="X11" s="8"/>
      <c r="Y11" s="8"/>
      <c r="Z11" s="8"/>
      <c r="AA11" s="8"/>
      <c r="AB11" s="2" t="str">
        <f t="shared" si="0"/>
        <v xml:space="preserve">  Subtotal Development and Preconstruction</v>
      </c>
      <c r="AC11" s="8">
        <f t="shared" si="2"/>
        <v>2313636.3636363638</v>
      </c>
      <c r="AD11" s="90">
        <f t="shared" si="3"/>
        <v>0</v>
      </c>
      <c r="AE11" s="11"/>
      <c r="AF11" s="8"/>
      <c r="AG11" s="8"/>
      <c r="AH11" s="8"/>
      <c r="AI11" s="8"/>
    </row>
    <row r="12" spans="1:35" s="462" customFormat="1" ht="17.25" customHeight="1" x14ac:dyDescent="0.2">
      <c r="A12" s="224"/>
      <c r="C12" s="2" t="str">
        <f>DefaultData!B20</f>
        <v xml:space="preserve"> Construction Activities</v>
      </c>
      <c r="D12" s="8"/>
      <c r="E12" s="7"/>
      <c r="F12" s="15"/>
      <c r="G12" s="8"/>
      <c r="H12" s="1"/>
      <c r="I12" s="11"/>
      <c r="J12" s="11"/>
      <c r="W12" s="6"/>
      <c r="X12" s="8"/>
      <c r="Y12" s="8"/>
      <c r="Z12" s="8"/>
      <c r="AA12" s="8"/>
      <c r="AB12" s="2" t="str">
        <f t="shared" si="0"/>
        <v xml:space="preserve"> Construction Activities</v>
      </c>
      <c r="AC12" s="8"/>
      <c r="AD12" s="90"/>
      <c r="AE12" s="11"/>
      <c r="AF12" s="8"/>
      <c r="AG12" s="8"/>
      <c r="AH12" s="8"/>
      <c r="AI12" s="8"/>
    </row>
    <row r="13" spans="1:35" ht="15" x14ac:dyDescent="0.2">
      <c r="A13" s="224"/>
      <c r="C13" s="193" t="str">
        <f>DefaultData!B21</f>
        <v xml:space="preserve">  Materials &amp; Equipment</v>
      </c>
      <c r="D13" s="9"/>
      <c r="E13" s="7"/>
      <c r="I13" s="10"/>
      <c r="J13" s="10"/>
      <c r="W13" s="6"/>
      <c r="X13" s="8"/>
      <c r="Y13" s="8"/>
      <c r="Z13" s="8"/>
      <c r="AA13" s="8"/>
      <c r="AB13" s="193" t="str">
        <f>C13</f>
        <v xml:space="preserve">  Materials &amp; Equipment</v>
      </c>
      <c r="AC13" s="12"/>
      <c r="AD13" s="12"/>
      <c r="AE13" s="12"/>
      <c r="AF13" s="8"/>
      <c r="AG13" s="8"/>
      <c r="AH13" s="8"/>
      <c r="AI13" s="8"/>
    </row>
    <row r="14" spans="1:35" ht="15" x14ac:dyDescent="0.2">
      <c r="A14" s="224"/>
      <c r="C14" s="2" t="str">
        <f>DefaultData!B22</f>
        <v xml:space="preserve">    Concrete, gravel, asphalt</v>
      </c>
      <c r="D14" s="8">
        <f>IF(ProjectData!$U$24="y",DefaultData!C22,ProjectData!B62)</f>
        <v>600000</v>
      </c>
      <c r="E14" s="7">
        <f>IF(ProjectData!$U$24="y",IF(ProjectData!U$15=0,DefaultData!F22,ProjectData!U62),ProjectData!F62)</f>
        <v>1</v>
      </c>
      <c r="F14" s="15"/>
      <c r="G14" s="8">
        <f>E14*D14</f>
        <v>600000</v>
      </c>
      <c r="H14" s="85"/>
      <c r="I14" s="8"/>
      <c r="J14" s="8"/>
      <c r="W14" s="6"/>
      <c r="X14" s="8"/>
      <c r="Y14" s="8"/>
      <c r="Z14" s="8"/>
      <c r="AA14" s="8"/>
      <c r="AB14" s="2" t="str">
        <f>C14</f>
        <v xml:space="preserve">    Concrete, gravel, asphalt</v>
      </c>
      <c r="AC14" s="8">
        <f>D14</f>
        <v>600000</v>
      </c>
      <c r="AD14" s="90">
        <f>E14</f>
        <v>1</v>
      </c>
      <c r="AE14" s="90"/>
      <c r="AF14" s="8"/>
      <c r="AG14" s="8"/>
      <c r="AH14" s="8"/>
      <c r="AI14" s="8"/>
    </row>
    <row r="15" spans="1:35" ht="15" x14ac:dyDescent="0.2">
      <c r="A15" s="224"/>
      <c r="C15" s="2" t="str">
        <f>DefaultData!B23</f>
        <v xml:space="preserve">    Steel structures and poles</v>
      </c>
      <c r="D15" s="8">
        <f>IF(ProjectData!$U$24="y",DefaultData!C23,ProjectData!B63)</f>
        <v>4950000</v>
      </c>
      <c r="E15" s="7">
        <f>IF(ProjectData!$U$24="y",IF(ProjectData!U$15=0,DefaultData!F23,ProjectData!U63),ProjectData!F63)</f>
        <v>0</v>
      </c>
      <c r="F15" s="15"/>
      <c r="G15" s="8">
        <f>E15*D15</f>
        <v>0</v>
      </c>
      <c r="H15" s="85"/>
      <c r="I15" s="8"/>
      <c r="J15" s="8"/>
      <c r="W15" s="6"/>
      <c r="X15" s="8"/>
      <c r="Y15" s="8"/>
      <c r="Z15" s="8"/>
      <c r="AA15" s="8"/>
      <c r="AB15" s="2" t="str">
        <f t="shared" ref="AB15:AB32" si="4">C15</f>
        <v xml:space="preserve">    Steel structures and poles</v>
      </c>
      <c r="AC15" s="8">
        <f t="shared" ref="AC15:AC32" si="5">D15</f>
        <v>4950000</v>
      </c>
      <c r="AD15" s="90">
        <f t="shared" ref="AD15:AD32" si="6">E15</f>
        <v>0</v>
      </c>
      <c r="AE15" s="90"/>
      <c r="AF15" s="8"/>
      <c r="AG15" s="8"/>
      <c r="AH15" s="8"/>
      <c r="AI15" s="8"/>
    </row>
    <row r="16" spans="1:35" ht="15" x14ac:dyDescent="0.2">
      <c r="A16" s="224"/>
      <c r="C16" s="2" t="str">
        <f>DefaultData!B24</f>
        <v xml:space="preserve">    Overhead wires (conductor and insulators and shield wire)</v>
      </c>
      <c r="D16" s="8">
        <f>IF(ProjectData!$U$24="y",DefaultData!C24,ProjectData!B64)</f>
        <v>3300000</v>
      </c>
      <c r="E16" s="7">
        <f>IF(ProjectData!$U$24="y",IF(ProjectData!U$15=0,DefaultData!F24,ProjectData!U64),ProjectData!F64)</f>
        <v>0</v>
      </c>
      <c r="F16" s="15"/>
      <c r="G16" s="8">
        <f>E16*D16</f>
        <v>0</v>
      </c>
      <c r="H16" s="85"/>
      <c r="I16" s="8"/>
      <c r="J16" s="8"/>
      <c r="W16" s="6"/>
      <c r="X16" s="8"/>
      <c r="Y16" s="8"/>
      <c r="Z16" s="8"/>
      <c r="AA16" s="8"/>
      <c r="AB16" s="2" t="str">
        <f t="shared" si="4"/>
        <v xml:space="preserve">    Overhead wires (conductor and insulators and shield wire)</v>
      </c>
      <c r="AC16" s="8">
        <f t="shared" si="5"/>
        <v>3300000</v>
      </c>
      <c r="AD16" s="90">
        <f t="shared" si="6"/>
        <v>0</v>
      </c>
      <c r="AE16" s="90"/>
      <c r="AF16" s="8"/>
      <c r="AG16" s="8"/>
      <c r="AH16" s="8"/>
      <c r="AI16" s="8"/>
    </row>
    <row r="17" spans="1:35" ht="15" x14ac:dyDescent="0.2">
      <c r="A17" s="224"/>
      <c r="C17" s="2" t="str">
        <f>DefaultData!B25</f>
        <v xml:space="preserve">  Subtotal Materials &amp; Equipment</v>
      </c>
      <c r="D17" s="8">
        <f>IF(ProjectData!$U$24="y",DefaultData!C25,ProjectData!B65)</f>
        <v>8850000</v>
      </c>
      <c r="E17" s="7"/>
      <c r="F17" s="15"/>
      <c r="G17" s="8">
        <f>SUM(G14:G16)</f>
        <v>600000</v>
      </c>
      <c r="H17" s="85"/>
      <c r="I17" s="8"/>
      <c r="J17" s="8"/>
      <c r="W17" s="6"/>
      <c r="X17" s="8"/>
      <c r="Y17" s="8"/>
      <c r="Z17" s="8"/>
      <c r="AA17" s="8"/>
      <c r="AB17" s="2" t="str">
        <f t="shared" si="4"/>
        <v xml:space="preserve">  Subtotal Materials &amp; Equipment</v>
      </c>
      <c r="AC17" s="8">
        <f t="shared" si="5"/>
        <v>8850000</v>
      </c>
      <c r="AD17" s="90"/>
      <c r="AE17" s="90"/>
      <c r="AF17" s="8"/>
      <c r="AG17" s="8"/>
      <c r="AH17" s="8"/>
      <c r="AI17" s="8"/>
    </row>
    <row r="18" spans="1:35" ht="15.75" x14ac:dyDescent="0.25">
      <c r="A18" s="226" t="s">
        <v>224</v>
      </c>
      <c r="C18" s="2" t="str">
        <f>DefaultData!B26</f>
        <v xml:space="preserve">  Labor/Installation</v>
      </c>
      <c r="D18" s="8"/>
      <c r="E18" s="7"/>
      <c r="G18" s="8"/>
      <c r="I18" s="8"/>
      <c r="J18" s="8"/>
      <c r="W18" s="6"/>
      <c r="X18" s="8"/>
      <c r="Y18" s="8"/>
      <c r="Z18" s="8"/>
      <c r="AA18" s="8"/>
      <c r="AB18" s="2" t="str">
        <f t="shared" si="4"/>
        <v xml:space="preserve">  Labor/Installation</v>
      </c>
      <c r="AC18" s="8"/>
      <c r="AD18" s="90"/>
      <c r="AE18" s="90"/>
      <c r="AF18" s="9"/>
      <c r="AG18" s="9"/>
      <c r="AH18" s="9"/>
      <c r="AI18" s="9"/>
    </row>
    <row r="19" spans="1:35" x14ac:dyDescent="0.2">
      <c r="A19" s="224"/>
      <c r="C19" s="2" t="str">
        <f>DefaultData!B27</f>
        <v xml:space="preserve">    Civil (grading, roads, site prep, foundations, fencing)</v>
      </c>
      <c r="D19" s="8">
        <f>IF(ProjectData!$U$24="y",DefaultData!C27,ProjectData!B67)</f>
        <v>1765400.1798561153</v>
      </c>
      <c r="E19" s="7">
        <f>IF(ProjectData!$U$24="y",IF(ProjectData!U$15=0,DefaultData!F27,ProjectData!U67),ProjectData!F67)</f>
        <v>0.8</v>
      </c>
      <c r="G19" s="8">
        <f>E19*D19</f>
        <v>1412320.1438848923</v>
      </c>
      <c r="AB19" s="2" t="str">
        <f t="shared" si="4"/>
        <v xml:space="preserve">    Civil (grading, roads, site prep, foundations, fencing)</v>
      </c>
      <c r="AC19" s="8">
        <f t="shared" si="5"/>
        <v>1765400.1798561153</v>
      </c>
      <c r="AD19" s="90">
        <f t="shared" si="6"/>
        <v>0.8</v>
      </c>
      <c r="AE19" s="90"/>
    </row>
    <row r="20" spans="1:35" x14ac:dyDescent="0.2">
      <c r="A20" s="224"/>
      <c r="C20" s="2" t="str">
        <f>DefaultData!B28</f>
        <v xml:space="preserve">    Heavy Construction (Tower erection, Conductor stringing)</v>
      </c>
      <c r="D20" s="8">
        <f>IF(ProjectData!$U$24="y",DefaultData!C28,ProjectData!B68)</f>
        <v>3276000</v>
      </c>
      <c r="E20" s="7">
        <f>IF(ProjectData!$U$24="y",IF(ProjectData!U$15=0,DefaultData!F28,ProjectData!U68),ProjectData!F68)</f>
        <v>0.5</v>
      </c>
      <c r="G20" s="8">
        <f>E20*D20</f>
        <v>1638000</v>
      </c>
      <c r="H20">
        <f>SUM(G19:G20)</f>
        <v>3050320.1438848926</v>
      </c>
      <c r="AB20" s="2" t="str">
        <f t="shared" si="4"/>
        <v xml:space="preserve">    Heavy Construction (Tower erection, Conductor stringing)</v>
      </c>
      <c r="AC20" s="8">
        <f t="shared" si="5"/>
        <v>3276000</v>
      </c>
      <c r="AD20" s="90">
        <f t="shared" si="6"/>
        <v>0.5</v>
      </c>
      <c r="AE20" s="90"/>
    </row>
    <row r="21" spans="1:35" x14ac:dyDescent="0.2">
      <c r="A21" s="224"/>
      <c r="C21" s="2" t="str">
        <f>DefaultData!B29</f>
        <v xml:space="preserve">  Subtotal Labor/Installation</v>
      </c>
      <c r="D21" s="8">
        <f>IF(ProjectData!$U$24="y",DefaultData!C29,ProjectData!B69)</f>
        <v>5041400.179856115</v>
      </c>
      <c r="E21" s="7"/>
      <c r="G21" s="8">
        <f>SUM(G19:G20)</f>
        <v>3050320.1438848926</v>
      </c>
      <c r="AB21" s="2" t="str">
        <f t="shared" si="4"/>
        <v xml:space="preserve">  Subtotal Labor/Installation</v>
      </c>
      <c r="AC21" s="8">
        <f t="shared" si="5"/>
        <v>5041400.179856115</v>
      </c>
      <c r="AD21" s="90"/>
      <c r="AE21" s="90"/>
    </row>
    <row r="22" spans="1:35" x14ac:dyDescent="0.2">
      <c r="A22" s="224"/>
      <c r="C22" s="2" t="str">
        <f>DefaultData!B30</f>
        <v xml:space="preserve">  Total Transmission Line Cost</v>
      </c>
      <c r="D22" s="8">
        <f>D21+D17+D11</f>
        <v>16205036.543492477</v>
      </c>
      <c r="E22" s="7"/>
      <c r="G22" s="8">
        <f>G21+G17+G11</f>
        <v>4482706.5075212559</v>
      </c>
      <c r="AB22" s="2" t="str">
        <f t="shared" si="4"/>
        <v xml:space="preserve">  Total Transmission Line Cost</v>
      </c>
      <c r="AC22" s="8">
        <f t="shared" si="5"/>
        <v>16205036.543492477</v>
      </c>
      <c r="AD22" s="90"/>
      <c r="AE22" s="90"/>
    </row>
    <row r="23" spans="1:35" x14ac:dyDescent="0.2">
      <c r="A23" s="224"/>
      <c r="C23" s="2" t="str">
        <f>DefaultData!B31</f>
        <v xml:space="preserve"> Infrastructure Costs</v>
      </c>
      <c r="D23" s="8"/>
      <c r="E23" s="7"/>
      <c r="F23" s="15"/>
      <c r="G23" s="8"/>
      <c r="H23" s="85"/>
      <c r="I23" s="8"/>
      <c r="J23" s="8"/>
      <c r="AB23" s="2" t="str">
        <f t="shared" si="4"/>
        <v xml:space="preserve"> Infrastructure Costs</v>
      </c>
      <c r="AC23" s="8"/>
      <c r="AD23" s="90"/>
      <c r="AE23" s="90"/>
    </row>
    <row r="24" spans="1:35" x14ac:dyDescent="0.2">
      <c r="A24" s="224"/>
      <c r="C24" s="2" t="str">
        <f>DefaultData!B32</f>
        <v xml:space="preserve">  Materials &amp; Equipment</v>
      </c>
      <c r="D24" s="8"/>
      <c r="E24" s="7"/>
      <c r="F24" s="15"/>
      <c r="G24" s="8"/>
      <c r="H24" s="85"/>
      <c r="I24" s="8"/>
      <c r="J24" s="8"/>
      <c r="AB24" s="2" t="str">
        <f t="shared" si="4"/>
        <v xml:space="preserve">  Materials &amp; Equipment</v>
      </c>
      <c r="AC24" s="8"/>
      <c r="AD24" s="90"/>
      <c r="AE24" s="90"/>
    </row>
    <row r="25" spans="1:35" s="462" customFormat="1" x14ac:dyDescent="0.2">
      <c r="A25" s="224"/>
      <c r="C25" s="2" t="str">
        <f>DefaultData!B33</f>
        <v xml:space="preserve">    Positions (new bays/circuits)</v>
      </c>
      <c r="D25" s="8">
        <f>IF(ProjectData!$U$24="y",DefaultData!C33,ProjectData!B74)</f>
        <v>1800000</v>
      </c>
      <c r="E25" s="7">
        <f>IF(ProjectData!$U$24="y",IF(ProjectData!U$15=0,DefaultData!F33,ProjectData!U74),ProjectData!F74)</f>
        <v>0.05</v>
      </c>
      <c r="F25" s="15"/>
      <c r="G25" s="8">
        <f t="shared" ref="G25:G27" si="7">E25*D25</f>
        <v>90000</v>
      </c>
      <c r="H25" s="85"/>
      <c r="I25" s="8"/>
      <c r="J25" s="8"/>
      <c r="AB25" s="2" t="str">
        <f t="shared" ref="AB25:AB27" si="8">C25</f>
        <v xml:space="preserve">    Positions (new bays/circuits)</v>
      </c>
      <c r="AC25" s="8">
        <f t="shared" ref="AC25:AC27" si="9">D25</f>
        <v>1800000</v>
      </c>
      <c r="AD25" s="90">
        <f t="shared" ref="AD25:AD27" si="10">E25</f>
        <v>0.05</v>
      </c>
      <c r="AE25" s="90"/>
    </row>
    <row r="26" spans="1:35" s="462" customFormat="1" x14ac:dyDescent="0.2">
      <c r="A26" s="224"/>
      <c r="C26" s="2" t="str">
        <f>DefaultData!B34</f>
        <v xml:space="preserve">    New Substation Facilities</v>
      </c>
      <c r="D26" s="8">
        <f>IF(ProjectData!$U$24="y",DefaultData!C34,ProjectData!B75)</f>
        <v>650000</v>
      </c>
      <c r="E26" s="7">
        <f>IF(ProjectData!$U$24="y",IF(ProjectData!U$15=0,DefaultData!F34,ProjectData!U75),ProjectData!F75)</f>
        <v>0.1</v>
      </c>
      <c r="F26" s="15"/>
      <c r="G26" s="8">
        <f t="shared" si="7"/>
        <v>65000</v>
      </c>
      <c r="H26" s="85"/>
      <c r="I26" s="8"/>
      <c r="J26" s="8"/>
      <c r="AB26" s="2" t="str">
        <f t="shared" si="8"/>
        <v xml:space="preserve">    New Substation Facilities</v>
      </c>
      <c r="AC26" s="8">
        <f t="shared" si="9"/>
        <v>650000</v>
      </c>
      <c r="AD26" s="90">
        <f t="shared" si="10"/>
        <v>0.1</v>
      </c>
      <c r="AE26" s="90"/>
    </row>
    <row r="27" spans="1:35" s="462" customFormat="1" x14ac:dyDescent="0.2">
      <c r="A27" s="224"/>
      <c r="C27" s="2" t="str">
        <f>DefaultData!B35</f>
        <v xml:space="preserve">    Existing Substation Facilities (upgrades)</v>
      </c>
      <c r="D27" s="8">
        <f>IF(ProjectData!$U$24="y",DefaultData!C35,ProjectData!B76)</f>
        <v>20000</v>
      </c>
      <c r="E27" s="7">
        <f>IF(ProjectData!$U$24="y",IF(ProjectData!U$15=0,DefaultData!F35,ProjectData!U76),ProjectData!F76)</f>
        <v>0.1</v>
      </c>
      <c r="F27" s="15"/>
      <c r="G27" s="8">
        <f t="shared" si="7"/>
        <v>2000</v>
      </c>
      <c r="H27" s="85"/>
      <c r="I27" s="8"/>
      <c r="J27" s="8"/>
      <c r="AB27" s="2" t="str">
        <f t="shared" si="8"/>
        <v xml:space="preserve">    Existing Substation Facilities (upgrades)</v>
      </c>
      <c r="AC27" s="8">
        <f t="shared" si="9"/>
        <v>20000</v>
      </c>
      <c r="AD27" s="90">
        <f t="shared" si="10"/>
        <v>0.1</v>
      </c>
      <c r="AE27" s="90"/>
    </row>
    <row r="28" spans="1:35" x14ac:dyDescent="0.2">
      <c r="A28" s="224"/>
      <c r="C28" s="2" t="str">
        <f>DefaultData!B36</f>
        <v xml:space="preserve">    Transformers, Series Compensation, etc.</v>
      </c>
      <c r="D28" s="8">
        <f>IF(ProjectData!$U$24="y",DefaultData!C36,ProjectData!B77)</f>
        <v>4800000</v>
      </c>
      <c r="E28" s="7">
        <f>IF(ProjectData!$U$24="y",IF(ProjectData!U$15=0,DefaultData!F36,ProjectData!U77),ProjectData!F77)</f>
        <v>0</v>
      </c>
      <c r="F28" s="15"/>
      <c r="G28" s="8">
        <f>E28*D28</f>
        <v>0</v>
      </c>
      <c r="H28" s="85"/>
      <c r="I28" s="8"/>
      <c r="J28" s="8"/>
      <c r="AB28" s="2" t="str">
        <f t="shared" si="4"/>
        <v xml:space="preserve">    Transformers, Series Compensation, etc.</v>
      </c>
      <c r="AC28" s="8">
        <f t="shared" si="5"/>
        <v>4800000</v>
      </c>
      <c r="AD28" s="90">
        <f t="shared" si="6"/>
        <v>0</v>
      </c>
      <c r="AE28" s="90"/>
    </row>
    <row r="29" spans="1:35" x14ac:dyDescent="0.2">
      <c r="A29" s="224"/>
      <c r="C29" s="2" t="str">
        <f>DefaultData!B37</f>
        <v xml:space="preserve">    Converter Station (includes ground electrode)</v>
      </c>
      <c r="D29" s="8">
        <f>IF(ProjectData!$U$24="y",DefaultData!C37,ProjectData!B78)</f>
        <v>0</v>
      </c>
      <c r="E29" s="7">
        <f>IF(ProjectData!$U$24="y",IF(ProjectData!U$15=0,DefaultData!F37,ProjectData!U78),ProjectData!F78)</f>
        <v>0</v>
      </c>
      <c r="F29" s="15"/>
      <c r="G29" s="8">
        <f>E29*D29</f>
        <v>0</v>
      </c>
      <c r="H29" s="85"/>
      <c r="I29" s="8"/>
      <c r="J29" s="8"/>
      <c r="AB29" s="2" t="str">
        <f t="shared" si="4"/>
        <v xml:space="preserve">    Converter Station (includes ground electrode)</v>
      </c>
      <c r="AC29" s="8">
        <f t="shared" si="5"/>
        <v>0</v>
      </c>
      <c r="AD29" s="90">
        <f t="shared" si="6"/>
        <v>0</v>
      </c>
      <c r="AE29" s="90"/>
    </row>
    <row r="30" spans="1:35" x14ac:dyDescent="0.2">
      <c r="A30" s="224"/>
      <c r="C30" s="2" t="str">
        <f>DefaultData!B38</f>
        <v xml:space="preserve">  Subtotal Materials &amp; Equipment</v>
      </c>
      <c r="D30" s="8">
        <f>SUM(D25:D29)</f>
        <v>7270000</v>
      </c>
      <c r="E30" s="7"/>
      <c r="F30" s="15"/>
      <c r="G30" s="8">
        <f>SUM(G25:G29)</f>
        <v>157000</v>
      </c>
      <c r="H30" s="85"/>
      <c r="I30" s="8"/>
      <c r="J30" s="8"/>
      <c r="AB30" s="2" t="str">
        <f t="shared" si="4"/>
        <v xml:space="preserve">  Subtotal Materials &amp; Equipment</v>
      </c>
      <c r="AC30" s="8">
        <f t="shared" si="5"/>
        <v>7270000</v>
      </c>
      <c r="AD30" s="90"/>
      <c r="AE30" s="90"/>
    </row>
    <row r="31" spans="1:35" x14ac:dyDescent="0.2">
      <c r="A31" s="224"/>
      <c r="C31" s="2" t="str">
        <f>DefaultData!B39</f>
        <v xml:space="preserve">  Labor</v>
      </c>
      <c r="D31" s="8"/>
      <c r="E31" s="7"/>
      <c r="F31" s="15"/>
      <c r="G31" s="8"/>
      <c r="H31" s="85"/>
      <c r="I31" s="8"/>
      <c r="J31" s="8"/>
      <c r="AB31" s="2" t="str">
        <f t="shared" si="4"/>
        <v xml:space="preserve">  Labor</v>
      </c>
      <c r="AC31" s="8"/>
      <c r="AD31" s="90"/>
      <c r="AE31" s="90"/>
    </row>
    <row r="32" spans="1:35" x14ac:dyDescent="0.2">
      <c r="A32" s="224"/>
      <c r="C32" s="2" t="str">
        <f>DefaultData!B40</f>
        <v xml:space="preserve">    Positions (new bays/circuits)</v>
      </c>
      <c r="D32" s="8">
        <f>IF(ProjectData!$U$24="y",DefaultData!C40,ProjectData!B81)</f>
        <v>2092500</v>
      </c>
      <c r="E32" s="7">
        <f>IF(ProjectData!$U$24="y",IF(ProjectData!U$15=0,DefaultData!F40,ProjectData!U81),ProjectData!F81)</f>
        <v>0.2</v>
      </c>
      <c r="F32" s="15"/>
      <c r="G32" s="8">
        <f>E32*D32</f>
        <v>418500</v>
      </c>
      <c r="H32" s="85"/>
      <c r="I32" s="8"/>
      <c r="J32" s="8"/>
      <c r="AB32" s="2" t="str">
        <f t="shared" si="4"/>
        <v xml:space="preserve">    Positions (new bays/circuits)</v>
      </c>
      <c r="AC32" s="8">
        <f t="shared" si="5"/>
        <v>2092500</v>
      </c>
      <c r="AD32" s="90">
        <f t="shared" si="6"/>
        <v>0.2</v>
      </c>
      <c r="AE32" s="90"/>
    </row>
    <row r="33" spans="1:31" s="462" customFormat="1" x14ac:dyDescent="0.2">
      <c r="A33" s="224"/>
      <c r="C33" s="2" t="str">
        <f>DefaultData!B41</f>
        <v xml:space="preserve">    New Substation</v>
      </c>
      <c r="D33" s="8">
        <f>IF(ProjectData!$U$24="y",DefaultData!C41,ProjectData!B82)</f>
        <v>744000</v>
      </c>
      <c r="E33" s="7">
        <f>IF(ProjectData!$U$24="y",IF(ProjectData!U$15=0,DefaultData!F41,ProjectData!U82),ProjectData!F82)</f>
        <v>0.3</v>
      </c>
      <c r="F33" s="15"/>
      <c r="G33" s="8">
        <f>E33*D33</f>
        <v>223200</v>
      </c>
      <c r="H33" s="85"/>
      <c r="I33" s="8"/>
      <c r="J33" s="8"/>
      <c r="AB33" s="2" t="str">
        <f t="shared" ref="AB33" si="11">C33</f>
        <v xml:space="preserve">    New Substation</v>
      </c>
      <c r="AC33" s="8">
        <f t="shared" ref="AC33" si="12">D33</f>
        <v>744000</v>
      </c>
      <c r="AD33" s="90">
        <f t="shared" ref="AD33" si="13">E33</f>
        <v>0.3</v>
      </c>
      <c r="AE33" s="90"/>
    </row>
    <row r="34" spans="1:31" x14ac:dyDescent="0.2">
      <c r="A34" s="224"/>
      <c r="C34" s="2" t="str">
        <f>DefaultData!B42</f>
        <v xml:space="preserve">    Existing Substation Facilities (upgrades)</v>
      </c>
      <c r="D34" s="8">
        <f>IF(ProjectData!$U$24="y",DefaultData!C42,ProjectData!B83)</f>
        <v>27900</v>
      </c>
      <c r="E34" s="7">
        <f>IF(ProjectData!$U$24="y",IF(ProjectData!U$15=0,DefaultData!F42,ProjectData!U83),ProjectData!F83)</f>
        <v>0.2</v>
      </c>
      <c r="F34" s="15"/>
      <c r="G34" s="8">
        <f>E34*D34</f>
        <v>5580</v>
      </c>
      <c r="H34" s="85"/>
      <c r="I34" s="8"/>
      <c r="J34" s="8"/>
      <c r="AB34" s="2" t="str">
        <f t="shared" ref="AB34:AB57" si="14">C34</f>
        <v xml:space="preserve">    Existing Substation Facilities (upgrades)</v>
      </c>
      <c r="AC34" s="8">
        <f t="shared" ref="AC34:AC57" si="15">D34</f>
        <v>27900</v>
      </c>
      <c r="AD34" s="90">
        <f t="shared" ref="AD34:AD57" si="16">E34</f>
        <v>0.2</v>
      </c>
      <c r="AE34" s="90"/>
    </row>
    <row r="35" spans="1:31" s="462" customFormat="1" x14ac:dyDescent="0.2">
      <c r="A35" s="224"/>
      <c r="C35" s="2" t="str">
        <f>DefaultData!B43</f>
        <v xml:space="preserve">    Transformers, Series Compensation, etc.</v>
      </c>
      <c r="D35" s="8">
        <f>IF(ProjectData!$U$24="y",DefaultData!C43,ProjectData!B84)</f>
        <v>0</v>
      </c>
      <c r="E35" s="7">
        <f>IF(ProjectData!$U$24="y",IF(ProjectData!U$15=0,DefaultData!F43,ProjectData!U84),ProjectData!F84)</f>
        <v>0.2</v>
      </c>
      <c r="F35" s="15"/>
      <c r="G35" s="8">
        <f>E35*D35</f>
        <v>0</v>
      </c>
      <c r="H35" s="85"/>
      <c r="I35" s="8"/>
      <c r="J35" s="8"/>
      <c r="AB35" s="2" t="str">
        <f t="shared" ref="AB35" si="17">C35</f>
        <v xml:space="preserve">    Transformers, Series Compensation, etc.</v>
      </c>
      <c r="AC35" s="8">
        <f t="shared" ref="AC35" si="18">D35</f>
        <v>0</v>
      </c>
      <c r="AD35" s="90">
        <f t="shared" ref="AD35" si="19">E35</f>
        <v>0.2</v>
      </c>
      <c r="AE35" s="90"/>
    </row>
    <row r="36" spans="1:31" x14ac:dyDescent="0.2">
      <c r="A36" s="224"/>
      <c r="C36" s="2" t="str">
        <f>DefaultData!B44</f>
        <v xml:space="preserve">    Converter Station</v>
      </c>
      <c r="D36" s="8">
        <f>IF(ProjectData!$U$24="y",DefaultData!C44,ProjectData!B85)</f>
        <v>0</v>
      </c>
      <c r="E36" s="7">
        <f>IF(ProjectData!$U$24="y",IF(ProjectData!U$15=0,DefaultData!F44,ProjectData!U85),ProjectData!F85)</f>
        <v>0.05</v>
      </c>
      <c r="F36" s="15"/>
      <c r="G36" s="8">
        <f>E36*D36</f>
        <v>0</v>
      </c>
      <c r="H36" s="364">
        <f>SUM(G32:G36)</f>
        <v>647280</v>
      </c>
      <c r="I36" s="8"/>
      <c r="J36" s="8"/>
      <c r="AB36" s="2" t="str">
        <f t="shared" si="14"/>
        <v xml:space="preserve">    Converter Station</v>
      </c>
      <c r="AC36" s="8">
        <f t="shared" si="15"/>
        <v>0</v>
      </c>
      <c r="AD36" s="90">
        <f t="shared" si="16"/>
        <v>0.05</v>
      </c>
      <c r="AE36" s="90"/>
    </row>
    <row r="37" spans="1:31" x14ac:dyDescent="0.2">
      <c r="A37" s="224"/>
      <c r="C37" s="2" t="str">
        <f>DefaultData!B45</f>
        <v xml:space="preserve">  Subtotal Labor</v>
      </c>
      <c r="D37" s="8">
        <f>SUM(D32:D36)</f>
        <v>2864400</v>
      </c>
      <c r="E37" s="7"/>
      <c r="F37" s="15"/>
      <c r="G37" s="8">
        <f>SUM(G32:G36)</f>
        <v>647280</v>
      </c>
      <c r="H37" s="85"/>
      <c r="I37" s="8"/>
      <c r="J37" s="8"/>
      <c r="AB37" s="2" t="str">
        <f t="shared" si="14"/>
        <v xml:space="preserve">  Subtotal Labor</v>
      </c>
      <c r="AC37" s="8">
        <f t="shared" si="15"/>
        <v>2864400</v>
      </c>
      <c r="AD37" s="90"/>
      <c r="AE37" s="90"/>
    </row>
    <row r="38" spans="1:31" x14ac:dyDescent="0.2">
      <c r="A38" s="224"/>
      <c r="C38" s="2" t="str">
        <f>DefaultData!B46</f>
        <v xml:space="preserve">  Total Infrastructure Costs</v>
      </c>
      <c r="D38" s="8">
        <f>D37+D30</f>
        <v>10134400</v>
      </c>
      <c r="E38" s="7"/>
      <c r="F38" s="15"/>
      <c r="G38" s="8">
        <f>G37+G30</f>
        <v>804280</v>
      </c>
      <c r="H38" s="85"/>
      <c r="I38" s="8"/>
      <c r="J38" s="8"/>
      <c r="AB38" s="2" t="str">
        <f t="shared" si="14"/>
        <v xml:space="preserve">  Total Infrastructure Costs</v>
      </c>
      <c r="AC38" s="8">
        <f t="shared" si="15"/>
        <v>10134400</v>
      </c>
      <c r="AD38" s="90"/>
      <c r="AE38" s="90"/>
    </row>
    <row r="39" spans="1:31" x14ac:dyDescent="0.2">
      <c r="A39" s="224"/>
      <c r="C39" s="2" t="str">
        <f>DefaultData!B47</f>
        <v>Services/Other Costs</v>
      </c>
      <c r="D39" s="8"/>
      <c r="E39" s="7"/>
      <c r="F39" s="15"/>
      <c r="G39" s="8"/>
      <c r="H39" s="85"/>
      <c r="I39" s="8"/>
      <c r="J39" s="8"/>
      <c r="AB39" s="2" t="str">
        <f t="shared" si="14"/>
        <v>Services/Other Costs</v>
      </c>
      <c r="AC39" s="8"/>
      <c r="AD39" s="90"/>
      <c r="AE39" s="90"/>
    </row>
    <row r="40" spans="1:31" s="462" customFormat="1" x14ac:dyDescent="0.2">
      <c r="A40" s="224"/>
      <c r="C40" s="2" t="str">
        <f>DefaultData!B48</f>
        <v xml:space="preserve"> Transmission Line Services</v>
      </c>
      <c r="D40" s="8"/>
      <c r="E40" s="7"/>
      <c r="F40" s="15"/>
      <c r="G40" s="8"/>
      <c r="H40" s="85"/>
      <c r="I40" s="8"/>
      <c r="J40" s="8"/>
      <c r="AB40" s="2" t="str">
        <f t="shared" ref="AB40" si="20">C40</f>
        <v xml:space="preserve"> Transmission Line Services</v>
      </c>
      <c r="AC40" s="8"/>
      <c r="AD40" s="90"/>
      <c r="AE40" s="90"/>
    </row>
    <row r="41" spans="1:31" s="462" customFormat="1" x14ac:dyDescent="0.2">
      <c r="A41" s="224"/>
      <c r="C41" s="2" t="str">
        <f>DefaultData!B49</f>
        <v xml:space="preserve">  T-Line Management Services (Site mgmt, legal, lands, ins, PR, etc.)</v>
      </c>
      <c r="D41" s="8">
        <f>IF(ProjectData!$U$24="y",DefaultData!C49,ProjectData!B91)</f>
        <v>375000</v>
      </c>
      <c r="E41" s="7">
        <f>IF(ProjectData!$U$24="y",IF(ProjectData!U$15=0,DefaultData!F49,ProjectData!U91),ProjectData!F91)</f>
        <v>0.6</v>
      </c>
      <c r="F41" s="15"/>
      <c r="G41" s="8">
        <f t="shared" ref="G41" si="21">E41*D41</f>
        <v>225000</v>
      </c>
      <c r="H41" s="85"/>
      <c r="I41" s="8"/>
      <c r="J41" s="8"/>
      <c r="AB41" s="2" t="str">
        <f t="shared" ref="AB41:AB44" si="22">C41</f>
        <v xml:space="preserve">  T-Line Management Services (Site mgmt, legal, lands, ins, PR, etc.)</v>
      </c>
      <c r="AC41" s="8">
        <f t="shared" ref="AC41:AC43" si="23">D41</f>
        <v>375000</v>
      </c>
      <c r="AD41" s="90">
        <f t="shared" ref="AD41:AD42" si="24">E41</f>
        <v>0.6</v>
      </c>
      <c r="AE41" s="90"/>
    </row>
    <row r="42" spans="1:31" s="462" customFormat="1" x14ac:dyDescent="0.2">
      <c r="A42" s="224"/>
      <c r="C42" s="2" t="str">
        <f>DefaultData!B50</f>
        <v xml:space="preserve">  T-Line Engineering, Const Mgmt, &amp; Environmental Monitoring</v>
      </c>
      <c r="D42" s="8">
        <f>IF(ProjectData!$U$24="y",DefaultData!C50,ProjectData!B92)</f>
        <v>750000</v>
      </c>
      <c r="E42" s="7">
        <f>IF(ProjectData!$U$24="y",IF(ProjectData!U$15=0,DefaultData!F50,ProjectData!U92),ProjectData!F92)</f>
        <v>0.6</v>
      </c>
      <c r="F42" s="15"/>
      <c r="G42" s="8">
        <f t="shared" ref="G42" si="25">E42*D42</f>
        <v>450000</v>
      </c>
      <c r="H42" s="85"/>
      <c r="I42" s="8"/>
      <c r="J42" s="8"/>
      <c r="AB42" s="2" t="str">
        <f t="shared" si="22"/>
        <v xml:space="preserve">  T-Line Engineering, Const Mgmt, &amp; Environmental Monitoring</v>
      </c>
      <c r="AC42" s="8">
        <f t="shared" si="23"/>
        <v>750000</v>
      </c>
      <c r="AD42" s="90">
        <f t="shared" si="24"/>
        <v>0.6</v>
      </c>
      <c r="AE42" s="90"/>
    </row>
    <row r="43" spans="1:31" s="462" customFormat="1" x14ac:dyDescent="0.2">
      <c r="A43" s="224"/>
      <c r="C43" s="2" t="str">
        <f>DefaultData!B51</f>
        <v xml:space="preserve"> Subtotal</v>
      </c>
      <c r="D43" s="8">
        <f>SUM(D41:D42)</f>
        <v>1125000</v>
      </c>
      <c r="E43" s="7"/>
      <c r="F43" s="15"/>
      <c r="G43" s="8">
        <f>SUM(G41:G42)</f>
        <v>675000</v>
      </c>
      <c r="H43" s="85"/>
      <c r="I43" s="8"/>
      <c r="J43" s="8"/>
      <c r="AB43" s="2" t="str">
        <f t="shared" si="22"/>
        <v xml:space="preserve"> Subtotal</v>
      </c>
      <c r="AC43" s="8">
        <f t="shared" si="23"/>
        <v>1125000</v>
      </c>
      <c r="AD43" s="90"/>
      <c r="AE43" s="90"/>
    </row>
    <row r="44" spans="1:31" s="462" customFormat="1" x14ac:dyDescent="0.2">
      <c r="A44" s="224"/>
      <c r="C44" s="2" t="str">
        <f>DefaultData!B52</f>
        <v xml:space="preserve"> Infrastructure Services</v>
      </c>
      <c r="D44" s="8"/>
      <c r="E44" s="7"/>
      <c r="F44" s="15"/>
      <c r="G44" s="8"/>
      <c r="H44" s="85"/>
      <c r="I44" s="8"/>
      <c r="J44" s="8"/>
      <c r="AB44" s="2" t="str">
        <f t="shared" si="22"/>
        <v xml:space="preserve"> Infrastructure Services</v>
      </c>
      <c r="AC44" s="8"/>
      <c r="AD44" s="90"/>
      <c r="AE44" s="90"/>
    </row>
    <row r="45" spans="1:31" x14ac:dyDescent="0.2">
      <c r="A45" s="224"/>
      <c r="C45" s="2" t="str">
        <f>DefaultData!B53</f>
        <v xml:space="preserve">  Substation Management Services (Site mgmt, legal, lands, PR, etc.)</v>
      </c>
      <c r="D45" s="8">
        <f>IF(ProjectData!$U$24="y",DefaultData!C53,ProjectData!B95)</f>
        <v>222000</v>
      </c>
      <c r="E45" s="7">
        <f>IF(ProjectData!$U$24="y",IF(ProjectData!U$15=0,DefaultData!F53,ProjectData!U95),ProjectData!F95)</f>
        <v>0.5</v>
      </c>
      <c r="F45" s="15"/>
      <c r="G45" s="8">
        <f t="shared" ref="G45:G46" si="26">E45*D45</f>
        <v>111000</v>
      </c>
      <c r="H45" s="85"/>
      <c r="I45" s="8"/>
      <c r="J45" s="8"/>
      <c r="AB45" s="2" t="str">
        <f t="shared" si="14"/>
        <v xml:space="preserve">  Substation Management Services (Site mgmt, legal, lands, PR, etc.)</v>
      </c>
      <c r="AC45" s="8">
        <f t="shared" si="15"/>
        <v>222000</v>
      </c>
      <c r="AD45" s="90">
        <f t="shared" si="16"/>
        <v>0.5</v>
      </c>
      <c r="AE45" s="90"/>
    </row>
    <row r="46" spans="1:31" x14ac:dyDescent="0.2">
      <c r="A46" s="224"/>
      <c r="C46" s="2" t="str">
        <f>DefaultData!B54</f>
        <v xml:space="preserve">  Substation Engineering, Const Mgmt, &amp; Environmental Monitoring</v>
      </c>
      <c r="D46" s="8">
        <f>IF(ProjectData!$U$24="y",DefaultData!C54,ProjectData!B96)</f>
        <v>1110000</v>
      </c>
      <c r="E46" s="7">
        <f>IF(ProjectData!$U$24="y",IF(ProjectData!U$15=0,DefaultData!F54,ProjectData!U96),ProjectData!F96)</f>
        <v>0.2</v>
      </c>
      <c r="F46" s="15"/>
      <c r="G46" s="8">
        <f t="shared" si="26"/>
        <v>222000</v>
      </c>
      <c r="H46" s="85"/>
      <c r="I46" s="8"/>
      <c r="J46" s="8"/>
      <c r="AB46" s="2" t="str">
        <f t="shared" si="14"/>
        <v xml:space="preserve">  Substation Engineering, Const Mgmt, &amp; Environmental Monitoring</v>
      </c>
      <c r="AC46" s="8">
        <f t="shared" si="15"/>
        <v>1110000</v>
      </c>
      <c r="AD46" s="90">
        <f t="shared" si="16"/>
        <v>0.2</v>
      </c>
      <c r="AE46" s="90"/>
    </row>
    <row r="47" spans="1:31" s="462" customFormat="1" x14ac:dyDescent="0.2">
      <c r="A47" s="224"/>
      <c r="C47" s="2" t="str">
        <f>DefaultData!B55</f>
        <v xml:space="preserve"> Subtotal</v>
      </c>
      <c r="D47" s="8">
        <f>SUM(D44:D46)</f>
        <v>1332000</v>
      </c>
      <c r="E47" s="7"/>
      <c r="F47" s="15"/>
      <c r="G47" s="8">
        <f>SUM(G45:G46)</f>
        <v>333000</v>
      </c>
      <c r="H47" s="85"/>
      <c r="I47" s="8"/>
      <c r="J47" s="8"/>
      <c r="AB47" s="2" t="str">
        <f t="shared" ref="AB47:AB48" si="27">C47</f>
        <v xml:space="preserve"> Subtotal</v>
      </c>
      <c r="AC47" s="8">
        <f t="shared" ref="AC47:AC48" si="28">D47</f>
        <v>1332000</v>
      </c>
      <c r="AD47" s="90">
        <f t="shared" ref="AD47:AD48" si="29">E47</f>
        <v>0</v>
      </c>
      <c r="AE47" s="90"/>
    </row>
    <row r="48" spans="1:31" s="462" customFormat="1" x14ac:dyDescent="0.2">
      <c r="A48" s="224"/>
      <c r="C48" s="2" t="str">
        <f>DefaultData!B56</f>
        <v xml:space="preserve"> Other Costs</v>
      </c>
      <c r="D48" s="8"/>
      <c r="E48" s="7"/>
      <c r="F48" s="15"/>
      <c r="G48" s="8"/>
      <c r="H48" s="85"/>
      <c r="I48" s="8"/>
      <c r="J48" s="8"/>
      <c r="AB48" s="2" t="str">
        <f t="shared" si="27"/>
        <v xml:space="preserve"> Other Costs</v>
      </c>
      <c r="AC48" s="8">
        <f t="shared" si="28"/>
        <v>0</v>
      </c>
      <c r="AD48" s="90">
        <f t="shared" si="29"/>
        <v>0</v>
      </c>
      <c r="AE48" s="90"/>
    </row>
    <row r="49" spans="1:31" x14ac:dyDescent="0.2">
      <c r="C49" s="2" t="str">
        <f>DefaultData!B57</f>
        <v xml:space="preserve">  Environmental Mitigation</v>
      </c>
      <c r="D49" s="8">
        <f>IF(ProjectData!$U$24="y",DefaultData!C57,ProjectData!B99)</f>
        <v>0</v>
      </c>
      <c r="E49" s="7">
        <f>IF(ProjectData!$U$24="y",IF(ProjectData!U$15=0,DefaultData!F57,ProjectData!U99),ProjectData!F99)</f>
        <v>0.7</v>
      </c>
      <c r="F49" s="15"/>
      <c r="G49" s="8">
        <f t="shared" ref="G49:G52" si="30">E49*D49</f>
        <v>0</v>
      </c>
      <c r="H49" s="85"/>
      <c r="I49" s="8"/>
      <c r="J49" s="8"/>
      <c r="AB49" s="2" t="str">
        <f t="shared" si="14"/>
        <v xml:space="preserve">  Environmental Mitigation</v>
      </c>
      <c r="AC49" s="8">
        <f t="shared" si="15"/>
        <v>0</v>
      </c>
      <c r="AD49" s="90">
        <f t="shared" si="16"/>
        <v>0.7</v>
      </c>
      <c r="AE49" s="90"/>
    </row>
    <row r="50" spans="1:31" x14ac:dyDescent="0.2">
      <c r="C50" s="2" t="str">
        <f>DefaultData!B58</f>
        <v xml:space="preserve">  System Operator and Regulator Fees</v>
      </c>
      <c r="D50" s="8">
        <f>IF(ProjectData!$U$24="y",DefaultData!C58,ProjectData!B100)</f>
        <v>0</v>
      </c>
      <c r="E50" s="7">
        <f>IF(ProjectData!$U$24="y",IF(ProjectData!U$15=0,DefaultData!F58,ProjectData!U100),ProjectData!F100)</f>
        <v>0.1</v>
      </c>
      <c r="F50" s="15"/>
      <c r="G50" s="8">
        <f t="shared" ref="G50" si="31">E50*D50</f>
        <v>0</v>
      </c>
      <c r="H50" s="85"/>
      <c r="I50" s="8"/>
      <c r="J50" s="8"/>
      <c r="AB50" s="2" t="str">
        <f t="shared" si="14"/>
        <v xml:space="preserve">  System Operator and Regulator Fees</v>
      </c>
      <c r="AC50" s="8">
        <f t="shared" si="15"/>
        <v>0</v>
      </c>
      <c r="AD50" s="90">
        <f t="shared" si="16"/>
        <v>0.1</v>
      </c>
      <c r="AE50" s="90"/>
    </row>
    <row r="51" spans="1:31" x14ac:dyDescent="0.2">
      <c r="C51" s="2" t="str">
        <f>DefaultData!B59</f>
        <v xml:space="preserve">  Miscellanous Business Services and Utilities</v>
      </c>
      <c r="D51" s="8">
        <f>IF(ProjectData!$U$24="y",DefaultData!C59,ProjectData!B101)</f>
        <v>0</v>
      </c>
      <c r="E51" s="7">
        <f>IF(ProjectData!$U$24="y",IF(ProjectData!U$15=0,DefaultData!F59,ProjectData!U101),ProjectData!F101)</f>
        <v>0.2</v>
      </c>
      <c r="F51" s="15"/>
      <c r="G51" s="8">
        <f t="shared" si="30"/>
        <v>0</v>
      </c>
      <c r="H51" s="85"/>
      <c r="I51" s="8"/>
      <c r="J51" s="8"/>
      <c r="AB51" s="2" t="str">
        <f t="shared" si="14"/>
        <v xml:space="preserve">  Miscellanous Business Services and Utilities</v>
      </c>
      <c r="AC51" s="8">
        <f t="shared" si="15"/>
        <v>0</v>
      </c>
      <c r="AD51" s="90">
        <f t="shared" si="16"/>
        <v>0.2</v>
      </c>
      <c r="AE51" s="90"/>
    </row>
    <row r="52" spans="1:31" x14ac:dyDescent="0.2">
      <c r="C52" s="2" t="str">
        <f>DefaultData!B60</f>
        <v xml:space="preserve">  Construction Insurance (Substation)</v>
      </c>
      <c r="D52" s="8">
        <f>IF(ProjectData!$U$24="y",DefaultData!C60,ProjectData!B102)</f>
        <v>55500</v>
      </c>
      <c r="E52" s="7">
        <f>IF(ProjectData!$U$24="y",IF(ProjectData!U$15=0,DefaultData!F60,ProjectData!U102),ProjectData!F102)</f>
        <v>0</v>
      </c>
      <c r="F52" s="15"/>
      <c r="G52" s="8">
        <f t="shared" si="30"/>
        <v>0</v>
      </c>
      <c r="H52" s="85"/>
      <c r="I52" s="8"/>
      <c r="J52" s="8"/>
      <c r="AB52" s="2" t="str">
        <f t="shared" si="14"/>
        <v xml:space="preserve">  Construction Insurance (Substation)</v>
      </c>
      <c r="AC52" s="8">
        <f t="shared" si="15"/>
        <v>55500</v>
      </c>
      <c r="AD52" s="90">
        <f t="shared" si="16"/>
        <v>0</v>
      </c>
      <c r="AE52" s="90"/>
    </row>
    <row r="53" spans="1:31" x14ac:dyDescent="0.2">
      <c r="C53" s="2" t="str">
        <f>DefaultData!B61</f>
        <v xml:space="preserve"> Subtotal Other Costs</v>
      </c>
      <c r="D53" s="8">
        <f>SUM(D49:D52)</f>
        <v>55500</v>
      </c>
      <c r="E53" s="7"/>
      <c r="F53" s="15"/>
      <c r="G53" s="8">
        <f>SUM(G49:G52)</f>
        <v>0</v>
      </c>
      <c r="H53" s="85"/>
      <c r="I53" s="8"/>
      <c r="J53" s="8"/>
      <c r="AB53" s="2" t="str">
        <f t="shared" si="14"/>
        <v xml:space="preserve"> Subtotal Other Costs</v>
      </c>
      <c r="AC53" s="8">
        <f t="shared" si="15"/>
        <v>55500</v>
      </c>
      <c r="AD53" s="90">
        <f t="shared" si="16"/>
        <v>0</v>
      </c>
      <c r="AE53" s="90"/>
    </row>
    <row r="54" spans="1:31" s="462" customFormat="1" x14ac:dyDescent="0.2">
      <c r="A54" s="228"/>
      <c r="C54" s="2" t="str">
        <f>DefaultData!B62</f>
        <v xml:space="preserve"> Total Services/Other Costs</v>
      </c>
      <c r="D54" s="8">
        <f>D53+D47</f>
        <v>1387500</v>
      </c>
      <c r="E54" s="7"/>
      <c r="F54" s="15"/>
      <c r="G54" s="8">
        <f>G53+G47+G43</f>
        <v>1008000</v>
      </c>
      <c r="H54" s="85"/>
      <c r="I54" s="8"/>
      <c r="J54" s="8"/>
      <c r="AB54" s="2" t="str">
        <f t="shared" ref="AB54" si="32">C54</f>
        <v xml:space="preserve"> Total Services/Other Costs</v>
      </c>
      <c r="AC54" s="8">
        <f t="shared" ref="AC54" si="33">D54</f>
        <v>1387500</v>
      </c>
      <c r="AD54" s="90">
        <f t="shared" ref="AD54" si="34">E54</f>
        <v>0</v>
      </c>
      <c r="AE54" s="90"/>
    </row>
    <row r="55" spans="1:31" x14ac:dyDescent="0.2">
      <c r="C55" s="2" t="str">
        <f>DefaultData!B63</f>
        <v>Subtotal All Costs (without sales tax)</v>
      </c>
      <c r="D55" s="8">
        <f>D54+D38+D22+D11</f>
        <v>30040572.907128841</v>
      </c>
      <c r="E55" s="7"/>
      <c r="F55" s="15"/>
      <c r="G55" s="8">
        <f>G54+G38+G22</f>
        <v>6294986.5075212559</v>
      </c>
      <c r="H55" s="85"/>
      <c r="I55" s="8"/>
      <c r="J55" s="8"/>
      <c r="AB55" s="2" t="str">
        <f t="shared" si="14"/>
        <v>Subtotal All Costs (without sales tax)</v>
      </c>
      <c r="AC55" s="8">
        <f t="shared" si="15"/>
        <v>30040572.907128841</v>
      </c>
      <c r="AD55" s="90">
        <f t="shared" si="16"/>
        <v>0</v>
      </c>
      <c r="AE55" s="90"/>
    </row>
    <row r="56" spans="1:31" x14ac:dyDescent="0.2">
      <c r="C56" s="2" t="str">
        <f>DefaultData!B64</f>
        <v>Sales Tax (Materials &amp; Equipment Purchases)</v>
      </c>
      <c r="D56" s="8">
        <f>IF(ProjectData!$U$24="y",DefaultData!C64,ProjectData!B106)</f>
        <v>1007500</v>
      </c>
      <c r="E56" s="7">
        <f>IF(ProjectData!$U$24="y",IF(ProjectData!U$15=0,DefaultData!E105,ProjectData!E146),ProjectData!E146)</f>
        <v>1</v>
      </c>
      <c r="F56" s="15"/>
      <c r="G56" s="8">
        <f>E56*D56</f>
        <v>1007500</v>
      </c>
      <c r="H56" s="85"/>
      <c r="I56" s="8"/>
      <c r="J56" s="8"/>
      <c r="AB56" s="2" t="str">
        <f t="shared" si="14"/>
        <v>Sales Tax (Materials &amp; Equipment Purchases)</v>
      </c>
      <c r="AC56" s="8">
        <f t="shared" si="15"/>
        <v>1007500</v>
      </c>
      <c r="AD56" s="90">
        <f t="shared" si="16"/>
        <v>1</v>
      </c>
      <c r="AE56" s="90"/>
    </row>
    <row r="57" spans="1:31" x14ac:dyDescent="0.2">
      <c r="C57" s="2" t="str">
        <f>DefaultData!B65</f>
        <v>Total Project Cost</v>
      </c>
      <c r="D57" s="8">
        <f>IF(ProjectData!$U$24="y",DefaultData!C65,ProjectData!B107)</f>
        <v>29859436.543492477</v>
      </c>
      <c r="E57" s="7"/>
      <c r="F57" s="15"/>
      <c r="G57" s="8">
        <f>G56+G55</f>
        <v>7302486.5075212559</v>
      </c>
      <c r="H57" s="364"/>
      <c r="I57" s="8"/>
      <c r="J57" s="8"/>
      <c r="AB57" s="2" t="str">
        <f t="shared" si="14"/>
        <v>Total Project Cost</v>
      </c>
      <c r="AC57" s="8">
        <f t="shared" si="15"/>
        <v>29859436.543492477</v>
      </c>
      <c r="AD57" s="90">
        <f t="shared" si="16"/>
        <v>0</v>
      </c>
      <c r="AE57" s="90"/>
    </row>
    <row r="58" spans="1:31" x14ac:dyDescent="0.2">
      <c r="C58" s="2"/>
      <c r="D58" s="8"/>
      <c r="E58" s="7"/>
      <c r="F58" s="15"/>
      <c r="G58" s="8"/>
      <c r="H58" s="85"/>
      <c r="I58" s="8"/>
      <c r="J58" s="8"/>
      <c r="AB58" s="2"/>
      <c r="AC58" s="8"/>
      <c r="AD58" s="90"/>
      <c r="AE58" s="90"/>
    </row>
    <row r="59" spans="1:31" x14ac:dyDescent="0.2">
      <c r="C59" s="193"/>
      <c r="D59" s="8"/>
      <c r="E59" s="7"/>
      <c r="G59" s="8"/>
      <c r="J59" s="261" t="s">
        <v>243</v>
      </c>
      <c r="K59" s="228"/>
      <c r="L59" t="s">
        <v>244</v>
      </c>
      <c r="AB59" s="2"/>
      <c r="AC59" s="8"/>
      <c r="AD59" s="90"/>
      <c r="AE59" s="15"/>
    </row>
    <row r="60" spans="1:31" ht="15" x14ac:dyDescent="0.25">
      <c r="C60" s="259"/>
      <c r="D60" s="8"/>
      <c r="E60" s="7"/>
      <c r="G60" s="8"/>
      <c r="H60" s="8"/>
      <c r="J60" s="228" t="s">
        <v>247</v>
      </c>
      <c r="K60" s="274">
        <v>7.1186945514116112E-2</v>
      </c>
      <c r="L60" s="293">
        <f>(K60/K$62)*ProjectData!E149</f>
        <v>7.1186945514116112E-2</v>
      </c>
      <c r="N60" s="228"/>
      <c r="O60" s="228"/>
      <c r="P60" s="84"/>
      <c r="Q60" s="84"/>
      <c r="AB60" s="28" t="str">
        <f>C109</f>
        <v>Annual Operating and Maintenance Costs</v>
      </c>
      <c r="AE60" s="15"/>
    </row>
    <row r="61" spans="1:31" ht="14.25" customHeight="1" x14ac:dyDescent="0.25">
      <c r="C61" s="4"/>
      <c r="D61" s="8"/>
      <c r="E61" s="7"/>
      <c r="G61" s="8"/>
      <c r="H61" s="74"/>
      <c r="I61" s="171"/>
      <c r="J61" s="228" t="s">
        <v>248</v>
      </c>
      <c r="K61" s="274">
        <v>0.30487415696870424</v>
      </c>
      <c r="L61" s="293">
        <f>(K61/K$62)*ProjectData!E149</f>
        <v>0.30487415696870424</v>
      </c>
      <c r="N61" s="295" t="s">
        <v>256</v>
      </c>
      <c r="O61" s="228"/>
      <c r="P61" s="84"/>
      <c r="Q61" s="84"/>
      <c r="AC61" s="11"/>
      <c r="AD61" s="11"/>
    </row>
    <row r="62" spans="1:31" ht="13.5" customHeight="1" x14ac:dyDescent="0.2">
      <c r="C62" s="2"/>
      <c r="D62" s="8"/>
      <c r="E62" s="7"/>
      <c r="G62" s="8"/>
      <c r="H62" s="171"/>
      <c r="I62" s="171"/>
      <c r="J62" s="85" t="s">
        <v>4</v>
      </c>
      <c r="K62" s="293">
        <f>K61+K60</f>
        <v>0.37606110248282032</v>
      </c>
      <c r="L62" s="293">
        <f>L61+L60</f>
        <v>0.37606110248282032</v>
      </c>
      <c r="N62" s="294" t="s">
        <v>255</v>
      </c>
      <c r="O62" s="295"/>
      <c r="P62" s="228"/>
      <c r="Q62" s="228"/>
      <c r="AB62" s="194" t="str">
        <f t="shared" ref="AB62:AD63" si="35">C110</f>
        <v xml:space="preserve">  Transmission Line and ROW</v>
      </c>
      <c r="AC62" s="208" t="str">
        <f t="shared" si="35"/>
        <v>Cost</v>
      </c>
      <c r="AD62" s="208" t="str">
        <f t="shared" si="35"/>
        <v>Local Share</v>
      </c>
    </row>
    <row r="63" spans="1:31" ht="14.25" customHeight="1" x14ac:dyDescent="0.2">
      <c r="C63" s="266" t="s">
        <v>240</v>
      </c>
      <c r="D63" s="228" t="s">
        <v>241</v>
      </c>
      <c r="E63" s="228" t="s">
        <v>242</v>
      </c>
      <c r="F63" s="261" t="s">
        <v>243</v>
      </c>
      <c r="G63" s="261" t="s">
        <v>243</v>
      </c>
      <c r="H63" s="250" t="s">
        <v>91</v>
      </c>
      <c r="I63" s="250" t="s">
        <v>244</v>
      </c>
      <c r="J63" s="228"/>
      <c r="K63" s="228" t="s">
        <v>345</v>
      </c>
      <c r="N63" s="228" t="s">
        <v>241</v>
      </c>
      <c r="O63" s="228" t="s">
        <v>242</v>
      </c>
      <c r="P63" s="261" t="s">
        <v>243</v>
      </c>
      <c r="Q63" s="261" t="s">
        <v>243</v>
      </c>
      <c r="R63" s="228" t="s">
        <v>344</v>
      </c>
      <c r="AB63" s="8" t="str">
        <f t="shared" si="35"/>
        <v xml:space="preserve">    T-Line/ROW Labor</v>
      </c>
      <c r="AC63" s="8">
        <f t="shared" si="35"/>
        <v>139104</v>
      </c>
      <c r="AD63" s="15">
        <f t="shared" si="35"/>
        <v>0.6</v>
      </c>
      <c r="AE63" s="11"/>
    </row>
    <row r="64" spans="1:31" x14ac:dyDescent="0.2">
      <c r="C64" s="267" t="s">
        <v>245</v>
      </c>
      <c r="D64" s="268"/>
      <c r="E64" s="269"/>
      <c r="F64" s="268"/>
      <c r="G64" s="270"/>
      <c r="H64" s="366"/>
      <c r="I64" s="367"/>
      <c r="J64" s="90"/>
      <c r="K64" s="228" t="s">
        <v>91</v>
      </c>
      <c r="L64" s="295" t="s">
        <v>357</v>
      </c>
      <c r="M64" s="228"/>
      <c r="N64" s="268"/>
      <c r="O64" s="268"/>
      <c r="P64" s="268"/>
      <c r="Q64" s="270"/>
      <c r="R64" s="228" t="s">
        <v>256</v>
      </c>
      <c r="AB64" s="8" t="str">
        <f t="shared" ref="AB64" si="36">C117</f>
        <v xml:space="preserve">    T-Line/ROW Maintenance Materials</v>
      </c>
      <c r="AC64" s="8">
        <f t="shared" ref="AC64" si="37">D117</f>
        <v>34400</v>
      </c>
      <c r="AD64" s="15">
        <f t="shared" ref="AD64" si="38">E117</f>
        <v>0.1</v>
      </c>
      <c r="AE64" s="11"/>
    </row>
    <row r="65" spans="1:31" s="462" customFormat="1" x14ac:dyDescent="0.2">
      <c r="A65" s="228"/>
      <c r="C65" s="267"/>
      <c r="D65" s="268"/>
      <c r="E65" s="269"/>
      <c r="F65" s="268"/>
      <c r="G65" s="270"/>
      <c r="H65" s="366"/>
      <c r="I65" s="367"/>
      <c r="J65" s="90"/>
      <c r="K65" s="228"/>
      <c r="L65" s="295"/>
      <c r="M65" s="228"/>
      <c r="N65" s="268"/>
      <c r="O65" s="268"/>
      <c r="P65" s="268"/>
      <c r="Q65" s="270"/>
      <c r="R65" s="228"/>
      <c r="AB65" s="8" t="str">
        <f t="shared" ref="AB65:AB67" si="39">C118</f>
        <v xml:space="preserve">    Insurance</v>
      </c>
      <c r="AC65" s="8">
        <f t="shared" ref="AC65:AC67" si="40">D118</f>
        <v>20000</v>
      </c>
      <c r="AD65" s="15">
        <f>E118</f>
        <v>0</v>
      </c>
      <c r="AE65" s="11"/>
    </row>
    <row r="66" spans="1:31" s="462" customFormat="1" x14ac:dyDescent="0.2">
      <c r="A66" s="228"/>
      <c r="C66" s="267"/>
      <c r="D66" s="268"/>
      <c r="E66" s="269"/>
      <c r="F66" s="268"/>
      <c r="G66" s="270"/>
      <c r="H66" s="366"/>
      <c r="I66" s="367"/>
      <c r="J66" s="90"/>
      <c r="K66" s="228"/>
      <c r="L66" s="295"/>
      <c r="M66" s="228"/>
      <c r="N66" s="268"/>
      <c r="O66" s="268"/>
      <c r="P66" s="268"/>
      <c r="Q66" s="270"/>
      <c r="R66" s="228"/>
      <c r="AB66" s="8" t="str">
        <f t="shared" si="39"/>
        <v xml:space="preserve">    Replacement Parts/Equipment/ Spare Parts Inventory</v>
      </c>
      <c r="AC66" s="8">
        <f t="shared" si="40"/>
        <v>20000</v>
      </c>
      <c r="AD66" s="15">
        <f>E119</f>
        <v>0</v>
      </c>
      <c r="AE66" s="11"/>
    </row>
    <row r="67" spans="1:31" s="462" customFormat="1" x14ac:dyDescent="0.2">
      <c r="A67" s="228"/>
      <c r="C67" s="267"/>
      <c r="D67" s="268"/>
      <c r="E67" s="269"/>
      <c r="F67" s="268"/>
      <c r="G67" s="270"/>
      <c r="H67" s="366"/>
      <c r="I67" s="367"/>
      <c r="J67" s="90"/>
      <c r="K67" s="228"/>
      <c r="L67" s="295"/>
      <c r="M67" s="228"/>
      <c r="N67" s="268"/>
      <c r="O67" s="268"/>
      <c r="P67" s="268"/>
      <c r="Q67" s="270"/>
      <c r="R67" s="228"/>
      <c r="AB67" s="8" t="str">
        <f t="shared" si="39"/>
        <v xml:space="preserve">    Subtotal</v>
      </c>
      <c r="AC67" s="8">
        <f t="shared" si="40"/>
        <v>213504</v>
      </c>
      <c r="AD67" s="15"/>
      <c r="AE67" s="11"/>
    </row>
    <row r="68" spans="1:31" x14ac:dyDescent="0.2">
      <c r="C68" s="2" t="s">
        <v>301</v>
      </c>
      <c r="D68" s="273">
        <f>(E68+F68)</f>
        <v>24.012266238325214</v>
      </c>
      <c r="E68" s="273">
        <f>'Wage Data'!G35</f>
        <v>17.45</v>
      </c>
      <c r="F68" s="273">
        <f>+E68*G68</f>
        <v>6.5622662383252139</v>
      </c>
      <c r="G68" s="559">
        <f>K$62</f>
        <v>0.37606110248282032</v>
      </c>
      <c r="H68" s="369">
        <f>(G19)/(D68*(52*40))</f>
        <v>28.277217253725873</v>
      </c>
      <c r="I68" s="369">
        <f>(ProjectData!B67*ProjectData!F67)/(N68*40*52)</f>
        <v>28.277217253725876</v>
      </c>
      <c r="J68" s="364"/>
      <c r="K68" s="278">
        <f>D68*52*40</f>
        <v>49945.513775716448</v>
      </c>
      <c r="L68" s="368">
        <f>IF(ProjectData!U$24="Y",Calculations!H68,Calculations!I68)</f>
        <v>28.277217253725876</v>
      </c>
      <c r="M68" s="228"/>
      <c r="N68" s="268">
        <f>(O68+P68)</f>
        <v>24.012266238325214</v>
      </c>
      <c r="O68" s="268">
        <f>ProjectData!B149</f>
        <v>17.45</v>
      </c>
      <c r="P68" s="268">
        <f>+O68*Q68</f>
        <v>6.5622662383252139</v>
      </c>
      <c r="Q68" s="274">
        <f>ProjectData!E149</f>
        <v>0.37606110248282032</v>
      </c>
      <c r="R68" s="278">
        <f>N68*52*40</f>
        <v>49945.513775716448</v>
      </c>
      <c r="AB68" s="194" t="str">
        <f t="shared" ref="AB68:AB81" si="41">C121</f>
        <v xml:space="preserve">  Substation/Converter Station</v>
      </c>
      <c r="AC68" s="8"/>
      <c r="AD68" s="15"/>
    </row>
    <row r="69" spans="1:31" x14ac:dyDescent="0.2">
      <c r="C69" s="2" t="s">
        <v>302</v>
      </c>
      <c r="D69" s="273">
        <f>(E69+F69)</f>
        <v>34.773064059740868</v>
      </c>
      <c r="E69" s="273">
        <f>'Wage Data'!$G31</f>
        <v>25.27</v>
      </c>
      <c r="F69" s="273">
        <f>+E69*G69</f>
        <v>9.5030640597408702</v>
      </c>
      <c r="G69" s="559">
        <f>K$62</f>
        <v>0.37606110248282032</v>
      </c>
      <c r="H69" s="369">
        <f>(G20)/(D69*(52*40))</f>
        <v>22.646839480324715</v>
      </c>
      <c r="I69" s="369">
        <f>(ProjectData!B68*ProjectData!F68)/(N69*40*52)</f>
        <v>22.646839480324715</v>
      </c>
      <c r="J69" s="364"/>
      <c r="K69" s="278">
        <f>D69*52*40</f>
        <v>72327.973244260997</v>
      </c>
      <c r="L69" s="368">
        <f>IF(ProjectData!U$24="Y",Calculations!H69,Calculations!I69)</f>
        <v>22.646839480324715</v>
      </c>
      <c r="M69" s="228"/>
      <c r="N69" s="268">
        <f>(O69+P69)</f>
        <v>34.773064059740868</v>
      </c>
      <c r="O69" s="268">
        <f>ProjectData!B$150</f>
        <v>25.27</v>
      </c>
      <c r="P69" s="268">
        <f>+O69*Q69</f>
        <v>9.5030640597408702</v>
      </c>
      <c r="Q69" s="274">
        <f>ProjectData!E$150</f>
        <v>0.37606110248282032</v>
      </c>
      <c r="R69" s="278">
        <f>N69*52*40</f>
        <v>72327.973244260997</v>
      </c>
      <c r="AB69" s="8" t="str">
        <f t="shared" si="41"/>
        <v xml:space="preserve">    Labor/Personnel</v>
      </c>
      <c r="AC69" s="8">
        <f t="shared" ref="AC69:AD72" si="42">D122</f>
        <v>5161.5</v>
      </c>
      <c r="AD69" s="15">
        <f t="shared" si="42"/>
        <v>0.5</v>
      </c>
    </row>
    <row r="70" spans="1:31" x14ac:dyDescent="0.2">
      <c r="C70" s="2" t="s">
        <v>377</v>
      </c>
      <c r="D70" s="273">
        <f t="shared" ref="D70:D74" si="43">(E70+F70)</f>
        <v>41.254311852434952</v>
      </c>
      <c r="E70" s="562">
        <f>'Wage Data'!$G33</f>
        <v>29.98</v>
      </c>
      <c r="F70" s="273">
        <f t="shared" ref="F70:F74" si="44">+E70*G70</f>
        <v>11.274311852434954</v>
      </c>
      <c r="G70" s="559">
        <f t="shared" ref="G70:G74" si="45">K$62</f>
        <v>0.37606110248282032</v>
      </c>
      <c r="H70" s="369">
        <f>(G32)/(D70*(52*40))</f>
        <v>4.8771125742350137</v>
      </c>
      <c r="I70" s="369">
        <f>(ProjectData!B81*ProjectData!F81)/(N70*40*52)</f>
        <v>4.8771125742350137</v>
      </c>
      <c r="J70" s="364"/>
      <c r="K70" s="278">
        <f t="shared" ref="K70:K74" si="46">D70*52*40</f>
        <v>85808.968653064687</v>
      </c>
      <c r="L70" s="368">
        <f>IF(ProjectData!U$24="Y",Calculations!H70,Calculations!I70)</f>
        <v>4.8771125742350137</v>
      </c>
      <c r="M70" s="228"/>
      <c r="N70" s="268">
        <f t="shared" ref="N70:N74" si="47">(O70+P70)</f>
        <v>41.254311852434952</v>
      </c>
      <c r="O70" s="268">
        <f>ProjectData!B$151</f>
        <v>29.98</v>
      </c>
      <c r="P70" s="268">
        <f t="shared" ref="P70:P74" si="48">+O70*Q70</f>
        <v>11.274311852434954</v>
      </c>
      <c r="Q70" s="274">
        <f>ProjectData!E$150</f>
        <v>0.37606110248282032</v>
      </c>
      <c r="R70" s="278">
        <f t="shared" ref="R70:R74" si="49">N70*52*40</f>
        <v>85808.968653064687</v>
      </c>
      <c r="AB70" s="8" t="str">
        <f t="shared" si="41"/>
        <v xml:space="preserve">    Insurance</v>
      </c>
      <c r="AC70" s="8">
        <f t="shared" si="42"/>
        <v>11100</v>
      </c>
      <c r="AD70" s="15">
        <f t="shared" si="42"/>
        <v>0</v>
      </c>
    </row>
    <row r="71" spans="1:31" s="462" customFormat="1" x14ac:dyDescent="0.2">
      <c r="A71" s="228"/>
      <c r="C71" s="2" t="s">
        <v>382</v>
      </c>
      <c r="D71" s="273">
        <f t="shared" si="43"/>
        <v>41.254311852434952</v>
      </c>
      <c r="E71" s="273">
        <f t="shared" ref="E71:E74" si="50">E70</f>
        <v>29.98</v>
      </c>
      <c r="F71" s="273">
        <f t="shared" si="44"/>
        <v>11.274311852434954</v>
      </c>
      <c r="G71" s="559">
        <f t="shared" si="45"/>
        <v>0.37606110248282032</v>
      </c>
      <c r="H71" s="369">
        <f>(G33)/(D71*(52*40))</f>
        <v>2.601126706258674</v>
      </c>
      <c r="I71" s="369">
        <f>(ProjectData!B82*ProjectData!F82)/(N71*40*52)</f>
        <v>2.601126706258674</v>
      </c>
      <c r="J71" s="364"/>
      <c r="K71" s="278">
        <f t="shared" si="46"/>
        <v>85808.968653064687</v>
      </c>
      <c r="L71" s="368">
        <f>IF(ProjectData!U$24="Y",Calculations!H71,Calculations!I71)</f>
        <v>2.601126706258674</v>
      </c>
      <c r="M71" s="228"/>
      <c r="N71" s="268">
        <f t="shared" si="47"/>
        <v>41.254311852434952</v>
      </c>
      <c r="O71" s="268">
        <f>ProjectData!B$151</f>
        <v>29.98</v>
      </c>
      <c r="P71" s="268">
        <f t="shared" si="48"/>
        <v>11.274311852434954</v>
      </c>
      <c r="Q71" s="274">
        <f>ProjectData!E$150</f>
        <v>0.37606110248282032</v>
      </c>
      <c r="R71" s="278">
        <f t="shared" si="49"/>
        <v>85808.968653064687</v>
      </c>
      <c r="AB71" s="8" t="str">
        <f t="shared" si="41"/>
        <v xml:space="preserve">    Replacement Parts/Equipment/ Spare Parts Inventory</v>
      </c>
      <c r="AC71" s="8">
        <f t="shared" si="42"/>
        <v>5550</v>
      </c>
      <c r="AD71" s="15">
        <f t="shared" si="42"/>
        <v>0</v>
      </c>
    </row>
    <row r="72" spans="1:31" s="462" customFormat="1" x14ac:dyDescent="0.2">
      <c r="A72" s="228"/>
      <c r="C72" s="2" t="s">
        <v>379</v>
      </c>
      <c r="D72" s="273">
        <f t="shared" si="43"/>
        <v>41.254311852434952</v>
      </c>
      <c r="E72" s="273">
        <f t="shared" si="50"/>
        <v>29.98</v>
      </c>
      <c r="F72" s="273">
        <f t="shared" si="44"/>
        <v>11.274311852434954</v>
      </c>
      <c r="G72" s="559">
        <f t="shared" si="45"/>
        <v>0.37606110248282032</v>
      </c>
      <c r="H72" s="369">
        <f>(G34)/(D72*(52*40))</f>
        <v>6.5028167656466851E-2</v>
      </c>
      <c r="I72" s="369">
        <f>(ProjectData!B83*ProjectData!F83)/(N72*40*52)</f>
        <v>6.5028167656466851E-2</v>
      </c>
      <c r="J72" s="364"/>
      <c r="K72" s="278">
        <f t="shared" si="46"/>
        <v>85808.968653064687</v>
      </c>
      <c r="L72" s="368">
        <f>IF(ProjectData!U$24="Y",Calculations!H72,Calculations!I72)</f>
        <v>6.5028167656466851E-2</v>
      </c>
      <c r="M72" s="228"/>
      <c r="N72" s="268">
        <f t="shared" si="47"/>
        <v>41.254311852434952</v>
      </c>
      <c r="O72" s="268">
        <f>ProjectData!B$151</f>
        <v>29.98</v>
      </c>
      <c r="P72" s="268">
        <f t="shared" si="48"/>
        <v>11.274311852434954</v>
      </c>
      <c r="Q72" s="274">
        <f>ProjectData!E$150</f>
        <v>0.37606110248282032</v>
      </c>
      <c r="R72" s="278">
        <f t="shared" si="49"/>
        <v>85808.968653064687</v>
      </c>
      <c r="AB72" s="8" t="str">
        <f t="shared" si="41"/>
        <v xml:space="preserve">    Subtotal</v>
      </c>
      <c r="AC72" s="8">
        <f t="shared" si="42"/>
        <v>21811.5</v>
      </c>
      <c r="AD72" s="15">
        <f t="shared" si="42"/>
        <v>0</v>
      </c>
    </row>
    <row r="73" spans="1:31" s="462" customFormat="1" x14ac:dyDescent="0.2">
      <c r="A73" s="228"/>
      <c r="C73" s="2" t="s">
        <v>380</v>
      </c>
      <c r="D73" s="273">
        <f t="shared" si="43"/>
        <v>41.254311852434952</v>
      </c>
      <c r="E73" s="273">
        <f t="shared" si="50"/>
        <v>29.98</v>
      </c>
      <c r="F73" s="273">
        <f t="shared" si="44"/>
        <v>11.274311852434954</v>
      </c>
      <c r="G73" s="559">
        <f t="shared" si="45"/>
        <v>0.37606110248282032</v>
      </c>
      <c r="H73" s="369">
        <f>(G35)/(D73*(52*40))</f>
        <v>0</v>
      </c>
      <c r="I73" s="369">
        <f>(ProjectData!B84*ProjectData!F84)/(N73*40*52)</f>
        <v>0</v>
      </c>
      <c r="J73" s="364"/>
      <c r="K73" s="278">
        <f t="shared" si="46"/>
        <v>85808.968653064687</v>
      </c>
      <c r="L73" s="368">
        <f>IF(ProjectData!U$24="Y",Calculations!H73,Calculations!I73)</f>
        <v>0</v>
      </c>
      <c r="M73" s="228"/>
      <c r="N73" s="268">
        <f t="shared" si="47"/>
        <v>41.254311852434952</v>
      </c>
      <c r="O73" s="268">
        <f>ProjectData!B$151</f>
        <v>29.98</v>
      </c>
      <c r="P73" s="268">
        <f t="shared" si="48"/>
        <v>11.274311852434954</v>
      </c>
      <c r="Q73" s="274">
        <f>ProjectData!E$150</f>
        <v>0.37606110248282032</v>
      </c>
      <c r="R73" s="278">
        <f t="shared" si="49"/>
        <v>85808.968653064687</v>
      </c>
      <c r="AB73" s="8" t="str">
        <f t="shared" si="41"/>
        <v xml:space="preserve">  Subtotal All O&amp;M Costs (without sales tax)</v>
      </c>
      <c r="AC73" s="8">
        <f t="shared" ref="AC73:AC80" si="51">D126</f>
        <v>235315.5</v>
      </c>
      <c r="AD73" s="15"/>
    </row>
    <row r="74" spans="1:31" s="462" customFormat="1" x14ac:dyDescent="0.2">
      <c r="A74" s="228"/>
      <c r="C74" s="2" t="s">
        <v>381</v>
      </c>
      <c r="D74" s="273">
        <f t="shared" si="43"/>
        <v>41.254311852434952</v>
      </c>
      <c r="E74" s="273">
        <f t="shared" si="50"/>
        <v>29.98</v>
      </c>
      <c r="F74" s="273">
        <f t="shared" si="44"/>
        <v>11.274311852434954</v>
      </c>
      <c r="G74" s="559">
        <f t="shared" si="45"/>
        <v>0.37606110248282032</v>
      </c>
      <c r="H74" s="369">
        <f>(G36)/(D74*(52*40))</f>
        <v>0</v>
      </c>
      <c r="I74" s="369">
        <f>(ProjectData!B85*ProjectData!F85)/(N74*40*52)</f>
        <v>0</v>
      </c>
      <c r="J74" s="364"/>
      <c r="K74" s="278">
        <f t="shared" si="46"/>
        <v>85808.968653064687</v>
      </c>
      <c r="L74" s="368">
        <f>IF(ProjectData!U$24="Y",Calculations!H74,Calculations!I74)</f>
        <v>0</v>
      </c>
      <c r="M74" s="228"/>
      <c r="N74" s="268">
        <f t="shared" si="47"/>
        <v>41.254311852434952</v>
      </c>
      <c r="O74" s="268">
        <f>ProjectData!B$151</f>
        <v>29.98</v>
      </c>
      <c r="P74" s="268">
        <f t="shared" si="48"/>
        <v>11.274311852434954</v>
      </c>
      <c r="Q74" s="274">
        <f>ProjectData!E$150</f>
        <v>0.37606110248282032</v>
      </c>
      <c r="R74" s="278">
        <f t="shared" si="49"/>
        <v>85808.968653064687</v>
      </c>
      <c r="AB74" s="8" t="str">
        <f t="shared" si="41"/>
        <v xml:space="preserve">  Sales Tax (Materials &amp; Equipment Purchases)</v>
      </c>
      <c r="AC74" s="8">
        <f t="shared" si="51"/>
        <v>3746.875</v>
      </c>
      <c r="AD74" s="15">
        <f>E127</f>
        <v>1</v>
      </c>
    </row>
    <row r="75" spans="1:31" x14ac:dyDescent="0.2">
      <c r="C75" s="2"/>
      <c r="D75" s="268"/>
      <c r="E75" s="273"/>
      <c r="F75" s="268"/>
      <c r="G75" s="270"/>
      <c r="H75" s="369"/>
      <c r="I75" s="369"/>
      <c r="J75" s="364"/>
      <c r="K75" s="278"/>
      <c r="L75" s="368"/>
      <c r="M75" s="228"/>
      <c r="N75" s="268"/>
      <c r="O75" s="268"/>
      <c r="P75" s="268"/>
      <c r="Q75" s="274"/>
      <c r="R75" s="278"/>
      <c r="AB75" s="8" t="str">
        <f t="shared" si="41"/>
        <v xml:space="preserve">  Right of Way/Royalty Payments - Public land</v>
      </c>
      <c r="AC75" s="8">
        <f t="shared" si="51"/>
        <v>18181.818181818184</v>
      </c>
      <c r="AD75" s="15">
        <f>E128</f>
        <v>1</v>
      </c>
    </row>
    <row r="76" spans="1:31" x14ac:dyDescent="0.2">
      <c r="C76" s="558"/>
      <c r="D76" s="268"/>
      <c r="E76" s="273"/>
      <c r="F76" s="268"/>
      <c r="G76" s="270"/>
      <c r="H76" s="369">
        <f>SUM(H68:H75)</f>
        <v>58.467324182200741</v>
      </c>
      <c r="I76" s="369">
        <f>SUM(I68:I75)</f>
        <v>58.467324182200748</v>
      </c>
      <c r="J76" s="364"/>
      <c r="K76" s="278"/>
      <c r="L76" s="368">
        <f>SUM(L68:L75)</f>
        <v>58.467324182200748</v>
      </c>
      <c r="M76" s="228"/>
      <c r="N76" s="268"/>
      <c r="O76" s="268"/>
      <c r="P76" s="268"/>
      <c r="Q76" s="274"/>
      <c r="R76" s="278"/>
      <c r="AB76" s="8" t="str">
        <f t="shared" si="41"/>
        <v xml:space="preserve">  Total with Payments</v>
      </c>
      <c r="AC76" s="8">
        <f t="shared" si="51"/>
        <v>257244.19318181818</v>
      </c>
    </row>
    <row r="77" spans="1:31" x14ac:dyDescent="0.2">
      <c r="C77" s="267" t="s">
        <v>246</v>
      </c>
      <c r="D77" s="268"/>
      <c r="E77" s="273"/>
      <c r="F77" s="268"/>
      <c r="G77" s="270"/>
      <c r="H77" s="233"/>
      <c r="I77" s="233"/>
      <c r="J77" s="85"/>
      <c r="K77" s="228"/>
      <c r="L77" s="228"/>
      <c r="M77" s="228"/>
      <c r="N77" s="268"/>
      <c r="O77" s="268"/>
      <c r="P77" s="268"/>
      <c r="Q77" s="274"/>
      <c r="R77" s="228"/>
      <c r="AB77" s="194" t="str">
        <f t="shared" si="41"/>
        <v>Average Annual Debt Payment (Interest and Principal)</v>
      </c>
      <c r="AC77" s="8">
        <f t="shared" si="51"/>
        <v>988807.4351593625</v>
      </c>
      <c r="AD77" s="15">
        <f>E130</f>
        <v>0</v>
      </c>
    </row>
    <row r="78" spans="1:31" x14ac:dyDescent="0.2">
      <c r="C78" s="560" t="s">
        <v>565</v>
      </c>
      <c r="D78" s="273">
        <f>(E78+F78)</f>
        <v>31.869575133502117</v>
      </c>
      <c r="E78" s="273">
        <v>23.16</v>
      </c>
      <c r="F78" s="273">
        <f>+E78*G78</f>
        <v>8.7095751335021188</v>
      </c>
      <c r="G78" s="559">
        <f>K$62</f>
        <v>0.37606110248282032</v>
      </c>
      <c r="H78" s="369">
        <f>(G111)/(D78*(52*40))</f>
        <v>1.2590740126928206</v>
      </c>
      <c r="I78" s="368">
        <f>(ProjectData!B112*ProjectData!F112)/(N78*40*52)</f>
        <v>1.2590740126928206</v>
      </c>
      <c r="J78" s="85"/>
      <c r="K78" s="278">
        <f>D78*52*40</f>
        <v>66288.716277684405</v>
      </c>
      <c r="L78" s="368">
        <f>IF(ProjectData!U$24="Y",Calculations!H78,Calculations!I78)</f>
        <v>1.2590740126928206</v>
      </c>
      <c r="M78" s="228"/>
      <c r="N78" s="268">
        <f>(O78+P78)</f>
        <v>31.869575133502117</v>
      </c>
      <c r="O78" s="268">
        <f>ProjectData!B$153</f>
        <v>23.16</v>
      </c>
      <c r="P78" s="268">
        <f>+O78*Q78</f>
        <v>8.7095751335021188</v>
      </c>
      <c r="Q78" s="274">
        <f>ProjectData!E$153</f>
        <v>0.37606110248282032</v>
      </c>
      <c r="R78" s="278">
        <f>N78*52*40</f>
        <v>66288.716277684405</v>
      </c>
      <c r="AB78" s="194" t="str">
        <f t="shared" si="41"/>
        <v>Average Annual Equity Payment Individual (Interest and Principal)</v>
      </c>
      <c r="AC78" s="8">
        <f t="shared" si="51"/>
        <v>0</v>
      </c>
      <c r="AD78" s="15">
        <f>E131</f>
        <v>0</v>
      </c>
    </row>
    <row r="79" spans="1:31" x14ac:dyDescent="0.2">
      <c r="C79" s="558" t="s">
        <v>566</v>
      </c>
      <c r="D79" s="273">
        <f>(E79+F79)</f>
        <v>31.869575133502117</v>
      </c>
      <c r="E79" s="273">
        <v>23.16</v>
      </c>
      <c r="F79" s="273">
        <f>+E79*G79</f>
        <v>8.7095751335021188</v>
      </c>
      <c r="G79" s="559">
        <f>K$62</f>
        <v>0.37606110248282032</v>
      </c>
      <c r="H79" s="369">
        <f>(G122)/(D79*(52*40))</f>
        <v>3.8931965271271816E-2</v>
      </c>
      <c r="I79" s="368">
        <f>(ProjectData!B118*ProjectData!F118)/(N79*40*52)</f>
        <v>3.8931965271271816E-2</v>
      </c>
      <c r="J79" s="85"/>
      <c r="K79" s="278">
        <f>D79*52*40</f>
        <v>66288.716277684405</v>
      </c>
      <c r="L79" s="368">
        <f>IF(ProjectData!U$24="Y",Calculations!H79,Calculations!I79)</f>
        <v>3.8931965271271816E-2</v>
      </c>
      <c r="M79" s="228"/>
      <c r="N79" s="268">
        <f>(O79+P79)</f>
        <v>31.869575133502117</v>
      </c>
      <c r="O79" s="268">
        <f>ProjectData!B$154</f>
        <v>23.16</v>
      </c>
      <c r="P79" s="268">
        <f>+O79*Q79</f>
        <v>8.7095751335021188</v>
      </c>
      <c r="Q79" s="274">
        <f>ProjectData!E$154</f>
        <v>0.37606110248282032</v>
      </c>
      <c r="R79" s="278">
        <f>N79*52*40</f>
        <v>66288.716277684405</v>
      </c>
      <c r="AB79" s="194" t="str">
        <f t="shared" si="41"/>
        <v>Average Annual Equity Payment Corporate (Interest and Principal)</v>
      </c>
      <c r="AC79" s="8">
        <f t="shared" si="51"/>
        <v>2680868.6784097627</v>
      </c>
      <c r="AD79" s="15">
        <f>E132</f>
        <v>0</v>
      </c>
    </row>
    <row r="80" spans="1:31" s="462" customFormat="1" x14ac:dyDescent="0.2">
      <c r="A80" s="228"/>
      <c r="C80" s="558"/>
      <c r="D80" s="268"/>
      <c r="E80" s="273"/>
      <c r="F80" s="268"/>
      <c r="G80" s="270"/>
      <c r="H80" s="369">
        <f>SUM(H78:H79)</f>
        <v>1.2980059779640924</v>
      </c>
      <c r="I80" s="369">
        <f>SUM(I78:I79)</f>
        <v>1.2980059779640924</v>
      </c>
      <c r="J80" s="85"/>
      <c r="K80" s="278"/>
      <c r="L80" s="368"/>
      <c r="M80" s="228"/>
      <c r="N80" s="268"/>
      <c r="O80" s="268"/>
      <c r="P80" s="268"/>
      <c r="Q80" s="274"/>
      <c r="R80" s="278"/>
      <c r="AB80" s="194" t="str">
        <f t="shared" si="41"/>
        <v>Property Taxes</v>
      </c>
      <c r="AC80" s="8">
        <f t="shared" si="51"/>
        <v>0</v>
      </c>
      <c r="AD80" s="15">
        <f>E133</f>
        <v>1</v>
      </c>
    </row>
    <row r="81" spans="1:37" s="462" customFormat="1" x14ac:dyDescent="0.2">
      <c r="A81" s="228"/>
      <c r="C81" s="558"/>
      <c r="D81" s="268"/>
      <c r="E81" s="273"/>
      <c r="F81" s="268"/>
      <c r="G81" s="270"/>
      <c r="H81" s="369"/>
      <c r="I81" s="368"/>
      <c r="J81" s="85"/>
      <c r="K81" s="278"/>
      <c r="L81" s="368"/>
      <c r="M81" s="228"/>
      <c r="N81" s="268"/>
      <c r="O81" s="268"/>
      <c r="P81" s="268"/>
      <c r="Q81" s="274"/>
      <c r="R81" s="278"/>
      <c r="AB81" s="194" t="str">
        <f t="shared" si="41"/>
        <v>Total</v>
      </c>
      <c r="AC81" s="8">
        <f>SUM(AC76:AC80)</f>
        <v>3926920.3067509434</v>
      </c>
      <c r="AD81" s="15"/>
    </row>
    <row r="82" spans="1:37" ht="15.75" x14ac:dyDescent="0.25">
      <c r="C82" s="267"/>
      <c r="D82" s="228"/>
      <c r="E82" s="271"/>
      <c r="F82" s="261"/>
      <c r="G82" s="271"/>
      <c r="H82" s="298" t="s">
        <v>260</v>
      </c>
      <c r="I82" s="299">
        <f>I102+I101</f>
        <v>10.687258167463524</v>
      </c>
      <c r="J82" s="228"/>
      <c r="K82" s="228"/>
      <c r="L82" s="298" t="s">
        <v>259</v>
      </c>
      <c r="M82" s="306">
        <f>(M102+M101)*$G107</f>
        <v>0.54165677828645231</v>
      </c>
      <c r="N82" s="297">
        <f>M92-H92</f>
        <v>0</v>
      </c>
      <c r="O82" s="298"/>
      <c r="P82" s="298" t="s">
        <v>259</v>
      </c>
      <c r="Q82" s="306">
        <f>(Q102+Q101)*$G107</f>
        <v>1.402584180116204</v>
      </c>
      <c r="R82" s="307">
        <f>(Q104-Q82-Q92)*G107</f>
        <v>0.90827456554478092</v>
      </c>
      <c r="U82" s="306">
        <f>(U102+U101)*$G107</f>
        <v>0.85632259484143847</v>
      </c>
      <c r="V82" s="307">
        <f>(U104-U82-U92)*G107</f>
        <v>0.43558900713019894</v>
      </c>
      <c r="W82" s="703"/>
      <c r="X82" s="703"/>
      <c r="AB82" s="73" t="s">
        <v>89</v>
      </c>
      <c r="AE82" s="90"/>
    </row>
    <row r="83" spans="1:37" x14ac:dyDescent="0.2">
      <c r="C83" s="260"/>
      <c r="D83" s="268"/>
      <c r="E83" s="273"/>
      <c r="F83" s="268"/>
      <c r="G83" s="270"/>
      <c r="H83" s="298" t="s">
        <v>257</v>
      </c>
      <c r="I83" s="299">
        <f>I104-I92-I84-I82</f>
        <v>2.026395485232058</v>
      </c>
      <c r="J83" s="85"/>
      <c r="K83" s="228"/>
      <c r="L83" s="298" t="s">
        <v>257</v>
      </c>
      <c r="M83" s="306">
        <f>((M104-M92)*G107)-M84-M82</f>
        <v>0.1579996724240661</v>
      </c>
      <c r="N83" s="298"/>
      <c r="O83" s="298"/>
      <c r="P83" s="298" t="s">
        <v>257</v>
      </c>
      <c r="Q83" s="306">
        <f>((Q104-Q92)*G107)-Q84-Q82</f>
        <v>0.44026203727566093</v>
      </c>
      <c r="R83" s="298"/>
      <c r="U83" s="306">
        <f>((U104-U92)*G107)-U84-U82</f>
        <v>0.29224300446672158</v>
      </c>
      <c r="V83" s="298"/>
      <c r="W83" s="703"/>
      <c r="X83" s="703"/>
      <c r="AD83" s="11" t="s">
        <v>5</v>
      </c>
      <c r="AE83" s="90"/>
    </row>
    <row r="84" spans="1:37" ht="15" x14ac:dyDescent="0.25">
      <c r="C84" s="193"/>
      <c r="D84" s="8"/>
      <c r="E84" s="7"/>
      <c r="G84" s="8"/>
      <c r="H84" s="298" t="s">
        <v>258</v>
      </c>
      <c r="I84" s="299">
        <f>I93+I94+I95+I96</f>
        <v>0.47211623105394085</v>
      </c>
      <c r="L84" s="298" t="s">
        <v>261</v>
      </c>
      <c r="M84" s="306">
        <f>(M93+M94+M95+M96)*$G107</f>
        <v>4.7261015770574018E-2</v>
      </c>
      <c r="N84" s="306">
        <f>(N93+N94+N95+N96)*$G107</f>
        <v>6.9135251825815813E-2</v>
      </c>
      <c r="O84" s="298"/>
      <c r="P84" s="298" t="s">
        <v>262</v>
      </c>
      <c r="Q84" s="306">
        <f>(Q93+Q94+Q95+Q96)*$G107</f>
        <v>0.42118642173014842</v>
      </c>
      <c r="R84" s="306">
        <f>(R93+R94+R95+R96)*$G107</f>
        <v>0.25892566606977657</v>
      </c>
      <c r="U84" s="306">
        <f>(U93+U94+U95+U96)*$G107</f>
        <v>0.11475716384280076</v>
      </c>
      <c r="V84" s="306">
        <f>(V93+V94+V95+V96)*$G107</f>
        <v>0.13226485898773088</v>
      </c>
      <c r="W84" s="703"/>
      <c r="X84" s="703"/>
      <c r="AB84" s="3" t="s">
        <v>65</v>
      </c>
    </row>
    <row r="85" spans="1:37" ht="15" x14ac:dyDescent="0.2">
      <c r="C85" s="2"/>
      <c r="D85" s="8"/>
      <c r="E85" s="7"/>
      <c r="G85" s="8"/>
      <c r="U85" s="703"/>
      <c r="V85" s="703"/>
      <c r="W85" s="703"/>
      <c r="X85" s="703"/>
      <c r="AB85" s="1" t="str">
        <f>DefaultData!B87</f>
        <v>Debt Financing</v>
      </c>
      <c r="AG85" s="308" t="s">
        <v>102</v>
      </c>
      <c r="AH85" s="309"/>
      <c r="AI85" s="309"/>
      <c r="AJ85" s="309"/>
    </row>
    <row r="86" spans="1:37" x14ac:dyDescent="0.2">
      <c r="C86" t="s">
        <v>71</v>
      </c>
      <c r="D86">
        <f>+ProjectData!B50</f>
        <v>2012</v>
      </c>
      <c r="F86" s="153" t="str">
        <f>CONCATENATE("Convert to ",Deflators!E4, " dollars")</f>
        <v>Convert to 2014 dollars</v>
      </c>
      <c r="G86" s="27">
        <f>Deflators!F7</f>
        <v>1.048564068314092</v>
      </c>
      <c r="H86" s="14"/>
      <c r="I86" s="21"/>
      <c r="M86" s="21"/>
      <c r="U86" s="703"/>
      <c r="V86" s="703"/>
      <c r="W86" s="703"/>
      <c r="X86" s="703"/>
      <c r="AB86" s="13" t="str">
        <f>DefaultData!B88</f>
        <v xml:space="preserve">  Percentage financed</v>
      </c>
      <c r="AC86" s="15">
        <f>IF(ProjectData!$U$24="y",DefaultData!C88,ProjectData!B130)</f>
        <v>0.48</v>
      </c>
      <c r="AD86" s="15">
        <f>IF(ProjectData!$U$24="y",DefaultData!E88,ProjectData!E130)</f>
        <v>0</v>
      </c>
      <c r="AG86" s="309"/>
      <c r="AH86" s="310" t="s">
        <v>6</v>
      </c>
      <c r="AI86" s="310" t="s">
        <v>100</v>
      </c>
      <c r="AJ86" s="310" t="s">
        <v>101</v>
      </c>
      <c r="AK86" s="312" t="s">
        <v>651</v>
      </c>
    </row>
    <row r="87" spans="1:37" x14ac:dyDescent="0.2">
      <c r="C87" s="17" t="s">
        <v>200</v>
      </c>
      <c r="F87" s="24"/>
      <c r="G87" s="25"/>
      <c r="M87" s="10">
        <f>Deflators!E4</f>
        <v>2014</v>
      </c>
      <c r="N87" t="s">
        <v>94</v>
      </c>
      <c r="U87" s="703"/>
      <c r="V87" s="703"/>
      <c r="W87" s="703"/>
      <c r="X87" s="703"/>
      <c r="AB87" s="13" t="str">
        <f>DefaultData!B89</f>
        <v xml:space="preserve">  Years financed (term)</v>
      </c>
      <c r="AC87" s="106">
        <f>IF(ProjectData!$U$24="y",DefaultData!C89,ProjectData!B131)</f>
        <v>40</v>
      </c>
      <c r="AD87" s="15"/>
      <c r="AG87" s="219" t="s">
        <v>283</v>
      </c>
      <c r="AH87" s="310"/>
      <c r="AI87" s="310"/>
      <c r="AJ87" s="310"/>
      <c r="AK87" s="310"/>
    </row>
    <row r="88" spans="1:37" x14ac:dyDescent="0.2">
      <c r="D88" s="23" t="s">
        <v>69</v>
      </c>
      <c r="F88" t="s">
        <v>4</v>
      </c>
      <c r="G88" t="s">
        <v>70</v>
      </c>
      <c r="I88" s="11" t="s">
        <v>6</v>
      </c>
      <c r="J88" s="11" t="s">
        <v>6</v>
      </c>
      <c r="K88" s="11" t="s">
        <v>6</v>
      </c>
      <c r="L88" s="11" t="s">
        <v>6</v>
      </c>
      <c r="M88" s="11" t="s">
        <v>100</v>
      </c>
      <c r="N88" s="11"/>
      <c r="O88" s="11"/>
      <c r="P88" s="11"/>
      <c r="Q88" s="11" t="s">
        <v>101</v>
      </c>
      <c r="U88" s="11" t="s">
        <v>651</v>
      </c>
      <c r="V88" s="703"/>
      <c r="W88" s="703"/>
      <c r="X88" s="703"/>
      <c r="AB88" s="13" t="str">
        <f>DefaultData!B90</f>
        <v xml:space="preserve">  Interest rate</v>
      </c>
      <c r="AC88" s="15">
        <f>IF(ProjectData!$U$24="y",DefaultData!C90,ProjectData!B132)</f>
        <v>6.3E-2</v>
      </c>
      <c r="AD88" s="15"/>
      <c r="AG88" s="229" t="s">
        <v>280</v>
      </c>
      <c r="AK88" s="703"/>
    </row>
    <row r="89" spans="1:37" x14ac:dyDescent="0.2">
      <c r="G89" s="19"/>
      <c r="I89" s="11" t="s">
        <v>74</v>
      </c>
      <c r="J89" s="11" t="s">
        <v>75</v>
      </c>
      <c r="K89" s="11" t="s">
        <v>76</v>
      </c>
      <c r="L89" s="11" t="s">
        <v>4</v>
      </c>
      <c r="M89" s="11" t="s">
        <v>74</v>
      </c>
      <c r="N89" s="11" t="s">
        <v>75</v>
      </c>
      <c r="O89" s="11" t="s">
        <v>76</v>
      </c>
      <c r="P89" s="11" t="s">
        <v>4</v>
      </c>
      <c r="Q89" s="11" t="s">
        <v>74</v>
      </c>
      <c r="R89" s="11" t="s">
        <v>75</v>
      </c>
      <c r="S89" s="11" t="s">
        <v>76</v>
      </c>
      <c r="T89" s="11" t="s">
        <v>4</v>
      </c>
      <c r="U89" s="11" t="s">
        <v>74</v>
      </c>
      <c r="V89" s="11" t="s">
        <v>75</v>
      </c>
      <c r="W89" s="11" t="s">
        <v>76</v>
      </c>
      <c r="X89" s="11" t="s">
        <v>4</v>
      </c>
      <c r="AB89" s="13" t="str">
        <f>DefaultData!B91</f>
        <v xml:space="preserve">  Average Annual Payment (Interest and Principal)</v>
      </c>
      <c r="AC89" s="370">
        <f>IF(ProjectData!$U$24="y",DefaultData!C91,F298)</f>
        <v>988807.4351593625</v>
      </c>
      <c r="AD89" s="15"/>
      <c r="AG89" s="345" t="s">
        <v>281</v>
      </c>
      <c r="AH89" s="313">
        <f>I92</f>
        <v>58.467324182200748</v>
      </c>
      <c r="AI89" s="314">
        <f>M92*G107</f>
        <v>3.7477290031628669</v>
      </c>
      <c r="AJ89" s="314">
        <f>Q92*$G107</f>
        <v>3.7477290031628669</v>
      </c>
      <c r="AK89" s="314">
        <f>U92*$G107</f>
        <v>3.7477290031628669</v>
      </c>
    </row>
    <row r="90" spans="1:37" ht="15" x14ac:dyDescent="0.2">
      <c r="C90" s="6" t="s">
        <v>7</v>
      </c>
      <c r="D90" s="8">
        <f>$E$186*DefaultData!C109+$E$187*DefaultData!C110+$E$188*DefaultData!C111+$E$189*DefaultData!C112+$E$190*DefaultData!C113+$E$191*DefaultData!C114+$E$192*DefaultData!C115+$E$193*DefaultData!C116+$E$194*DefaultData!C117+$E$195*DefaultData!C118+$E$196*DefaultData!C119+$E$197*DefaultData!C120+$E$198*DefaultData!C121+$E$199*DefaultData!C122</f>
        <v>0</v>
      </c>
      <c r="F90" s="8">
        <f>D90</f>
        <v>0</v>
      </c>
      <c r="G90" s="18">
        <f t="shared" ref="G90:G103" si="52">F90*G$86/10^6</f>
        <v>0</v>
      </c>
      <c r="H90" s="8"/>
      <c r="I90">
        <f>+G90*Multipliers!D213</f>
        <v>0</v>
      </c>
      <c r="J90">
        <f>+$G90*Multipliers!E213</f>
        <v>0</v>
      </c>
      <c r="K90">
        <f>+$G90*Multipliers!F213</f>
        <v>0</v>
      </c>
      <c r="L90">
        <f>+K90+J90+I90</f>
        <v>0</v>
      </c>
      <c r="M90" s="18">
        <f>+$G90*Multipliers!H213</f>
        <v>0</v>
      </c>
      <c r="N90" s="18">
        <f>+$G90*Multipliers!I213</f>
        <v>0</v>
      </c>
      <c r="O90" s="18">
        <f>+$G90*Multipliers!J213</f>
        <v>0</v>
      </c>
      <c r="P90" s="18">
        <f>+O90+N90+M90</f>
        <v>0</v>
      </c>
      <c r="Q90" s="18">
        <f>+$G90*Multipliers!L213</f>
        <v>0</v>
      </c>
      <c r="R90" s="18">
        <f>+$G90*Multipliers!M213</f>
        <v>0</v>
      </c>
      <c r="S90" s="18">
        <f>+$G90*Multipliers!N213</f>
        <v>0</v>
      </c>
      <c r="T90" s="18">
        <f>+S90+R90+Q90</f>
        <v>0</v>
      </c>
      <c r="U90" s="18">
        <f>+$G90*Multipliers!P213</f>
        <v>0</v>
      </c>
      <c r="V90" s="18">
        <f>+$G90*Multipliers!Q213</f>
        <v>0</v>
      </c>
      <c r="W90" s="18">
        <f>+$G90*Multipliers!R213</f>
        <v>0</v>
      </c>
      <c r="X90" s="18">
        <f>+W90+V90+U90</f>
        <v>0</v>
      </c>
      <c r="AB90" s="1" t="str">
        <f>DefaultData!B92</f>
        <v>Equity Financing/Repayment</v>
      </c>
      <c r="AC90" s="15"/>
      <c r="AD90" s="15"/>
      <c r="AG90" s="229" t="s">
        <v>282</v>
      </c>
      <c r="AH90" s="371">
        <f>I82</f>
        <v>10.687258167463524</v>
      </c>
      <c r="AI90" s="307">
        <f>M82</f>
        <v>0.54165677828645231</v>
      </c>
      <c r="AJ90" s="307">
        <f>Q82</f>
        <v>1.402584180116204</v>
      </c>
      <c r="AK90" s="307">
        <f>U82</f>
        <v>0.85632259484143847</v>
      </c>
    </row>
    <row r="91" spans="1:37" ht="15" x14ac:dyDescent="0.2">
      <c r="C91" s="6" t="s">
        <v>77</v>
      </c>
      <c r="D91" s="8">
        <f>$E$186*DefaultData!D109+$E$187*DefaultData!D110+$E$188*DefaultData!D111+$E$189*DefaultData!D112+$E$190*DefaultData!D113+$E$191*DefaultData!D114+$E$192*DefaultData!D115+$E$193*DefaultData!D116+$E$194*DefaultData!D117+$E$195*DefaultData!D118+$E$196*DefaultData!D119+$E$197*DefaultData!D120+$E$198*DefaultData!D121+$E$199*DefaultData!D122</f>
        <v>0</v>
      </c>
      <c r="F91" s="8">
        <f t="shared" ref="F91:F103" si="53">D91</f>
        <v>0</v>
      </c>
      <c r="G91" s="18">
        <f t="shared" si="52"/>
        <v>0</v>
      </c>
      <c r="H91" s="8"/>
      <c r="I91">
        <f>+G91*Multipliers!D214</f>
        <v>0</v>
      </c>
      <c r="J91">
        <f>+$G91*Multipliers!E214</f>
        <v>0</v>
      </c>
      <c r="K91">
        <f>+$G91*Multipliers!F214</f>
        <v>0</v>
      </c>
      <c r="L91">
        <f t="shared" ref="L91:L103" si="54">+K91+J91+I91</f>
        <v>0</v>
      </c>
      <c r="M91" s="18">
        <f>+$G91*Multipliers!H214</f>
        <v>0</v>
      </c>
      <c r="N91" s="18">
        <f>+$G91*Multipliers!I214</f>
        <v>0</v>
      </c>
      <c r="O91" s="18">
        <f>+$G91*Multipliers!J214</f>
        <v>0</v>
      </c>
      <c r="P91" s="18">
        <f t="shared" ref="P91:P103" si="55">+O91+N91+M91</f>
        <v>0</v>
      </c>
      <c r="Q91" s="18">
        <f>+$G91*Multipliers!L214</f>
        <v>0</v>
      </c>
      <c r="R91" s="18">
        <f>+$G91*Multipliers!M214</f>
        <v>0</v>
      </c>
      <c r="S91" s="18">
        <f>+$G91*Multipliers!N214</f>
        <v>0</v>
      </c>
      <c r="T91" s="18">
        <f t="shared" ref="T91:T103" si="56">+S91+R91+Q91</f>
        <v>0</v>
      </c>
      <c r="U91" s="18">
        <f>+$G91*Multipliers!P214</f>
        <v>0</v>
      </c>
      <c r="V91" s="18">
        <f>+$G91*Multipliers!Q214</f>
        <v>0</v>
      </c>
      <c r="W91" s="18">
        <f>+$G91*Multipliers!R214</f>
        <v>0</v>
      </c>
      <c r="X91" s="18">
        <f t="shared" ref="X91:X103" si="57">+W91+V91+U91</f>
        <v>0</v>
      </c>
      <c r="AB91" s="13" t="str">
        <f>DefaultData!B93</f>
        <v xml:space="preserve">  Percentage equity</v>
      </c>
      <c r="AC91" s="15">
        <f>IF(ProjectData!$U$24="y",DefaultData!C93,ProjectData!B134)</f>
        <v>0.52</v>
      </c>
      <c r="AD91" s="15"/>
      <c r="AG91" s="507" t="s">
        <v>532</v>
      </c>
      <c r="AH91" s="313">
        <f>AH89+AH90</f>
        <v>69.154582349664267</v>
      </c>
      <c r="AI91" s="314">
        <f>AI89+AI90</f>
        <v>4.2893857814493188</v>
      </c>
      <c r="AJ91" s="314">
        <f>AJ89+AJ90</f>
        <v>5.1503131832790707</v>
      </c>
      <c r="AK91" s="314">
        <f>AK89+AK90</f>
        <v>4.6040515980043057</v>
      </c>
    </row>
    <row r="92" spans="1:37" ht="15" x14ac:dyDescent="0.2">
      <c r="C92" s="6" t="s">
        <v>8</v>
      </c>
      <c r="D92" s="8">
        <f>$E$186*DefaultData!E109+$E$187*DefaultData!E110+$E$188*DefaultData!E111+$E$189*DefaultData!E112+$E$190*DefaultData!E113+$E$191*DefaultData!E114+$E$192*DefaultData!E115+$E$193*DefaultData!E116+$E$194*DefaultData!E117+$E$195*DefaultData!E118+$E$196*DefaultData!E119+$E$197*DefaultData!E120+$E$198*DefaultData!E121+$E$199*DefaultData!E122</f>
        <v>3697600.1438848926</v>
      </c>
      <c r="F92" s="8">
        <f t="shared" si="53"/>
        <v>3697600.1438848926</v>
      </c>
      <c r="G92" s="18">
        <f t="shared" si="52"/>
        <v>3.877170649870715</v>
      </c>
      <c r="H92" s="18">
        <f>(H20+H36)*G86/10^6</f>
        <v>3.877170649870715</v>
      </c>
      <c r="I92">
        <f>(H93*Multipliers!D$215)+L76</f>
        <v>58.467324182200748</v>
      </c>
      <c r="J92">
        <f>+$G92*Multipliers!E215</f>
        <v>11.175079648096439</v>
      </c>
      <c r="K92">
        <f>+$G92*Multipliers!F215</f>
        <v>10.441280817156752</v>
      </c>
      <c r="L92">
        <f t="shared" si="54"/>
        <v>80.083684647453936</v>
      </c>
      <c r="M92" s="18">
        <f>H92 +($H93*Multipliers!H215)</f>
        <v>3.877170649870715</v>
      </c>
      <c r="N92" s="18">
        <f>+$G92*Multipliers!I215</f>
        <v>0.615888728374268</v>
      </c>
      <c r="O92" s="18">
        <f>+$G92*Multipliers!J215</f>
        <v>0.54434646829982902</v>
      </c>
      <c r="P92" s="18">
        <f t="shared" si="55"/>
        <v>5.0374058465448126</v>
      </c>
      <c r="Q92" s="18">
        <f>+$G92*Multipliers!L215</f>
        <v>3.877170649870715</v>
      </c>
      <c r="R92" s="18">
        <f>+$G92*Multipliers!M215</f>
        <v>2.0050161153996715</v>
      </c>
      <c r="S92" s="18">
        <f>+$G92*Multipliers!N215</f>
        <v>1.6262676161676437</v>
      </c>
      <c r="T92" s="18">
        <f t="shared" si="56"/>
        <v>7.50845438143803</v>
      </c>
      <c r="U92" s="18">
        <f>+$H92+H93*Multipliers!P215</f>
        <v>3.877170649870715</v>
      </c>
      <c r="V92" s="18">
        <f>+$G92*Multipliers!Q215</f>
        <v>1.0766554207569943</v>
      </c>
      <c r="W92" s="18">
        <f>+$G92*Multipliers!R215</f>
        <v>0.92587200696478966</v>
      </c>
      <c r="X92" s="18">
        <f t="shared" si="57"/>
        <v>5.879698077592499</v>
      </c>
      <c r="AB92" s="13" t="str">
        <f>DefaultData!B94</f>
        <v xml:space="preserve">  Individual Investors (percent of equity)</v>
      </c>
      <c r="AC92" s="15">
        <f>IF(ProjectData!$U$24="y",DefaultData!C94,ProjectData!B135)</f>
        <v>0</v>
      </c>
      <c r="AD92" s="15">
        <f>IF(ProjectData!$U$24="y",DefaultData!D94,ProjectData!E135)</f>
        <v>0</v>
      </c>
      <c r="AG92" s="346" t="s">
        <v>347</v>
      </c>
      <c r="AH92" s="371">
        <f>I83+I84+J104</f>
        <v>19.653597281380616</v>
      </c>
      <c r="AI92" s="307">
        <f>((M83+M84+N107))</f>
        <v>1.1562646763538111</v>
      </c>
      <c r="AJ92" s="307">
        <f>+((Q83+Q84+R107))</f>
        <v>3.9137567219845319</v>
      </c>
      <c r="AK92" s="307">
        <f>+((U83+U84+V107))</f>
        <v>2.0574051462366549</v>
      </c>
    </row>
    <row r="93" spans="1:37" ht="15" x14ac:dyDescent="0.2">
      <c r="C93" s="6" t="s">
        <v>78</v>
      </c>
      <c r="D93" s="8">
        <f>$E$186*DefaultData!F109+$E$187*DefaultData!F110+$E$188*DefaultData!F111+$E$189*DefaultData!F112+$E$190*DefaultData!F113+$E$191*DefaultData!F114+$E$192*DefaultData!F115+$E$193*DefaultData!F116+$E$194*DefaultData!F117+$E$195*DefaultData!F118+$E$196*DefaultData!F119+$E$197*DefaultData!F120+$E$198*DefaultData!F121+$E$199*DefaultData!F122</f>
        <v>335047.2</v>
      </c>
      <c r="F93" s="8">
        <f t="shared" si="53"/>
        <v>335047.2</v>
      </c>
      <c r="G93" s="18">
        <f t="shared" si="52"/>
        <v>0.35131845510924525</v>
      </c>
      <c r="H93" s="8">
        <f>G92-H92</f>
        <v>0</v>
      </c>
      <c r="I93">
        <f>+G93*Multipliers!D216</f>
        <v>0.3673946444328513</v>
      </c>
      <c r="J93">
        <f>+$G93*Multipliers!E216</f>
        <v>0.82481139140506354</v>
      </c>
      <c r="K93">
        <f>+$G93*Multipliers!F216</f>
        <v>0.50864511682589353</v>
      </c>
      <c r="L93">
        <f t="shared" si="54"/>
        <v>1.7008511526638084</v>
      </c>
      <c r="M93" s="18">
        <f>+$G93*Multipliers!H216</f>
        <v>3.4544378864735971E-2</v>
      </c>
      <c r="N93" s="18">
        <f>+$G93*Multipliers!I216</f>
        <v>5.8701705984292911E-2</v>
      </c>
      <c r="O93" s="18">
        <f>+$G93*Multipliers!J216</f>
        <v>2.643403855116265E-2</v>
      </c>
      <c r="P93" s="18">
        <f t="shared" si="55"/>
        <v>0.11968012340019152</v>
      </c>
      <c r="Q93" s="18">
        <f>+$G93*Multipliers!L216</f>
        <v>0.35131845510924525</v>
      </c>
      <c r="R93" s="18">
        <f>+$G93*Multipliers!M216</f>
        <v>0.22200117250329982</v>
      </c>
      <c r="S93" s="18">
        <f>+$G93*Multipliers!N216</f>
        <v>7.8988588333512869E-2</v>
      </c>
      <c r="T93" s="18">
        <f t="shared" si="56"/>
        <v>0.65230821594605792</v>
      </c>
      <c r="U93" s="18">
        <f>+$G93*Multipliers!P216</f>
        <v>8.644194782706191E-2</v>
      </c>
      <c r="V93" s="18">
        <f>+$G93*Multipliers!Q216</f>
        <v>0.11408546683189703</v>
      </c>
      <c r="W93" s="18">
        <f>+$G93*Multipliers!R216</f>
        <v>4.4964843335240451E-2</v>
      </c>
      <c r="X93" s="18">
        <f t="shared" si="57"/>
        <v>0.24549225799419941</v>
      </c>
      <c r="AB93" s="13" t="str">
        <f>DefaultData!B95</f>
        <v xml:space="preserve">  Corporate Investors (percent of equity)</v>
      </c>
      <c r="AC93" s="15">
        <f>IF(ProjectData!$U$24="y",DefaultData!C95,ProjectData!B136)</f>
        <v>1</v>
      </c>
      <c r="AD93" s="15">
        <f>IF(ProjectData!$U$24="y",DefaultData!D95,ProjectData!E136)</f>
        <v>0</v>
      </c>
      <c r="AG93" s="312" t="s">
        <v>105</v>
      </c>
      <c r="AH93" s="313">
        <f>K104</f>
        <v>20.295827332481466</v>
      </c>
      <c r="AI93" s="314">
        <f>O107</f>
        <v>1.058671252995937</v>
      </c>
      <c r="AJ93" s="314">
        <f>S107</f>
        <v>3.1633957116713152</v>
      </c>
      <c r="AK93" s="314">
        <f>W107</f>
        <v>1.8008074339806712</v>
      </c>
    </row>
    <row r="94" spans="1:37" ht="15" x14ac:dyDescent="0.2">
      <c r="C94" s="6" t="s">
        <v>79</v>
      </c>
      <c r="D94" s="8">
        <f>$E$186*DefaultData!G109+$E$187*DefaultData!G110+$E$188*DefaultData!G111+$E$189*DefaultData!G112+$E$190*DefaultData!G113+$E$191*DefaultData!G114+$E$192*DefaultData!G115+$E$193*DefaultData!G116+$E$194*DefaultData!G117+$E$195*DefaultData!G118+$E$196*DefaultData!G119+$E$197*DefaultData!G120+$E$198*DefaultData!G121+$E$199*DefaultData!G122</f>
        <v>0</v>
      </c>
      <c r="F94" s="8">
        <f t="shared" si="53"/>
        <v>0</v>
      </c>
      <c r="G94" s="18">
        <f t="shared" si="52"/>
        <v>0</v>
      </c>
      <c r="I94">
        <f>+G94*Multipliers!D217</f>
        <v>0</v>
      </c>
      <c r="J94">
        <f>+$G94*Multipliers!E217</f>
        <v>0</v>
      </c>
      <c r="K94">
        <f>+$G94*Multipliers!F217</f>
        <v>0</v>
      </c>
      <c r="L94">
        <f t="shared" si="54"/>
        <v>0</v>
      </c>
      <c r="M94" s="18">
        <f>+$G94*Multipliers!H217</f>
        <v>0</v>
      </c>
      <c r="N94" s="18">
        <f>+$G94*Multipliers!I217</f>
        <v>0</v>
      </c>
      <c r="O94" s="18">
        <f>+$G94*Multipliers!J217</f>
        <v>0</v>
      </c>
      <c r="P94" s="18">
        <f t="shared" si="55"/>
        <v>0</v>
      </c>
      <c r="Q94" s="18">
        <f>+$G94*Multipliers!L217</f>
        <v>0</v>
      </c>
      <c r="R94" s="18">
        <f>+$G94*Multipliers!M217</f>
        <v>0</v>
      </c>
      <c r="S94" s="18">
        <f>+$G94*Multipliers!N217</f>
        <v>0</v>
      </c>
      <c r="T94" s="18">
        <f t="shared" si="56"/>
        <v>0</v>
      </c>
      <c r="U94" s="18">
        <f>+$G94*Multipliers!P217</f>
        <v>0</v>
      </c>
      <c r="V94" s="18">
        <f>+$G94*Multipliers!Q217</f>
        <v>0</v>
      </c>
      <c r="W94" s="18">
        <f>+$G94*Multipliers!R217</f>
        <v>0</v>
      </c>
      <c r="X94" s="18">
        <f t="shared" si="57"/>
        <v>0</v>
      </c>
      <c r="AB94" s="13" t="str">
        <f>DefaultData!B96</f>
        <v xml:space="preserve">  Return on equity</v>
      </c>
      <c r="AC94" s="15">
        <f>IF(ProjectData!$U$24="y",DefaultData!C96,ProjectData!B137)</f>
        <v>0.114</v>
      </c>
      <c r="AD94" s="15"/>
      <c r="AG94" s="312" t="s">
        <v>562</v>
      </c>
      <c r="AH94" s="372">
        <f>AH93+AH92+AH91</f>
        <v>109.10400696352634</v>
      </c>
      <c r="AI94" s="315">
        <f>AI93+AI92+AI91</f>
        <v>6.5043217107990667</v>
      </c>
      <c r="AJ94" s="315">
        <f>AJ93+AJ92+AJ91</f>
        <v>12.227465616934918</v>
      </c>
      <c r="AK94" s="315">
        <f>AK93+AK92+AK91</f>
        <v>8.4622641782216323</v>
      </c>
    </row>
    <row r="95" spans="1:37" ht="15" x14ac:dyDescent="0.2">
      <c r="C95" s="6" t="s">
        <v>80</v>
      </c>
      <c r="D95" s="8">
        <f>$E$186*DefaultData!H109+$E$187*DefaultData!H110+$E$188*DefaultData!H111+$E$189*DefaultData!H112+$E$190*DefaultData!H113+$E$191*DefaultData!H114+$E$192*DefaultData!H115+$E$193*DefaultData!H116+$E$194*DefaultData!H117+$E$195*DefaultData!H118+$E$196*DefaultData!H119+$E$197*DefaultData!H120+$E$198*DefaultData!H121+$E$199*DefaultData!H122</f>
        <v>0</v>
      </c>
      <c r="F95" s="8">
        <f t="shared" si="53"/>
        <v>0</v>
      </c>
      <c r="G95" s="18">
        <f t="shared" si="52"/>
        <v>0</v>
      </c>
      <c r="H95" s="8"/>
      <c r="I95">
        <f>+G95*Multipliers!D218</f>
        <v>0</v>
      </c>
      <c r="J95">
        <f>+$G95*Multipliers!E218</f>
        <v>0</v>
      </c>
      <c r="K95">
        <f>+$G95*Multipliers!F218</f>
        <v>0</v>
      </c>
      <c r="L95">
        <f t="shared" si="54"/>
        <v>0</v>
      </c>
      <c r="M95" s="18">
        <f>+$G95*Multipliers!H218</f>
        <v>0</v>
      </c>
      <c r="N95" s="18">
        <f>+$G95*Multipliers!I218</f>
        <v>0</v>
      </c>
      <c r="O95" s="18">
        <f>+$G95*Multipliers!J218</f>
        <v>0</v>
      </c>
      <c r="P95" s="18">
        <f t="shared" si="55"/>
        <v>0</v>
      </c>
      <c r="Q95" s="18">
        <f>+$G95*Multipliers!L218</f>
        <v>0</v>
      </c>
      <c r="R95" s="18">
        <f>+$G95*Multipliers!M218</f>
        <v>0</v>
      </c>
      <c r="S95" s="18">
        <f>+$G95*Multipliers!N218</f>
        <v>0</v>
      </c>
      <c r="T95" s="18">
        <f t="shared" si="56"/>
        <v>0</v>
      </c>
      <c r="U95" s="18">
        <f>+$G95*Multipliers!P218</f>
        <v>0</v>
      </c>
      <c r="V95" s="18">
        <f>+$G95*Multipliers!Q218</f>
        <v>0</v>
      </c>
      <c r="W95" s="18">
        <f>+$G95*Multipliers!R218</f>
        <v>0</v>
      </c>
      <c r="X95" s="18">
        <f t="shared" si="57"/>
        <v>0</v>
      </c>
      <c r="AB95" s="13" t="str">
        <f>DefaultData!B97</f>
        <v xml:space="preserve">  Repayment term (years)</v>
      </c>
      <c r="AC95" s="10">
        <f>IF(ProjectData!$U$24="y",DefaultData!C97,ProjectData!B138)</f>
        <v>10</v>
      </c>
      <c r="AD95" s="15"/>
      <c r="AG95" s="309"/>
      <c r="AH95" s="313"/>
      <c r="AI95" s="314"/>
      <c r="AJ95" s="314"/>
      <c r="AK95" s="314"/>
    </row>
    <row r="96" spans="1:37" ht="15" x14ac:dyDescent="0.2">
      <c r="C96" s="6" t="s">
        <v>81</v>
      </c>
      <c r="D96" s="8">
        <f>$E$186*DefaultData!I109+$E$187*DefaultData!I110+$E$188*DefaultData!I111+$E$189*DefaultData!I112+$E$190*DefaultData!I113+$E$191*DefaultData!I114+$E$192*DefaultData!I115+$E$193*DefaultData!I116+$E$194*DefaultData!I117+$E$195*DefaultData!I118+$E$196*DefaultData!I119+$E$197*DefaultData!I120+$E$198*DefaultData!I121+$E$199*DefaultData!I122</f>
        <v>80505.517999999996</v>
      </c>
      <c r="F96" s="8">
        <f t="shared" si="53"/>
        <v>80505.517999999996</v>
      </c>
      <c r="G96" s="18">
        <f t="shared" si="52"/>
        <v>8.441519347581336E-2</v>
      </c>
      <c r="H96" s="8"/>
      <c r="I96">
        <f>+G96*Multipliers!D219</f>
        <v>0.10472158662108953</v>
      </c>
      <c r="J96">
        <f>+$G96*Multipliers!E219</f>
        <v>0.18894586300059987</v>
      </c>
      <c r="K96">
        <f>+$G96*Multipliers!F219</f>
        <v>0.15235556716148171</v>
      </c>
      <c r="L96">
        <f t="shared" si="54"/>
        <v>0.44602301678317113</v>
      </c>
      <c r="M96" s="18">
        <f>+$G96*Multipliers!H219</f>
        <v>1.4348970434026942E-2</v>
      </c>
      <c r="N96" s="18">
        <f>+$G96*Multipliers!I219</f>
        <v>1.2821386807169809E-2</v>
      </c>
      <c r="O96" s="18">
        <f>+$G96*Multipliers!J219</f>
        <v>7.7369224421651841E-3</v>
      </c>
      <c r="P96" s="18">
        <f t="shared" si="55"/>
        <v>3.4907279683361936E-2</v>
      </c>
      <c r="Q96" s="18">
        <f>+$G96*Multipliers!L219</f>
        <v>8.441519347581336E-2</v>
      </c>
      <c r="R96" s="18">
        <f>+$G96*Multipliers!M219</f>
        <v>4.586744663557886E-2</v>
      </c>
      <c r="S96" s="18">
        <f>+$G96*Multipliers!N219</f>
        <v>2.3123289013420815E-2</v>
      </c>
      <c r="T96" s="18">
        <f t="shared" si="56"/>
        <v>0.15340592912481305</v>
      </c>
      <c r="U96" s="18">
        <f>+$G96*Multipliers!P219</f>
        <v>3.2278778014698278E-2</v>
      </c>
      <c r="V96" s="18">
        <f>+$G96*Multipliers!Q219</f>
        <v>2.2747646993498051E-2</v>
      </c>
      <c r="W96" s="18">
        <f>+$G96*Multipliers!R219</f>
        <v>1.3161649570312118E-2</v>
      </c>
      <c r="X96" s="18">
        <f t="shared" si="57"/>
        <v>6.8188074578508451E-2</v>
      </c>
      <c r="AB96" s="1" t="str">
        <f>DefaultData!B98</f>
        <v>Tax Parameters</v>
      </c>
      <c r="AC96" s="8"/>
      <c r="AD96" s="7"/>
      <c r="AG96" s="311" t="s">
        <v>155</v>
      </c>
      <c r="AH96" s="313"/>
      <c r="AI96" s="314"/>
      <c r="AJ96" s="314"/>
      <c r="AK96" s="314"/>
    </row>
    <row r="97" spans="1:37" ht="15" x14ac:dyDescent="0.2">
      <c r="C97" s="6" t="s">
        <v>82</v>
      </c>
      <c r="D97" s="8">
        <f>$E$186*DefaultData!J109+$E$187*DefaultData!J110+$E$188*DefaultData!J111+$E$189*DefaultData!J112+$E$190*DefaultData!J113+$E$191*DefaultData!J114+$E$192*DefaultData!J115+$E$193*DefaultData!J116+$E$194*DefaultData!J117+$E$195*DefaultData!J118+$E$196*DefaultData!J119+$E$197*DefaultData!J120+$E$198*DefaultData!J121+$E$199*DefaultData!J122</f>
        <v>23669.002</v>
      </c>
      <c r="F97" s="8">
        <f t="shared" si="53"/>
        <v>23669.002</v>
      </c>
      <c r="G97" s="18">
        <f t="shared" si="52"/>
        <v>2.481846503005438E-2</v>
      </c>
      <c r="H97" s="8"/>
      <c r="I97">
        <f>+G97*Multipliers!D220</f>
        <v>6.5162037773441928E-2</v>
      </c>
      <c r="J97">
        <f>+$G97*Multipliers!E220</f>
        <v>6.0719627034068538E-2</v>
      </c>
      <c r="K97">
        <f>+$G97*Multipliers!F220</f>
        <v>6.2069152151584699E-2</v>
      </c>
      <c r="L97">
        <f t="shared" si="54"/>
        <v>0.18795081695909516</v>
      </c>
      <c r="M97" s="18">
        <f>+$G97*Multipliers!H220</f>
        <v>6.9368647159554998E-3</v>
      </c>
      <c r="N97" s="18">
        <f>+$G97*Multipliers!I220</f>
        <v>4.4042921987005679E-3</v>
      </c>
      <c r="O97" s="18">
        <f>+$G97*Multipliers!J220</f>
        <v>3.2025714691221339E-3</v>
      </c>
      <c r="P97" s="18">
        <f t="shared" si="55"/>
        <v>1.4543728383778202E-2</v>
      </c>
      <c r="Q97" s="18">
        <f>+$G97*Multipliers!L220</f>
        <v>2.481846503005438E-2</v>
      </c>
      <c r="R97" s="18">
        <f>+$G97*Multipliers!M220</f>
        <v>1.437661011921376E-2</v>
      </c>
      <c r="S97" s="18">
        <f>+$G97*Multipliers!N220</f>
        <v>9.5682072244737577E-3</v>
      </c>
      <c r="T97" s="18">
        <f t="shared" si="56"/>
        <v>4.8763282373741897E-2</v>
      </c>
      <c r="U97" s="18">
        <f>+$G97*Multipliers!P220</f>
        <v>1.1707713468072228E-2</v>
      </c>
      <c r="V97" s="18">
        <f>+$G97*Multipliers!Q220</f>
        <v>7.9006939720413609E-3</v>
      </c>
      <c r="W97" s="18">
        <f>+$G97*Multipliers!R220</f>
        <v>5.4472904069819816E-3</v>
      </c>
      <c r="X97" s="18">
        <f t="shared" si="57"/>
        <v>2.5055697847095569E-2</v>
      </c>
      <c r="AB97" s="13" t="str">
        <f>DefaultData!B99</f>
        <v xml:space="preserve">  Local Property Tax (percent of taxable value)</v>
      </c>
      <c r="AC97" s="15">
        <f>IF(ProjectData!$U$24="y",DefaultData!C99,ProjectData!B140)</f>
        <v>0</v>
      </c>
      <c r="AD97" s="7"/>
      <c r="AG97" s="229" t="s">
        <v>563</v>
      </c>
      <c r="AH97" s="313">
        <f>L182</f>
        <v>1.2980059779640924</v>
      </c>
      <c r="AI97" s="314">
        <f>P184</f>
        <v>9.7000240304098775E-2</v>
      </c>
      <c r="AJ97" s="314">
        <f>T184</f>
        <v>9.7000240304098775E-2</v>
      </c>
      <c r="AK97" s="314">
        <f>X184</f>
        <v>9.7000240304098775E-2</v>
      </c>
    </row>
    <row r="98" spans="1:37" ht="15" x14ac:dyDescent="0.2">
      <c r="C98" s="6" t="s">
        <v>9</v>
      </c>
      <c r="D98" s="8">
        <f>$E$186*DefaultData!K109+$E$187*DefaultData!K110+$E$188*DefaultData!K111+$E$189*DefaultData!K112+$E$190*DefaultData!K113+$E$191*DefaultData!K114+$E$192*DefaultData!K115+$E$193*DefaultData!K116+$E$194*DefaultData!K117+$E$195*DefaultData!K118+$E$196*DefaultData!K119+$E$197*DefaultData!K120+$E$198*DefaultData!K121+$E$199*DefaultData!K122</f>
        <v>342998.49249999999</v>
      </c>
      <c r="F98" s="8">
        <f t="shared" si="53"/>
        <v>342998.49249999999</v>
      </c>
      <c r="G98" s="18">
        <f t="shared" si="52"/>
        <v>0.35965589472140058</v>
      </c>
      <c r="H98" s="8"/>
      <c r="I98">
        <f>+G98*Multipliers!D221</f>
        <v>1.1729843768445696</v>
      </c>
      <c r="J98">
        <f>+$G98*Multipliers!E221</f>
        <v>0.72890346667394657</v>
      </c>
      <c r="K98">
        <f>+$G98*Multipliers!F221</f>
        <v>0.85290971383724801</v>
      </c>
      <c r="L98">
        <f t="shared" si="54"/>
        <v>2.7547975573557641</v>
      </c>
      <c r="M98" s="18">
        <f>+$G98*Multipliers!H221</f>
        <v>0.12759066454876034</v>
      </c>
      <c r="N98" s="18">
        <f>+$G98*Multipliers!I221</f>
        <v>4.6100852359128829E-2</v>
      </c>
      <c r="O98" s="18">
        <f>+$G98*Multipliers!J221</f>
        <v>4.9355377959140107E-2</v>
      </c>
      <c r="P98" s="18">
        <f t="shared" si="55"/>
        <v>0.22304689486702928</v>
      </c>
      <c r="Q98" s="18">
        <f>+$G98*Multipliers!L221</f>
        <v>0.35965589472140058</v>
      </c>
      <c r="R98" s="18">
        <f>+$G98*Multipliers!M221</f>
        <v>0.1321660194387661</v>
      </c>
      <c r="S98" s="18">
        <f>+$G98*Multipliers!N221</f>
        <v>0.14749604471386221</v>
      </c>
      <c r="T98" s="18">
        <f t="shared" si="56"/>
        <v>0.63931795887402887</v>
      </c>
      <c r="U98" s="18">
        <f>+$G98*Multipliers!P221</f>
        <v>0.24224846085297619</v>
      </c>
      <c r="V98" s="18">
        <f>+$G98*Multipliers!Q221</f>
        <v>7.6460884469992413E-2</v>
      </c>
      <c r="W98" s="18">
        <f>+$G98*Multipliers!R221</f>
        <v>8.3958022693122539E-2</v>
      </c>
      <c r="X98" s="18">
        <f t="shared" si="57"/>
        <v>0.40266736801609115</v>
      </c>
      <c r="AB98" s="13" t="str">
        <f>DefaultData!B100</f>
        <v xml:space="preserve">  Assessed Value (percent of construction cost)</v>
      </c>
      <c r="AC98" s="15">
        <f>IF(ProjectData!$U$24="y",DefaultData!C100,ProjectData!B141)</f>
        <v>1</v>
      </c>
      <c r="AD98" s="7"/>
      <c r="AG98" s="346" t="s">
        <v>285</v>
      </c>
      <c r="AH98" s="313">
        <f>(L204-AH97)+M204</f>
        <v>0.52381636398798959</v>
      </c>
      <c r="AI98" s="314">
        <f>((P205+Q205))-AI97</f>
        <v>2.8657499597476918E-2</v>
      </c>
      <c r="AJ98" s="314">
        <f>((T205+U205))-AJ97</f>
        <v>9.4251068517963679E-2</v>
      </c>
      <c r="AK98" s="314">
        <f>((X205+Y205))-AK97</f>
        <v>5.1414418906012491E-2</v>
      </c>
    </row>
    <row r="99" spans="1:37" ht="15" x14ac:dyDescent="0.2">
      <c r="C99" s="6" t="s">
        <v>10</v>
      </c>
      <c r="D99" s="8">
        <f>$E$186*DefaultData!L109+$E$187*DefaultData!L110+$E$188*DefaultData!L111+$E$189*DefaultData!L112+$E$190*DefaultData!L113+$E$191*DefaultData!L114+$E$192*DefaultData!L115+$E$193*DefaultData!L116+$E$194*DefaultData!L117+$E$195*DefaultData!L118+$E$196*DefaultData!L119+$E$197*DefaultData!L120+$E$198*DefaultData!L121+$E$199*DefaultData!L122</f>
        <v>67705.6875</v>
      </c>
      <c r="F99" s="8">
        <f t="shared" si="53"/>
        <v>67705.6875</v>
      </c>
      <c r="G99" s="18">
        <f t="shared" si="52"/>
        <v>7.0993751133002561E-2</v>
      </c>
      <c r="H99" s="8"/>
      <c r="I99">
        <f>+G99*Multipliers!D222</f>
        <v>0.78824907061404748</v>
      </c>
      <c r="J99">
        <f>+$G99*Multipliers!E222</f>
        <v>0.15503200846443546</v>
      </c>
      <c r="K99">
        <f>+$G99*Multipliers!F222</f>
        <v>0.20168266895433806</v>
      </c>
      <c r="L99">
        <f t="shared" si="54"/>
        <v>1.144963748032821</v>
      </c>
      <c r="M99" s="18">
        <f>+$G99*Multipliers!H222</f>
        <v>2.8929244716216707E-2</v>
      </c>
      <c r="N99" s="18">
        <f>+$G99*Multipliers!I222</f>
        <v>8.6842452416323428E-3</v>
      </c>
      <c r="O99" s="18">
        <f>+$G99*Multipliers!J222</f>
        <v>1.0671640567173931E-2</v>
      </c>
      <c r="P99" s="18">
        <f t="shared" si="55"/>
        <v>4.8285130525022979E-2</v>
      </c>
      <c r="Q99" s="18">
        <f>+$G99*Multipliers!L222</f>
        <v>7.0993751133002561E-2</v>
      </c>
      <c r="R99" s="18">
        <f>+$G99*Multipliers!M222</f>
        <v>2.6221631987891264E-2</v>
      </c>
      <c r="S99" s="18">
        <f>+$G99*Multipliers!N222</f>
        <v>3.1889661257586188E-2</v>
      </c>
      <c r="T99" s="18">
        <f t="shared" si="56"/>
        <v>0.12910504437848003</v>
      </c>
      <c r="U99" s="18">
        <f>+$G99*Multipliers!P222</f>
        <v>4.8380520405853965E-2</v>
      </c>
      <c r="V99" s="18">
        <f>+$G99*Multipliers!Q222</f>
        <v>1.4830558971815884E-2</v>
      </c>
      <c r="W99" s="18">
        <f>+$G99*Multipliers!R222</f>
        <v>1.8152983125923543E-2</v>
      </c>
      <c r="X99" s="18">
        <f t="shared" si="57"/>
        <v>8.136406250359339E-2</v>
      </c>
      <c r="AB99" s="13" t="str">
        <f>DefaultData!B101</f>
        <v xml:space="preserve">  Taxable Value (percent of assessed value)</v>
      </c>
      <c r="AC99" s="15">
        <f>IF(ProjectData!$U$24="y",DefaultData!C101,ProjectData!B142)</f>
        <v>1</v>
      </c>
      <c r="AD99" s="15"/>
      <c r="AG99" s="312" t="s">
        <v>105</v>
      </c>
      <c r="AH99" s="313">
        <f>N204</f>
        <v>0.44071571295146278</v>
      </c>
      <c r="AI99" s="314">
        <f>R205</f>
        <v>2.3622124086459115E-2</v>
      </c>
      <c r="AJ99" s="314">
        <f>V205</f>
        <v>7.0592635291935948E-2</v>
      </c>
      <c r="AK99" s="314">
        <f>Z205</f>
        <v>4.0183198614266828E-2</v>
      </c>
    </row>
    <row r="100" spans="1:37" ht="15" x14ac:dyDescent="0.2">
      <c r="C100" s="6" t="s">
        <v>83</v>
      </c>
      <c r="D100" s="8">
        <f>$E$186*DefaultData!M109+$E$187*DefaultData!M110+$E$188*DefaultData!M111+$E$189*DefaultData!M112+$E$190*DefaultData!M113+$E$191*DefaultData!M114+$E$192*DefaultData!M115+$E$193*DefaultData!M116+$E$194*DefaultData!M117+$E$195*DefaultData!M118+$E$196*DefaultData!M119+$E$197*DefaultData!M120+$E$198*DefaultData!M121+$E$199*DefaultData!M122</f>
        <v>0</v>
      </c>
      <c r="F100" s="8">
        <f t="shared" si="53"/>
        <v>0</v>
      </c>
      <c r="G100" s="18">
        <f t="shared" si="52"/>
        <v>0</v>
      </c>
      <c r="H100" s="8"/>
      <c r="I100">
        <f>+G100*Multipliers!D223</f>
        <v>0</v>
      </c>
      <c r="J100">
        <f>+$G100*Multipliers!E223</f>
        <v>0</v>
      </c>
      <c r="K100">
        <f>+$G100*Multipliers!F223</f>
        <v>0</v>
      </c>
      <c r="L100">
        <f t="shared" si="54"/>
        <v>0</v>
      </c>
      <c r="M100" s="18">
        <f>+$G100*Multipliers!H223</f>
        <v>0</v>
      </c>
      <c r="N100" s="18">
        <f>+$G100*Multipliers!I223</f>
        <v>0</v>
      </c>
      <c r="O100" s="18">
        <f>+$G100*Multipliers!J223</f>
        <v>0</v>
      </c>
      <c r="P100" s="18">
        <f t="shared" si="55"/>
        <v>0</v>
      </c>
      <c r="Q100" s="18">
        <f>+$G100*Multipliers!L223</f>
        <v>0</v>
      </c>
      <c r="R100" s="18">
        <f>+$G100*Multipliers!M223</f>
        <v>0</v>
      </c>
      <c r="S100" s="18">
        <f>+$G100*Multipliers!N223</f>
        <v>0</v>
      </c>
      <c r="T100" s="18">
        <f t="shared" si="56"/>
        <v>0</v>
      </c>
      <c r="U100" s="18">
        <f>+$G100*Multipliers!P223</f>
        <v>0</v>
      </c>
      <c r="V100" s="18">
        <f>+$G100*Multipliers!Q223</f>
        <v>0</v>
      </c>
      <c r="W100" s="18">
        <f>+$G100*Multipliers!R223</f>
        <v>0</v>
      </c>
      <c r="X100" s="18">
        <f t="shared" si="57"/>
        <v>0</v>
      </c>
      <c r="AB100" s="13" t="str">
        <f>DefaultData!B102</f>
        <v xml:space="preserve">  Taxable Value</v>
      </c>
      <c r="AC100" s="118">
        <f>IF(ProjectData!$U$24="y",DefaultData!C102,ProjectData!B143)</f>
        <v>29859436.543492477</v>
      </c>
      <c r="AG100" s="312" t="s">
        <v>562</v>
      </c>
      <c r="AH100" s="372">
        <f>SUM(AH97:AH99)</f>
        <v>2.262538054903545</v>
      </c>
      <c r="AI100" s="315">
        <f>SUM(AI97:AI99)</f>
        <v>0.14927986398803481</v>
      </c>
      <c r="AJ100" s="315">
        <f>SUM(AJ97:AJ99)</f>
        <v>0.26184394411399842</v>
      </c>
      <c r="AK100" s="315">
        <f>SUM(AK97:AK99)</f>
        <v>0.1885978578243781</v>
      </c>
    </row>
    <row r="101" spans="1:37" ht="15" x14ac:dyDescent="0.2">
      <c r="C101" s="6" t="s">
        <v>84</v>
      </c>
      <c r="D101" s="8">
        <f>$E$186*DefaultData!N109+$E$187*DefaultData!N110+$E$188*DefaultData!N111+$E$189*DefaultData!N112+$E$190*DefaultData!N113+$E$191*DefaultData!N114+$E$192*DefaultData!N115+$E$193*DefaultData!N116+$E$194*DefaultData!N117+$E$195*DefaultData!N118+$E$196*DefaultData!N119+$E$197*DefaultData!N120+$E$198*DefaultData!N121+$E$199*DefaultData!N122</f>
        <v>94573.499999999985</v>
      </c>
      <c r="F101" s="8">
        <f t="shared" si="53"/>
        <v>94573.499999999985</v>
      </c>
      <c r="G101" s="18">
        <f t="shared" si="52"/>
        <v>9.916637391470276E-2</v>
      </c>
      <c r="H101" s="8"/>
      <c r="I101">
        <f>+G101*Multipliers!D224</f>
        <v>0.54313414040275254</v>
      </c>
      <c r="J101">
        <f>+$G101*Multipliers!E224</f>
        <v>0.22221707842394872</v>
      </c>
      <c r="K101">
        <f>+$G101*Multipliers!F224</f>
        <v>0.34333981145506104</v>
      </c>
      <c r="L101">
        <f t="shared" si="54"/>
        <v>1.1086910302817623</v>
      </c>
      <c r="M101" s="18">
        <f>+$G101*Multipliers!H224</f>
        <v>5.4388896497024573E-2</v>
      </c>
      <c r="N101" s="18">
        <f>+$G101*Multipliers!I224</f>
        <v>1.4935104739853947E-2</v>
      </c>
      <c r="O101" s="18">
        <f>+$G101*Multipliers!J224</f>
        <v>1.9663269325049564E-2</v>
      </c>
      <c r="P101" s="18">
        <f t="shared" si="55"/>
        <v>8.8987270561928095E-2</v>
      </c>
      <c r="Q101" s="18">
        <f>+$G101*Multipliers!L224</f>
        <v>9.916637391470276E-2</v>
      </c>
      <c r="R101" s="18">
        <f>+$G101*Multipliers!M224</f>
        <v>4.0336273642642695E-2</v>
      </c>
      <c r="S101" s="18">
        <f>+$G101*Multipliers!N224</f>
        <v>5.8758390731673084E-2</v>
      </c>
      <c r="T101" s="18">
        <f t="shared" si="56"/>
        <v>0.19826103828901853</v>
      </c>
      <c r="U101" s="18">
        <f>+$G101*Multipliers!P224</f>
        <v>6.328339749579584E-2</v>
      </c>
      <c r="V101" s="18">
        <f>+$G101*Multipliers!Q224</f>
        <v>2.3287668807591068E-2</v>
      </c>
      <c r="W101" s="18">
        <f>+$G101*Multipliers!R224</f>
        <v>3.344803795427799E-2</v>
      </c>
      <c r="X101" s="18">
        <f t="shared" si="57"/>
        <v>0.1200191042576649</v>
      </c>
      <c r="AB101" s="13" t="str">
        <f>DefaultData!B103</f>
        <v xml:space="preserve">  Property Tax Exemption (percent of local taxes)</v>
      </c>
      <c r="AC101" s="90">
        <f>IF(ProjectData!$U$24="y",DefaultData!C103,ProjectData!B144)</f>
        <v>0</v>
      </c>
    </row>
    <row r="102" spans="1:37" ht="15" x14ac:dyDescent="0.2">
      <c r="C102" s="6" t="s">
        <v>85</v>
      </c>
      <c r="D102" s="8">
        <f>$E$186*DefaultData!O109+$E$187*DefaultData!O110+$E$188*DefaultData!O111+$E$189*DefaultData!O112+$E$190*DefaultData!O113+$E$191*DefaultData!O114+$E$192*DefaultData!O115+$E$193*DefaultData!O116+$E$194*DefaultData!O117+$E$195*DefaultData!O118+$E$196*DefaultData!O119+$E$197*DefaultData!O120+$E$198*DefaultData!O121+$E$199*DefaultData!O122</f>
        <v>1289250</v>
      </c>
      <c r="F102" s="8">
        <f t="shared" si="53"/>
        <v>1289250</v>
      </c>
      <c r="G102" s="18">
        <f t="shared" si="52"/>
        <v>1.3518612250739432</v>
      </c>
      <c r="H102" s="8"/>
      <c r="I102">
        <f>+G102*Multipliers!D225</f>
        <v>10.144124027060771</v>
      </c>
      <c r="J102">
        <f>+$G102*Multipliers!E225</f>
        <v>3.3369418219799916</v>
      </c>
      <c r="K102">
        <f>+$G102*Multipliers!F225</f>
        <v>3.7522719794234565</v>
      </c>
      <c r="L102">
        <f t="shared" si="54"/>
        <v>17.233337828464219</v>
      </c>
      <c r="M102" s="18">
        <f>+$G102*Multipliers!H225</f>
        <v>0.5059759968299482</v>
      </c>
      <c r="N102" s="18">
        <f>+$G102*Multipliers!I225</f>
        <v>0.18962881015716926</v>
      </c>
      <c r="O102" s="18">
        <f>+$G102*Multipliers!J225</f>
        <v>0.19735940764717597</v>
      </c>
      <c r="P102" s="18">
        <f t="shared" si="55"/>
        <v>0.89296421463429343</v>
      </c>
      <c r="Q102" s="18">
        <f>+$G102*Multipliers!L225</f>
        <v>1.3518612250739432</v>
      </c>
      <c r="R102" s="18">
        <f>+$G102*Multipliers!M225</f>
        <v>0.57273264249034106</v>
      </c>
      <c r="S102" s="18">
        <f>+$G102*Multipliers!N225</f>
        <v>0.58976094330220707</v>
      </c>
      <c r="T102" s="18">
        <f t="shared" si="56"/>
        <v>2.5143548108664913</v>
      </c>
      <c r="U102" s="18">
        <f>+$G102*Multipliers!P225</f>
        <v>0.82261545718083018</v>
      </c>
      <c r="V102" s="18">
        <f>+$G102*Multipliers!Q225</f>
        <v>0.31862178053610563</v>
      </c>
      <c r="W102" s="18">
        <f>+$G102*Multipliers!R225</f>
        <v>0.33571782663568683</v>
      </c>
      <c r="X102" s="18">
        <f t="shared" si="57"/>
        <v>1.4769550643526226</v>
      </c>
      <c r="AB102" s="13" t="str">
        <f>DefaultData!B104</f>
        <v xml:space="preserve">  Local Property Taxes</v>
      </c>
      <c r="AC102" s="118">
        <f>IF(ProjectData!$U$24="y",DefaultData!C104,ProjectData!B145)</f>
        <v>0</v>
      </c>
      <c r="AD102" s="15">
        <f>IF(ProjectData!$U$24="y",DefaultData!E104,ProjectData!E145)</f>
        <v>1</v>
      </c>
      <c r="AI102" s="251"/>
    </row>
    <row r="103" spans="1:37" ht="15" x14ac:dyDescent="0.2">
      <c r="C103" s="6" t="s">
        <v>11</v>
      </c>
      <c r="D103" s="8">
        <f>$E$186*DefaultData!P109+$E$187*DefaultData!P110+$E$188*DefaultData!P111+$E$189*DefaultData!P112+$E$190*DefaultData!P113+$E$191*DefaultData!P114+$E$192*DefaultData!P115+$E$193*DefaultData!P116+$E$194*DefaultData!P117+$E$195*DefaultData!P118+$E$196*DefaultData!P119+$E$197*DefaultData!P120+$E$198*DefaultData!P121+$E$199*DefaultData!P122</f>
        <v>1007500</v>
      </c>
      <c r="E103" s="8"/>
      <c r="F103" s="8">
        <f t="shared" si="53"/>
        <v>1007500</v>
      </c>
      <c r="G103" s="18">
        <f t="shared" si="52"/>
        <v>1.0564282988264477</v>
      </c>
      <c r="H103" s="8"/>
      <c r="I103">
        <v>0</v>
      </c>
      <c r="J103">
        <f>+$G103*Multipliers!E226</f>
        <v>0.46243466001612471</v>
      </c>
      <c r="K103">
        <f>+$G103*Multipliers!F226</f>
        <v>3.981272505515649</v>
      </c>
      <c r="L103">
        <f t="shared" si="54"/>
        <v>4.4437071655317739</v>
      </c>
      <c r="M103" s="18">
        <v>0</v>
      </c>
      <c r="N103" s="18">
        <f>+$G103*Multipliers!I226</f>
        <v>3.2685293335369472E-2</v>
      </c>
      <c r="O103" s="18">
        <f>+$G103*Multipliers!J226</f>
        <v>0.23646667395528148</v>
      </c>
      <c r="P103" s="18">
        <f t="shared" si="55"/>
        <v>0.26915196729065094</v>
      </c>
      <c r="Q103" s="18">
        <v>0</v>
      </c>
      <c r="R103" s="18">
        <f>+$G103*Multipliers!M226</f>
        <v>9.9013076760582117E-2</v>
      </c>
      <c r="S103" s="18">
        <f>+$G103*Multipliers!N226</f>
        <v>0.70680251177466102</v>
      </c>
      <c r="T103" s="18">
        <f t="shared" si="56"/>
        <v>0.80581558853524315</v>
      </c>
      <c r="U103" s="18">
        <v>0</v>
      </c>
      <c r="V103" s="18">
        <f>+$G103*Multipliers!Q226</f>
        <v>5.2817680936936888E-2</v>
      </c>
      <c r="W103" s="18">
        <f>+$G103*Multipliers!R226</f>
        <v>0.40228230130702591</v>
      </c>
      <c r="X103" s="18">
        <f t="shared" si="57"/>
        <v>0.45509998224396281</v>
      </c>
      <c r="AB103" s="13" t="str">
        <f>DefaultData!B105</f>
        <v xml:space="preserve">  Local Sales Tax Rate</v>
      </c>
      <c r="AC103" s="196">
        <f>IF(ProjectData!$U$24="y",DefaultData!C105,ProjectData!B146)</f>
        <v>6.25E-2</v>
      </c>
      <c r="AD103" s="15">
        <f>IF(ProjectData!$U$24="y",DefaultData!E105,ProjectData!E146)</f>
        <v>1</v>
      </c>
      <c r="AI103" s="251"/>
    </row>
    <row r="104" spans="1:37" ht="15" x14ac:dyDescent="0.2">
      <c r="C104" s="6" t="s">
        <v>4</v>
      </c>
      <c r="D104" s="8">
        <f>SUM(D90:D103)</f>
        <v>6938849.5438848929</v>
      </c>
      <c r="E104" s="8"/>
      <c r="F104" s="8">
        <f>SUM(F90:F103)</f>
        <v>6938849.5438848929</v>
      </c>
      <c r="G104" s="20">
        <f>SUM(G90:G103)</f>
        <v>7.275828307155324</v>
      </c>
      <c r="H104" s="8"/>
      <c r="I104">
        <f t="shared" ref="I104:T104" si="58">SUM(I90:I103)</f>
        <v>71.65309406595027</v>
      </c>
      <c r="J104">
        <f t="shared" si="58"/>
        <v>17.155085565094616</v>
      </c>
      <c r="K104">
        <f t="shared" si="58"/>
        <v>20.295827332481466</v>
      </c>
      <c r="L104">
        <f t="shared" si="58"/>
        <v>109.10400696352634</v>
      </c>
      <c r="M104" s="18">
        <f t="shared" si="58"/>
        <v>4.6498856664773829</v>
      </c>
      <c r="N104" s="18">
        <f t="shared" si="58"/>
        <v>0.9838504191975852</v>
      </c>
      <c r="O104" s="18">
        <f t="shared" si="58"/>
        <v>1.0952363702161001</v>
      </c>
      <c r="P104" s="18">
        <f t="shared" si="58"/>
        <v>6.7289724558910686</v>
      </c>
      <c r="Q104" s="18">
        <f t="shared" si="58"/>
        <v>6.2194000083288765</v>
      </c>
      <c r="R104" s="18">
        <f t="shared" si="58"/>
        <v>3.1577309889779874</v>
      </c>
      <c r="S104" s="18">
        <f t="shared" si="58"/>
        <v>3.2726552525190411</v>
      </c>
      <c r="T104" s="18">
        <f t="shared" si="58"/>
        <v>12.649786249825905</v>
      </c>
      <c r="U104" s="18">
        <f t="shared" ref="U104:X104" si="59">SUM(U90:U103)</f>
        <v>5.1841269251160034</v>
      </c>
      <c r="V104" s="18">
        <f t="shared" si="59"/>
        <v>1.7074078022768726</v>
      </c>
      <c r="W104" s="18">
        <f t="shared" si="59"/>
        <v>1.8630049619933611</v>
      </c>
      <c r="X104" s="18">
        <f t="shared" si="59"/>
        <v>8.7545396893862382</v>
      </c>
      <c r="AB104" s="267" t="s">
        <v>240</v>
      </c>
      <c r="AC104" s="196"/>
      <c r="AD104" s="15"/>
      <c r="AI104" s="251"/>
    </row>
    <row r="105" spans="1:37" ht="15" x14ac:dyDescent="0.2">
      <c r="C105" s="6"/>
      <c r="I105" s="21"/>
      <c r="J105" s="21"/>
      <c r="K105" s="21"/>
      <c r="L105" s="21"/>
      <c r="M105" s="37"/>
      <c r="N105" s="37"/>
      <c r="O105" s="37"/>
      <c r="P105" s="37"/>
      <c r="Q105" s="37"/>
      <c r="R105" s="37"/>
      <c r="S105" s="37"/>
      <c r="T105" s="37"/>
      <c r="U105" s="37"/>
      <c r="V105" s="37"/>
      <c r="W105" s="37"/>
      <c r="X105" s="37"/>
      <c r="AB105" s="267" t="s">
        <v>286</v>
      </c>
      <c r="AC105" s="173" t="s">
        <v>249</v>
      </c>
      <c r="AD105" s="375" t="s">
        <v>254</v>
      </c>
      <c r="AI105" s="21"/>
    </row>
    <row r="106" spans="1:37" x14ac:dyDescent="0.2">
      <c r="C106" s="13"/>
      <c r="D106" s="16"/>
      <c r="F106" s="26" t="s">
        <v>95</v>
      </c>
      <c r="G106" s="10">
        <f>D86</f>
        <v>2012</v>
      </c>
      <c r="H106" t="s">
        <v>94</v>
      </c>
      <c r="U106" s="703"/>
      <c r="V106" s="703"/>
      <c r="W106" s="703"/>
      <c r="X106" s="703"/>
      <c r="AB106" s="13" t="str">
        <f>Calculations!C68</f>
        <v xml:space="preserve">    Civil (grading, roads, site prep, foundations, fencing)</v>
      </c>
      <c r="AC106" s="376">
        <f>IF(ProjectData!$U$24="y",E68,O68)</f>
        <v>17.45</v>
      </c>
      <c r="AD106" s="354">
        <f>IF(ProjectData!$U$24="y",G68,Q68)</f>
        <v>0.37606110248282032</v>
      </c>
    </row>
    <row r="107" spans="1:37" ht="15" x14ac:dyDescent="0.2">
      <c r="C107" s="6"/>
      <c r="G107" s="27">
        <f>Deflators!F8</f>
        <v>0.96661440560730427</v>
      </c>
      <c r="I107" s="11"/>
      <c r="M107" s="18">
        <f t="shared" ref="M107:T107" si="60">M104*$G107</f>
        <v>4.4946464696439596</v>
      </c>
      <c r="N107" s="18">
        <f t="shared" si="60"/>
        <v>0.95100398815917098</v>
      </c>
      <c r="O107" s="18">
        <f t="shared" si="60"/>
        <v>1.058671252995937</v>
      </c>
      <c r="P107" s="18">
        <f t="shared" si="60"/>
        <v>6.5043217107990676</v>
      </c>
      <c r="Q107" s="18">
        <f t="shared" si="60"/>
        <v>6.0117616422848803</v>
      </c>
      <c r="R107" s="18">
        <f t="shared" si="60"/>
        <v>3.0523082629787224</v>
      </c>
      <c r="S107" s="18">
        <f t="shared" si="60"/>
        <v>3.1633957116713152</v>
      </c>
      <c r="T107" s="18">
        <f t="shared" si="60"/>
        <v>12.227465616934918</v>
      </c>
      <c r="U107" s="18">
        <f t="shared" ref="U107:X107" si="61">U104*$G107</f>
        <v>5.0110517663138276</v>
      </c>
      <c r="V107" s="18">
        <f t="shared" si="61"/>
        <v>1.6504049779271328</v>
      </c>
      <c r="W107" s="18">
        <f t="shared" si="61"/>
        <v>1.8008074339806712</v>
      </c>
      <c r="X107" s="18">
        <f t="shared" si="61"/>
        <v>8.4622641782216323</v>
      </c>
      <c r="AB107" s="13" t="str">
        <f>Calculations!C69</f>
        <v xml:space="preserve">    Heavy Construction (Tower erection, Conductor stringing)</v>
      </c>
      <c r="AC107" s="376">
        <f>IF(ProjectData!$U$24="y",E69,O69)</f>
        <v>25.27</v>
      </c>
      <c r="AD107" s="354">
        <f>IF(ProjectData!$U$24="y",G69,Q69)</f>
        <v>0.37606110248282032</v>
      </c>
    </row>
    <row r="108" spans="1:37" ht="12" customHeight="1" x14ac:dyDescent="0.2">
      <c r="C108" s="6"/>
      <c r="I108" s="11"/>
      <c r="AB108" s="557" t="s">
        <v>560</v>
      </c>
      <c r="AC108" s="376">
        <f>IF(ProjectData!$U$24="y",E70,O70)</f>
        <v>29.98</v>
      </c>
      <c r="AD108" s="354">
        <f>IF(ProjectData!$U$24="y",G70,Q70)</f>
        <v>0.37606110248282032</v>
      </c>
    </row>
    <row r="109" spans="1:37" ht="15" x14ac:dyDescent="0.25">
      <c r="C109" s="28" t="str">
        <f>DefaultData!B68</f>
        <v>Annual Operating and Maintenance Costs</v>
      </c>
      <c r="I109" s="11"/>
      <c r="J109" s="11"/>
      <c r="AB109" s="1" t="str">
        <f>Calculations!C77</f>
        <v xml:space="preserve">  O&amp;M Labor</v>
      </c>
      <c r="AC109" s="376"/>
      <c r="AD109" s="354"/>
    </row>
    <row r="110" spans="1:37" ht="15" x14ac:dyDescent="0.25">
      <c r="C110" s="28" t="str">
        <f>DefaultData!B69</f>
        <v xml:space="preserve">  Transmission Line and ROW</v>
      </c>
      <c r="D110" s="29" t="s">
        <v>64</v>
      </c>
      <c r="E110" s="29" t="s">
        <v>5</v>
      </c>
      <c r="F110" s="11"/>
      <c r="G110" s="17" t="s">
        <v>88</v>
      </c>
      <c r="H110" s="1"/>
      <c r="I110" s="11"/>
      <c r="J110" s="11"/>
      <c r="AB110" s="507" t="str">
        <f>Calculations!C78</f>
        <v xml:space="preserve">    Transmission and ROW Labor/Personnel</v>
      </c>
      <c r="AC110" s="376">
        <f>IF(ProjectData!$U$24="y",E78,O78)</f>
        <v>23.16</v>
      </c>
      <c r="AD110" s="354">
        <f>IF(ProjectData!$U$24="y",G78,Q78)</f>
        <v>0.37606110248282032</v>
      </c>
    </row>
    <row r="111" spans="1:37" ht="12" customHeight="1" x14ac:dyDescent="0.2">
      <c r="C111" s="32" t="str">
        <f>DefaultData!B70</f>
        <v xml:space="preserve">    T-Line/ROW Labor</v>
      </c>
      <c r="D111" s="8">
        <f>IF(ProjectData!$U$24="y",DefaultData!C70,ProjectData!B112)</f>
        <v>139104</v>
      </c>
      <c r="E111" s="7">
        <f>IF(ProjectData!$U$24="y",DefaultData!F70,ProjectData!F112)</f>
        <v>0.6</v>
      </c>
      <c r="F111" s="11"/>
      <c r="G111" s="8">
        <f>D111*E111</f>
        <v>83462.399999999994</v>
      </c>
      <c r="I111" s="11"/>
      <c r="J111" s="11"/>
      <c r="AB111" s="507" t="str">
        <f>Calculations!C79</f>
        <v xml:space="preserve">    Substation and Converter Station Labor/Personnel</v>
      </c>
      <c r="AC111" s="376">
        <f>IF(ProjectData!$U$24="y",E79,O79)</f>
        <v>23.16</v>
      </c>
      <c r="AD111" s="354">
        <f>IF(ProjectData!$U$24="y",G79,Q79)</f>
        <v>0.37606110248282032</v>
      </c>
    </row>
    <row r="112" spans="1:37" s="462" customFormat="1" x14ac:dyDescent="0.2">
      <c r="A112" s="228"/>
      <c r="C112" s="32"/>
      <c r="D112" s="8"/>
      <c r="E112" s="7"/>
      <c r="F112" s="11"/>
      <c r="G112" s="8"/>
      <c r="I112" s="11"/>
      <c r="J112" s="11"/>
    </row>
    <row r="113" spans="1:31" s="462" customFormat="1" x14ac:dyDescent="0.2">
      <c r="A113" s="228"/>
      <c r="C113" s="32"/>
      <c r="D113" s="8"/>
      <c r="E113" s="7"/>
      <c r="F113" s="11"/>
      <c r="G113" s="8"/>
      <c r="I113" s="11"/>
      <c r="J113" s="11"/>
    </row>
    <row r="114" spans="1:31" s="462" customFormat="1" x14ac:dyDescent="0.2">
      <c r="A114" s="228"/>
      <c r="C114" s="32"/>
      <c r="D114" s="8"/>
      <c r="E114" s="7"/>
      <c r="F114" s="11"/>
      <c r="G114" s="8"/>
      <c r="I114" s="11"/>
      <c r="J114" s="11"/>
    </row>
    <row r="115" spans="1:31" s="462" customFormat="1" x14ac:dyDescent="0.2">
      <c r="A115" s="228"/>
      <c r="C115" s="32"/>
      <c r="D115" s="8"/>
      <c r="E115" s="7"/>
      <c r="F115" s="11"/>
      <c r="G115" s="8"/>
      <c r="I115" s="11"/>
      <c r="J115" s="11"/>
    </row>
    <row r="116" spans="1:31" s="462" customFormat="1" x14ac:dyDescent="0.2">
      <c r="A116" s="228"/>
      <c r="C116" s="32"/>
      <c r="D116" s="8"/>
      <c r="E116" s="7"/>
      <c r="F116" s="11"/>
      <c r="G116" s="8"/>
      <c r="I116" s="11"/>
      <c r="J116" s="11"/>
      <c r="AB116" s="438"/>
      <c r="AC116" s="376"/>
      <c r="AD116" s="354"/>
    </row>
    <row r="117" spans="1:31" s="462" customFormat="1" x14ac:dyDescent="0.2">
      <c r="A117" s="228"/>
      <c r="C117" s="32" t="str">
        <f>DefaultData!B71</f>
        <v xml:space="preserve">    T-Line/ROW Maintenance Materials</v>
      </c>
      <c r="D117" s="8">
        <f>IF(ProjectData!$U$24="y",DefaultData!C71,ProjectData!B113)</f>
        <v>34400</v>
      </c>
      <c r="E117" s="7">
        <f>IF(ProjectData!$U$24="y",DefaultData!F71,ProjectData!F113)</f>
        <v>0.1</v>
      </c>
      <c r="F117" s="11"/>
      <c r="G117" s="8">
        <f t="shared" ref="G117:G119" si="62">D117*E117</f>
        <v>3440</v>
      </c>
      <c r="I117" s="11"/>
      <c r="J117" s="11"/>
      <c r="AB117" s="438"/>
      <c r="AC117" s="376"/>
      <c r="AD117" s="354"/>
    </row>
    <row r="118" spans="1:31" s="462" customFormat="1" x14ac:dyDescent="0.2">
      <c r="A118" s="228"/>
      <c r="C118" s="32" t="str">
        <f>DefaultData!B72</f>
        <v xml:space="preserve">    Insurance</v>
      </c>
      <c r="D118" s="8">
        <f>IF(ProjectData!$U$24="y",DefaultData!C72,ProjectData!B114)</f>
        <v>20000</v>
      </c>
      <c r="E118" s="7">
        <f>IF(ProjectData!$U$24="y",DefaultData!F72,ProjectData!F114)</f>
        <v>0</v>
      </c>
      <c r="F118" s="11"/>
      <c r="G118" s="8">
        <f t="shared" si="62"/>
        <v>0</v>
      </c>
      <c r="I118" s="11"/>
      <c r="J118" s="11"/>
    </row>
    <row r="119" spans="1:31" s="462" customFormat="1" x14ac:dyDescent="0.2">
      <c r="A119" s="228"/>
      <c r="C119" s="32" t="str">
        <f>DefaultData!B73</f>
        <v xml:space="preserve">    Replacement Parts/Equipment/ Spare Parts Inventory</v>
      </c>
      <c r="D119" s="8">
        <f>IF(ProjectData!$U$24="y",DefaultData!C73,ProjectData!B115)</f>
        <v>20000</v>
      </c>
      <c r="E119" s="7">
        <f>IF(ProjectData!$U$24="y",DefaultData!F73,ProjectData!F115)</f>
        <v>0</v>
      </c>
      <c r="F119" s="11"/>
      <c r="G119" s="8">
        <f t="shared" si="62"/>
        <v>0</v>
      </c>
      <c r="I119" s="11"/>
      <c r="J119" s="11"/>
    </row>
    <row r="120" spans="1:31" s="462" customFormat="1" x14ac:dyDescent="0.2">
      <c r="A120" s="228"/>
      <c r="C120" s="32" t="str">
        <f>DefaultData!B74</f>
        <v xml:space="preserve">    Subtotal</v>
      </c>
      <c r="D120" s="8">
        <f>SUM(D111:D119)</f>
        <v>213504</v>
      </c>
      <c r="E120" s="7">
        <f>IF(ProjectData!$U$24="y",DefaultData!F74,ProjectData!F116)</f>
        <v>0</v>
      </c>
      <c r="F120" s="11"/>
      <c r="G120" s="8">
        <f>SUM(G111:G119)</f>
        <v>86902.399999999994</v>
      </c>
      <c r="I120" s="11"/>
      <c r="J120" s="11"/>
    </row>
    <row r="121" spans="1:31" x14ac:dyDescent="0.2">
      <c r="C121" s="324" t="str">
        <f>DefaultData!B75</f>
        <v xml:space="preserve">  Substation/Converter Station</v>
      </c>
      <c r="D121" s="8"/>
      <c r="E121" s="7"/>
      <c r="AB121" s="507"/>
    </row>
    <row r="122" spans="1:31" x14ac:dyDescent="0.2">
      <c r="C122" s="32" t="str">
        <f>DefaultData!B76</f>
        <v xml:space="preserve">    Labor/Personnel</v>
      </c>
      <c r="D122" s="8">
        <f>IF(ProjectData!$U$24="y",DefaultData!C76,ProjectData!B118)</f>
        <v>5161.5</v>
      </c>
      <c r="E122" s="7">
        <f>IF(ProjectData!$U$24="y",DefaultData!F76,ProjectData!F118)</f>
        <v>0.5</v>
      </c>
      <c r="F122" s="10"/>
      <c r="G122" s="8">
        <f>D122*E122</f>
        <v>2580.75</v>
      </c>
      <c r="H122" s="85"/>
      <c r="I122" s="8"/>
      <c r="J122" s="8"/>
    </row>
    <row r="123" spans="1:31" x14ac:dyDescent="0.2">
      <c r="C123" s="32" t="str">
        <f>DefaultData!B77</f>
        <v xml:space="preserve">    Insurance</v>
      </c>
      <c r="D123" s="8">
        <f>IF(ProjectData!$U$24="y",DefaultData!C77,ProjectData!B119)</f>
        <v>11100</v>
      </c>
      <c r="E123" s="7">
        <f>IF(ProjectData!$U$24="y",DefaultData!F77,ProjectData!F119)</f>
        <v>0</v>
      </c>
      <c r="F123" s="10"/>
      <c r="G123" s="8">
        <f>D123*E123</f>
        <v>0</v>
      </c>
    </row>
    <row r="124" spans="1:31" x14ac:dyDescent="0.2">
      <c r="C124" s="32" t="str">
        <f>DefaultData!B78</f>
        <v xml:space="preserve">    Replacement Parts/Equipment/ Spare Parts Inventory</v>
      </c>
      <c r="D124" s="8">
        <f>IF(ProjectData!$U$24="y",DefaultData!C78,ProjectData!B120)</f>
        <v>5550</v>
      </c>
      <c r="E124" s="7">
        <f>IF(ProjectData!$U$24="y",DefaultData!F78,ProjectData!F120)</f>
        <v>0</v>
      </c>
      <c r="G124" s="8">
        <f>D124*E124</f>
        <v>0</v>
      </c>
    </row>
    <row r="125" spans="1:31" x14ac:dyDescent="0.2">
      <c r="C125" s="32" t="str">
        <f>DefaultData!B79</f>
        <v xml:space="preserve">    Subtotal</v>
      </c>
      <c r="D125" s="8">
        <f>SUM(D122:D124)</f>
        <v>21811.5</v>
      </c>
      <c r="E125" s="7">
        <f>IF(ProjectData!$U$24="y",DefaultData!F79,ProjectData!F121)</f>
        <v>0</v>
      </c>
      <c r="G125" s="8">
        <f>SUM(G122:G124)</f>
        <v>2580.75</v>
      </c>
    </row>
    <row r="126" spans="1:31" x14ac:dyDescent="0.2">
      <c r="C126" s="32" t="str">
        <f>DefaultData!B80</f>
        <v xml:space="preserve">  Subtotal All O&amp;M Costs (without sales tax)</v>
      </c>
      <c r="D126" s="8">
        <f>D125+D120</f>
        <v>235315.5</v>
      </c>
      <c r="E126" s="7"/>
      <c r="F126" s="462"/>
      <c r="G126" s="8">
        <f>G125+G120</f>
        <v>89483.15</v>
      </c>
    </row>
    <row r="127" spans="1:31" x14ac:dyDescent="0.2">
      <c r="C127" s="324" t="str">
        <f>DefaultData!B81</f>
        <v xml:space="preserve">  Sales Tax (Materials &amp; Equipment Purchases)</v>
      </c>
      <c r="D127" s="8">
        <f>IF(ProjectData!$U$24="y",DefaultData!C81,ProjectData!B123)</f>
        <v>3746.875</v>
      </c>
      <c r="E127" s="7">
        <f>IF(ProjectData!$U$24="y",DefaultData!F81,ProjectData!F123)</f>
        <v>1</v>
      </c>
      <c r="G127" s="8">
        <f>D127*E127</f>
        <v>3746.875</v>
      </c>
      <c r="AB127" s="1"/>
      <c r="AC127" s="1"/>
      <c r="AD127" s="1"/>
    </row>
    <row r="128" spans="1:31" x14ac:dyDescent="0.2">
      <c r="C128" s="324" t="str">
        <f>DefaultData!B82</f>
        <v xml:space="preserve">  Right of Way/Royalty Payments - Public land</v>
      </c>
      <c r="D128" s="8">
        <f>IF(ProjectData!$U$24="y",DefaultData!C82,ProjectData!B124)</f>
        <v>18181.818181818184</v>
      </c>
      <c r="E128" s="7">
        <f>IF(ProjectData!$U$24="y",DefaultData!F82,ProjectData!F124)</f>
        <v>1</v>
      </c>
      <c r="G128" s="8">
        <f>D128*E128</f>
        <v>18181.818181818184</v>
      </c>
      <c r="AB128" s="13"/>
      <c r="AC128" s="196"/>
      <c r="AD128" s="15"/>
      <c r="AE128" s="15"/>
    </row>
    <row r="129" spans="3:31" x14ac:dyDescent="0.2">
      <c r="C129" s="324" t="str">
        <f>DefaultData!B83</f>
        <v xml:space="preserve">  Total with Payments</v>
      </c>
      <c r="D129" s="8">
        <f>D128+D127+D126</f>
        <v>257244.19318181818</v>
      </c>
      <c r="G129" s="8">
        <f>G128+G127+G126</f>
        <v>111411.84318181817</v>
      </c>
      <c r="AB129" s="13"/>
      <c r="AC129" s="196"/>
      <c r="AD129" s="15"/>
      <c r="AE129" s="15"/>
    </row>
    <row r="130" spans="3:31" x14ac:dyDescent="0.2">
      <c r="C130" s="324" t="s">
        <v>330</v>
      </c>
      <c r="D130" s="8">
        <f>IF(ProjectData!$U$24="y",F252,Calculations!F298)</f>
        <v>988807.4351593625</v>
      </c>
      <c r="E130" s="7">
        <f>IF(ProjectData!$U$24="y",DefaultData!E88,ProjectData!E130)</f>
        <v>0</v>
      </c>
      <c r="G130" s="8">
        <f>D130*E130</f>
        <v>0</v>
      </c>
      <c r="H130" s="8">
        <f>IF(ProjectData!$U$24="y",Calculations!D252,D298)*E130</f>
        <v>0</v>
      </c>
      <c r="I130" s="23" t="s">
        <v>120</v>
      </c>
      <c r="AB130" s="13"/>
      <c r="AC130" s="69"/>
      <c r="AD130" s="69"/>
      <c r="AE130" s="15"/>
    </row>
    <row r="131" spans="3:31" x14ac:dyDescent="0.2">
      <c r="C131" s="365" t="s">
        <v>331</v>
      </c>
      <c r="D131" s="8">
        <f>IF(ProjectData!$U$24="y",K$252,Calculations!K$298)</f>
        <v>0</v>
      </c>
      <c r="E131" s="7">
        <f>IF(ProjectData!$U$24="y",DefaultData!E94,ProjectData!E135)</f>
        <v>0</v>
      </c>
      <c r="G131" s="8">
        <f>D131*E131</f>
        <v>0</v>
      </c>
      <c r="H131" s="8">
        <f>IF(ProjectData!$U$24="y",Calculations!I252,I298)*E131</f>
        <v>0</v>
      </c>
      <c r="I131" s="23" t="s">
        <v>333</v>
      </c>
      <c r="AB131" s="13"/>
      <c r="AC131" s="121"/>
      <c r="AD131" s="121"/>
      <c r="AE131" s="15"/>
    </row>
    <row r="132" spans="3:31" x14ac:dyDescent="0.2">
      <c r="C132" s="365" t="s">
        <v>332</v>
      </c>
      <c r="D132" s="8">
        <f>IF(ProjectData!$U$24="y",P$252,Calculations!P$298)</f>
        <v>2680868.6784097627</v>
      </c>
      <c r="E132" s="7">
        <f>IF(ProjectData!$U$24="y",DefaultData!E95,ProjectData!E136)</f>
        <v>0</v>
      </c>
      <c r="G132" s="8">
        <f>D132*E132</f>
        <v>0</v>
      </c>
      <c r="H132" s="8">
        <f>IF(ProjectData!$U$24="y",Calculations!N252,N298)*E132</f>
        <v>0</v>
      </c>
      <c r="I132" s="23" t="s">
        <v>333</v>
      </c>
      <c r="AB132" s="13"/>
      <c r="AC132" s="120"/>
      <c r="AD132" s="120"/>
    </row>
    <row r="133" spans="3:31" x14ac:dyDescent="0.2">
      <c r="C133" s="1" t="s">
        <v>96</v>
      </c>
      <c r="D133" s="8">
        <f>IF(ProjectData!$U$24="y",DefaultData!C104,ProjectData!B145)</f>
        <v>0</v>
      </c>
      <c r="E133" s="7">
        <f>IF(ProjectData!$U$24="y",DefaultData!E104,ProjectData!E145)</f>
        <v>1</v>
      </c>
      <c r="G133" s="8">
        <f>D133*E133</f>
        <v>0</v>
      </c>
      <c r="I133" s="30"/>
      <c r="AB133" s="142"/>
      <c r="AC133" s="143"/>
      <c r="AD133" s="143"/>
      <c r="AE133" s="15"/>
    </row>
    <row r="134" spans="3:31" x14ac:dyDescent="0.2">
      <c r="C134" s="17" t="s">
        <v>4</v>
      </c>
      <c r="D134" s="8">
        <f>SUM(D129:D133)</f>
        <v>3926920.3067509434</v>
      </c>
      <c r="E134" s="7"/>
      <c r="G134" s="8">
        <f>SUM(G129:G133)</f>
        <v>111411.84318181817</v>
      </c>
      <c r="I134" s="23"/>
      <c r="AB134" s="108"/>
      <c r="AC134" s="144"/>
      <c r="AD134" s="144"/>
      <c r="AE134" s="74"/>
    </row>
    <row r="135" spans="3:31" x14ac:dyDescent="0.2">
      <c r="C135" s="17" t="s">
        <v>350</v>
      </c>
      <c r="D135" s="102">
        <f>D126+D127</f>
        <v>239062.375</v>
      </c>
      <c r="E135" s="84">
        <f>D134-D135</f>
        <v>3687857.9317509434</v>
      </c>
      <c r="G135" s="102">
        <f>G126+G127</f>
        <v>93230.024999999994</v>
      </c>
      <c r="H135" s="102">
        <f>G128+G130+G131+G132+G133</f>
        <v>18181.818181818184</v>
      </c>
      <c r="AB135" s="108"/>
      <c r="AC135" s="144"/>
      <c r="AD135" s="144"/>
      <c r="AE135" s="145"/>
    </row>
    <row r="136" spans="3:31" x14ac:dyDescent="0.2">
      <c r="C136" s="29" t="s">
        <v>329</v>
      </c>
      <c r="D136" s="556">
        <f>D135/(ProjectData!B20)</f>
        <v>11953.11875</v>
      </c>
      <c r="E136" s="363">
        <f>D135/D57</f>
        <v>8.0062587467713258E-3</v>
      </c>
      <c r="AB136" s="108"/>
      <c r="AC136" s="144"/>
      <c r="AD136" s="144"/>
      <c r="AE136" s="145"/>
    </row>
    <row r="137" spans="3:31" x14ac:dyDescent="0.2">
      <c r="AE137" s="145"/>
    </row>
    <row r="139" spans="3:31" x14ac:dyDescent="0.2">
      <c r="C139" s="30"/>
      <c r="D139" s="107" t="s">
        <v>5</v>
      </c>
      <c r="E139" s="154">
        <v>1</v>
      </c>
      <c r="F139" s="154">
        <v>0.5</v>
      </c>
      <c r="L139" s="1" t="s">
        <v>108</v>
      </c>
    </row>
    <row r="140" spans="3:31" x14ac:dyDescent="0.2">
      <c r="C140" s="17" t="s">
        <v>149</v>
      </c>
      <c r="F140" s="24"/>
      <c r="G140" s="25"/>
      <c r="O140">
        <f>M87</f>
        <v>2014</v>
      </c>
      <c r="P140" t="str">
        <f>N87</f>
        <v>Dollars</v>
      </c>
    </row>
    <row r="141" spans="3:31" x14ac:dyDescent="0.2">
      <c r="D141" s="19" t="s">
        <v>69</v>
      </c>
      <c r="E141" s="23"/>
      <c r="F141" s="10"/>
      <c r="G141" s="10" t="s">
        <v>4</v>
      </c>
      <c r="H141" s="30" t="s">
        <v>194</v>
      </c>
      <c r="I141" s="19"/>
      <c r="J141" s="10"/>
      <c r="L141" s="11" t="s">
        <v>6</v>
      </c>
      <c r="M141" s="11"/>
      <c r="N141" s="11"/>
      <c r="O141" s="11"/>
      <c r="P141" s="11" t="s">
        <v>100</v>
      </c>
      <c r="Q141" s="11"/>
      <c r="R141" s="11"/>
      <c r="S141" s="11"/>
      <c r="T141" s="11" t="s">
        <v>101</v>
      </c>
      <c r="X141" s="11" t="s">
        <v>651</v>
      </c>
      <c r="Y141" s="703"/>
      <c r="Z141" s="703"/>
      <c r="AA141" s="703"/>
    </row>
    <row r="142" spans="3:31" x14ac:dyDescent="0.2">
      <c r="E142" s="23"/>
      <c r="F142" s="10"/>
      <c r="G142" s="19"/>
      <c r="H142" s="19">
        <f>M87</f>
        <v>2014</v>
      </c>
      <c r="I142" s="30" t="s">
        <v>94</v>
      </c>
      <c r="J142" s="19"/>
      <c r="L142" s="11" t="s">
        <v>74</v>
      </c>
      <c r="M142" s="11" t="s">
        <v>75</v>
      </c>
      <c r="N142" s="11" t="s">
        <v>76</v>
      </c>
      <c r="O142" s="11" t="s">
        <v>4</v>
      </c>
      <c r="P142" s="11" t="s">
        <v>74</v>
      </c>
      <c r="Q142" s="11" t="s">
        <v>75</v>
      </c>
      <c r="R142" s="11" t="s">
        <v>76</v>
      </c>
      <c r="S142" s="11" t="s">
        <v>4</v>
      </c>
      <c r="T142" s="11" t="s">
        <v>74</v>
      </c>
      <c r="U142" s="11" t="s">
        <v>75</v>
      </c>
      <c r="V142" s="11" t="s">
        <v>76</v>
      </c>
      <c r="W142" s="11" t="s">
        <v>4</v>
      </c>
      <c r="X142" s="11" t="s">
        <v>74</v>
      </c>
      <c r="Y142" s="11" t="s">
        <v>75</v>
      </c>
      <c r="Z142" s="11" t="s">
        <v>76</v>
      </c>
      <c r="AA142" s="11" t="s">
        <v>4</v>
      </c>
    </row>
    <row r="143" spans="3:31" ht="15" x14ac:dyDescent="0.2">
      <c r="C143" s="6" t="s">
        <v>7</v>
      </c>
      <c r="D143" s="8">
        <f>$D$186*DefaultData!C109+$D$187*DefaultData!C110+$D$188*DefaultData!C111+$D$189*DefaultData!C112+$D$190*DefaultData!C113+$D$191*DefaultData!C114+$D$192*DefaultData!C115+$D$193*DefaultData!C116+$D$194*DefaultData!C117+$D$195*DefaultData!C118+$D$196*DefaultData!C119+$D$197*DefaultData!C120+$D$198*DefaultData!C121+$D$199*DefaultData!C122</f>
        <v>0</v>
      </c>
      <c r="E143" s="8"/>
      <c r="F143" s="8"/>
      <c r="G143" s="8">
        <f>F143+E143+D143</f>
        <v>0</v>
      </c>
      <c r="H143" s="18">
        <f t="shared" ref="H143:H156" si="63">G143*G$86/10^6</f>
        <v>0</v>
      </c>
      <c r="I143" s="8"/>
      <c r="J143" s="18"/>
      <c r="L143" s="78">
        <f>$H143*Multipliers!D213</f>
        <v>0</v>
      </c>
      <c r="M143" s="78">
        <f>$H143*Multipliers!E213</f>
        <v>0</v>
      </c>
      <c r="N143" s="78">
        <f>$H143*Multipliers!F213</f>
        <v>0</v>
      </c>
      <c r="O143" s="78">
        <f>+N143+M143+L143</f>
        <v>0</v>
      </c>
      <c r="P143" s="35">
        <f>$H143*Multipliers!H213</f>
        <v>0</v>
      </c>
      <c r="Q143" s="35">
        <f>$H143*Multipliers!I213</f>
        <v>0</v>
      </c>
      <c r="R143" s="35">
        <f>$H143*Multipliers!J213</f>
        <v>0</v>
      </c>
      <c r="S143" s="35">
        <f>+R143+Q143+P143</f>
        <v>0</v>
      </c>
      <c r="T143" s="35">
        <f>$H143*Multipliers!L213</f>
        <v>0</v>
      </c>
      <c r="U143" s="35">
        <f>$H143*Multipliers!M213</f>
        <v>0</v>
      </c>
      <c r="V143" s="35">
        <f>$H143*Multipliers!N213</f>
        <v>0</v>
      </c>
      <c r="W143" s="35">
        <f>+V143+U143+T143</f>
        <v>0</v>
      </c>
      <c r="X143" s="35">
        <f>$H143*Multipliers!P213</f>
        <v>0</v>
      </c>
      <c r="Y143" s="35">
        <f>$H143*Multipliers!Q213</f>
        <v>0</v>
      </c>
      <c r="Z143" s="35">
        <f>$H143*Multipliers!R213</f>
        <v>0</v>
      </c>
      <c r="AA143" s="35">
        <f>+Z143+Y143+X143</f>
        <v>0</v>
      </c>
    </row>
    <row r="144" spans="3:31" ht="15" x14ac:dyDescent="0.2">
      <c r="C144" s="6" t="s">
        <v>77</v>
      </c>
      <c r="D144" s="8">
        <f>$D$186*DefaultData!D109+$D$187*DefaultData!D110+$D$188*DefaultData!D111+$D$189*DefaultData!D112+$D$190*DefaultData!D113+$D$191*DefaultData!D114+$D$192*DefaultData!D115+$D$193*DefaultData!D116+$D$194*DefaultData!D117+$D$195*DefaultData!D118+$D$196*DefaultData!D119+$D$197*DefaultData!D120+$D$198*DefaultData!D121+$D$199*DefaultData!D122</f>
        <v>0</v>
      </c>
      <c r="E144" s="8"/>
      <c r="F144" s="8"/>
      <c r="G144" s="8">
        <f t="shared" ref="G144:G157" si="64">F144+E144+D144</f>
        <v>0</v>
      </c>
      <c r="H144" s="18">
        <f t="shared" si="63"/>
        <v>0</v>
      </c>
      <c r="I144" s="8"/>
      <c r="J144" s="18"/>
      <c r="L144" s="78">
        <f>$H144*Multipliers!D214</f>
        <v>0</v>
      </c>
      <c r="M144" s="78">
        <f>$H144*Multipliers!E214</f>
        <v>0</v>
      </c>
      <c r="N144" s="78">
        <f>$H144*Multipliers!F214</f>
        <v>0</v>
      </c>
      <c r="O144" s="78">
        <f t="shared" ref="O144:O156" si="65">+N144+M144+L144</f>
        <v>0</v>
      </c>
      <c r="P144" s="35">
        <f>$H144*Multipliers!H214</f>
        <v>0</v>
      </c>
      <c r="Q144" s="35">
        <f>$H144*Multipliers!I214</f>
        <v>0</v>
      </c>
      <c r="R144" s="35">
        <f>$H144*Multipliers!J214</f>
        <v>0</v>
      </c>
      <c r="S144" s="35">
        <f t="shared" ref="S144:S156" si="66">+R144+Q144+P144</f>
        <v>0</v>
      </c>
      <c r="T144" s="35">
        <f>$H144*Multipliers!L214</f>
        <v>0</v>
      </c>
      <c r="U144" s="35">
        <f>$H144*Multipliers!M214</f>
        <v>0</v>
      </c>
      <c r="V144" s="35">
        <f>$H144*Multipliers!N214</f>
        <v>0</v>
      </c>
      <c r="W144" s="35">
        <f t="shared" ref="W144:W156" si="67">+V144+U144+T144</f>
        <v>0</v>
      </c>
      <c r="X144" s="35">
        <f>$H144*Multipliers!P214</f>
        <v>0</v>
      </c>
      <c r="Y144" s="35">
        <f>$H144*Multipliers!Q214</f>
        <v>0</v>
      </c>
      <c r="Z144" s="35">
        <f>$H144*Multipliers!R214</f>
        <v>0</v>
      </c>
      <c r="AA144" s="35">
        <f t="shared" ref="AA144:AA156" si="68">+Z144+Y144+X144</f>
        <v>0</v>
      </c>
    </row>
    <row r="145" spans="3:27" ht="15" x14ac:dyDescent="0.2">
      <c r="C145" s="6" t="s">
        <v>8</v>
      </c>
      <c r="D145" s="8">
        <f>$D$186*DefaultData!E109+$D$187*DefaultData!E110+$D$188*DefaultData!E111+$D$189*DefaultData!E112+$D$190*DefaultData!E113+$D$191*DefaultData!E114+$D$192*DefaultData!E115+$D$193*DefaultData!E116+$D$194*DefaultData!E117+$D$195*DefaultData!E118+$D$196*DefaultData!E119+$D$197*DefaultData!E120+$D$198*DefaultData!E121+$D$199*DefaultData!E122</f>
        <v>0</v>
      </c>
      <c r="E145" s="8"/>
      <c r="F145" s="8"/>
      <c r="G145" s="8">
        <f t="shared" si="64"/>
        <v>0</v>
      </c>
      <c r="H145" s="18">
        <f t="shared" si="63"/>
        <v>0</v>
      </c>
      <c r="I145" s="8"/>
      <c r="J145" s="279"/>
      <c r="L145" s="78">
        <f>$H145*Multipliers!D215</f>
        <v>0</v>
      </c>
      <c r="M145" s="78">
        <f>$H145*Multipliers!E215</f>
        <v>0</v>
      </c>
      <c r="N145" s="78">
        <f>$H145*Multipliers!F215</f>
        <v>0</v>
      </c>
      <c r="O145" s="78">
        <f t="shared" si="65"/>
        <v>0</v>
      </c>
      <c r="P145" s="35">
        <f>$H145*Multipliers!H215</f>
        <v>0</v>
      </c>
      <c r="Q145" s="35">
        <f>$H145*Multipliers!I215</f>
        <v>0</v>
      </c>
      <c r="R145" s="35">
        <f>$H145*Multipliers!J215</f>
        <v>0</v>
      </c>
      <c r="S145" s="35">
        <f t="shared" si="66"/>
        <v>0</v>
      </c>
      <c r="T145" s="35">
        <f>$H145*Multipliers!L215</f>
        <v>0</v>
      </c>
      <c r="U145" s="35">
        <f>$H145*Multipliers!M215</f>
        <v>0</v>
      </c>
      <c r="V145" s="35">
        <f>$H145*Multipliers!N215</f>
        <v>0</v>
      </c>
      <c r="W145" s="35">
        <f t="shared" si="67"/>
        <v>0</v>
      </c>
      <c r="X145" s="35">
        <f>$H145*Multipliers!P215</f>
        <v>0</v>
      </c>
      <c r="Y145" s="35">
        <f>$H145*Multipliers!Q215</f>
        <v>0</v>
      </c>
      <c r="Z145" s="35">
        <f>$H145*Multipliers!R215</f>
        <v>0</v>
      </c>
      <c r="AA145" s="35">
        <f t="shared" si="68"/>
        <v>0</v>
      </c>
    </row>
    <row r="146" spans="3:27" ht="15" x14ac:dyDescent="0.2">
      <c r="C146" s="6" t="s">
        <v>78</v>
      </c>
      <c r="D146" s="8">
        <f>$D$186*DefaultData!F109+$D$187*DefaultData!F110+$D$188*DefaultData!F111+$D$189*DefaultData!F112+$D$190*DefaultData!F113+$D$191*DefaultData!F114+$D$192*DefaultData!F115+$D$193*DefaultData!F116+$D$194*DefaultData!F117+$D$195*DefaultData!F118+$D$196*DefaultData!F119+$D$197*DefaultData!F120+$D$198*DefaultData!F121+$D$199*DefaultData!F122</f>
        <v>1920.9372800000001</v>
      </c>
      <c r="E146" s="8"/>
      <c r="F146" s="8"/>
      <c r="G146" s="8">
        <f t="shared" si="64"/>
        <v>1920.9372800000001</v>
      </c>
      <c r="H146" s="18">
        <f t="shared" si="63"/>
        <v>2.0142258092930064E-3</v>
      </c>
      <c r="I146" s="8"/>
      <c r="J146" s="8"/>
      <c r="L146" s="78">
        <f>$H146*Multipliers!D216</f>
        <v>2.1063959614150145E-3</v>
      </c>
      <c r="M146" s="78">
        <f>$H146*Multipliers!E216</f>
        <v>4.728918644055698E-3</v>
      </c>
      <c r="N146" s="78">
        <f>$H146*Multipliers!F216</f>
        <v>2.9162320031351236E-3</v>
      </c>
      <c r="O146" s="78">
        <f t="shared" si="65"/>
        <v>9.7515466086058357E-3</v>
      </c>
      <c r="P146" s="35">
        <f>$H146*Multipliers!H216</f>
        <v>1.9805443882448627E-4</v>
      </c>
      <c r="Q146" s="35">
        <f>$H146*Multipliers!I216</f>
        <v>3.3655644764327939E-4</v>
      </c>
      <c r="R146" s="35">
        <f>$H146*Multipliers!J216</f>
        <v>1.5155515435999922E-4</v>
      </c>
      <c r="S146" s="35">
        <f t="shared" si="66"/>
        <v>6.8616604082776488E-4</v>
      </c>
      <c r="T146" s="35">
        <f>$H146*Multipliers!L216</f>
        <v>2.0142258092930064E-3</v>
      </c>
      <c r="U146" s="35">
        <f>$H146*Multipliers!M216</f>
        <v>1.2728067223522525E-3</v>
      </c>
      <c r="V146" s="35">
        <f>$H146*Multipliers!N216</f>
        <v>4.5286790644547383E-4</v>
      </c>
      <c r="W146" s="35">
        <f t="shared" si="67"/>
        <v>3.739900438090733E-3</v>
      </c>
      <c r="X146" s="35">
        <f>$H146*Multipliers!P216</f>
        <v>4.9560050087515506E-4</v>
      </c>
      <c r="Y146" s="35">
        <f>$H146*Multipliers!Q216</f>
        <v>6.5409000983620983E-4</v>
      </c>
      <c r="Z146" s="35">
        <f>$H146*Multipliers!R216</f>
        <v>2.5779843512204527E-4</v>
      </c>
      <c r="AA146" s="35">
        <f t="shared" si="68"/>
        <v>1.4074889458334102E-3</v>
      </c>
    </row>
    <row r="147" spans="3:27" ht="15" x14ac:dyDescent="0.2">
      <c r="C147" s="6" t="s">
        <v>79</v>
      </c>
      <c r="D147" s="8">
        <f>$D$186*DefaultData!G109+$D$187*DefaultData!G110+$D$188*DefaultData!G111+$D$189*DefaultData!G112+$D$190*DefaultData!G113+$D$191*DefaultData!G114+$D$192*DefaultData!G115+$D$193*DefaultData!G116+$D$194*DefaultData!G117+$D$195*DefaultData!G118+$D$196*DefaultData!G119+$D$197*DefaultData!G120+$D$198*DefaultData!G121+$D$199*DefaultData!G122</f>
        <v>0</v>
      </c>
      <c r="E147" s="8"/>
      <c r="F147" s="8"/>
      <c r="G147" s="8">
        <f t="shared" si="64"/>
        <v>0</v>
      </c>
      <c r="H147" s="18">
        <f t="shared" si="63"/>
        <v>0</v>
      </c>
      <c r="I147" s="8"/>
      <c r="J147" s="18"/>
      <c r="L147" s="78">
        <f>$H147*Multipliers!D217</f>
        <v>0</v>
      </c>
      <c r="M147" s="78">
        <f>$H147*Multipliers!E217</f>
        <v>0</v>
      </c>
      <c r="N147" s="78">
        <f>$H147*Multipliers!F217</f>
        <v>0</v>
      </c>
      <c r="O147" s="78">
        <f t="shared" si="65"/>
        <v>0</v>
      </c>
      <c r="P147" s="35">
        <f>$H147*Multipliers!H217</f>
        <v>0</v>
      </c>
      <c r="Q147" s="35">
        <f>$H147*Multipliers!I217</f>
        <v>0</v>
      </c>
      <c r="R147" s="35">
        <f>$H147*Multipliers!J217</f>
        <v>0</v>
      </c>
      <c r="S147" s="35">
        <f t="shared" si="66"/>
        <v>0</v>
      </c>
      <c r="T147" s="35">
        <f>$H147*Multipliers!L217</f>
        <v>0</v>
      </c>
      <c r="U147" s="35">
        <f>$H147*Multipliers!M217</f>
        <v>0</v>
      </c>
      <c r="V147" s="35">
        <f>$H147*Multipliers!N217</f>
        <v>0</v>
      </c>
      <c r="W147" s="35">
        <f t="shared" si="67"/>
        <v>0</v>
      </c>
      <c r="X147" s="35">
        <f>$H147*Multipliers!P217</f>
        <v>0</v>
      </c>
      <c r="Y147" s="35">
        <f>$H147*Multipliers!Q217</f>
        <v>0</v>
      </c>
      <c r="Z147" s="35">
        <f>$H147*Multipliers!R217</f>
        <v>0</v>
      </c>
      <c r="AA147" s="35">
        <f t="shared" si="68"/>
        <v>0</v>
      </c>
    </row>
    <row r="148" spans="3:27" ht="15" x14ac:dyDescent="0.2">
      <c r="C148" s="6" t="s">
        <v>80</v>
      </c>
      <c r="D148" s="8">
        <f>$D$186*DefaultData!H109+$D$187*DefaultData!H110+$D$188*DefaultData!H111+$D$189*DefaultData!H112+$D$190*DefaultData!H113+$D$191*DefaultData!H114+$D$192*DefaultData!H115+$D$193*DefaultData!H116+$D$194*DefaultData!H117+$D$195*DefaultData!H118+$D$196*DefaultData!H119+$D$197*DefaultData!H120+$D$198*DefaultData!H121+$D$199*DefaultData!H122</f>
        <v>0</v>
      </c>
      <c r="E148" s="8"/>
      <c r="F148" s="8"/>
      <c r="G148" s="8">
        <f t="shared" si="64"/>
        <v>0</v>
      </c>
      <c r="H148" s="18">
        <f t="shared" si="63"/>
        <v>0</v>
      </c>
      <c r="I148" s="8"/>
      <c r="J148" s="18"/>
      <c r="L148" s="78">
        <f>$H148*Multipliers!D218</f>
        <v>0</v>
      </c>
      <c r="M148" s="78">
        <f>$H148*Multipliers!E218</f>
        <v>0</v>
      </c>
      <c r="N148" s="78">
        <f>$H148*Multipliers!F218</f>
        <v>0</v>
      </c>
      <c r="O148" s="78">
        <f t="shared" si="65"/>
        <v>0</v>
      </c>
      <c r="P148" s="35">
        <f>$H148*Multipliers!H218</f>
        <v>0</v>
      </c>
      <c r="Q148" s="35">
        <f>$H148*Multipliers!I218</f>
        <v>0</v>
      </c>
      <c r="R148" s="35">
        <f>$H148*Multipliers!J218</f>
        <v>0</v>
      </c>
      <c r="S148" s="35">
        <f t="shared" si="66"/>
        <v>0</v>
      </c>
      <c r="T148" s="35">
        <f>$H148*Multipliers!L218</f>
        <v>0</v>
      </c>
      <c r="U148" s="35">
        <f>$H148*Multipliers!M218</f>
        <v>0</v>
      </c>
      <c r="V148" s="35">
        <f>$H148*Multipliers!N218</f>
        <v>0</v>
      </c>
      <c r="W148" s="35">
        <f t="shared" si="67"/>
        <v>0</v>
      </c>
      <c r="X148" s="35">
        <f>$H148*Multipliers!P218</f>
        <v>0</v>
      </c>
      <c r="Y148" s="35">
        <f>$H148*Multipliers!Q218</f>
        <v>0</v>
      </c>
      <c r="Z148" s="35">
        <f>$H148*Multipliers!R218</f>
        <v>0</v>
      </c>
      <c r="AA148" s="35">
        <f t="shared" si="68"/>
        <v>0</v>
      </c>
    </row>
    <row r="149" spans="3:27" ht="15" x14ac:dyDescent="0.2">
      <c r="C149" s="6" t="s">
        <v>81</v>
      </c>
      <c r="D149" s="8">
        <f>$D$186*DefaultData!I109+$D$187*DefaultData!I110+$D$188*DefaultData!I111+$D$189*DefaultData!I112+$D$190*DefaultData!I113+$D$191*DefaultData!I114+$D$192*DefaultData!I115+$D$193*DefaultData!I116+$D$194*DefaultData!I117+$D$195*DefaultData!I118+$D$196*DefaultData!I119+$D$197*DefaultData!I120+$D$198*DefaultData!I121+$D$199*DefaultData!I122</f>
        <v>0</v>
      </c>
      <c r="E149" s="8"/>
      <c r="F149" s="8"/>
      <c r="G149" s="8">
        <f t="shared" si="64"/>
        <v>0</v>
      </c>
      <c r="H149" s="18">
        <f t="shared" si="63"/>
        <v>0</v>
      </c>
      <c r="I149" s="8"/>
      <c r="J149" s="18"/>
      <c r="L149" s="78">
        <f>$H149*Multipliers!D219</f>
        <v>0</v>
      </c>
      <c r="M149" s="78">
        <f>$H149*Multipliers!E219</f>
        <v>0</v>
      </c>
      <c r="N149" s="78">
        <f>$H149*Multipliers!F219</f>
        <v>0</v>
      </c>
      <c r="O149" s="78">
        <f t="shared" si="65"/>
        <v>0</v>
      </c>
      <c r="P149" s="35">
        <f>$H149*Multipliers!H219</f>
        <v>0</v>
      </c>
      <c r="Q149" s="35">
        <f>$H149*Multipliers!I219</f>
        <v>0</v>
      </c>
      <c r="R149" s="35">
        <f>$H149*Multipliers!J219</f>
        <v>0</v>
      </c>
      <c r="S149" s="35">
        <f t="shared" si="66"/>
        <v>0</v>
      </c>
      <c r="T149" s="35">
        <f>$H149*Multipliers!L219</f>
        <v>0</v>
      </c>
      <c r="U149" s="35">
        <f>$H149*Multipliers!M219</f>
        <v>0</v>
      </c>
      <c r="V149" s="35">
        <f>$H149*Multipliers!N219</f>
        <v>0</v>
      </c>
      <c r="W149" s="35">
        <f t="shared" si="67"/>
        <v>0</v>
      </c>
      <c r="X149" s="35">
        <f>$H149*Multipliers!P219</f>
        <v>0</v>
      </c>
      <c r="Y149" s="35">
        <f>$H149*Multipliers!Q219</f>
        <v>0</v>
      </c>
      <c r="Z149" s="35">
        <f>$H149*Multipliers!R219</f>
        <v>0</v>
      </c>
      <c r="AA149" s="35">
        <f t="shared" si="68"/>
        <v>0</v>
      </c>
    </row>
    <row r="150" spans="3:27" ht="15" x14ac:dyDescent="0.2">
      <c r="C150" s="6" t="s">
        <v>82</v>
      </c>
      <c r="D150" s="8">
        <f>$D$186*DefaultData!J109+$D$187*DefaultData!J110+$D$188*DefaultData!J111+$D$189*DefaultData!J112+$D$190*DefaultData!J113+$D$191*DefaultData!J114+$D$192*DefaultData!J115+$D$193*DefaultData!J116+$D$194*DefaultData!J117+$D$195*DefaultData!J118+$D$196*DefaultData!J119+$D$197*DefaultData!J120+$D$198*DefaultData!J121+$D$199*DefaultData!J122</f>
        <v>79.16816</v>
      </c>
      <c r="E150" s="8"/>
      <c r="F150" s="8"/>
      <c r="G150" s="8">
        <f t="shared" si="64"/>
        <v>79.16816</v>
      </c>
      <c r="H150" s="18">
        <f t="shared" si="63"/>
        <v>8.3012887930540967E-5</v>
      </c>
      <c r="I150" s="8"/>
      <c r="J150" s="18"/>
      <c r="L150" s="78">
        <f>$H150*Multipliers!D220</f>
        <v>2.1795420999896382E-4</v>
      </c>
      <c r="M150" s="78">
        <f>$H150*Multipliers!E220</f>
        <v>2.0309521914669082E-4</v>
      </c>
      <c r="N150" s="78">
        <f>$H150*Multipliers!F220</f>
        <v>2.0760911544141159E-4</v>
      </c>
      <c r="O150" s="78">
        <f t="shared" si="65"/>
        <v>6.2865854458706624E-4</v>
      </c>
      <c r="P150" s="35">
        <f>$H150*Multipliers!H220</f>
        <v>2.3202449166683054E-5</v>
      </c>
      <c r="Q150" s="35">
        <f>$H150*Multipliers!I220</f>
        <v>1.4731491825193068E-5</v>
      </c>
      <c r="R150" s="35">
        <f>$H150*Multipliers!J220</f>
        <v>1.0711972159996276E-5</v>
      </c>
      <c r="S150" s="35">
        <f t="shared" si="66"/>
        <v>4.8645913151872401E-5</v>
      </c>
      <c r="T150" s="35">
        <f>$H150*Multipliers!L220</f>
        <v>8.3012887930540967E-5</v>
      </c>
      <c r="U150" s="35">
        <f>$H150*Multipliers!M220</f>
        <v>4.8086935400805411E-5</v>
      </c>
      <c r="V150" s="35">
        <f>$H150*Multipliers!N220</f>
        <v>3.2003772717594695E-5</v>
      </c>
      <c r="W150" s="35">
        <f t="shared" si="67"/>
        <v>1.6310359604894105E-4</v>
      </c>
      <c r="X150" s="35">
        <f>$H150*Multipliers!P220</f>
        <v>3.9160000623367939E-5</v>
      </c>
      <c r="Y150" s="35">
        <f>$H150*Multipliers!Q220</f>
        <v>2.6426268606069913E-5</v>
      </c>
      <c r="Z150" s="35">
        <f>$H150*Multipliers!R220</f>
        <v>1.8220115850529509E-5</v>
      </c>
      <c r="AA150" s="35">
        <f t="shared" si="68"/>
        <v>8.3806385079967361E-5</v>
      </c>
    </row>
    <row r="151" spans="3:27" ht="15" x14ac:dyDescent="0.2">
      <c r="C151" s="6" t="s">
        <v>9</v>
      </c>
      <c r="D151" s="8">
        <f>$D$186*DefaultData!K109+$D$187*DefaultData!K110+$D$188*DefaultData!K111+$D$189*DefaultData!K112+$D$190*DefaultData!K113+$D$191*DefaultData!K114+$D$192*DefaultData!K115+$D$193*DefaultData!K116+$D$194*DefaultData!K117+$D$195*DefaultData!K118+$D$196*DefaultData!K119+$D$197*DefaultData!K120+$D$198*DefaultData!K121+$D$199*DefaultData!K122</f>
        <v>1439.89112</v>
      </c>
      <c r="E151" s="8"/>
      <c r="F151" s="8"/>
      <c r="G151" s="8">
        <f t="shared" si="64"/>
        <v>1439.89112</v>
      </c>
      <c r="H151" s="18">
        <f t="shared" si="63"/>
        <v>1.5098180907165346E-3</v>
      </c>
      <c r="I151" s="8"/>
      <c r="J151" s="18"/>
      <c r="L151" s="78">
        <f>$H151*Multipliers!D221</f>
        <v>4.9241318112126379E-3</v>
      </c>
      <c r="M151" s="78">
        <f>$H151*Multipliers!E221</f>
        <v>3.0599015795996004E-3</v>
      </c>
      <c r="N151" s="78">
        <f>$H151*Multipliers!F221</f>
        <v>3.5804738212253068E-3</v>
      </c>
      <c r="O151" s="78">
        <f t="shared" si="65"/>
        <v>1.1564507212037545E-2</v>
      </c>
      <c r="P151" s="35">
        <f>$H151*Multipliers!H221</f>
        <v>5.3561945284251889E-4</v>
      </c>
      <c r="Q151" s="35">
        <f>$H151*Multipliers!I221</f>
        <v>1.9352915359049472E-4</v>
      </c>
      <c r="R151" s="35">
        <f>$H151*Multipliers!J221</f>
        <v>2.0719149501104459E-4</v>
      </c>
      <c r="S151" s="35">
        <f t="shared" si="66"/>
        <v>9.3634010144405815E-4</v>
      </c>
      <c r="T151" s="35">
        <f>$H151*Multipliers!L221</f>
        <v>1.5098180907165346E-3</v>
      </c>
      <c r="U151" s="35">
        <f>$H151*Multipliers!M221</f>
        <v>5.5482657188537555E-4</v>
      </c>
      <c r="V151" s="35">
        <f>$H151*Multipliers!N221</f>
        <v>6.1918127823437348E-4</v>
      </c>
      <c r="W151" s="35">
        <f t="shared" si="67"/>
        <v>2.6838259408362838E-3</v>
      </c>
      <c r="X151" s="35">
        <f>$H151*Multipliers!P221</f>
        <v>1.0169473488746254E-3</v>
      </c>
      <c r="Y151" s="35">
        <f>$H151*Multipliers!Q221</f>
        <v>3.2097910335768601E-4</v>
      </c>
      <c r="Z151" s="35">
        <f>$H151*Multipliers!R221</f>
        <v>3.524517278412984E-4</v>
      </c>
      <c r="AA151" s="35">
        <f t="shared" si="68"/>
        <v>1.6903781800736099E-3</v>
      </c>
    </row>
    <row r="152" spans="3:27" ht="15" x14ac:dyDescent="0.2">
      <c r="C152" s="6" t="s">
        <v>10</v>
      </c>
      <c r="D152" s="8">
        <f>$D$186*DefaultData!L109+$D$187*DefaultData!L110+$D$188*DefaultData!L111+$D$189*DefaultData!L112+$D$190*DefaultData!L113+$D$191*DefaultData!L114+$D$192*DefaultData!L115+$D$193*DefaultData!L116+$D$194*DefaultData!L117+$D$195*DefaultData!L118+$D$196*DefaultData!L119+$D$197*DefaultData!L120+$D$198*DefaultData!L121+$D$199*DefaultData!L122</f>
        <v>0</v>
      </c>
      <c r="E152" s="8"/>
      <c r="F152" s="8"/>
      <c r="G152" s="8">
        <f t="shared" si="64"/>
        <v>0</v>
      </c>
      <c r="H152" s="18">
        <f t="shared" si="63"/>
        <v>0</v>
      </c>
      <c r="I152" s="8"/>
      <c r="J152" s="18"/>
      <c r="L152" s="78">
        <f>$H152*Multipliers!D222</f>
        <v>0</v>
      </c>
      <c r="M152" s="78">
        <f>$H152*Multipliers!E222</f>
        <v>0</v>
      </c>
      <c r="N152" s="78">
        <f>$H152*Multipliers!F222</f>
        <v>0</v>
      </c>
      <c r="O152" s="78">
        <f t="shared" si="65"/>
        <v>0</v>
      </c>
      <c r="P152" s="35">
        <f>$H152*Multipliers!H222</f>
        <v>0</v>
      </c>
      <c r="Q152" s="35">
        <f>$H152*Multipliers!I222</f>
        <v>0</v>
      </c>
      <c r="R152" s="35">
        <f>$H152*Multipliers!J222</f>
        <v>0</v>
      </c>
      <c r="S152" s="35">
        <f t="shared" si="66"/>
        <v>0</v>
      </c>
      <c r="T152" s="35">
        <f>$H152*Multipliers!L222</f>
        <v>0</v>
      </c>
      <c r="U152" s="35">
        <f>$H152*Multipliers!M222</f>
        <v>0</v>
      </c>
      <c r="V152" s="35">
        <f>$H152*Multipliers!N222</f>
        <v>0</v>
      </c>
      <c r="W152" s="35">
        <f t="shared" si="67"/>
        <v>0</v>
      </c>
      <c r="X152" s="35">
        <f>$H152*Multipliers!P222</f>
        <v>0</v>
      </c>
      <c r="Y152" s="35">
        <f>$H152*Multipliers!Q222</f>
        <v>0</v>
      </c>
      <c r="Z152" s="35">
        <f>$H152*Multipliers!R222</f>
        <v>0</v>
      </c>
      <c r="AA152" s="35">
        <f t="shared" si="68"/>
        <v>0</v>
      </c>
    </row>
    <row r="153" spans="3:27" ht="15" x14ac:dyDescent="0.2">
      <c r="C153" s="6" t="s">
        <v>83</v>
      </c>
      <c r="D153" s="8">
        <f>$D$186*DefaultData!M109+$D$187*DefaultData!M110+$D$188*DefaultData!M111+$D$189*DefaultData!M112+$D$190*DefaultData!M113+$D$191*DefaultData!M114+$D$192*DefaultData!M115+$D$193*DefaultData!M116+$D$194*DefaultData!M117+$D$195*DefaultData!M118+$D$196*DefaultData!M119+$D$197*DefaultData!M120+$D$198*DefaultData!M121+$D$199*DefaultData!M122</f>
        <v>25445.528838584778</v>
      </c>
      <c r="E153" s="8"/>
      <c r="F153" s="8"/>
      <c r="G153" s="8">
        <f t="shared" si="64"/>
        <v>25445.528838584778</v>
      </c>
      <c r="H153" s="18">
        <f t="shared" si="63"/>
        <v>2.6681267239390006E-2</v>
      </c>
      <c r="I153" s="8"/>
      <c r="J153" s="18"/>
      <c r="L153" s="78">
        <f>$H153*Multipliers!D223</f>
        <v>0.14710681887183913</v>
      </c>
      <c r="M153" s="78">
        <f>$H153*Multipliers!E223</f>
        <v>8.8545256690090626E-2</v>
      </c>
      <c r="N153" s="78">
        <f>$H153*Multipliers!F223</f>
        <v>6.3706832020681586E-2</v>
      </c>
      <c r="O153" s="78">
        <f t="shared" si="65"/>
        <v>0.29935890758261136</v>
      </c>
      <c r="P153" s="35">
        <f>$H153*Multipliers!H223</f>
        <v>6.9081304017932854E-3</v>
      </c>
      <c r="Q153" s="35">
        <f>$H153*Multipliers!I223</f>
        <v>4.7716475223417813E-3</v>
      </c>
      <c r="R153" s="35">
        <f>$H153*Multipliers!J223</f>
        <v>3.3146708126813996E-3</v>
      </c>
      <c r="S153" s="35">
        <f t="shared" si="66"/>
        <v>1.4994448736816466E-2</v>
      </c>
      <c r="T153" s="35">
        <f>$H153*Multipliers!L223</f>
        <v>2.6681267239390006E-2</v>
      </c>
      <c r="U153" s="35">
        <f>$H153*Multipliers!M223</f>
        <v>1.5139252623873162E-2</v>
      </c>
      <c r="V153" s="35">
        <f>$H153*Multipliers!N223</f>
        <v>9.9051915508895291E-3</v>
      </c>
      <c r="W153" s="35">
        <f t="shared" si="67"/>
        <v>5.1725711414152692E-2</v>
      </c>
      <c r="X153" s="35">
        <f>$H153*Multipliers!P223</f>
        <v>1.4261832388887931E-2</v>
      </c>
      <c r="Y153" s="35">
        <f>$H153*Multipliers!Q223</f>
        <v>8.3590616804207641E-3</v>
      </c>
      <c r="Z153" s="35">
        <f>$H153*Multipliers!R223</f>
        <v>5.6384368158657761E-3</v>
      </c>
      <c r="AA153" s="35">
        <f t="shared" si="68"/>
        <v>2.8259330885174471E-2</v>
      </c>
    </row>
    <row r="154" spans="3:27" ht="15" x14ac:dyDescent="0.2">
      <c r="C154" s="6" t="s">
        <v>84</v>
      </c>
      <c r="D154" s="8">
        <f>$D$186*DefaultData!N109+$D$187*DefaultData!N110+$D$188*DefaultData!N111+$D$189*DefaultData!N112+$D$190*DefaultData!N113+$D$191*DefaultData!N114+$D$192*DefaultData!N115+$D$193*DefaultData!N116+$D$194*DefaultData!N117+$D$195*DefaultData!N118+$D$196*DefaultData!N119+$D$197*DefaultData!N120+$D$198*DefaultData!N121+$D$199*DefaultData!N122</f>
        <v>0</v>
      </c>
      <c r="E154" s="8"/>
      <c r="F154" s="8"/>
      <c r="G154" s="8">
        <f t="shared" si="64"/>
        <v>0</v>
      </c>
      <c r="H154" s="18">
        <f t="shared" si="63"/>
        <v>0</v>
      </c>
      <c r="I154" s="8"/>
      <c r="J154" s="18"/>
      <c r="L154" s="78">
        <f>$H154*Multipliers!D224</f>
        <v>0</v>
      </c>
      <c r="M154" s="78">
        <f>$H154*Multipliers!E224</f>
        <v>0</v>
      </c>
      <c r="N154" s="78">
        <f>$H154*Multipliers!F224</f>
        <v>0</v>
      </c>
      <c r="O154" s="78">
        <f t="shared" si="65"/>
        <v>0</v>
      </c>
      <c r="P154" s="35">
        <f>$H154*Multipliers!H224</f>
        <v>0</v>
      </c>
      <c r="Q154" s="35">
        <f>$H154*Multipliers!I224</f>
        <v>0</v>
      </c>
      <c r="R154" s="35">
        <f>$H154*Multipliers!J224</f>
        <v>0</v>
      </c>
      <c r="S154" s="35">
        <f t="shared" si="66"/>
        <v>0</v>
      </c>
      <c r="T154" s="35">
        <f>$H154*Multipliers!L224</f>
        <v>0</v>
      </c>
      <c r="U154" s="35">
        <f>$H154*Multipliers!M224</f>
        <v>0</v>
      </c>
      <c r="V154" s="35">
        <f>$H154*Multipliers!N224</f>
        <v>0</v>
      </c>
      <c r="W154" s="35">
        <f t="shared" si="67"/>
        <v>0</v>
      </c>
      <c r="X154" s="35">
        <f>$H154*Multipliers!P224</f>
        <v>0</v>
      </c>
      <c r="Y154" s="35">
        <f>$H154*Multipliers!Q224</f>
        <v>0</v>
      </c>
      <c r="Z154" s="35">
        <f>$H154*Multipliers!R224</f>
        <v>0</v>
      </c>
      <c r="AA154" s="35">
        <f t="shared" si="68"/>
        <v>0</v>
      </c>
    </row>
    <row r="155" spans="3:27" ht="15" x14ac:dyDescent="0.2">
      <c r="C155" s="6" t="s">
        <v>85</v>
      </c>
      <c r="D155" s="8">
        <f>$D$186*DefaultData!O109+$D$187*DefaultData!O110+$D$188*DefaultData!O111+$D$189*DefaultData!O112+$D$190*DefaultData!O113+$D$191*DefaultData!O114+$D$192*DefaultData!O115+$D$193*DefaultData!O116+$D$194*DefaultData!O117+$D$195*DefaultData!O118+$D$196*DefaultData!O119+$D$197*DefaultData!O120+$D$198*DefaultData!O121+$D$199*DefaultData!O122</f>
        <v>0</v>
      </c>
      <c r="E155" s="8"/>
      <c r="F155" s="8"/>
      <c r="G155" s="8">
        <f t="shared" si="64"/>
        <v>0</v>
      </c>
      <c r="H155" s="18">
        <f t="shared" si="63"/>
        <v>0</v>
      </c>
      <c r="I155" s="8"/>
      <c r="J155" s="18"/>
      <c r="L155" s="78">
        <f>$H155*Multipliers!D225</f>
        <v>0</v>
      </c>
      <c r="M155" s="78">
        <f>$H155*Multipliers!E225</f>
        <v>0</v>
      </c>
      <c r="N155" s="78">
        <f>$H155*Multipliers!F225</f>
        <v>0</v>
      </c>
      <c r="O155" s="78">
        <f t="shared" si="65"/>
        <v>0</v>
      </c>
      <c r="P155" s="35">
        <f>$H155*Multipliers!H225</f>
        <v>0</v>
      </c>
      <c r="Q155" s="35">
        <f>$H155*Multipliers!I225</f>
        <v>0</v>
      </c>
      <c r="R155" s="35">
        <f>$H155*Multipliers!J225</f>
        <v>0</v>
      </c>
      <c r="S155" s="35">
        <f t="shared" si="66"/>
        <v>0</v>
      </c>
      <c r="T155" s="35">
        <f>$H155*Multipliers!L225</f>
        <v>0</v>
      </c>
      <c r="U155" s="35">
        <f>$H155*Multipliers!M225</f>
        <v>0</v>
      </c>
      <c r="V155" s="35">
        <f>$H155*Multipliers!N225</f>
        <v>0</v>
      </c>
      <c r="W155" s="35">
        <f t="shared" si="67"/>
        <v>0</v>
      </c>
      <c r="X155" s="35">
        <f>$H155*Multipliers!P225</f>
        <v>0</v>
      </c>
      <c r="Y155" s="35">
        <f>$H155*Multipliers!Q225</f>
        <v>0</v>
      </c>
      <c r="Z155" s="35">
        <f>$H155*Multipliers!R225</f>
        <v>0</v>
      </c>
      <c r="AA155" s="35">
        <f t="shared" si="68"/>
        <v>0</v>
      </c>
    </row>
    <row r="156" spans="3:27" ht="15" x14ac:dyDescent="0.2">
      <c r="C156" s="6" t="s">
        <v>11</v>
      </c>
      <c r="D156" s="8">
        <f>$D$186*DefaultData!P109+$D$187*DefaultData!P110+$D$188*DefaultData!P111+$D$189*DefaultData!P112+$D$190*DefaultData!P113+$D$191*DefaultData!P114+$D$192*DefaultData!P115+$D$193*DefaultData!P116+$D$194*DefaultData!P117+$D$195*DefaultData!P118+$D$196*DefaultData!P119+$D$197*DefaultData!P120+$D$198*DefaultData!P121+$D$199*DefaultData!P122</f>
        <v>21928.693181818184</v>
      </c>
      <c r="E156" s="8"/>
      <c r="F156" s="8"/>
      <c r="G156" s="8">
        <f t="shared" si="64"/>
        <v>21928.693181818184</v>
      </c>
      <c r="H156" s="18">
        <f t="shared" si="63"/>
        <v>2.2993639735538769E-2</v>
      </c>
      <c r="I156" s="8"/>
      <c r="J156" s="18"/>
      <c r="L156" s="78">
        <v>0</v>
      </c>
      <c r="M156" s="78">
        <f>$H156*Multipliers!E226</f>
        <v>1.0065099529659558E-2</v>
      </c>
      <c r="N156" s="78">
        <f>$H156*Multipliers!F226</f>
        <v>8.6654196770879627E-2</v>
      </c>
      <c r="O156" s="78">
        <f t="shared" si="65"/>
        <v>9.6719296300539187E-2</v>
      </c>
      <c r="P156" s="35">
        <v>0</v>
      </c>
      <c r="Q156" s="35">
        <f>$H156*Multipliers!I226</f>
        <v>7.1141019266406352E-4</v>
      </c>
      <c r="R156" s="35">
        <f>$H156*Multipliers!J226</f>
        <v>5.1468041100649177E-3</v>
      </c>
      <c r="S156" s="35">
        <f t="shared" si="66"/>
        <v>5.8582143027289812E-3</v>
      </c>
      <c r="T156" s="35">
        <v>0</v>
      </c>
      <c r="U156" s="35">
        <f>$H156*Multipliers!M226</f>
        <v>2.1550643982834916E-3</v>
      </c>
      <c r="V156" s="35">
        <f>$H156*Multipliers!N226</f>
        <v>1.5383876348233226E-2</v>
      </c>
      <c r="W156" s="35">
        <f t="shared" si="67"/>
        <v>1.7538940746516719E-2</v>
      </c>
      <c r="X156" s="35">
        <v>0</v>
      </c>
      <c r="Y156" s="35">
        <f>$H156*Multipliers!Q226</f>
        <v>1.1496007144826367E-3</v>
      </c>
      <c r="Z156" s="35">
        <f>$H156*Multipliers!R226</f>
        <v>8.7558562360670056E-3</v>
      </c>
      <c r="AA156" s="35">
        <f t="shared" si="68"/>
        <v>9.9054569505496425E-3</v>
      </c>
    </row>
    <row r="157" spans="3:27" ht="15" x14ac:dyDescent="0.2">
      <c r="C157" s="6" t="s">
        <v>4</v>
      </c>
      <c r="D157" s="8">
        <f>SUM(D143:D156)</f>
        <v>50814.218580402958</v>
      </c>
      <c r="E157" s="8"/>
      <c r="F157" s="8"/>
      <c r="G157" s="8">
        <f t="shared" si="64"/>
        <v>50814.218580402958</v>
      </c>
      <c r="H157" s="20">
        <f>SUM(H143:H156)</f>
        <v>5.3281963762868853E-2</v>
      </c>
      <c r="I157" s="8"/>
      <c r="J157" s="18"/>
      <c r="K157" s="24" t="s">
        <v>4</v>
      </c>
      <c r="L157" s="78">
        <f>SUM(L143:L156)</f>
        <v>0.15435530085446575</v>
      </c>
      <c r="M157" s="78">
        <f t="shared" ref="M157:W157" si="69">SUM(M143:M156)</f>
        <v>0.10660227166255218</v>
      </c>
      <c r="N157" s="78">
        <f t="shared" si="69"/>
        <v>0.15706534373136305</v>
      </c>
      <c r="O157" s="78">
        <f t="shared" si="69"/>
        <v>0.41802291624838095</v>
      </c>
      <c r="P157" s="35">
        <f t="shared" si="69"/>
        <v>7.6650067426269741E-3</v>
      </c>
      <c r="Q157" s="35">
        <f t="shared" si="69"/>
        <v>6.027874808064812E-3</v>
      </c>
      <c r="R157" s="35">
        <f t="shared" si="69"/>
        <v>8.8309335442773584E-3</v>
      </c>
      <c r="S157" s="35">
        <f t="shared" si="69"/>
        <v>2.2523815094969143E-2</v>
      </c>
      <c r="T157" s="35">
        <f t="shared" si="69"/>
        <v>3.0288324027330088E-2</v>
      </c>
      <c r="U157" s="35">
        <f t="shared" si="69"/>
        <v>1.9170037251795086E-2</v>
      </c>
      <c r="V157" s="35">
        <f t="shared" si="69"/>
        <v>2.6393120856520198E-2</v>
      </c>
      <c r="W157" s="35">
        <f t="shared" si="69"/>
        <v>7.5851482135645368E-2</v>
      </c>
      <c r="X157" s="35">
        <f t="shared" ref="X157:AA157" si="70">SUM(X143:X156)</f>
        <v>1.5813540239261081E-2</v>
      </c>
      <c r="Y157" s="35">
        <f t="shared" si="70"/>
        <v>1.0510157776703367E-2</v>
      </c>
      <c r="Z157" s="35">
        <f t="shared" si="70"/>
        <v>1.5022763330746654E-2</v>
      </c>
      <c r="AA157" s="35">
        <f t="shared" si="70"/>
        <v>4.1346461346711105E-2</v>
      </c>
    </row>
    <row r="158" spans="3:27" ht="15" x14ac:dyDescent="0.2">
      <c r="C158" s="36"/>
      <c r="E158" s="8"/>
      <c r="L158" s="78"/>
      <c r="M158" s="78"/>
      <c r="N158" s="78"/>
      <c r="O158" s="78"/>
      <c r="P158" s="35"/>
      <c r="Q158" s="35"/>
      <c r="R158" s="35"/>
      <c r="S158" s="35"/>
      <c r="T158" s="35"/>
      <c r="U158" s="35"/>
      <c r="V158" s="35"/>
      <c r="W158" s="35"/>
      <c r="X158" s="35"/>
      <c r="Y158" s="35"/>
      <c r="Z158" s="35"/>
      <c r="AA158" s="35"/>
    </row>
    <row r="159" spans="3:27" ht="15" x14ac:dyDescent="0.2">
      <c r="C159" s="6" t="s">
        <v>90</v>
      </c>
      <c r="E159" s="23" t="s">
        <v>157</v>
      </c>
      <c r="G159" s="8">
        <f>G111</f>
        <v>83462.399999999994</v>
      </c>
      <c r="H159" s="18">
        <f>G159*G86/10^6</f>
        <v>8.7515673695258075E-2</v>
      </c>
      <c r="L159" s="31"/>
      <c r="M159" s="31"/>
      <c r="N159" s="31"/>
      <c r="O159" s="77"/>
      <c r="P159" s="35"/>
      <c r="Q159" s="35"/>
      <c r="R159" s="35"/>
      <c r="S159" s="35"/>
      <c r="T159" s="35"/>
      <c r="U159" s="35"/>
      <c r="V159" s="35"/>
      <c r="W159" s="35"/>
      <c r="X159" s="35"/>
      <c r="Y159" s="35"/>
      <c r="Z159" s="35"/>
      <c r="AA159" s="35"/>
    </row>
    <row r="160" spans="3:27" ht="15" x14ac:dyDescent="0.2">
      <c r="C160" s="6" t="s">
        <v>90</v>
      </c>
      <c r="E160" s="23" t="s">
        <v>156</v>
      </c>
      <c r="F160" s="85">
        <f>IF(ProjectData!U$24="y",Calculations!K60,Calculations!L60)</f>
        <v>7.1186945514116112E-2</v>
      </c>
      <c r="G160" s="102">
        <f>G$159*F160</f>
        <v>5941.4333212773645</v>
      </c>
      <c r="H160" s="90">
        <v>0</v>
      </c>
      <c r="O160" t="s">
        <v>97</v>
      </c>
      <c r="P160" s="1">
        <f>D86</f>
        <v>2012</v>
      </c>
      <c r="Q160" s="1" t="s">
        <v>94</v>
      </c>
      <c r="T160" s="1">
        <f>P160</f>
        <v>2012</v>
      </c>
      <c r="U160" s="1" t="s">
        <v>94</v>
      </c>
      <c r="X160" s="1">
        <f>T160</f>
        <v>2012</v>
      </c>
      <c r="Y160" s="1" t="s">
        <v>94</v>
      </c>
      <c r="Z160" s="703"/>
      <c r="AA160" s="703"/>
    </row>
    <row r="161" spans="3:27" x14ac:dyDescent="0.2">
      <c r="C161" s="34" t="s">
        <v>346</v>
      </c>
      <c r="D161" s="21">
        <f>IF(ProjectData!U24="y",Calculations!H80,I80)</f>
        <v>1.2980059779640924</v>
      </c>
      <c r="E161" s="258" t="s">
        <v>263</v>
      </c>
      <c r="F161" s="85">
        <f>IF(ProjectData!U$24="y",Calculations!K61,Calculations!L61)</f>
        <v>0.30487415696870424</v>
      </c>
      <c r="G161" s="102">
        <f>G$159*F161</f>
        <v>25445.528838584778</v>
      </c>
      <c r="H161" s="90">
        <f>IF(ProjectData!B16="MyCounty",0,IF(ProjectData!B16="MyRegion",0,1))</f>
        <v>1</v>
      </c>
      <c r="J161" s="30" t="s">
        <v>108</v>
      </c>
      <c r="L161" s="14">
        <f>L157</f>
        <v>0.15435530085446575</v>
      </c>
      <c r="M161" s="14">
        <f>M157</f>
        <v>0.10660227166255218</v>
      </c>
      <c r="N161" s="14">
        <f>N157</f>
        <v>0.15706534373136305</v>
      </c>
      <c r="O161" s="14">
        <f>O157</f>
        <v>0.41802291624838095</v>
      </c>
      <c r="P161" s="18">
        <f>P157*$G107</f>
        <v>7.4091059365003521E-3</v>
      </c>
      <c r="Q161" s="18">
        <f>Q157*$G107</f>
        <v>5.8266306246728119E-3</v>
      </c>
      <c r="R161" s="18">
        <f>R157*$G107</f>
        <v>8.5361075788592637E-3</v>
      </c>
      <c r="S161" s="35">
        <f>+R161+Q161+P161</f>
        <v>2.1771844140032429E-2</v>
      </c>
      <c r="T161" s="18">
        <f>T157*$G107</f>
        <v>2.9277130326519105E-2</v>
      </c>
      <c r="U161" s="18">
        <f>U157*$G107</f>
        <v>1.8530034163613786E-2</v>
      </c>
      <c r="V161" s="18">
        <f>V157*$G107</f>
        <v>2.5511970828847017E-2</v>
      </c>
      <c r="W161" s="35">
        <f>+V161+U161+T161</f>
        <v>7.3319135318979906E-2</v>
      </c>
      <c r="X161" s="18">
        <f>X157*$G107</f>
        <v>1.5285595798920538E-2</v>
      </c>
      <c r="Y161" s="18">
        <f>Y157*$G107</f>
        <v>1.0159269912167111E-2</v>
      </c>
      <c r="Z161" s="18">
        <f>Z157*$G107</f>
        <v>1.4521219447528884E-2</v>
      </c>
      <c r="AA161" s="35">
        <f>+Z161+Y161+X161</f>
        <v>3.9966085158616535E-2</v>
      </c>
    </row>
    <row r="162" spans="3:27" x14ac:dyDescent="0.2">
      <c r="C162" s="32"/>
      <c r="D162" s="33"/>
      <c r="E162" s="261" t="s">
        <v>264</v>
      </c>
      <c r="G162" s="316">
        <f>G159-G160-G161</f>
        <v>52075.437840137849</v>
      </c>
      <c r="J162" s="30" t="s">
        <v>104</v>
      </c>
      <c r="L162" s="14">
        <f>L161+L182</f>
        <v>1.4523612788185583</v>
      </c>
      <c r="M162" s="14">
        <f>M161+M182</f>
        <v>0.36946106313352378</v>
      </c>
      <c r="N162" s="14">
        <f>N161+N182</f>
        <v>0.44071571295146283</v>
      </c>
      <c r="O162" s="14">
        <f>O161+O182</f>
        <v>2.2625380549035445</v>
      </c>
      <c r="P162" s="18">
        <f>(P157+P182)*$G107</f>
        <v>0.10440934624059914</v>
      </c>
      <c r="Q162" s="18">
        <f>(Q157+Q182)*$G107</f>
        <v>2.1248393660976538E-2</v>
      </c>
      <c r="R162" s="18">
        <f>(R157+R182)*$G107</f>
        <v>2.3622124086459119E-2</v>
      </c>
      <c r="S162" s="35">
        <f>+R162+Q162+P162</f>
        <v>0.14927986398803478</v>
      </c>
      <c r="T162" s="18">
        <f>(T157+T182)*$G107</f>
        <v>0.12627737063061789</v>
      </c>
      <c r="U162" s="18">
        <f>(U157+U182)*$G107</f>
        <v>6.4973938191444564E-2</v>
      </c>
      <c r="V162" s="18">
        <f>(V157+V182)*$G107</f>
        <v>7.0592635291935962E-2</v>
      </c>
      <c r="W162" s="35">
        <f>+V162+U162+T162</f>
        <v>0.26184394411399842</v>
      </c>
      <c r="X162" s="18">
        <f>(X157+X182)*$G107</f>
        <v>0.11228583610301932</v>
      </c>
      <c r="Y162" s="18">
        <f>(Y157+Y182)*$G107</f>
        <v>3.6128823107091944E-2</v>
      </c>
      <c r="Z162" s="18">
        <f>(Z157+Z182)*$G107</f>
        <v>4.0183198614266828E-2</v>
      </c>
      <c r="AA162" s="35">
        <f>+Z162+Y162+X162</f>
        <v>0.1885978578243781</v>
      </c>
    </row>
    <row r="163" spans="3:27" x14ac:dyDescent="0.2">
      <c r="C163" s="32"/>
      <c r="D163" s="33"/>
      <c r="X163" s="703"/>
      <c r="Y163" s="703"/>
      <c r="Z163" s="703"/>
      <c r="AA163" s="703"/>
    </row>
    <row r="164" spans="3:27" x14ac:dyDescent="0.2">
      <c r="C164" s="34" t="s">
        <v>92</v>
      </c>
      <c r="D164" s="21">
        <f>SUM(D161:D163)</f>
        <v>1.2980059779640924</v>
      </c>
      <c r="X164" s="703"/>
      <c r="Y164" s="703"/>
      <c r="Z164" s="703"/>
      <c r="AA164" s="703"/>
    </row>
    <row r="165" spans="3:27" x14ac:dyDescent="0.2">
      <c r="C165" s="34"/>
      <c r="D165" s="21"/>
      <c r="L165" s="1" t="s">
        <v>109</v>
      </c>
      <c r="X165" s="703"/>
      <c r="Y165" s="703"/>
      <c r="Z165" s="703"/>
      <c r="AA165" s="703"/>
    </row>
    <row r="166" spans="3:27" x14ac:dyDescent="0.2">
      <c r="C166" s="23" t="s">
        <v>353</v>
      </c>
      <c r="D166" s="10" t="s">
        <v>351</v>
      </c>
      <c r="E166" s="10" t="s">
        <v>334</v>
      </c>
      <c r="F166" s="10" t="s">
        <v>106</v>
      </c>
      <c r="H166" s="30" t="s">
        <v>194</v>
      </c>
      <c r="I166" s="19"/>
      <c r="L166" s="11" t="s">
        <v>6</v>
      </c>
      <c r="M166" s="11"/>
      <c r="N166" s="11"/>
      <c r="O166" s="11"/>
      <c r="P166" s="11" t="s">
        <v>100</v>
      </c>
      <c r="Q166" s="11"/>
      <c r="R166" s="11"/>
      <c r="S166" s="11"/>
      <c r="T166" s="11" t="s">
        <v>101</v>
      </c>
      <c r="X166" s="11" t="s">
        <v>651</v>
      </c>
      <c r="Y166" s="703"/>
      <c r="Z166" s="703"/>
      <c r="AA166" s="703"/>
    </row>
    <row r="167" spans="3:27" x14ac:dyDescent="0.2">
      <c r="D167" s="10" t="s">
        <v>352</v>
      </c>
      <c r="E167" s="10" t="s">
        <v>335</v>
      </c>
      <c r="F167" s="10" t="s">
        <v>107</v>
      </c>
      <c r="H167" s="19">
        <f>H142</f>
        <v>2014</v>
      </c>
      <c r="I167" s="30" t="s">
        <v>94</v>
      </c>
      <c r="L167" s="11" t="s">
        <v>74</v>
      </c>
      <c r="M167" s="11" t="s">
        <v>75</v>
      </c>
      <c r="N167" s="11" t="s">
        <v>76</v>
      </c>
      <c r="O167" s="11" t="s">
        <v>4</v>
      </c>
      <c r="P167" s="11" t="s">
        <v>74</v>
      </c>
      <c r="Q167" s="11" t="s">
        <v>75</v>
      </c>
      <c r="R167" s="11" t="s">
        <v>76</v>
      </c>
      <c r="S167" s="11" t="s">
        <v>4</v>
      </c>
      <c r="T167" s="11" t="s">
        <v>74</v>
      </c>
      <c r="U167" s="11" t="s">
        <v>75</v>
      </c>
      <c r="V167" s="11" t="s">
        <v>76</v>
      </c>
      <c r="W167" s="11" t="s">
        <v>4</v>
      </c>
      <c r="X167" s="11" t="s">
        <v>74</v>
      </c>
      <c r="Y167" s="11" t="s">
        <v>75</v>
      </c>
      <c r="Z167" s="11" t="s">
        <v>76</v>
      </c>
      <c r="AA167" s="11" t="s">
        <v>4</v>
      </c>
    </row>
    <row r="168" spans="3:27" ht="15" x14ac:dyDescent="0.2">
      <c r="C168" s="6" t="s">
        <v>7</v>
      </c>
      <c r="D168" s="8">
        <f>G$128*Multipliers!$U213</f>
        <v>54.815554707246349</v>
      </c>
      <c r="E168" s="8">
        <f>H$131*Multipliers!$U213</f>
        <v>0</v>
      </c>
      <c r="F168" s="8">
        <f>G$162*Multipliers!$U213</f>
        <v>156.99992065064356</v>
      </c>
      <c r="H168" s="18">
        <f>((D168+E168+F168)*G$86)/10^6</f>
        <v>2.2210209657315234E-4</v>
      </c>
      <c r="L168" s="11"/>
      <c r="M168" s="78">
        <f>$H168*Multipliers!E213</f>
        <v>3.394823600073739E-4</v>
      </c>
      <c r="N168" s="78">
        <f>$H168*Multipliers!F213</f>
        <v>3.1229323715823625E-4</v>
      </c>
      <c r="O168" s="78">
        <f>N168+M168</f>
        <v>6.517755971656102E-4</v>
      </c>
      <c r="P168" s="11"/>
      <c r="Q168" s="35">
        <f>$H168*Multipliers!I213</f>
        <v>1.8216750995260086E-5</v>
      </c>
      <c r="R168" s="35">
        <f>$H168*Multipliers!J213</f>
        <v>1.8086295659409487E-5</v>
      </c>
      <c r="S168" s="35">
        <f>R168+Q168</f>
        <v>3.630304665466957E-5</v>
      </c>
      <c r="T168" s="35">
        <f>$H168*Multipliers!L213</f>
        <v>2.2210209657315234E-4</v>
      </c>
      <c r="U168" s="35">
        <f>$H168*Multipliers!M213</f>
        <v>7.4385015265501984E-5</v>
      </c>
      <c r="V168" s="35">
        <f>$H168*Multipliers!N213</f>
        <v>5.4016101216701313E-5</v>
      </c>
      <c r="W168" s="35">
        <f>V168+U168</f>
        <v>1.284011164822033E-4</v>
      </c>
      <c r="X168" s="35"/>
      <c r="Y168" s="35">
        <f>$H168*Multipliers!Q213</f>
        <v>3.6461573840807095E-5</v>
      </c>
      <c r="Z168" s="35">
        <f>$H168*Multipliers!R213</f>
        <v>3.0758659303043298E-5</v>
      </c>
      <c r="AA168" s="35">
        <f>Z168+Y168</f>
        <v>6.7220233143850387E-5</v>
      </c>
    </row>
    <row r="169" spans="3:27" ht="15" x14ac:dyDescent="0.2">
      <c r="C169" s="6" t="s">
        <v>77</v>
      </c>
      <c r="D169" s="8">
        <f>G$128*Multipliers!$U214</f>
        <v>0.39014794966823241</v>
      </c>
      <c r="E169" s="8">
        <f>H$131*Multipliers!$U214</f>
        <v>0</v>
      </c>
      <c r="F169" s="8">
        <f>G$162*Multipliers!U214</f>
        <v>1.1174418915772895</v>
      </c>
      <c r="H169" s="18">
        <f t="shared" ref="H169:H181" si="71">((D169+E169+F169)*G$86)/10^6</f>
        <v>1.5808045372854008E-6</v>
      </c>
      <c r="J169" s="67"/>
      <c r="K169" s="67"/>
      <c r="L169" s="67"/>
      <c r="M169" s="78">
        <f>$H169*Multipliers!E214</f>
        <v>1.7251506127452783E-6</v>
      </c>
      <c r="N169" s="78">
        <f>$H169*Multipliers!F214</f>
        <v>3.4026046626849752E-6</v>
      </c>
      <c r="O169" s="78">
        <f t="shared" ref="O169:O181" si="72">N169+M169</f>
        <v>5.1277552754302537E-6</v>
      </c>
      <c r="P169" s="35"/>
      <c r="Q169" s="35">
        <f>$H169*Multipliers!I214</f>
        <v>1.4389637601811115E-7</v>
      </c>
      <c r="R169" s="35">
        <f>$H169*Multipliers!J214</f>
        <v>1.7154940491281385E-7</v>
      </c>
      <c r="S169" s="35">
        <f t="shared" ref="S169:S181" si="73">R169+Q169</f>
        <v>3.1544578093092502E-7</v>
      </c>
      <c r="T169" s="35">
        <f>$H169*Multipliers!L214</f>
        <v>1.5808045372854008E-6</v>
      </c>
      <c r="U169" s="35">
        <f>$H169*Multipliers!M214</f>
        <v>4.7512849233297207E-7</v>
      </c>
      <c r="V169" s="35">
        <f>$H169*Multipliers!N214</f>
        <v>5.1240322700588234E-7</v>
      </c>
      <c r="W169" s="35">
        <f t="shared" ref="W169:W181" si="74">V169+U169</f>
        <v>9.8753171933885452E-7</v>
      </c>
      <c r="X169" s="35"/>
      <c r="Y169" s="35">
        <f>$H169*Multipliers!Q214</f>
        <v>2.843402692492722E-7</v>
      </c>
      <c r="Z169" s="35">
        <f>$H169*Multipliers!R214</f>
        <v>2.9176077757029778E-7</v>
      </c>
      <c r="AA169" s="35">
        <f t="shared" ref="AA169:AA181" si="75">Z169+Y169</f>
        <v>5.7610104681956998E-7</v>
      </c>
    </row>
    <row r="170" spans="3:27" ht="15" x14ac:dyDescent="0.2">
      <c r="C170" s="6" t="s">
        <v>8</v>
      </c>
      <c r="D170" s="8">
        <f>G$128*Multipliers!$U215</f>
        <v>0</v>
      </c>
      <c r="E170" s="8">
        <f>H$131*Multipliers!$U215</f>
        <v>0</v>
      </c>
      <c r="F170" s="8">
        <f>G$162*Multipliers!U215</f>
        <v>0</v>
      </c>
      <c r="H170" s="18">
        <f t="shared" si="71"/>
        <v>0</v>
      </c>
      <c r="J170" s="67"/>
      <c r="K170" s="67"/>
      <c r="L170" s="67"/>
      <c r="M170" s="78">
        <f>$H170*Multipliers!E215</f>
        <v>0</v>
      </c>
      <c r="N170" s="78">
        <f>$H170*Multipliers!F215</f>
        <v>0</v>
      </c>
      <c r="O170" s="78">
        <f t="shared" si="72"/>
        <v>0</v>
      </c>
      <c r="P170" s="35"/>
      <c r="Q170" s="35">
        <f>$H170*Multipliers!I215</f>
        <v>0</v>
      </c>
      <c r="R170" s="35">
        <f>$H170*Multipliers!J215</f>
        <v>0</v>
      </c>
      <c r="S170" s="35">
        <f t="shared" si="73"/>
        <v>0</v>
      </c>
      <c r="T170" s="35">
        <f>$H170*Multipliers!L215</f>
        <v>0</v>
      </c>
      <c r="U170" s="35">
        <f>$H170*Multipliers!M215</f>
        <v>0</v>
      </c>
      <c r="V170" s="35">
        <f>$H170*Multipliers!N215</f>
        <v>0</v>
      </c>
      <c r="W170" s="35">
        <f t="shared" si="74"/>
        <v>0</v>
      </c>
      <c r="X170" s="35"/>
      <c r="Y170" s="35">
        <f>$H170*Multipliers!Q215</f>
        <v>0</v>
      </c>
      <c r="Z170" s="35">
        <f>$H170*Multipliers!R215</f>
        <v>0</v>
      </c>
      <c r="AA170" s="35">
        <f t="shared" si="75"/>
        <v>0</v>
      </c>
    </row>
    <row r="171" spans="3:27" ht="15" x14ac:dyDescent="0.2">
      <c r="C171" s="6" t="s">
        <v>78</v>
      </c>
      <c r="D171" s="8">
        <f>G$128*Multipliers!$U216</f>
        <v>1606.8337419675031</v>
      </c>
      <c r="E171" s="8">
        <f>H$131*Multipliers!$U216</f>
        <v>0</v>
      </c>
      <c r="F171" s="8">
        <f>G$162*Multipliers!U216</f>
        <v>4602.2113857095646</v>
      </c>
      <c r="H171" s="18">
        <f t="shared" si="71"/>
        <v>6.5105816194228564E-3</v>
      </c>
      <c r="J171" s="67"/>
      <c r="K171" s="67"/>
      <c r="L171" s="67"/>
      <c r="M171" s="78">
        <f>$H171*Multipliers!E216</f>
        <v>1.5285282643926444E-2</v>
      </c>
      <c r="N171" s="78">
        <f>$H171*Multipliers!F216</f>
        <v>9.4261360320114507E-3</v>
      </c>
      <c r="O171" s="78">
        <f t="shared" si="72"/>
        <v>2.4711418675937895E-2</v>
      </c>
      <c r="P171" s="35"/>
      <c r="Q171" s="35">
        <f>$H171*Multipliers!I216</f>
        <v>1.0878513281952682E-3</v>
      </c>
      <c r="R171" s="35">
        <f>$H171*Multipliers!J216</f>
        <v>4.8987169052874997E-4</v>
      </c>
      <c r="S171" s="35">
        <f t="shared" si="73"/>
        <v>1.5777230187240181E-3</v>
      </c>
      <c r="T171" s="35">
        <f>$H171*Multipliers!L216</f>
        <v>6.5105816194228564E-3</v>
      </c>
      <c r="U171" s="35">
        <f>$H171*Multipliers!M216</f>
        <v>4.1140928754820512E-3</v>
      </c>
      <c r="V171" s="35">
        <f>$H171*Multipliers!N216</f>
        <v>1.4638048296905261E-3</v>
      </c>
      <c r="W171" s="35">
        <f t="shared" si="74"/>
        <v>5.5778977051725775E-3</v>
      </c>
      <c r="X171" s="35"/>
      <c r="Y171" s="35">
        <f>$H171*Multipliers!Q216</f>
        <v>2.114214988131087E-3</v>
      </c>
      <c r="Z171" s="35">
        <f>$H171*Multipliers!R216</f>
        <v>8.3328182246393155E-4</v>
      </c>
      <c r="AA171" s="35">
        <f t="shared" si="75"/>
        <v>2.9474968105950186E-3</v>
      </c>
    </row>
    <row r="172" spans="3:27" ht="15" x14ac:dyDescent="0.2">
      <c r="C172" s="6" t="s">
        <v>79</v>
      </c>
      <c r="D172" s="8">
        <f>G$128*Multipliers!$U217</f>
        <v>4.4081418006975813E-2</v>
      </c>
      <c r="E172" s="8">
        <f>H$131*Multipliers!$U217</f>
        <v>0</v>
      </c>
      <c r="F172" s="8">
        <f>G$162*Multipliers!U217</f>
        <v>0.12625575288300711</v>
      </c>
      <c r="H172" s="18">
        <f t="shared" si="71"/>
        <v>1.7860943689351322E-7</v>
      </c>
      <c r="J172" s="67"/>
      <c r="K172" s="67"/>
      <c r="L172" s="67"/>
      <c r="M172" s="78">
        <f>$H172*Multipliers!E217</f>
        <v>3.5613323224994494E-7</v>
      </c>
      <c r="N172" s="78">
        <f>$H172*Multipliers!F217</f>
        <v>3.9589692764803004E-7</v>
      </c>
      <c r="O172" s="78">
        <f t="shared" si="72"/>
        <v>7.5203015989797498E-7</v>
      </c>
      <c r="P172" s="35"/>
      <c r="Q172" s="35">
        <f>$H172*Multipliers!I217</f>
        <v>2.3517876837046623E-8</v>
      </c>
      <c r="R172" s="35">
        <f>$H172*Multipliers!J217</f>
        <v>2.0258852831077016E-8</v>
      </c>
      <c r="S172" s="35">
        <f t="shared" si="73"/>
        <v>4.3776729668123639E-8</v>
      </c>
      <c r="T172" s="35">
        <f>$H172*Multipliers!L217</f>
        <v>1.7860943689351322E-7</v>
      </c>
      <c r="U172" s="35">
        <f>$H172*Multipliers!M217</f>
        <v>9.1409934170677584E-8</v>
      </c>
      <c r="V172" s="35">
        <f>$H172*Multipliers!N217</f>
        <v>6.0547462928315514E-8</v>
      </c>
      <c r="W172" s="35">
        <f t="shared" si="74"/>
        <v>1.5195739709899308E-7</v>
      </c>
      <c r="X172" s="35"/>
      <c r="Y172" s="35">
        <f>$H172*Multipliers!Q217</f>
        <v>4.2432577086583497E-8</v>
      </c>
      <c r="Z172" s="35">
        <f>$H172*Multipliers!R217</f>
        <v>3.4463299507490144E-8</v>
      </c>
      <c r="AA172" s="35">
        <f t="shared" si="75"/>
        <v>7.6895876594073641E-8</v>
      </c>
    </row>
    <row r="173" spans="3:27" ht="15" x14ac:dyDescent="0.2">
      <c r="C173" s="6" t="s">
        <v>80</v>
      </c>
      <c r="D173" s="8">
        <f>G$128*Multipliers!$U218</f>
        <v>0.20561171418546598</v>
      </c>
      <c r="E173" s="8">
        <f>H$131*Multipliers!$U218</f>
        <v>0</v>
      </c>
      <c r="F173" s="8">
        <f>G$162*Multipliers!U218</f>
        <v>0.58890260226981817</v>
      </c>
      <c r="G173" s="18"/>
      <c r="H173" s="18">
        <f t="shared" si="71"/>
        <v>8.3309916399614267E-7</v>
      </c>
      <c r="I173" s="67"/>
      <c r="J173" s="67"/>
      <c r="K173" s="67"/>
      <c r="L173" s="67"/>
      <c r="M173" s="78">
        <f>$H173*Multipliers!E218</f>
        <v>1.6650455475842262E-6</v>
      </c>
      <c r="N173" s="78">
        <f>$H173*Multipliers!F218</f>
        <v>1.4387551582027594E-6</v>
      </c>
      <c r="O173" s="78">
        <f t="shared" si="72"/>
        <v>3.1038007057869857E-6</v>
      </c>
      <c r="P173" s="35"/>
      <c r="Q173" s="35">
        <f>$H173*Multipliers!I218</f>
        <v>1.1126317676187993E-7</v>
      </c>
      <c r="R173" s="35">
        <f>$H173*Multipliers!J218</f>
        <v>7.3427606531619438E-8</v>
      </c>
      <c r="S173" s="35">
        <f t="shared" si="73"/>
        <v>1.8469078329349938E-7</v>
      </c>
      <c r="T173" s="35">
        <f>$H173*Multipliers!L218</f>
        <v>8.3309916399614267E-7</v>
      </c>
      <c r="U173" s="35">
        <f>$H173*Multipliers!M218</f>
        <v>4.2659649846222199E-7</v>
      </c>
      <c r="V173" s="35">
        <f>$H173*Multipliers!N218</f>
        <v>2.1944995461129218E-7</v>
      </c>
      <c r="W173" s="35">
        <f t="shared" si="74"/>
        <v>6.4604645307351419E-7</v>
      </c>
      <c r="X173" s="35"/>
      <c r="Y173" s="35">
        <f>$H173*Multipliers!Q218</f>
        <v>2.0337388520574056E-7</v>
      </c>
      <c r="Z173" s="35">
        <f>$H173*Multipliers!R218</f>
        <v>1.2491062975172144E-7</v>
      </c>
      <c r="AA173" s="35">
        <f t="shared" si="75"/>
        <v>3.28284514957462E-7</v>
      </c>
    </row>
    <row r="174" spans="3:27" ht="15" x14ac:dyDescent="0.2">
      <c r="C174" s="6" t="s">
        <v>81</v>
      </c>
      <c r="D174" s="8">
        <f>G$128*Multipliers!$U219</f>
        <v>0.40120860811412246</v>
      </c>
      <c r="E174" s="8">
        <f>H$131*Multipliers!$U219</f>
        <v>0</v>
      </c>
      <c r="F174" s="8">
        <f>G$162*Multipliers!U219</f>
        <v>1.1491212663026364</v>
      </c>
      <c r="G174" s="18"/>
      <c r="H174" s="18">
        <f t="shared" si="71"/>
        <v>1.6256202003473118E-6</v>
      </c>
      <c r="I174" s="67"/>
      <c r="J174" s="67"/>
      <c r="K174" s="67"/>
      <c r="L174" s="67"/>
      <c r="M174" s="78">
        <f>$H174*Multipliers!E219</f>
        <v>3.6386128967866043E-6</v>
      </c>
      <c r="N174" s="78">
        <f>$H174*Multipliers!F219</f>
        <v>2.9339776101329351E-6</v>
      </c>
      <c r="O174" s="78">
        <f t="shared" si="72"/>
        <v>6.5725905069195394E-6</v>
      </c>
      <c r="P174" s="35"/>
      <c r="Q174" s="35">
        <f>$H174*Multipliers!I219</f>
        <v>2.469070380816413E-7</v>
      </c>
      <c r="R174" s="35">
        <f>$H174*Multipliers!J219</f>
        <v>1.4899329010135867E-7</v>
      </c>
      <c r="S174" s="35">
        <f t="shared" si="73"/>
        <v>3.95900328183E-7</v>
      </c>
      <c r="T174" s="35">
        <f>$H174*Multipliers!L219</f>
        <v>1.6256202003473118E-6</v>
      </c>
      <c r="U174" s="35">
        <f>$H174*Multipliers!M219</f>
        <v>8.8328942597890448E-7</v>
      </c>
      <c r="V174" s="35">
        <f>$H174*Multipliers!N219</f>
        <v>4.4529526227356381E-7</v>
      </c>
      <c r="W174" s="35">
        <f t="shared" si="74"/>
        <v>1.3285846882524683E-6</v>
      </c>
      <c r="X174" s="35"/>
      <c r="Y174" s="35">
        <f>$H174*Multipliers!Q219</f>
        <v>4.3806136005120283E-7</v>
      </c>
      <c r="Z174" s="35">
        <f>$H174*Multipliers!R219</f>
        <v>2.5345962652472311E-7</v>
      </c>
      <c r="AA174" s="35">
        <f t="shared" si="75"/>
        <v>6.9152098657592594E-7</v>
      </c>
    </row>
    <row r="175" spans="3:27" ht="15" x14ac:dyDescent="0.2">
      <c r="C175" s="6" t="s">
        <v>82</v>
      </c>
      <c r="D175" s="8">
        <f>G$128*Multipliers!$U220</f>
        <v>818.54120099935335</v>
      </c>
      <c r="E175" s="8">
        <f>H$131*Multipliers!$U220</f>
        <v>0</v>
      </c>
      <c r="F175" s="8">
        <f>G$162*Multipliers!U220</f>
        <v>2344.424028772848</v>
      </c>
      <c r="G175" s="18"/>
      <c r="H175" s="18">
        <f t="shared" si="71"/>
        <v>3.3165716892659563E-3</v>
      </c>
      <c r="I175" s="67"/>
      <c r="J175" s="67"/>
      <c r="K175" s="67"/>
      <c r="L175" s="67"/>
      <c r="M175" s="78">
        <f>$H175*Multipliers!E220</f>
        <v>8.1141599917687688E-3</v>
      </c>
      <c r="N175" s="78">
        <f>$H175*Multipliers!F220</f>
        <v>8.2945013945625104E-3</v>
      </c>
      <c r="O175" s="78">
        <f t="shared" si="72"/>
        <v>1.6408661386331277E-2</v>
      </c>
      <c r="P175" s="35"/>
      <c r="Q175" s="35">
        <f>$H175*Multipliers!I220</f>
        <v>5.8855980012367467E-4</v>
      </c>
      <c r="R175" s="35">
        <f>$H175*Multipliers!J220</f>
        <v>4.2796997535822539E-4</v>
      </c>
      <c r="S175" s="35">
        <f t="shared" si="73"/>
        <v>1.0165297754819E-3</v>
      </c>
      <c r="T175" s="35">
        <f>$H175*Multipliers!L220</f>
        <v>3.3165716892659563E-3</v>
      </c>
      <c r="U175" s="35">
        <f>$H175*Multipliers!M220</f>
        <v>1.9211928719708718E-3</v>
      </c>
      <c r="V175" s="35">
        <f>$H175*Multipliers!N220</f>
        <v>1.2786304535470348E-3</v>
      </c>
      <c r="W175" s="35">
        <f t="shared" si="74"/>
        <v>3.1998233255179065E-3</v>
      </c>
      <c r="X175" s="35"/>
      <c r="Y175" s="35">
        <f>$H175*Multipliers!Q220</f>
        <v>1.0557952686233939E-3</v>
      </c>
      <c r="Z175" s="35">
        <f>$H175*Multipliers!R220</f>
        <v>7.2793902141525318E-4</v>
      </c>
      <c r="AA175" s="35">
        <f t="shared" si="75"/>
        <v>1.7837342900386471E-3</v>
      </c>
    </row>
    <row r="176" spans="3:27" ht="15" x14ac:dyDescent="0.2">
      <c r="C176" s="6" t="s">
        <v>9</v>
      </c>
      <c r="D176" s="8">
        <f>G$128*Multipliers!$U221</f>
        <v>797.71865918729554</v>
      </c>
      <c r="E176" s="8">
        <f>H$131*Multipliers!$U221</f>
        <v>0</v>
      </c>
      <c r="F176" s="8">
        <f>G$162*Multipliers!U221</f>
        <v>2284.7851647734365</v>
      </c>
      <c r="G176" s="18"/>
      <c r="H176" s="18">
        <f t="shared" si="71"/>
        <v>3.2322027502460111E-3</v>
      </c>
      <c r="I176" s="67"/>
      <c r="J176" s="67"/>
      <c r="K176" s="67"/>
      <c r="L176" s="67"/>
      <c r="M176" s="78">
        <f>$H176*Multipliers!E221</f>
        <v>6.5506052430264671E-3</v>
      </c>
      <c r="N176" s="78">
        <f>$H176*Multipliers!F221</f>
        <v>7.6650408438648484E-3</v>
      </c>
      <c r="O176" s="78">
        <f t="shared" si="72"/>
        <v>1.4215646086891316E-2</v>
      </c>
      <c r="P176" s="35"/>
      <c r="Q176" s="35">
        <f>$H176*Multipliers!I221</f>
        <v>4.1430518440212607E-4</v>
      </c>
      <c r="R176" s="35">
        <f>$H176*Multipliers!J221</f>
        <v>4.4355338177492609E-4</v>
      </c>
      <c r="S176" s="35">
        <f t="shared" si="73"/>
        <v>8.5785856617705215E-4</v>
      </c>
      <c r="T176" s="35">
        <f>$H176*Multipliers!L221</f>
        <v>3.2322027502460111E-3</v>
      </c>
      <c r="U176" s="35">
        <f>$H176*Multipliers!M221</f>
        <v>1.1877669121757584E-3</v>
      </c>
      <c r="V176" s="35">
        <f>$H176*Multipliers!N221</f>
        <v>1.3255367932836133E-3</v>
      </c>
      <c r="W176" s="35">
        <f t="shared" si="74"/>
        <v>2.5133037054593716E-3</v>
      </c>
      <c r="X176" s="35"/>
      <c r="Y176" s="35">
        <f>$H176*Multipliers!Q221</f>
        <v>6.8714870157095915E-4</v>
      </c>
      <c r="Z176" s="35">
        <f>$H176*Multipliers!R221</f>
        <v>7.5452496632687726E-4</v>
      </c>
      <c r="AA176" s="35">
        <f t="shared" si="75"/>
        <v>1.4416736678978365E-3</v>
      </c>
    </row>
    <row r="177" spans="3:27" ht="15" x14ac:dyDescent="0.2">
      <c r="C177" s="6" t="s">
        <v>10</v>
      </c>
      <c r="D177" s="8">
        <f>G$128*Multipliers!$U222</f>
        <v>1830.5313781942475</v>
      </c>
      <c r="E177" s="8">
        <f>H$131*Multipliers!$U222</f>
        <v>0</v>
      </c>
      <c r="F177" s="8">
        <f>G$162*Multipliers!U222</f>
        <v>5242.9147649767019</v>
      </c>
      <c r="G177" s="18"/>
      <c r="H177" s="18">
        <f t="shared" si="71"/>
        <v>7.4169614648839539E-3</v>
      </c>
      <c r="I177" s="67"/>
      <c r="J177" s="67"/>
      <c r="K177" s="67"/>
      <c r="L177" s="67"/>
      <c r="M177" s="78">
        <f>$H177*Multipliers!E222</f>
        <v>1.6196727377457133E-2</v>
      </c>
      <c r="N177" s="78">
        <f>$H177*Multipliers!F222</f>
        <v>2.1070482400160045E-2</v>
      </c>
      <c r="O177" s="78">
        <f t="shared" si="72"/>
        <v>3.7267209777617175E-2</v>
      </c>
      <c r="P177" s="35"/>
      <c r="Q177" s="35">
        <f>$H177*Multipliers!I222</f>
        <v>9.0727298221105824E-4</v>
      </c>
      <c r="R177" s="35">
        <f>$H177*Multipliers!J222</f>
        <v>1.1149030103443391E-3</v>
      </c>
      <c r="S177" s="35">
        <f t="shared" si="73"/>
        <v>2.0221759925553974E-3</v>
      </c>
      <c r="T177" s="35">
        <f>$H177*Multipliers!L222</f>
        <v>7.4169614648839539E-3</v>
      </c>
      <c r="U177" s="35">
        <f>$H177*Multipliers!M222</f>
        <v>2.7394641203871898E-3</v>
      </c>
      <c r="V177" s="35">
        <f>$H177*Multipliers!N222</f>
        <v>3.331622641443543E-3</v>
      </c>
      <c r="W177" s="35">
        <f t="shared" si="74"/>
        <v>6.0710867618307329E-3</v>
      </c>
      <c r="X177" s="35"/>
      <c r="Y177" s="35">
        <f>$H177*Multipliers!Q222</f>
        <v>1.5493995265945773E-3</v>
      </c>
      <c r="Z177" s="35">
        <f>$H177*Multipliers!R222</f>
        <v>1.8965046101793327E-3</v>
      </c>
      <c r="AA177" s="35">
        <f t="shared" si="75"/>
        <v>3.44590413677391E-3</v>
      </c>
    </row>
    <row r="178" spans="3:27" ht="15" x14ac:dyDescent="0.2">
      <c r="C178" s="6" t="s">
        <v>83</v>
      </c>
      <c r="D178" s="8">
        <f>G$128*Multipliers!$U223</f>
        <v>2282.9605292805459</v>
      </c>
      <c r="E178" s="8">
        <f>H$131*Multipliers!$U223</f>
        <v>0</v>
      </c>
      <c r="F178" s="8">
        <f>(G$162*Multipliers!U223)+(G161*H161)</f>
        <v>31984.268140956829</v>
      </c>
      <c r="G178" s="18"/>
      <c r="H178" s="18">
        <f t="shared" si="71"/>
        <v>3.5931384704313396E-2</v>
      </c>
      <c r="I178" s="67"/>
      <c r="J178" s="67"/>
      <c r="K178" s="67"/>
      <c r="L178" s="67"/>
      <c r="M178" s="78">
        <f>$H178*Multipliers!E223</f>
        <v>0.11924297498047035</v>
      </c>
      <c r="N178" s="78">
        <f>$H178*Multipliers!F223</f>
        <v>8.5793327171836187E-2</v>
      </c>
      <c r="O178" s="78">
        <f t="shared" si="72"/>
        <v>0.20503630215230653</v>
      </c>
      <c r="P178" s="35"/>
      <c r="Q178" s="35">
        <f>$H178*Multipliers!I223</f>
        <v>6.4259280213470917E-3</v>
      </c>
      <c r="R178" s="35">
        <f>$H178*Multipliers!J223</f>
        <v>4.4638326609458831E-3</v>
      </c>
      <c r="S178" s="35">
        <f t="shared" si="73"/>
        <v>1.0889760682292974E-2</v>
      </c>
      <c r="T178" s="35">
        <f>$H178*Multipliers!L223</f>
        <v>3.5931384704313396E-2</v>
      </c>
      <c r="U178" s="35">
        <f>$H178*Multipliers!M223</f>
        <v>2.0387873832360334E-2</v>
      </c>
      <c r="V178" s="35">
        <f>$H178*Multipliers!N223</f>
        <v>1.3339218298428285E-2</v>
      </c>
      <c r="W178" s="35">
        <f t="shared" si="74"/>
        <v>3.3727092130788616E-2</v>
      </c>
      <c r="X178" s="35"/>
      <c r="Y178" s="35">
        <f>$H178*Multipliers!Q223</f>
        <v>1.1257061304901858E-2</v>
      </c>
      <c r="Z178" s="35">
        <f>$H178*Multipliers!R223</f>
        <v>7.5932241352742024E-3</v>
      </c>
      <c r="AA178" s="35">
        <f t="shared" si="75"/>
        <v>1.885028544017606E-2</v>
      </c>
    </row>
    <row r="179" spans="3:27" ht="15" x14ac:dyDescent="0.2">
      <c r="C179" s="6" t="s">
        <v>84</v>
      </c>
      <c r="D179" s="8">
        <f>G$128*Multipliers!$U224</f>
        <v>10494.190013856651</v>
      </c>
      <c r="E179" s="8">
        <f>H$131*Multipliers!$U224</f>
        <v>0</v>
      </c>
      <c r="F179" s="8">
        <f>G$162*Multipliers!U224</f>
        <v>30056.924686205304</v>
      </c>
      <c r="G179" s="18"/>
      <c r="H179" s="18">
        <f t="shared" si="71"/>
        <v>4.2520441804568342E-2</v>
      </c>
      <c r="I179" s="67"/>
      <c r="J179" s="67"/>
      <c r="K179" s="67"/>
      <c r="L179" s="67"/>
      <c r="M179" s="78">
        <f>$H179*Multipliers!E224</f>
        <v>9.5281978942116013E-2</v>
      </c>
      <c r="N179" s="78">
        <f>$H179*Multipliers!F224</f>
        <v>0.14721684272456689</v>
      </c>
      <c r="O179" s="78">
        <f t="shared" si="72"/>
        <v>0.24249882166668291</v>
      </c>
      <c r="P179" s="35"/>
      <c r="Q179" s="35">
        <f>$H179*Multipliers!I224</f>
        <v>6.4038567396073574E-3</v>
      </c>
      <c r="R179" s="35">
        <f>$H179*Multipliers!J224</f>
        <v>8.4311936195477048E-3</v>
      </c>
      <c r="S179" s="35">
        <f t="shared" si="73"/>
        <v>1.4835050359155062E-2</v>
      </c>
      <c r="T179" s="35">
        <f>$H179*Multipliers!L224</f>
        <v>4.2520441804568342E-2</v>
      </c>
      <c r="U179" s="35">
        <f>$H179*Multipliers!M224</f>
        <v>1.7295340228033116E-2</v>
      </c>
      <c r="V179" s="35">
        <f>$H179*Multipliers!N224</f>
        <v>2.5194354043692292E-2</v>
      </c>
      <c r="W179" s="35">
        <f t="shared" si="74"/>
        <v>4.2489694271725408E-2</v>
      </c>
      <c r="X179" s="35"/>
      <c r="Y179" s="35">
        <f>$H179*Multipliers!Q224</f>
        <v>9.9852593899314342E-3</v>
      </c>
      <c r="Z179" s="35">
        <f>$H179*Multipliers!R224</f>
        <v>1.4341810587278177E-2</v>
      </c>
      <c r="AA179" s="35">
        <f t="shared" si="75"/>
        <v>2.4327069977209612E-2</v>
      </c>
    </row>
    <row r="180" spans="3:27" ht="15" x14ac:dyDescent="0.2">
      <c r="C180" s="6" t="s">
        <v>85</v>
      </c>
      <c r="D180" s="8">
        <f>G$128*Multipliers!$U225</f>
        <v>160.02263272180036</v>
      </c>
      <c r="E180" s="8">
        <f>H$131*Multipliers!$U225</f>
        <v>0</v>
      </c>
      <c r="F180" s="8">
        <f>G$162*Multipliers!U225</f>
        <v>458.32867648256274</v>
      </c>
      <c r="G180" s="18"/>
      <c r="H180" s="18">
        <f t="shared" si="71"/>
        <v>6.4838096442667204E-4</v>
      </c>
      <c r="I180" s="67"/>
      <c r="J180" s="67"/>
      <c r="K180" s="67"/>
      <c r="L180" s="67"/>
      <c r="M180" s="78">
        <f>$H180*Multipliers!E225</f>
        <v>1.600467205243452E-3</v>
      </c>
      <c r="N180" s="78">
        <f>$H180*Multipliers!F225</f>
        <v>1.7996682497322795E-3</v>
      </c>
      <c r="O180" s="78">
        <f t="shared" si="72"/>
        <v>3.4001354549757314E-3</v>
      </c>
      <c r="P180" s="35"/>
      <c r="Q180" s="35">
        <f>$H180*Multipliers!I225</f>
        <v>9.0949949989180718E-5</v>
      </c>
      <c r="R180" s="35">
        <f>$H180*Multipliers!J225</f>
        <v>9.4657706497908745E-5</v>
      </c>
      <c r="S180" s="35">
        <f t="shared" si="73"/>
        <v>1.8560765648708948E-4</v>
      </c>
      <c r="T180" s="35">
        <f>$H180*Multipliers!L225</f>
        <v>6.4838096442667204E-4</v>
      </c>
      <c r="U180" s="35">
        <f>$H180*Multipliers!M225</f>
        <v>2.7469457382817668E-4</v>
      </c>
      <c r="V180" s="35">
        <f>$H180*Multipliers!N225</f>
        <v>2.8286170363274758E-4</v>
      </c>
      <c r="W180" s="35">
        <f t="shared" si="74"/>
        <v>5.5755627746092431E-4</v>
      </c>
      <c r="X180" s="35"/>
      <c r="Y180" s="35">
        <f>$H180*Multipliers!Q225</f>
        <v>1.5281768092730358E-4</v>
      </c>
      <c r="Z180" s="35">
        <f>$H180*Multipliers!R225</f>
        <v>1.6101730279109589E-4</v>
      </c>
      <c r="AA180" s="35">
        <f t="shared" si="75"/>
        <v>3.1383498371839947E-4</v>
      </c>
    </row>
    <row r="181" spans="3:27" ht="15" x14ac:dyDescent="0.2">
      <c r="C181" s="6" t="s">
        <v>11</v>
      </c>
      <c r="D181" s="8">
        <f>G$128*Multipliers!$U226</f>
        <v>135.16342121356305</v>
      </c>
      <c r="E181" s="8">
        <f>H$131*Multipliers!$U226</f>
        <v>0</v>
      </c>
      <c r="F181" s="8">
        <f>(G$162*Multipliers!U226)+(G160*H160)</f>
        <v>387.1281886816999</v>
      </c>
      <c r="G181" s="18"/>
      <c r="H181" s="18">
        <f t="shared" si="71"/>
        <v>5.4765621531809364E-4</v>
      </c>
      <c r="I181" s="67"/>
      <c r="J181" s="67"/>
      <c r="K181" s="67"/>
      <c r="L181" s="67"/>
      <c r="M181" s="78">
        <f>$H181*Multipliers!E226</f>
        <v>2.3972778466619391E-4</v>
      </c>
      <c r="N181" s="78">
        <f>$H181*Multipliers!F226</f>
        <v>2.0639059318486508E-3</v>
      </c>
      <c r="O181" s="78">
        <f t="shared" si="72"/>
        <v>2.3036337165148447E-3</v>
      </c>
      <c r="P181" s="35"/>
      <c r="Q181" s="35">
        <f>$H181*Multipliers!I226</f>
        <v>1.694417317720003E-5</v>
      </c>
      <c r="R181" s="35">
        <f>$H181*Multipliers!J226</f>
        <v>1.2258517104385332E-4</v>
      </c>
      <c r="S181" s="35">
        <f t="shared" si="73"/>
        <v>1.3952934422105335E-4</v>
      </c>
      <c r="T181" s="35">
        <f>$H181*Multipliers!L226</f>
        <v>5.4765621531809364E-4</v>
      </c>
      <c r="U181" s="35">
        <f>$H181*Multipliers!M226</f>
        <v>5.1328733758776856E-5</v>
      </c>
      <c r="V181" s="35">
        <f>$H181*Multipliers!N226</f>
        <v>3.6640895459335307E-4</v>
      </c>
      <c r="W181" s="35">
        <f t="shared" si="74"/>
        <v>4.1773768835212991E-4</v>
      </c>
      <c r="X181" s="35"/>
      <c r="Y181" s="35">
        <f>$H181*Multipliers!Q226</f>
        <v>2.7380875044652218E-5</v>
      </c>
      <c r="Z181" s="35">
        <f>$H181*Multipliers!R226</f>
        <v>2.0854458638413679E-4</v>
      </c>
      <c r="AA181" s="35">
        <f t="shared" si="75"/>
        <v>2.3592546142878901E-4</v>
      </c>
    </row>
    <row r="182" spans="3:27" ht="15" x14ac:dyDescent="0.2">
      <c r="C182" s="6" t="s">
        <v>4</v>
      </c>
      <c r="D182" s="8">
        <f>SUM(D168:D181)</f>
        <v>18181.81818181818</v>
      </c>
      <c r="E182" s="8">
        <f>SUM(E168:E181)</f>
        <v>0</v>
      </c>
      <c r="F182" s="8">
        <f>SUM(F168:F181)</f>
        <v>77520.966678722631</v>
      </c>
      <c r="G182" s="18"/>
      <c r="H182" s="18">
        <f>SUM(H168:H181)</f>
        <v>0.10035050144235694</v>
      </c>
      <c r="I182" s="67"/>
      <c r="J182" s="67"/>
      <c r="K182" s="67"/>
      <c r="L182" s="67">
        <f>IF(L184=0,0,D164)</f>
        <v>1.2980059779640924</v>
      </c>
      <c r="M182" s="78">
        <f>SUM(M168:M181)</f>
        <v>0.26285879147097158</v>
      </c>
      <c r="N182" s="78">
        <f>SUM(N168:N181)</f>
        <v>0.28365036922009979</v>
      </c>
      <c r="O182" s="78">
        <f>N182+M182+L182</f>
        <v>1.8445151386551637</v>
      </c>
      <c r="P182" s="35">
        <f>H182</f>
        <v>0.10035050144235694</v>
      </c>
      <c r="Q182" s="35">
        <f>SUM(Q168:Q181)</f>
        <v>1.5954410514515915E-2</v>
      </c>
      <c r="R182" s="35">
        <f>SUM(R168:R181)</f>
        <v>1.5607067740855378E-2</v>
      </c>
      <c r="S182" s="35">
        <f>R182+Q182+P182</f>
        <v>0.13191197969772822</v>
      </c>
      <c r="T182" s="35">
        <f>SUM(T168:T181)</f>
        <v>0.10035050144235694</v>
      </c>
      <c r="U182" s="35">
        <f>SUM(U168:U181)</f>
        <v>4.8048015587612729E-2</v>
      </c>
      <c r="V182" s="35">
        <f>SUM(V168:V181)</f>
        <v>4.6637691515434919E-2</v>
      </c>
      <c r="W182" s="35">
        <f>V182+U182+T182</f>
        <v>0.1950362085454046</v>
      </c>
      <c r="X182" s="35">
        <f>H182</f>
        <v>0.10035050144235694</v>
      </c>
      <c r="Y182" s="35">
        <f>SUM(Y168:Y181)</f>
        <v>2.6866507517657665E-2</v>
      </c>
      <c r="Z182" s="35">
        <f>SUM(Z168:Z181)</f>
        <v>2.6548310285749405E-2</v>
      </c>
      <c r="AA182" s="35">
        <f>Z182+Y182+X182</f>
        <v>0.153765319245764</v>
      </c>
    </row>
    <row r="183" spans="3:27" ht="15" x14ac:dyDescent="0.2">
      <c r="C183" s="6"/>
      <c r="D183" s="8"/>
      <c r="F183" s="85"/>
      <c r="G183" s="20"/>
      <c r="I183" s="16"/>
      <c r="J183" s="16"/>
      <c r="K183" s="16"/>
      <c r="L183" s="16"/>
      <c r="M183" s="68"/>
      <c r="N183" s="68"/>
      <c r="O183" t="s">
        <v>97</v>
      </c>
      <c r="P183" s="1">
        <f>P160</f>
        <v>2012</v>
      </c>
      <c r="Q183" s="1" t="s">
        <v>94</v>
      </c>
      <c r="R183" s="68"/>
      <c r="S183" s="68"/>
      <c r="T183" s="68"/>
      <c r="W183" s="22"/>
      <c r="X183" s="68"/>
      <c r="Y183" s="703"/>
      <c r="Z183" s="703"/>
      <c r="AA183" s="22"/>
    </row>
    <row r="184" spans="3:27" x14ac:dyDescent="0.2">
      <c r="C184" s="17" t="s">
        <v>148</v>
      </c>
      <c r="E184" s="17" t="s">
        <v>143</v>
      </c>
      <c r="F184" s="10"/>
      <c r="L184" s="137">
        <f>SUM(L189:L202)</f>
        <v>0.15435530085446575</v>
      </c>
      <c r="P184" s="18">
        <f t="shared" ref="P184:W184" si="76">P182*$G107</f>
        <v>9.7000240304098775E-2</v>
      </c>
      <c r="Q184" s="18">
        <f t="shared" si="76"/>
        <v>1.5421763036303727E-2</v>
      </c>
      <c r="R184" s="18">
        <f t="shared" si="76"/>
        <v>1.5086016507599853E-2</v>
      </c>
      <c r="S184" s="18">
        <f t="shared" si="76"/>
        <v>0.12750801984800236</v>
      </c>
      <c r="T184" s="18">
        <f t="shared" si="76"/>
        <v>9.7000240304098775E-2</v>
      </c>
      <c r="U184" s="18">
        <f t="shared" si="76"/>
        <v>4.6443904027830767E-2</v>
      </c>
      <c r="V184" s="18">
        <f t="shared" si="76"/>
        <v>4.5080664463088942E-2</v>
      </c>
      <c r="W184" s="79">
        <f t="shared" si="76"/>
        <v>0.18852480879501851</v>
      </c>
      <c r="X184" s="18">
        <f t="shared" ref="X184:AA184" si="77">X182*$G107</f>
        <v>9.7000240304098775E-2</v>
      </c>
      <c r="Y184" s="18">
        <f t="shared" si="77"/>
        <v>2.5969553194924836E-2</v>
      </c>
      <c r="Z184" s="18">
        <f t="shared" si="77"/>
        <v>2.5661979166737944E-2</v>
      </c>
      <c r="AA184" s="79">
        <f t="shared" si="77"/>
        <v>0.14863177266576155</v>
      </c>
    </row>
    <row r="185" spans="3:27" x14ac:dyDescent="0.2">
      <c r="D185" s="10" t="s">
        <v>69</v>
      </c>
      <c r="E185" s="10" t="s">
        <v>69</v>
      </c>
      <c r="F185" s="10"/>
      <c r="X185" s="703"/>
      <c r="Y185" s="703"/>
      <c r="Z185" s="703"/>
      <c r="AA185" s="703"/>
    </row>
    <row r="186" spans="3:27" ht="15" x14ac:dyDescent="0.2">
      <c r="C186" s="6" t="s">
        <v>7</v>
      </c>
      <c r="D186" s="8">
        <v>0</v>
      </c>
      <c r="E186" s="8">
        <v>0</v>
      </c>
      <c r="L186" s="1" t="s">
        <v>104</v>
      </c>
      <c r="X186" s="703"/>
      <c r="Y186" s="703"/>
      <c r="Z186" s="703"/>
      <c r="AA186" s="703"/>
    </row>
    <row r="187" spans="3:27" ht="15" x14ac:dyDescent="0.2">
      <c r="C187" s="6" t="s">
        <v>77</v>
      </c>
      <c r="D187" s="8">
        <v>0</v>
      </c>
      <c r="E187" s="8">
        <v>0</v>
      </c>
      <c r="L187" s="11" t="s">
        <v>6</v>
      </c>
      <c r="M187" s="11"/>
      <c r="N187" s="11"/>
      <c r="O187" s="11"/>
      <c r="P187" s="11" t="s">
        <v>100</v>
      </c>
      <c r="Q187" s="11"/>
      <c r="R187" s="11"/>
      <c r="S187" s="11"/>
      <c r="T187" s="11" t="s">
        <v>101</v>
      </c>
      <c r="X187" s="11" t="s">
        <v>651</v>
      </c>
      <c r="Y187" s="703"/>
      <c r="Z187" s="703"/>
      <c r="AA187" s="703"/>
    </row>
    <row r="188" spans="3:27" ht="15" x14ac:dyDescent="0.2">
      <c r="C188" s="6" t="s">
        <v>8</v>
      </c>
      <c r="D188" s="8">
        <v>0</v>
      </c>
      <c r="E188" s="8">
        <f>H20+H36</f>
        <v>3697600.1438848926</v>
      </c>
      <c r="L188" s="11" t="s">
        <v>74</v>
      </c>
      <c r="M188" s="11" t="s">
        <v>75</v>
      </c>
      <c r="N188" s="11" t="s">
        <v>76</v>
      </c>
      <c r="O188" s="11" t="s">
        <v>4</v>
      </c>
      <c r="P188" s="11" t="s">
        <v>74</v>
      </c>
      <c r="Q188" s="11" t="s">
        <v>75</v>
      </c>
      <c r="R188" s="11" t="s">
        <v>76</v>
      </c>
      <c r="S188" s="11" t="s">
        <v>4</v>
      </c>
      <c r="T188" s="11" t="s">
        <v>74</v>
      </c>
      <c r="U188" s="11" t="s">
        <v>75</v>
      </c>
      <c r="V188" s="11" t="s">
        <v>76</v>
      </c>
      <c r="W188" s="11" t="s">
        <v>4</v>
      </c>
      <c r="X188" s="11" t="s">
        <v>74</v>
      </c>
      <c r="Y188" s="11" t="s">
        <v>75</v>
      </c>
      <c r="Z188" s="11" t="s">
        <v>76</v>
      </c>
      <c r="AA188" s="11" t="s">
        <v>4</v>
      </c>
    </row>
    <row r="189" spans="3:27" ht="15" x14ac:dyDescent="0.2">
      <c r="C189" s="6" t="s">
        <v>78</v>
      </c>
      <c r="D189" s="8">
        <f>G117</f>
        <v>3440</v>
      </c>
      <c r="E189" s="8">
        <f>G14</f>
        <v>600000</v>
      </c>
      <c r="J189" s="6" t="s">
        <v>7</v>
      </c>
      <c r="L189" s="14">
        <f>L143+L168</f>
        <v>0</v>
      </c>
      <c r="M189" s="14">
        <f t="shared" ref="M189:V189" si="78">M143+M168</f>
        <v>3.394823600073739E-4</v>
      </c>
      <c r="N189" s="14">
        <f t="shared" si="78"/>
        <v>3.1229323715823625E-4</v>
      </c>
      <c r="O189" s="14">
        <f>N189+M189+L189</f>
        <v>6.517755971656102E-4</v>
      </c>
      <c r="P189" s="18">
        <f t="shared" si="78"/>
        <v>0</v>
      </c>
      <c r="Q189" s="18">
        <f t="shared" si="78"/>
        <v>1.8216750995260086E-5</v>
      </c>
      <c r="R189" s="18">
        <f t="shared" si="78"/>
        <v>1.8086295659409487E-5</v>
      </c>
      <c r="S189" s="18">
        <f>R189+Q189+P189</f>
        <v>3.630304665466957E-5</v>
      </c>
      <c r="T189" s="18">
        <f t="shared" si="78"/>
        <v>2.2210209657315234E-4</v>
      </c>
      <c r="U189" s="18">
        <f t="shared" si="78"/>
        <v>7.4385015265501984E-5</v>
      </c>
      <c r="V189" s="18">
        <f t="shared" si="78"/>
        <v>5.4016101216701313E-5</v>
      </c>
      <c r="W189" s="18">
        <f>V189+U189+T189</f>
        <v>3.5050321305535564E-4</v>
      </c>
      <c r="X189" s="18">
        <f t="shared" ref="X189:Z189" si="79">X143+X168</f>
        <v>0</v>
      </c>
      <c r="Y189" s="18">
        <f t="shared" si="79"/>
        <v>3.6461573840807095E-5</v>
      </c>
      <c r="Z189" s="18">
        <f t="shared" si="79"/>
        <v>3.0758659303043298E-5</v>
      </c>
      <c r="AA189" s="18">
        <f>Z189+Y189+X189</f>
        <v>6.7220233143850387E-5</v>
      </c>
    </row>
    <row r="190" spans="3:27" ht="15" x14ac:dyDescent="0.2">
      <c r="C190" s="6" t="s">
        <v>79</v>
      </c>
      <c r="D190" s="8">
        <v>0</v>
      </c>
      <c r="E190" s="88">
        <f>G15</f>
        <v>0</v>
      </c>
      <c r="J190" s="6" t="s">
        <v>77</v>
      </c>
      <c r="L190" s="14">
        <f t="shared" ref="L190:V190" si="80">L144+L169</f>
        <v>0</v>
      </c>
      <c r="M190" s="14">
        <f t="shared" si="80"/>
        <v>1.7251506127452783E-6</v>
      </c>
      <c r="N190" s="14">
        <f t="shared" si="80"/>
        <v>3.4026046626849752E-6</v>
      </c>
      <c r="O190" s="14">
        <f t="shared" ref="O190:O204" si="81">N190+M190+L190</f>
        <v>5.1277552754302537E-6</v>
      </c>
      <c r="P190" s="18">
        <f t="shared" si="80"/>
        <v>0</v>
      </c>
      <c r="Q190" s="18">
        <f t="shared" si="80"/>
        <v>1.4389637601811115E-7</v>
      </c>
      <c r="R190" s="18">
        <f t="shared" si="80"/>
        <v>1.7154940491281385E-7</v>
      </c>
      <c r="S190" s="18">
        <f t="shared" ref="S190:S203" si="82">R190+Q190+P190</f>
        <v>3.1544578093092502E-7</v>
      </c>
      <c r="T190" s="18">
        <f t="shared" si="80"/>
        <v>1.5808045372854008E-6</v>
      </c>
      <c r="U190" s="18">
        <f t="shared" si="80"/>
        <v>4.7512849233297207E-7</v>
      </c>
      <c r="V190" s="18">
        <f t="shared" si="80"/>
        <v>5.1240322700588234E-7</v>
      </c>
      <c r="W190" s="18">
        <f t="shared" ref="W190:W203" si="83">V190+U190+T190</f>
        <v>2.5683362566242555E-6</v>
      </c>
      <c r="X190" s="18">
        <f t="shared" ref="X190:Z190" si="84">X144+X169</f>
        <v>0</v>
      </c>
      <c r="Y190" s="18">
        <f t="shared" si="84"/>
        <v>2.843402692492722E-7</v>
      </c>
      <c r="Z190" s="18">
        <f t="shared" si="84"/>
        <v>2.9176077757029778E-7</v>
      </c>
      <c r="AA190" s="18">
        <f t="shared" ref="AA190:AA203" si="85">Z190+Y190+X190</f>
        <v>5.7610104681956998E-7</v>
      </c>
    </row>
    <row r="191" spans="3:27" ht="15" x14ac:dyDescent="0.2">
      <c r="C191" s="6" t="s">
        <v>80</v>
      </c>
      <c r="D191" s="8">
        <v>0</v>
      </c>
      <c r="E191" s="8">
        <v>0</v>
      </c>
      <c r="J191" s="6" t="s">
        <v>8</v>
      </c>
      <c r="L191" s="14">
        <f t="shared" ref="L191:V191" si="86">L145+L170</f>
        <v>0</v>
      </c>
      <c r="M191" s="14">
        <f t="shared" si="86"/>
        <v>0</v>
      </c>
      <c r="N191" s="14">
        <f t="shared" si="86"/>
        <v>0</v>
      </c>
      <c r="O191" s="14">
        <f t="shared" si="81"/>
        <v>0</v>
      </c>
      <c r="P191" s="18">
        <f t="shared" si="86"/>
        <v>0</v>
      </c>
      <c r="Q191" s="18">
        <f t="shared" si="86"/>
        <v>0</v>
      </c>
      <c r="R191" s="18">
        <f t="shared" si="86"/>
        <v>0</v>
      </c>
      <c r="S191" s="18">
        <f t="shared" si="82"/>
        <v>0</v>
      </c>
      <c r="T191" s="18">
        <f t="shared" si="86"/>
        <v>0</v>
      </c>
      <c r="U191" s="18">
        <f t="shared" si="86"/>
        <v>0</v>
      </c>
      <c r="V191" s="18">
        <f t="shared" si="86"/>
        <v>0</v>
      </c>
      <c r="W191" s="18">
        <f t="shared" si="83"/>
        <v>0</v>
      </c>
      <c r="X191" s="18">
        <f t="shared" ref="X191:Z191" si="87">X145+X170</f>
        <v>0</v>
      </c>
      <c r="Y191" s="18">
        <f t="shared" si="87"/>
        <v>0</v>
      </c>
      <c r="Z191" s="18">
        <f t="shared" si="87"/>
        <v>0</v>
      </c>
      <c r="AA191" s="18">
        <f t="shared" si="85"/>
        <v>0</v>
      </c>
    </row>
    <row r="192" spans="3:27" ht="15" x14ac:dyDescent="0.2">
      <c r="C192" s="6" t="s">
        <v>81</v>
      </c>
      <c r="D192" s="8">
        <f>G124</f>
        <v>0</v>
      </c>
      <c r="E192" s="8">
        <f>G25+G26+G27+G28+G29+G16</f>
        <v>157000</v>
      </c>
      <c r="J192" s="6" t="s">
        <v>78</v>
      </c>
      <c r="L192" s="14">
        <f t="shared" ref="L192:V192" si="88">L146+L171</f>
        <v>2.1063959614150145E-3</v>
      </c>
      <c r="M192" s="14">
        <f t="shared" si="88"/>
        <v>2.001420128798214E-2</v>
      </c>
      <c r="N192" s="14">
        <f t="shared" si="88"/>
        <v>1.2342368035146574E-2</v>
      </c>
      <c r="O192" s="14">
        <f t="shared" si="81"/>
        <v>3.4462965284543727E-2</v>
      </c>
      <c r="P192" s="18">
        <f t="shared" si="88"/>
        <v>1.9805443882448627E-4</v>
      </c>
      <c r="Q192" s="18">
        <f t="shared" si="88"/>
        <v>1.4244077758385476E-3</v>
      </c>
      <c r="R192" s="18">
        <f t="shared" si="88"/>
        <v>6.4142684488874919E-4</v>
      </c>
      <c r="S192" s="18">
        <f t="shared" si="82"/>
        <v>2.263889059551783E-3</v>
      </c>
      <c r="T192" s="18">
        <f t="shared" si="88"/>
        <v>8.5248074287158637E-3</v>
      </c>
      <c r="U192" s="18">
        <f t="shared" si="88"/>
        <v>5.3868995978343034E-3</v>
      </c>
      <c r="V192" s="18">
        <f t="shared" si="88"/>
        <v>1.9166727361359999E-3</v>
      </c>
      <c r="W192" s="18">
        <f t="shared" si="83"/>
        <v>1.5828379762686168E-2</v>
      </c>
      <c r="X192" s="18">
        <f t="shared" ref="X192:Z192" si="89">X146+X171</f>
        <v>4.9560050087515506E-4</v>
      </c>
      <c r="Y192" s="18">
        <f t="shared" si="89"/>
        <v>2.768304997967297E-3</v>
      </c>
      <c r="Z192" s="18">
        <f t="shared" si="89"/>
        <v>1.0910802575859768E-3</v>
      </c>
      <c r="AA192" s="18">
        <f t="shared" si="85"/>
        <v>4.354985756428429E-3</v>
      </c>
    </row>
    <row r="193" spans="3:27" ht="13.5" customHeight="1" x14ac:dyDescent="0.2">
      <c r="C193" s="6" t="s">
        <v>82</v>
      </c>
      <c r="D193" s="8">
        <v>0</v>
      </c>
      <c r="E193" s="8"/>
      <c r="J193" s="6" t="s">
        <v>79</v>
      </c>
      <c r="L193" s="14">
        <f t="shared" ref="L193:V193" si="90">L147+L172</f>
        <v>0</v>
      </c>
      <c r="M193" s="14">
        <f t="shared" si="90"/>
        <v>3.5613323224994494E-7</v>
      </c>
      <c r="N193" s="14">
        <f t="shared" si="90"/>
        <v>3.9589692764803004E-7</v>
      </c>
      <c r="O193" s="14">
        <f t="shared" si="81"/>
        <v>7.5203015989797498E-7</v>
      </c>
      <c r="P193" s="18">
        <f t="shared" si="90"/>
        <v>0</v>
      </c>
      <c r="Q193" s="18">
        <f t="shared" si="90"/>
        <v>2.3517876837046623E-8</v>
      </c>
      <c r="R193" s="18">
        <f t="shared" si="90"/>
        <v>2.0258852831077016E-8</v>
      </c>
      <c r="S193" s="18">
        <f t="shared" si="82"/>
        <v>4.3776729668123639E-8</v>
      </c>
      <c r="T193" s="18">
        <f t="shared" si="90"/>
        <v>1.7860943689351322E-7</v>
      </c>
      <c r="U193" s="18">
        <f t="shared" si="90"/>
        <v>9.1409934170677584E-8</v>
      </c>
      <c r="V193" s="18">
        <f t="shared" si="90"/>
        <v>6.0547462928315514E-8</v>
      </c>
      <c r="W193" s="18">
        <f t="shared" si="83"/>
        <v>3.3056683399250633E-7</v>
      </c>
      <c r="X193" s="18">
        <f t="shared" ref="X193:Z193" si="91">X147+X172</f>
        <v>0</v>
      </c>
      <c r="Y193" s="18">
        <f t="shared" si="91"/>
        <v>4.2432577086583497E-8</v>
      </c>
      <c r="Z193" s="18">
        <f t="shared" si="91"/>
        <v>3.4463299507490144E-8</v>
      </c>
      <c r="AA193" s="18">
        <f t="shared" si="85"/>
        <v>7.6895876594073641E-8</v>
      </c>
    </row>
    <row r="194" spans="3:27" ht="15" x14ac:dyDescent="0.2">
      <c r="C194" s="6" t="s">
        <v>9</v>
      </c>
      <c r="D194" s="8">
        <v>0</v>
      </c>
      <c r="E194" s="8">
        <v>0</v>
      </c>
      <c r="J194" s="6" t="s">
        <v>80</v>
      </c>
      <c r="L194" s="14">
        <f t="shared" ref="L194:V194" si="92">L148+L173</f>
        <v>0</v>
      </c>
      <c r="M194" s="14">
        <f t="shared" si="92"/>
        <v>1.6650455475842262E-6</v>
      </c>
      <c r="N194" s="14">
        <f t="shared" si="92"/>
        <v>1.4387551582027594E-6</v>
      </c>
      <c r="O194" s="14">
        <f t="shared" si="81"/>
        <v>3.1038007057869857E-6</v>
      </c>
      <c r="P194" s="18">
        <f t="shared" si="92"/>
        <v>0</v>
      </c>
      <c r="Q194" s="18">
        <f t="shared" si="92"/>
        <v>1.1126317676187993E-7</v>
      </c>
      <c r="R194" s="18">
        <f t="shared" si="92"/>
        <v>7.3427606531619438E-8</v>
      </c>
      <c r="S194" s="18">
        <f t="shared" si="82"/>
        <v>1.8469078329349938E-7</v>
      </c>
      <c r="T194" s="18">
        <f t="shared" si="92"/>
        <v>8.3309916399614267E-7</v>
      </c>
      <c r="U194" s="18">
        <f t="shared" si="92"/>
        <v>4.2659649846222199E-7</v>
      </c>
      <c r="V194" s="18">
        <f t="shared" si="92"/>
        <v>2.1944995461129218E-7</v>
      </c>
      <c r="W194" s="18">
        <f t="shared" si="83"/>
        <v>1.4791456170696567E-6</v>
      </c>
      <c r="X194" s="18">
        <f t="shared" ref="X194:Z194" si="93">X148+X173</f>
        <v>0</v>
      </c>
      <c r="Y194" s="18">
        <f t="shared" si="93"/>
        <v>2.0337388520574056E-7</v>
      </c>
      <c r="Z194" s="18">
        <f t="shared" si="93"/>
        <v>1.2491062975172144E-7</v>
      </c>
      <c r="AA194" s="18">
        <f t="shared" si="85"/>
        <v>3.28284514957462E-7</v>
      </c>
    </row>
    <row r="195" spans="3:27" ht="13.5" customHeight="1" x14ac:dyDescent="0.2">
      <c r="C195" s="6" t="s">
        <v>10</v>
      </c>
      <c r="D195" s="8">
        <v>0</v>
      </c>
      <c r="E195" s="8">
        <v>0</v>
      </c>
      <c r="J195" s="6" t="s">
        <v>81</v>
      </c>
      <c r="L195" s="14">
        <f t="shared" ref="L195:V195" si="94">L149+L174</f>
        <v>0</v>
      </c>
      <c r="M195" s="14">
        <f t="shared" si="94"/>
        <v>3.6386128967866043E-6</v>
      </c>
      <c r="N195" s="14">
        <f t="shared" si="94"/>
        <v>2.9339776101329351E-6</v>
      </c>
      <c r="O195" s="14">
        <f t="shared" si="81"/>
        <v>6.5725905069195394E-6</v>
      </c>
      <c r="P195" s="18">
        <f t="shared" si="94"/>
        <v>0</v>
      </c>
      <c r="Q195" s="18">
        <f t="shared" si="94"/>
        <v>2.469070380816413E-7</v>
      </c>
      <c r="R195" s="18">
        <f t="shared" si="94"/>
        <v>1.4899329010135867E-7</v>
      </c>
      <c r="S195" s="18">
        <f t="shared" si="82"/>
        <v>3.95900328183E-7</v>
      </c>
      <c r="T195" s="18">
        <f t="shared" si="94"/>
        <v>1.6256202003473118E-6</v>
      </c>
      <c r="U195" s="18">
        <f t="shared" si="94"/>
        <v>8.8328942597890448E-7</v>
      </c>
      <c r="V195" s="18">
        <f t="shared" si="94"/>
        <v>4.4529526227356381E-7</v>
      </c>
      <c r="W195" s="18">
        <f t="shared" si="83"/>
        <v>2.9542048885997802E-6</v>
      </c>
      <c r="X195" s="18">
        <f t="shared" ref="X195:Z195" si="95">X149+X174</f>
        <v>0</v>
      </c>
      <c r="Y195" s="18">
        <f t="shared" si="95"/>
        <v>4.3806136005120283E-7</v>
      </c>
      <c r="Z195" s="18">
        <f t="shared" si="95"/>
        <v>2.5345962652472311E-7</v>
      </c>
      <c r="AA195" s="18">
        <f t="shared" si="85"/>
        <v>6.9152098657592594E-7</v>
      </c>
    </row>
    <row r="196" spans="3:27" ht="15" x14ac:dyDescent="0.2">
      <c r="C196" s="6" t="s">
        <v>83</v>
      </c>
      <c r="D196" s="20">
        <f>H130+H132+(G161*H161)+G118</f>
        <v>25445.528838584778</v>
      </c>
      <c r="E196" s="8">
        <f>G52</f>
        <v>0</v>
      </c>
      <c r="J196" s="6" t="s">
        <v>82</v>
      </c>
      <c r="L196" s="14">
        <f t="shared" ref="L196:V196" si="96">L150+L175</f>
        <v>2.1795420999896382E-4</v>
      </c>
      <c r="M196" s="14">
        <f t="shared" si="96"/>
        <v>8.3172552109154595E-3</v>
      </c>
      <c r="N196" s="14">
        <f t="shared" si="96"/>
        <v>8.5021105100039213E-3</v>
      </c>
      <c r="O196" s="14">
        <f t="shared" si="81"/>
        <v>1.7037319930918348E-2</v>
      </c>
      <c r="P196" s="18">
        <f t="shared" si="96"/>
        <v>2.3202449166683054E-5</v>
      </c>
      <c r="Q196" s="18">
        <f t="shared" si="96"/>
        <v>6.0329129194886769E-4</v>
      </c>
      <c r="R196" s="18">
        <f t="shared" si="96"/>
        <v>4.3868194751822166E-4</v>
      </c>
      <c r="S196" s="18">
        <f t="shared" si="82"/>
        <v>1.0651756886337722E-3</v>
      </c>
      <c r="T196" s="18">
        <f t="shared" si="96"/>
        <v>3.3995845771964974E-3</v>
      </c>
      <c r="U196" s="18">
        <f t="shared" si="96"/>
        <v>1.9692798073716773E-3</v>
      </c>
      <c r="V196" s="18">
        <f t="shared" si="96"/>
        <v>1.3106342262646294E-3</v>
      </c>
      <c r="W196" s="18">
        <f t="shared" si="83"/>
        <v>6.6794986108328035E-3</v>
      </c>
      <c r="X196" s="18">
        <f t="shared" ref="X196:Z196" si="97">X150+X175</f>
        <v>3.9160000623367939E-5</v>
      </c>
      <c r="Y196" s="18">
        <f t="shared" si="97"/>
        <v>1.0822215372294638E-3</v>
      </c>
      <c r="Z196" s="18">
        <f t="shared" si="97"/>
        <v>7.4615913726578265E-4</v>
      </c>
      <c r="AA196" s="18">
        <f t="shared" si="85"/>
        <v>1.8675406751186144E-3</v>
      </c>
    </row>
    <row r="197" spans="3:27" ht="12.75" customHeight="1" x14ac:dyDescent="0.2">
      <c r="C197" s="6" t="s">
        <v>84</v>
      </c>
      <c r="D197" s="8"/>
      <c r="E197" s="8">
        <f>G7+G51</f>
        <v>187500</v>
      </c>
      <c r="J197" s="6" t="s">
        <v>9</v>
      </c>
      <c r="L197" s="14">
        <f t="shared" ref="L197:V197" si="98">L151+L176</f>
        <v>4.9241318112126379E-3</v>
      </c>
      <c r="M197" s="14">
        <f t="shared" si="98"/>
        <v>9.6105068226260675E-3</v>
      </c>
      <c r="N197" s="14">
        <f t="shared" si="98"/>
        <v>1.1245514665090155E-2</v>
      </c>
      <c r="O197" s="14">
        <f t="shared" si="81"/>
        <v>2.5780153298928861E-2</v>
      </c>
      <c r="P197" s="18">
        <f t="shared" si="98"/>
        <v>5.3561945284251889E-4</v>
      </c>
      <c r="Q197" s="18">
        <f t="shared" si="98"/>
        <v>6.0783433799262078E-4</v>
      </c>
      <c r="R197" s="18">
        <f t="shared" si="98"/>
        <v>6.5074487678597063E-4</v>
      </c>
      <c r="S197" s="18">
        <f t="shared" si="82"/>
        <v>1.7941986676211102E-3</v>
      </c>
      <c r="T197" s="18">
        <f t="shared" si="98"/>
        <v>4.7420208409625457E-3</v>
      </c>
      <c r="U197" s="18">
        <f t="shared" si="98"/>
        <v>1.7425934840611338E-3</v>
      </c>
      <c r="V197" s="18">
        <f t="shared" si="98"/>
        <v>1.9447180715179866E-3</v>
      </c>
      <c r="W197" s="18">
        <f t="shared" si="83"/>
        <v>8.4293323965416653E-3</v>
      </c>
      <c r="X197" s="18">
        <f t="shared" ref="X197:Z197" si="99">X151+X176</f>
        <v>1.0169473488746254E-3</v>
      </c>
      <c r="Y197" s="18">
        <f t="shared" si="99"/>
        <v>1.0081278049286452E-3</v>
      </c>
      <c r="Z197" s="18">
        <f t="shared" si="99"/>
        <v>1.1069766941681756E-3</v>
      </c>
      <c r="AA197" s="18">
        <f t="shared" si="85"/>
        <v>3.1320518479714459E-3</v>
      </c>
    </row>
    <row r="198" spans="3:27" ht="12.75" customHeight="1" x14ac:dyDescent="0.2">
      <c r="C198" s="6" t="s">
        <v>85</v>
      </c>
      <c r="D198" s="8">
        <v>0</v>
      </c>
      <c r="E198" s="8">
        <f>G9+G10+G41+G42+G45+G46+G49</f>
        <v>1289250</v>
      </c>
      <c r="J198" s="6" t="s">
        <v>10</v>
      </c>
      <c r="L198" s="14">
        <f t="shared" ref="L198:V198" si="100">L152+L177</f>
        <v>0</v>
      </c>
      <c r="M198" s="14">
        <f t="shared" si="100"/>
        <v>1.6196727377457133E-2</v>
      </c>
      <c r="N198" s="14">
        <f t="shared" si="100"/>
        <v>2.1070482400160045E-2</v>
      </c>
      <c r="O198" s="14">
        <f t="shared" si="81"/>
        <v>3.7267209777617175E-2</v>
      </c>
      <c r="P198" s="18">
        <f t="shared" si="100"/>
        <v>0</v>
      </c>
      <c r="Q198" s="18">
        <f t="shared" si="100"/>
        <v>9.0727298221105824E-4</v>
      </c>
      <c r="R198" s="18">
        <f t="shared" si="100"/>
        <v>1.1149030103443391E-3</v>
      </c>
      <c r="S198" s="18">
        <f t="shared" si="82"/>
        <v>2.0221759925553974E-3</v>
      </c>
      <c r="T198" s="18">
        <f t="shared" si="100"/>
        <v>7.4169614648839539E-3</v>
      </c>
      <c r="U198" s="18">
        <f t="shared" si="100"/>
        <v>2.7394641203871898E-3</v>
      </c>
      <c r="V198" s="18">
        <f t="shared" si="100"/>
        <v>3.331622641443543E-3</v>
      </c>
      <c r="W198" s="18">
        <f t="shared" si="83"/>
        <v>1.3488048226714688E-2</v>
      </c>
      <c r="X198" s="18">
        <f t="shared" ref="X198:Z198" si="101">X152+X177</f>
        <v>0</v>
      </c>
      <c r="Y198" s="18">
        <f t="shared" si="101"/>
        <v>1.5493995265945773E-3</v>
      </c>
      <c r="Z198" s="18">
        <f t="shared" si="101"/>
        <v>1.8965046101793327E-3</v>
      </c>
      <c r="AA198" s="18">
        <f t="shared" si="85"/>
        <v>3.44590413677391E-3</v>
      </c>
    </row>
    <row r="199" spans="3:27" ht="12.75" customHeight="1" x14ac:dyDescent="0.2">
      <c r="C199" s="6" t="s">
        <v>11</v>
      </c>
      <c r="D199" s="8">
        <f>G133+G128+G127</f>
        <v>21928.693181818184</v>
      </c>
      <c r="E199" s="8">
        <f>G56+G50</f>
        <v>1007500</v>
      </c>
      <c r="J199" s="6" t="s">
        <v>83</v>
      </c>
      <c r="L199" s="14">
        <f t="shared" ref="L199:V199" si="102">L153+L178</f>
        <v>0.14710681887183913</v>
      </c>
      <c r="M199" s="14">
        <f t="shared" si="102"/>
        <v>0.20778823167056099</v>
      </c>
      <c r="N199" s="14">
        <f t="shared" si="102"/>
        <v>0.14950015919251777</v>
      </c>
      <c r="O199" s="14">
        <f t="shared" si="81"/>
        <v>0.5043952097349178</v>
      </c>
      <c r="P199" s="18">
        <f t="shared" si="102"/>
        <v>6.9081304017932854E-3</v>
      </c>
      <c r="Q199" s="18">
        <f t="shared" si="102"/>
        <v>1.1197575543688873E-2</v>
      </c>
      <c r="R199" s="18">
        <f t="shared" si="102"/>
        <v>7.7785034736272823E-3</v>
      </c>
      <c r="S199" s="18">
        <f t="shared" si="82"/>
        <v>2.588420941910944E-2</v>
      </c>
      <c r="T199" s="18">
        <f t="shared" si="102"/>
        <v>6.2612651943703398E-2</v>
      </c>
      <c r="U199" s="18">
        <f t="shared" si="102"/>
        <v>3.5527126456233495E-2</v>
      </c>
      <c r="V199" s="18">
        <f t="shared" si="102"/>
        <v>2.3244409849317815E-2</v>
      </c>
      <c r="W199" s="18">
        <f t="shared" si="83"/>
        <v>0.1213841882492547</v>
      </c>
      <c r="X199" s="18">
        <f t="shared" ref="X199:Z199" si="103">X153+X178</f>
        <v>1.4261832388887931E-2</v>
      </c>
      <c r="Y199" s="18">
        <f t="shared" si="103"/>
        <v>1.9616122985322622E-2</v>
      </c>
      <c r="Z199" s="18">
        <f t="shared" si="103"/>
        <v>1.3231660951139979E-2</v>
      </c>
      <c r="AA199" s="18">
        <f t="shared" si="85"/>
        <v>4.7109616325350531E-2</v>
      </c>
    </row>
    <row r="200" spans="3:27" ht="15" x14ac:dyDescent="0.2">
      <c r="C200" s="6" t="s">
        <v>4</v>
      </c>
      <c r="D200" s="8">
        <f>SUM(D186:D199)</f>
        <v>50814.222020402958</v>
      </c>
      <c r="E200" s="8">
        <f>SUM(E186:E199)</f>
        <v>6938850.1438848926</v>
      </c>
      <c r="J200" s="6" t="s">
        <v>84</v>
      </c>
      <c r="L200" s="14">
        <f t="shared" ref="L200:V200" si="104">L154+L179</f>
        <v>0</v>
      </c>
      <c r="M200" s="14">
        <f t="shared" si="104"/>
        <v>9.5281978942116013E-2</v>
      </c>
      <c r="N200" s="14">
        <f t="shared" si="104"/>
        <v>0.14721684272456689</v>
      </c>
      <c r="O200" s="14">
        <f t="shared" si="81"/>
        <v>0.24249882166668291</v>
      </c>
      <c r="P200" s="18">
        <f t="shared" si="104"/>
        <v>0</v>
      </c>
      <c r="Q200" s="18">
        <f t="shared" si="104"/>
        <v>6.4038567396073574E-3</v>
      </c>
      <c r="R200" s="18">
        <f t="shared" si="104"/>
        <v>8.4311936195477048E-3</v>
      </c>
      <c r="S200" s="18">
        <f t="shared" si="82"/>
        <v>1.4835050359155062E-2</v>
      </c>
      <c r="T200" s="18">
        <f t="shared" si="104"/>
        <v>4.2520441804568342E-2</v>
      </c>
      <c r="U200" s="18">
        <f t="shared" si="104"/>
        <v>1.7295340228033116E-2</v>
      </c>
      <c r="V200" s="18">
        <f t="shared" si="104"/>
        <v>2.5194354043692292E-2</v>
      </c>
      <c r="W200" s="18">
        <f t="shared" si="83"/>
        <v>8.5010136076293749E-2</v>
      </c>
      <c r="X200" s="18">
        <f t="shared" ref="X200:Z200" si="105">X154+X179</f>
        <v>0</v>
      </c>
      <c r="Y200" s="18">
        <f t="shared" si="105"/>
        <v>9.9852593899314342E-3</v>
      </c>
      <c r="Z200" s="18">
        <f t="shared" si="105"/>
        <v>1.4341810587278177E-2</v>
      </c>
      <c r="AA200" s="18">
        <f t="shared" si="85"/>
        <v>2.4327069977209612E-2</v>
      </c>
    </row>
    <row r="201" spans="3:27" ht="12.75" customHeight="1" x14ac:dyDescent="0.2">
      <c r="J201" s="6" t="s">
        <v>85</v>
      </c>
      <c r="L201" s="14">
        <f t="shared" ref="L201:V201" si="106">L155+L180</f>
        <v>0</v>
      </c>
      <c r="M201" s="14">
        <f t="shared" si="106"/>
        <v>1.600467205243452E-3</v>
      </c>
      <c r="N201" s="14">
        <f t="shared" si="106"/>
        <v>1.7996682497322795E-3</v>
      </c>
      <c r="O201" s="14">
        <f t="shared" si="81"/>
        <v>3.4001354549757314E-3</v>
      </c>
      <c r="P201" s="18">
        <f t="shared" si="106"/>
        <v>0</v>
      </c>
      <c r="Q201" s="18">
        <f t="shared" si="106"/>
        <v>9.0949949989180718E-5</v>
      </c>
      <c r="R201" s="18">
        <f t="shared" si="106"/>
        <v>9.4657706497908745E-5</v>
      </c>
      <c r="S201" s="18">
        <f t="shared" si="82"/>
        <v>1.8560765648708948E-4</v>
      </c>
      <c r="T201" s="18">
        <f t="shared" si="106"/>
        <v>6.4838096442667204E-4</v>
      </c>
      <c r="U201" s="18">
        <f t="shared" si="106"/>
        <v>2.7469457382817668E-4</v>
      </c>
      <c r="V201" s="18">
        <f t="shared" si="106"/>
        <v>2.8286170363274758E-4</v>
      </c>
      <c r="W201" s="18">
        <f t="shared" si="83"/>
        <v>1.2059372418875963E-3</v>
      </c>
      <c r="X201" s="18">
        <f t="shared" ref="X201:Z201" si="107">X155+X180</f>
        <v>0</v>
      </c>
      <c r="Y201" s="18">
        <f t="shared" si="107"/>
        <v>1.5281768092730358E-4</v>
      </c>
      <c r="Z201" s="18">
        <f t="shared" si="107"/>
        <v>1.6101730279109589E-4</v>
      </c>
      <c r="AA201" s="18">
        <f t="shared" si="85"/>
        <v>3.1383498371839947E-4</v>
      </c>
    </row>
    <row r="202" spans="3:27" ht="12.75" customHeight="1" x14ac:dyDescent="0.2">
      <c r="J202" s="6" t="s">
        <v>11</v>
      </c>
      <c r="L202" s="14">
        <f t="shared" ref="L202:V202" si="108">L156+L181</f>
        <v>0</v>
      </c>
      <c r="M202" s="14">
        <f t="shared" si="108"/>
        <v>1.0304827314325752E-2</v>
      </c>
      <c r="N202" s="14">
        <f t="shared" si="108"/>
        <v>8.8718102702728271E-2</v>
      </c>
      <c r="O202" s="14">
        <f t="shared" si="81"/>
        <v>9.902293001705402E-2</v>
      </c>
      <c r="P202" s="18">
        <f t="shared" si="108"/>
        <v>0</v>
      </c>
      <c r="Q202" s="18">
        <f t="shared" si="108"/>
        <v>7.283543658412636E-4</v>
      </c>
      <c r="R202" s="18">
        <f t="shared" si="108"/>
        <v>5.269389281108771E-3</v>
      </c>
      <c r="S202" s="18">
        <f t="shared" si="82"/>
        <v>5.997743646950035E-3</v>
      </c>
      <c r="T202" s="18">
        <f t="shared" si="108"/>
        <v>5.4765621531809364E-4</v>
      </c>
      <c r="U202" s="18">
        <f t="shared" si="108"/>
        <v>2.2063931320422687E-3</v>
      </c>
      <c r="V202" s="18">
        <f t="shared" si="108"/>
        <v>1.5750285302826579E-2</v>
      </c>
      <c r="W202" s="18">
        <f t="shared" si="83"/>
        <v>1.850433465018694E-2</v>
      </c>
      <c r="X202" s="18">
        <f t="shared" ref="X202:Z202" si="109">X156+X181</f>
        <v>0</v>
      </c>
      <c r="Y202" s="18">
        <f t="shared" si="109"/>
        <v>1.1769815895272889E-3</v>
      </c>
      <c r="Z202" s="18">
        <f t="shared" si="109"/>
        <v>8.9644008224511428E-3</v>
      </c>
      <c r="AA202" s="18">
        <f t="shared" si="85"/>
        <v>1.0141382411978431E-2</v>
      </c>
    </row>
    <row r="203" spans="3:27" ht="12.75" customHeight="1" x14ac:dyDescent="0.2">
      <c r="J203" s="6" t="s">
        <v>90</v>
      </c>
      <c r="L203" s="14">
        <f>L182</f>
        <v>1.2980059779640924</v>
      </c>
      <c r="M203" s="14"/>
      <c r="N203" s="14"/>
      <c r="O203" s="14">
        <f t="shared" si="81"/>
        <v>1.2980059779640924</v>
      </c>
      <c r="P203" s="18">
        <f>P182</f>
        <v>0.10035050144235694</v>
      </c>
      <c r="Q203" s="18"/>
      <c r="R203" s="18"/>
      <c r="S203" s="18">
        <f t="shared" si="82"/>
        <v>0.10035050144235694</v>
      </c>
      <c r="T203" s="18"/>
      <c r="U203" s="18"/>
      <c r="V203" s="18"/>
      <c r="W203" s="18">
        <f t="shared" si="83"/>
        <v>0</v>
      </c>
      <c r="X203" s="18">
        <f>X182</f>
        <v>0.10035050144235694</v>
      </c>
      <c r="Y203" s="18"/>
      <c r="Z203" s="18"/>
      <c r="AA203" s="18">
        <f t="shared" si="85"/>
        <v>0.10035050144235694</v>
      </c>
    </row>
    <row r="204" spans="3:27" ht="12.75" customHeight="1" x14ac:dyDescent="0.2">
      <c r="J204" s="6" t="s">
        <v>4</v>
      </c>
      <c r="L204" s="14">
        <f>SUM(L189:L203)</f>
        <v>1.4523612788185583</v>
      </c>
      <c r="M204" s="14">
        <f t="shared" ref="M204:W204" si="110">SUM(M189:M203)</f>
        <v>0.36946106313352373</v>
      </c>
      <c r="N204" s="14">
        <f t="shared" si="110"/>
        <v>0.44071571295146278</v>
      </c>
      <c r="O204" s="14">
        <f t="shared" si="81"/>
        <v>2.262538054903545</v>
      </c>
      <c r="P204" s="18">
        <f t="shared" si="110"/>
        <v>0.10801550818498391</v>
      </c>
      <c r="Q204" s="18">
        <f t="shared" si="110"/>
        <v>2.198228532258073E-2</v>
      </c>
      <c r="R204" s="18">
        <f t="shared" si="110"/>
        <v>2.4438001285132734E-2</v>
      </c>
      <c r="S204" s="18">
        <f t="shared" si="110"/>
        <v>0.15443579479269737</v>
      </c>
      <c r="T204" s="18">
        <f t="shared" si="110"/>
        <v>0.13063882546968705</v>
      </c>
      <c r="U204" s="18">
        <f t="shared" si="110"/>
        <v>6.7218052839407794E-2</v>
      </c>
      <c r="V204" s="18">
        <f t="shared" si="110"/>
        <v>7.3030812371955106E-2</v>
      </c>
      <c r="W204" s="18">
        <f t="shared" si="110"/>
        <v>0.27088769068104995</v>
      </c>
      <c r="X204" s="18">
        <f t="shared" ref="X204:AA204" si="111">SUM(X189:X203)</f>
        <v>0.11616404168161802</v>
      </c>
      <c r="Y204" s="18">
        <f t="shared" si="111"/>
        <v>3.7376665294361032E-2</v>
      </c>
      <c r="Z204" s="18">
        <f t="shared" si="111"/>
        <v>4.1571073616496063E-2</v>
      </c>
      <c r="AA204" s="18">
        <f t="shared" si="111"/>
        <v>0.19511178059247511</v>
      </c>
    </row>
    <row r="205" spans="3:27" ht="12.75" customHeight="1" x14ac:dyDescent="0.2">
      <c r="J205" s="138" t="s">
        <v>97</v>
      </c>
      <c r="K205" s="1">
        <f>P183</f>
        <v>2012</v>
      </c>
      <c r="L205" s="1" t="s">
        <v>94</v>
      </c>
      <c r="P205" s="18">
        <f t="shared" ref="P205:W205" si="112">P204*$G107</f>
        <v>0.10440934624059914</v>
      </c>
      <c r="Q205" s="18">
        <f t="shared" si="112"/>
        <v>2.1248393660976542E-2</v>
      </c>
      <c r="R205" s="18">
        <f t="shared" si="112"/>
        <v>2.3622124086459115E-2</v>
      </c>
      <c r="S205" s="18">
        <f t="shared" si="112"/>
        <v>0.14927986398803478</v>
      </c>
      <c r="T205" s="18">
        <f t="shared" si="112"/>
        <v>0.12627737063061792</v>
      </c>
      <c r="U205" s="18">
        <f t="shared" si="112"/>
        <v>6.4973938191444536E-2</v>
      </c>
      <c r="V205" s="18">
        <f t="shared" si="112"/>
        <v>7.0592635291935948E-2</v>
      </c>
      <c r="W205" s="18">
        <f t="shared" si="112"/>
        <v>0.26184394411399842</v>
      </c>
      <c r="X205" s="18">
        <f t="shared" ref="X205:AA205" si="113">X204*$G107</f>
        <v>0.11228583610301932</v>
      </c>
      <c r="Y205" s="18">
        <f t="shared" si="113"/>
        <v>3.6128823107091944E-2</v>
      </c>
      <c r="Z205" s="18">
        <f t="shared" si="113"/>
        <v>4.0183198614266828E-2</v>
      </c>
      <c r="AA205" s="18">
        <f t="shared" si="113"/>
        <v>0.1885978578243781</v>
      </c>
    </row>
    <row r="206" spans="3:27" ht="12.75" customHeight="1" x14ac:dyDescent="0.2">
      <c r="L206" s="14"/>
      <c r="M206" s="14"/>
      <c r="N206" s="14"/>
      <c r="O206" s="14"/>
      <c r="P206" s="37"/>
      <c r="Q206" s="37"/>
      <c r="R206" s="37"/>
      <c r="S206" s="37"/>
      <c r="T206" s="37"/>
      <c r="U206" s="37"/>
      <c r="V206" s="37"/>
      <c r="W206" s="37"/>
      <c r="X206" s="37"/>
      <c r="Y206" s="37"/>
      <c r="Z206" s="37"/>
      <c r="AA206" s="37"/>
    </row>
    <row r="207" spans="3:27" x14ac:dyDescent="0.2">
      <c r="C207" t="s">
        <v>91</v>
      </c>
      <c r="H207" s="228" t="s">
        <v>91</v>
      </c>
      <c r="I207" s="228"/>
      <c r="J207" s="228"/>
      <c r="K207" s="228"/>
      <c r="L207" s="228"/>
      <c r="M207" s="228" t="s">
        <v>91</v>
      </c>
      <c r="N207" s="228"/>
      <c r="O207" s="228"/>
      <c r="P207" s="228"/>
      <c r="X207" s="703"/>
      <c r="Y207" s="703"/>
      <c r="Z207" s="703"/>
      <c r="AA207" s="703"/>
    </row>
    <row r="208" spans="3:27" x14ac:dyDescent="0.2">
      <c r="C208" t="s">
        <v>121</v>
      </c>
      <c r="H208" s="228" t="s">
        <v>121</v>
      </c>
      <c r="I208" s="228"/>
      <c r="J208" s="228"/>
      <c r="K208" s="228"/>
      <c r="L208" s="228"/>
      <c r="M208" s="258" t="s">
        <v>121</v>
      </c>
      <c r="N208" s="228"/>
      <c r="O208" s="228"/>
      <c r="P208" s="228"/>
    </row>
    <row r="209" spans="3:43" x14ac:dyDescent="0.2">
      <c r="C209" s="23" t="s">
        <v>115</v>
      </c>
      <c r="H209" s="261" t="s">
        <v>326</v>
      </c>
      <c r="I209" s="228"/>
      <c r="J209" s="228"/>
      <c r="K209" s="228"/>
      <c r="L209" s="228"/>
      <c r="M209" s="261" t="s">
        <v>327</v>
      </c>
      <c r="N209" s="228"/>
      <c r="O209" s="228"/>
      <c r="P209" s="228"/>
    </row>
    <row r="210" spans="3:43" x14ac:dyDescent="0.2">
      <c r="C210" t="s">
        <v>71</v>
      </c>
      <c r="D210" t="s">
        <v>111</v>
      </c>
      <c r="E210" t="s">
        <v>112</v>
      </c>
      <c r="F210" t="s">
        <v>113</v>
      </c>
      <c r="H210" s="228" t="s">
        <v>71</v>
      </c>
      <c r="I210" s="228" t="s">
        <v>111</v>
      </c>
      <c r="J210" s="228" t="s">
        <v>112</v>
      </c>
      <c r="K210" s="228" t="s">
        <v>113</v>
      </c>
      <c r="L210" s="228"/>
      <c r="M210" s="228" t="s">
        <v>71</v>
      </c>
      <c r="N210" s="228" t="s">
        <v>111</v>
      </c>
      <c r="O210" s="228" t="s">
        <v>112</v>
      </c>
      <c r="P210" s="228" t="s">
        <v>113</v>
      </c>
    </row>
    <row r="211" spans="3:43" x14ac:dyDescent="0.2">
      <c r="C211">
        <v>1</v>
      </c>
      <c r="D211" s="84">
        <f>IF(C211&lt;=DefaultData!C$89,-IPMT(DefaultData!C$90,C211,DefaultData!C$89,DefaultData!C$65*DefaultData!C$88),0)</f>
        <v>902949.36107521248</v>
      </c>
      <c r="E211" s="84">
        <f>IF(C211&lt;=DefaultData!C$89,-PPMT(DefaultData!C$90,C211,DefaultData!C$89,DefaultData!C$88*DefaultData!C$65),0)</f>
        <v>85858.074084150416</v>
      </c>
      <c r="F211" s="84">
        <f t="shared" ref="F211:F252" si="114">E211+D211</f>
        <v>988807.43515936285</v>
      </c>
      <c r="H211" s="348">
        <v>1</v>
      </c>
      <c r="I211" s="84">
        <f>IF(H211&lt;=DefaultData!C$97,-IPMT(DefaultData!C$96,H211,DefaultData!C$97,DefaultData!C$65*DefaultData!C$93*DefaultData!C$94),0)</f>
        <v>0</v>
      </c>
      <c r="J211" s="84">
        <f>IF(H211&lt;=DefaultData!C$97,-PPMT(DefaultData!C$96,H211,DefaultData!C$97,DefaultData!C$93*DefaultData!C$65*DefaultData!C$94),0)</f>
        <v>0</v>
      </c>
      <c r="K211" s="84">
        <f>J211+I211</f>
        <v>0</v>
      </c>
      <c r="L211" s="228"/>
      <c r="M211" s="348">
        <v>1</v>
      </c>
      <c r="N211" s="84">
        <f>IF(M211&lt;=DefaultData!C$97,-IPMT(DefaultData!C$96,M211,DefaultData!C$97,DefaultData!C$65*DefaultData!C$93),0)</f>
        <v>1770067.3982982342</v>
      </c>
      <c r="O211" s="84">
        <f>IF(M211&lt;=DefaultData!C$97,-PPMT(DefaultData!C$96,M211,DefaultData!C$97,DefaultData!C$93*DefaultData!C$65*DefaultData!C$95),0)</f>
        <v>910801.28011152847</v>
      </c>
      <c r="P211" s="84">
        <f>O211+N211</f>
        <v>2680868.6784097627</v>
      </c>
      <c r="AC211" s="14"/>
      <c r="AD211" s="14"/>
    </row>
    <row r="212" spans="3:43" x14ac:dyDescent="0.2">
      <c r="C212">
        <v>2</v>
      </c>
      <c r="D212" s="84">
        <f>IF(C212&lt;=DefaultData!C$89,-IPMT(DefaultData!C$90,C212,DefaultData!C$89,DefaultData!C$65*DefaultData!C$88),0)</f>
        <v>897540.30240791105</v>
      </c>
      <c r="E212" s="84">
        <f>IF(C212&lt;=DefaultData!C$89,-PPMT(DefaultData!C$90,C212,DefaultData!C$89,DefaultData!C$88*DefaultData!C$65),0)</f>
        <v>91267.132751451907</v>
      </c>
      <c r="F212" s="84">
        <f t="shared" si="114"/>
        <v>988807.43515936297</v>
      </c>
      <c r="H212" s="348">
        <v>2</v>
      </c>
      <c r="I212" s="84">
        <f>IF(H212&lt;=DefaultData!C$97,-IPMT(DefaultData!C$96,H212,DefaultData!C$97,DefaultData!C$65*DefaultData!C$93*DefaultData!C$94),0)</f>
        <v>0</v>
      </c>
      <c r="J212" s="84">
        <f>IF(H212&lt;=DefaultData!C$97,-PPMT(DefaultData!C$96,H212,DefaultData!C$97,DefaultData!C$93*DefaultData!C$65*DefaultData!C$94),0)</f>
        <v>0</v>
      </c>
      <c r="K212" s="84">
        <f t="shared" ref="K212:K250" si="115">J212+I212</f>
        <v>0</v>
      </c>
      <c r="L212" s="228"/>
      <c r="M212" s="348">
        <v>2</v>
      </c>
      <c r="N212" s="84">
        <f>IF(M212&lt;=DefaultData!C$97,-IPMT(DefaultData!C$96,M212,DefaultData!C$97,DefaultData!C$65*DefaultData!C$93),0)</f>
        <v>1666236.0523655198</v>
      </c>
      <c r="O212" s="84">
        <f>IF(M212&lt;=DefaultData!C$97,-PPMT(DefaultData!C$96,M212,DefaultData!C$97,DefaultData!C$93*DefaultData!C$65*DefaultData!C$95),0)</f>
        <v>1014632.6260442429</v>
      </c>
      <c r="P212" s="84">
        <f t="shared" ref="P212:P249" si="116">O212+N212</f>
        <v>2680868.6784097627</v>
      </c>
      <c r="AE212" s="14"/>
      <c r="AF212" s="14"/>
      <c r="AG212" s="14"/>
      <c r="AH212" s="14"/>
      <c r="AI212" s="14"/>
      <c r="AJ212" s="14"/>
      <c r="AK212" s="14"/>
      <c r="AL212" s="14"/>
      <c r="AM212" s="14"/>
      <c r="AN212" s="14"/>
      <c r="AO212" s="14"/>
      <c r="AP212" s="14"/>
      <c r="AQ212" s="14"/>
    </row>
    <row r="213" spans="3:43" x14ac:dyDescent="0.2">
      <c r="C213">
        <v>3</v>
      </c>
      <c r="D213" s="84">
        <f>IF(C213&lt;=DefaultData!C$89,-IPMT(DefaultData!C$90,C213,DefaultData!C$89,DefaultData!C$65*DefaultData!C$88),0)</f>
        <v>891790.4730445696</v>
      </c>
      <c r="E213" s="84">
        <f>IF(C213&lt;=DefaultData!C$89,-PPMT(DefaultData!C$90,C213,DefaultData!C$89,DefaultData!C$88*DefaultData!C$65),0)</f>
        <v>97016.962114793379</v>
      </c>
      <c r="F213" s="84">
        <f t="shared" si="114"/>
        <v>988807.43515936297</v>
      </c>
      <c r="H213" s="348">
        <v>3</v>
      </c>
      <c r="I213" s="84">
        <f>IF(H213&lt;=DefaultData!C$97,-IPMT(DefaultData!C$96,H213,DefaultData!C$97,DefaultData!C$65*DefaultData!C$93*DefaultData!C$94),0)</f>
        <v>0</v>
      </c>
      <c r="J213" s="84">
        <f>IF(H213&lt;=DefaultData!C$97,-PPMT(DefaultData!C$96,H213,DefaultData!C$97,DefaultData!C$93*DefaultData!C$65*DefaultData!C$94),0)</f>
        <v>0</v>
      </c>
      <c r="K213" s="84">
        <f t="shared" si="115"/>
        <v>0</v>
      </c>
      <c r="L213" s="228"/>
      <c r="M213" s="348">
        <v>3</v>
      </c>
      <c r="N213" s="84">
        <f>IF(M213&lt;=DefaultData!C$97,-IPMT(DefaultData!C$96,M213,DefaultData!C$97,DefaultData!C$65*DefaultData!C$93),0)</f>
        <v>1550567.9329964758</v>
      </c>
      <c r="O213" s="84">
        <f>IF(M213&lt;=DefaultData!C$97,-PPMT(DefaultData!C$96,M213,DefaultData!C$97,DefaultData!C$93*DefaultData!C$65*DefaultData!C$95),0)</f>
        <v>1130300.7454132864</v>
      </c>
      <c r="P213" s="84">
        <f t="shared" si="116"/>
        <v>2680868.6784097622</v>
      </c>
      <c r="AB213" s="14"/>
    </row>
    <row r="214" spans="3:43" x14ac:dyDescent="0.2">
      <c r="C214">
        <v>4</v>
      </c>
      <c r="D214" s="84">
        <f>IF(C214&lt;=DefaultData!C$89,-IPMT(DefaultData!C$90,C214,DefaultData!C$89,DefaultData!C$65*DefaultData!C$88),0)</f>
        <v>885678.40443133749</v>
      </c>
      <c r="E214" s="84">
        <f>IF(C214&lt;=DefaultData!C$89,-PPMT(DefaultData!C$90,C214,DefaultData!C$89,DefaultData!C$88*DefaultData!C$65),0)</f>
        <v>103129.03072802538</v>
      </c>
      <c r="F214" s="84">
        <f t="shared" si="114"/>
        <v>988807.43515936285</v>
      </c>
      <c r="H214" s="348">
        <v>4</v>
      </c>
      <c r="I214" s="84">
        <f>IF(H214&lt;=DefaultData!C$97,-IPMT(DefaultData!C$96,H214,DefaultData!C$97,DefaultData!C$65*DefaultData!C$93*DefaultData!C$94),0)</f>
        <v>0</v>
      </c>
      <c r="J214" s="84">
        <f>IF(H214&lt;=DefaultData!C$97,-PPMT(DefaultData!C$96,H214,DefaultData!C$97,DefaultData!C$93*DefaultData!C$65*DefaultData!C$94),0)</f>
        <v>0</v>
      </c>
      <c r="K214" s="84">
        <f t="shared" si="115"/>
        <v>0</v>
      </c>
      <c r="L214" s="228"/>
      <c r="M214" s="348">
        <v>4</v>
      </c>
      <c r="N214" s="84">
        <f>IF(M214&lt;=DefaultData!C$97,-IPMT(DefaultData!C$96,M214,DefaultData!C$97,DefaultData!C$65*DefaultData!C$93),0)</f>
        <v>1421713.6480193615</v>
      </c>
      <c r="O214" s="84">
        <f>IF(M214&lt;=DefaultData!C$97,-PPMT(DefaultData!C$96,M214,DefaultData!C$97,DefaultData!C$93*DefaultData!C$65*DefaultData!C$95),0)</f>
        <v>1259155.0303904011</v>
      </c>
      <c r="P214" s="84">
        <f t="shared" si="116"/>
        <v>2680868.6784097627</v>
      </c>
    </row>
    <row r="215" spans="3:43" x14ac:dyDescent="0.2">
      <c r="C215">
        <v>5</v>
      </c>
      <c r="D215" s="84">
        <f>IF(C215&lt;=DefaultData!C$89,-IPMT(DefaultData!C$90,C215,DefaultData!C$89,DefaultData!C$65*DefaultData!C$88),0)</f>
        <v>879181.27549547201</v>
      </c>
      <c r="E215" s="84">
        <f>IF(C215&lt;=DefaultData!C$89,-PPMT(DefaultData!C$90,C215,DefaultData!C$89,DefaultData!C$88*DefaultData!C$65),0)</f>
        <v>109626.15966389098</v>
      </c>
      <c r="F215" s="84">
        <f t="shared" si="114"/>
        <v>988807.43515936297</v>
      </c>
      <c r="H215" s="348">
        <v>5</v>
      </c>
      <c r="I215" s="84">
        <f>IF(H215&lt;=DefaultData!C$97,-IPMT(DefaultData!C$96,H215,DefaultData!C$97,DefaultData!C$65*DefaultData!C$93*DefaultData!C$94),0)</f>
        <v>0</v>
      </c>
      <c r="J215" s="84">
        <f>IF(H215&lt;=DefaultData!C$97,-PPMT(DefaultData!C$96,H215,DefaultData!C$97,DefaultData!C$93*DefaultData!C$65*DefaultData!C$94),0)</f>
        <v>0</v>
      </c>
      <c r="K215" s="84">
        <f t="shared" si="115"/>
        <v>0</v>
      </c>
      <c r="L215" s="228"/>
      <c r="M215" s="348">
        <v>5</v>
      </c>
      <c r="N215" s="84">
        <f>IF(M215&lt;=DefaultData!C$97,-IPMT(DefaultData!C$96,M215,DefaultData!C$97,DefaultData!C$65*DefaultData!C$93),0)</f>
        <v>1278169.9745548556</v>
      </c>
      <c r="O215" s="84">
        <f>IF(M215&lt;=DefaultData!C$97,-PPMT(DefaultData!C$96,M215,DefaultData!C$97,DefaultData!C$93*DefaultData!C$65*DefaultData!C$95),0)</f>
        <v>1402698.7038549068</v>
      </c>
      <c r="P215" s="84">
        <f t="shared" si="116"/>
        <v>2680868.6784097627</v>
      </c>
    </row>
    <row r="216" spans="3:43" x14ac:dyDescent="0.2">
      <c r="C216">
        <v>6</v>
      </c>
      <c r="D216" s="84">
        <f>IF(C216&lt;=DefaultData!C$89,-IPMT(DefaultData!C$90,C216,DefaultData!C$89,DefaultData!C$65*DefaultData!C$88),0)</f>
        <v>872274.8274366468</v>
      </c>
      <c r="E216" s="84">
        <f>IF(C216&lt;=DefaultData!C$89,-PPMT(DefaultData!C$90,C216,DefaultData!C$89,DefaultData!C$88*DefaultData!C$65),0)</f>
        <v>116532.60772271607</v>
      </c>
      <c r="F216" s="84">
        <f t="shared" si="114"/>
        <v>988807.43515936285</v>
      </c>
      <c r="H216" s="348">
        <v>6</v>
      </c>
      <c r="I216" s="84">
        <f>IF(H216&lt;=DefaultData!C$97,-IPMT(DefaultData!C$96,H216,DefaultData!C$97,DefaultData!C$65*DefaultData!C$93*DefaultData!C$94),0)</f>
        <v>0</v>
      </c>
      <c r="J216" s="84">
        <f>IF(H216&lt;=DefaultData!C$97,-PPMT(DefaultData!C$96,H216,DefaultData!C$97,DefaultData!C$93*DefaultData!C$65*DefaultData!C$94),0)</f>
        <v>0</v>
      </c>
      <c r="K216" s="84">
        <f t="shared" si="115"/>
        <v>0</v>
      </c>
      <c r="L216" s="228"/>
      <c r="M216" s="348">
        <v>6</v>
      </c>
      <c r="N216" s="84">
        <f>IF(M216&lt;=DefaultData!C$97,-IPMT(DefaultData!C$96,M216,DefaultData!C$97,DefaultData!C$65*DefaultData!C$93),0)</f>
        <v>1118262.3223153963</v>
      </c>
      <c r="O216" s="84">
        <f>IF(M216&lt;=DefaultData!C$97,-PPMT(DefaultData!C$96,M216,DefaultData!C$97,DefaultData!C$93*DefaultData!C$65*DefaultData!C$95),0)</f>
        <v>1562606.3560943664</v>
      </c>
      <c r="P216" s="84">
        <f t="shared" si="116"/>
        <v>2680868.6784097627</v>
      </c>
    </row>
    <row r="217" spans="3:43" x14ac:dyDescent="0.2">
      <c r="C217">
        <v>7</v>
      </c>
      <c r="D217" s="84">
        <f>IF(C217&lt;=DefaultData!C$89,-IPMT(DefaultData!C$90,C217,DefaultData!C$89,DefaultData!C$65*DefaultData!C$88),0)</f>
        <v>864933.27315011574</v>
      </c>
      <c r="E217" s="84">
        <f>IF(C217&lt;=DefaultData!C$89,-PPMT(DefaultData!C$90,C217,DefaultData!C$89,DefaultData!C$88*DefaultData!C$65),0)</f>
        <v>123874.16200924719</v>
      </c>
      <c r="F217" s="84">
        <f t="shared" si="114"/>
        <v>988807.43515936297</v>
      </c>
      <c r="H217" s="348">
        <v>7</v>
      </c>
      <c r="I217" s="84">
        <f>IF(H217&lt;=DefaultData!C$97,-IPMT(DefaultData!C$96,H217,DefaultData!C$97,DefaultData!C$65*DefaultData!C$93*DefaultData!C$94),0)</f>
        <v>0</v>
      </c>
      <c r="J217" s="84">
        <f>IF(H217&lt;=DefaultData!C$97,-PPMT(DefaultData!C$96,H217,DefaultData!C$97,DefaultData!C$93*DefaultData!C$65*DefaultData!C$94),0)</f>
        <v>0</v>
      </c>
      <c r="K217" s="84">
        <f t="shared" si="115"/>
        <v>0</v>
      </c>
      <c r="L217" s="228"/>
      <c r="M217" s="348">
        <v>7</v>
      </c>
      <c r="N217" s="84">
        <f>IF(M217&lt;=DefaultData!C$97,-IPMT(DefaultData!C$96,M217,DefaultData!C$97,DefaultData!C$65*DefaultData!C$93),0)</f>
        <v>940125.19772063859</v>
      </c>
      <c r="O217" s="84">
        <f>IF(M217&lt;=DefaultData!C$97,-PPMT(DefaultData!C$96,M217,DefaultData!C$97,DefaultData!C$93*DefaultData!C$65*DefaultData!C$95),0)</f>
        <v>1740743.4806891242</v>
      </c>
      <c r="P217" s="84">
        <f t="shared" si="116"/>
        <v>2680868.6784097627</v>
      </c>
    </row>
    <row r="218" spans="3:43" x14ac:dyDescent="0.2">
      <c r="C218">
        <v>8</v>
      </c>
      <c r="D218" s="84">
        <f>IF(C218&lt;=DefaultData!C$89,-IPMT(DefaultData!C$90,C218,DefaultData!C$89,DefaultData!C$65*DefaultData!C$88),0)</f>
        <v>857129.2009435331</v>
      </c>
      <c r="E218" s="84">
        <f>IF(C218&lt;=DefaultData!C$89,-PPMT(DefaultData!C$90,C218,DefaultData!C$89,DefaultData!C$88*DefaultData!C$65),0)</f>
        <v>131678.23421582978</v>
      </c>
      <c r="F218" s="84">
        <f t="shared" si="114"/>
        <v>988807.43515936285</v>
      </c>
      <c r="H218" s="348">
        <v>8</v>
      </c>
      <c r="I218" s="84">
        <f>IF(H218&lt;=DefaultData!C$97,-IPMT(DefaultData!C$96,H218,DefaultData!C$97,DefaultData!C$65*DefaultData!C$93*DefaultData!C$94),0)</f>
        <v>0</v>
      </c>
      <c r="J218" s="84">
        <f>IF(H218&lt;=DefaultData!C$97,-PPMT(DefaultData!C$96,H218,DefaultData!C$97,DefaultData!C$93*DefaultData!C$65*DefaultData!C$94),0)</f>
        <v>0</v>
      </c>
      <c r="K218" s="84">
        <f t="shared" si="115"/>
        <v>0</v>
      </c>
      <c r="L218" s="228"/>
      <c r="M218" s="348">
        <v>8</v>
      </c>
      <c r="N218" s="84">
        <f>IF(M218&lt;=DefaultData!C$97,-IPMT(DefaultData!C$96,M218,DefaultData!C$97,DefaultData!C$65*DefaultData!C$93),0)</f>
        <v>741680.44092207844</v>
      </c>
      <c r="O218" s="84">
        <f>IF(M218&lt;=DefaultData!C$97,-PPMT(DefaultData!C$96,M218,DefaultData!C$97,DefaultData!C$93*DefaultData!C$65*DefaultData!C$95),0)</f>
        <v>1939188.2374876842</v>
      </c>
      <c r="P218" s="84">
        <f t="shared" si="116"/>
        <v>2680868.6784097627</v>
      </c>
    </row>
    <row r="219" spans="3:43" x14ac:dyDescent="0.2">
      <c r="C219">
        <v>9</v>
      </c>
      <c r="D219" s="84">
        <f>IF(C219&lt;=DefaultData!C$89,-IPMT(DefaultData!C$90,C219,DefaultData!C$89,DefaultData!C$65*DefaultData!C$88),0)</f>
        <v>848833.47218793584</v>
      </c>
      <c r="E219" s="84">
        <f>IF(C219&lt;=DefaultData!C$89,-PPMT(DefaultData!C$90,C219,DefaultData!C$89,DefaultData!C$88*DefaultData!C$65),0)</f>
        <v>139973.96297142704</v>
      </c>
      <c r="F219" s="84">
        <f t="shared" si="114"/>
        <v>988807.43515936285</v>
      </c>
      <c r="H219" s="348">
        <v>9</v>
      </c>
      <c r="I219" s="84">
        <f>IF(H219&lt;=DefaultData!C$97,-IPMT(DefaultData!C$96,H219,DefaultData!C$97,DefaultData!C$65*DefaultData!C$93*DefaultData!C$94),0)</f>
        <v>0</v>
      </c>
      <c r="J219" s="84">
        <f>IF(H219&lt;=DefaultData!C$97,-PPMT(DefaultData!C$96,H219,DefaultData!C$97,DefaultData!C$93*DefaultData!C$65*DefaultData!C$94),0)</f>
        <v>0</v>
      </c>
      <c r="K219" s="84">
        <f t="shared" si="115"/>
        <v>0</v>
      </c>
      <c r="L219" s="228"/>
      <c r="M219" s="348">
        <v>9</v>
      </c>
      <c r="N219" s="84">
        <f>IF(M219&lt;=DefaultData!C$97,-IPMT(DefaultData!C$96,M219,DefaultData!C$97,DefaultData!C$65*DefaultData!C$93),0)</f>
        <v>520612.98184848239</v>
      </c>
      <c r="O219" s="84">
        <f>IF(M219&lt;=DefaultData!C$97,-PPMT(DefaultData!C$96,M219,DefaultData!C$97,DefaultData!C$93*DefaultData!C$65*DefaultData!C$95),0)</f>
        <v>2160255.6965612802</v>
      </c>
      <c r="P219" s="84">
        <f t="shared" si="116"/>
        <v>2680868.6784097627</v>
      </c>
    </row>
    <row r="220" spans="3:43" x14ac:dyDescent="0.2">
      <c r="C220">
        <v>10</v>
      </c>
      <c r="D220" s="84">
        <f>IF(C220&lt;=DefaultData!C$89,-IPMT(DefaultData!C$90,C220,DefaultData!C$89,DefaultData!C$65*DefaultData!C$88),0)</f>
        <v>840015.11252073594</v>
      </c>
      <c r="E220" s="84">
        <f>IF(C220&lt;=DefaultData!C$89,-PPMT(DefaultData!C$90,C220,DefaultData!C$89,DefaultData!C$88*DefaultData!C$65),0)</f>
        <v>148792.322638627</v>
      </c>
      <c r="F220" s="84">
        <f t="shared" si="114"/>
        <v>988807.43515936297</v>
      </c>
      <c r="H220" s="348">
        <v>10</v>
      </c>
      <c r="I220" s="84">
        <f>IF(H220&lt;=DefaultData!C$97,-IPMT(DefaultData!C$96,H220,DefaultData!C$97,DefaultData!C$65*DefaultData!C$93*DefaultData!C$94),0)</f>
        <v>0</v>
      </c>
      <c r="J220" s="84">
        <f>IF(H220&lt;=DefaultData!C$97,-PPMT(DefaultData!C$96,H220,DefaultData!C$97,DefaultData!C$93*DefaultData!C$65*DefaultData!C$94),0)</f>
        <v>0</v>
      </c>
      <c r="K220" s="84">
        <f t="shared" si="115"/>
        <v>0</v>
      </c>
      <c r="L220" s="228"/>
      <c r="M220" s="348">
        <v>10</v>
      </c>
      <c r="N220" s="84">
        <f>IF(M220&lt;=DefaultData!C$97,-IPMT(DefaultData!C$96,M220,DefaultData!C$97,DefaultData!C$65*DefaultData!C$93),0)</f>
        <v>274343.83244049642</v>
      </c>
      <c r="O220" s="84">
        <f>IF(M220&lt;=DefaultData!C$97,-PPMT(DefaultData!C$96,M220,DefaultData!C$97,DefaultData!C$93*DefaultData!C$65*DefaultData!C$95),0)</f>
        <v>2406524.8459692663</v>
      </c>
      <c r="P220" s="84">
        <f t="shared" si="116"/>
        <v>2680868.6784097627</v>
      </c>
    </row>
    <row r="221" spans="3:43" x14ac:dyDescent="0.2">
      <c r="C221">
        <v>11</v>
      </c>
      <c r="D221" s="84">
        <f>IF(C221&lt;=DefaultData!C$89,-IPMT(DefaultData!C$90,C221,DefaultData!C$89,DefaultData!C$65*DefaultData!C$88),0)</f>
        <v>830641.19619450241</v>
      </c>
      <c r="E221" s="84">
        <f>IF(C221&lt;=DefaultData!C$89,-PPMT(DefaultData!C$90,C221,DefaultData!C$89,DefaultData!C$88*DefaultData!C$65),0)</f>
        <v>158166.23896486044</v>
      </c>
      <c r="F221" s="84">
        <f t="shared" si="114"/>
        <v>988807.43515936285</v>
      </c>
      <c r="H221" s="348">
        <v>11</v>
      </c>
      <c r="I221" s="84">
        <f>IF(H221&lt;=DefaultData!C$97,-IPMT(DefaultData!C$96,H221,DefaultData!C$97,DefaultData!C$65*DefaultData!C$93*DefaultData!C$94),0)</f>
        <v>0</v>
      </c>
      <c r="J221" s="84">
        <f>IF(H221&lt;=DefaultData!C$97,-PPMT(DefaultData!C$96,H221,DefaultData!C$97,DefaultData!C$93*DefaultData!C$65*DefaultData!C$94),0)</f>
        <v>0</v>
      </c>
      <c r="K221" s="84">
        <f t="shared" si="115"/>
        <v>0</v>
      </c>
      <c r="L221" s="228"/>
      <c r="M221" s="348">
        <v>11</v>
      </c>
      <c r="N221" s="84">
        <f>IF(M221&lt;=DefaultData!C$97,-IPMT(DefaultData!C$96,M221,DefaultData!C$97,DefaultData!C$65*DefaultData!C$93),0)</f>
        <v>0</v>
      </c>
      <c r="O221" s="84">
        <f>IF(M221&lt;=DefaultData!C$97,-PPMT(DefaultData!C$96,M221,DefaultData!C$97,DefaultData!C$93*DefaultData!C$65*DefaultData!C$95),0)</f>
        <v>0</v>
      </c>
      <c r="P221" s="84">
        <f t="shared" si="116"/>
        <v>0</v>
      </c>
    </row>
    <row r="222" spans="3:43" x14ac:dyDescent="0.2">
      <c r="C222">
        <v>12</v>
      </c>
      <c r="D222" s="84">
        <f>IF(C222&lt;=DefaultData!C$89,-IPMT(DefaultData!C$90,C222,DefaultData!C$89,DefaultData!C$65*DefaultData!C$88),0)</f>
        <v>820676.7231397162</v>
      </c>
      <c r="E222" s="84">
        <f>IF(C222&lt;=DefaultData!C$89,-PPMT(DefaultData!C$90,C222,DefaultData!C$89,DefaultData!C$88*DefaultData!C$65),0)</f>
        <v>168130.71201964669</v>
      </c>
      <c r="F222" s="84">
        <f t="shared" si="114"/>
        <v>988807.43515936285</v>
      </c>
      <c r="H222" s="348">
        <v>12</v>
      </c>
      <c r="I222" s="84">
        <f>IF(H222&lt;=DefaultData!C$97,-IPMT(DefaultData!C$96,H222,DefaultData!C$97,DefaultData!C$65*DefaultData!C$93*DefaultData!C$94),0)</f>
        <v>0</v>
      </c>
      <c r="J222" s="84">
        <f>IF(H222&lt;=DefaultData!C$97,-PPMT(DefaultData!C$96,H222,DefaultData!C$97,DefaultData!C$93*DefaultData!C$65*DefaultData!C$94),0)</f>
        <v>0</v>
      </c>
      <c r="K222" s="84">
        <f t="shared" si="115"/>
        <v>0</v>
      </c>
      <c r="L222" s="228"/>
      <c r="M222" s="348">
        <v>12</v>
      </c>
      <c r="N222" s="84">
        <f>IF(M222&lt;=DefaultData!C$97,-IPMT(DefaultData!C$96,M222,DefaultData!C$97,DefaultData!C$65*DefaultData!C$93),0)</f>
        <v>0</v>
      </c>
      <c r="O222" s="84">
        <f>IF(M222&lt;=DefaultData!C$97,-PPMT(DefaultData!C$96,M222,DefaultData!C$97,DefaultData!C$93*DefaultData!C$65*DefaultData!C$95),0)</f>
        <v>0</v>
      </c>
      <c r="P222" s="84">
        <f t="shared" si="116"/>
        <v>0</v>
      </c>
    </row>
    <row r="223" spans="3:43" x14ac:dyDescent="0.2">
      <c r="C223">
        <v>13</v>
      </c>
      <c r="D223" s="84">
        <f>IF(C223&lt;=DefaultData!C$89,-IPMT(DefaultData!C$90,C223,DefaultData!C$89,DefaultData!C$65*DefaultData!C$88),0)</f>
        <v>810084.48828247853</v>
      </c>
      <c r="E223" s="84">
        <f>IF(C223&lt;=DefaultData!C$89,-PPMT(DefaultData!C$90,C223,DefaultData!C$89,DefaultData!C$88*DefaultData!C$65),0)</f>
        <v>178722.94687688441</v>
      </c>
      <c r="F223" s="84">
        <f t="shared" si="114"/>
        <v>988807.43515936297</v>
      </c>
      <c r="H223" s="348">
        <v>13</v>
      </c>
      <c r="I223" s="84">
        <f>IF(H223&lt;=DefaultData!C$97,-IPMT(DefaultData!C$96,H223,DefaultData!C$97,DefaultData!C$65*DefaultData!C$93*DefaultData!C$94),0)</f>
        <v>0</v>
      </c>
      <c r="J223" s="84">
        <f>IF(H223&lt;=DefaultData!C$97,-PPMT(DefaultData!C$96,H223,DefaultData!C$97,DefaultData!C$93*DefaultData!C$65*DefaultData!C$94),0)</f>
        <v>0</v>
      </c>
      <c r="K223" s="84">
        <f t="shared" si="115"/>
        <v>0</v>
      </c>
      <c r="L223" s="228"/>
      <c r="M223" s="348">
        <v>13</v>
      </c>
      <c r="N223" s="84">
        <f>IF(M223&lt;=DefaultData!C$97,-IPMT(DefaultData!C$96,M223,DefaultData!C$97,DefaultData!C$65*DefaultData!C$93),0)</f>
        <v>0</v>
      </c>
      <c r="O223" s="84">
        <f>IF(M223&lt;=DefaultData!C$97,-PPMT(DefaultData!C$96,M223,DefaultData!C$97,DefaultData!C$93*DefaultData!C$65*DefaultData!C$95),0)</f>
        <v>0</v>
      </c>
      <c r="P223" s="84">
        <f t="shared" si="116"/>
        <v>0</v>
      </c>
    </row>
    <row r="224" spans="3:43" x14ac:dyDescent="0.2">
      <c r="C224">
        <v>14</v>
      </c>
      <c r="D224" s="84">
        <f>IF(C224&lt;=DefaultData!C$89,-IPMT(DefaultData!C$90,C224,DefaultData!C$89,DefaultData!C$65*DefaultData!C$88),0)</f>
        <v>798824.94262923487</v>
      </c>
      <c r="E224" s="84">
        <f>IF(C224&lt;=DefaultData!C$89,-PPMT(DefaultData!C$90,C224,DefaultData!C$89,DefaultData!C$88*DefaultData!C$65),0)</f>
        <v>189982.4925301281</v>
      </c>
      <c r="F224" s="84">
        <f t="shared" si="114"/>
        <v>988807.43515936297</v>
      </c>
      <c r="H224" s="348">
        <v>14</v>
      </c>
      <c r="I224" s="84">
        <f>IF(H224&lt;=DefaultData!C$97,-IPMT(DefaultData!C$96,H224,DefaultData!C$97,DefaultData!C$65*DefaultData!C$93*DefaultData!C$94),0)</f>
        <v>0</v>
      </c>
      <c r="J224" s="84">
        <f>IF(H224&lt;=DefaultData!C$97,-PPMT(DefaultData!C$96,H224,DefaultData!C$97,DefaultData!C$93*DefaultData!C$65*DefaultData!C$94),0)</f>
        <v>0</v>
      </c>
      <c r="K224" s="84">
        <f t="shared" si="115"/>
        <v>0</v>
      </c>
      <c r="L224" s="228"/>
      <c r="M224" s="348">
        <v>14</v>
      </c>
      <c r="N224" s="84">
        <f>IF(M224&lt;=DefaultData!C$97,-IPMT(DefaultData!C$96,M224,DefaultData!C$97,DefaultData!C$65*DefaultData!C$93),0)</f>
        <v>0</v>
      </c>
      <c r="O224" s="84">
        <f>IF(M224&lt;=DefaultData!C$97,-PPMT(DefaultData!C$96,M224,DefaultData!C$97,DefaultData!C$93*DefaultData!C$65*DefaultData!C$95),0)</f>
        <v>0</v>
      </c>
      <c r="P224" s="84">
        <f t="shared" si="116"/>
        <v>0</v>
      </c>
    </row>
    <row r="225" spans="3:16" x14ac:dyDescent="0.2">
      <c r="C225">
        <v>15</v>
      </c>
      <c r="D225" s="84">
        <f>IF(C225&lt;=DefaultData!C$89,-IPMT(DefaultData!C$90,C225,DefaultData!C$89,DefaultData!C$65*DefaultData!C$88),0)</f>
        <v>786856.04559983674</v>
      </c>
      <c r="E225" s="84">
        <f>IF(C225&lt;=DefaultData!C$89,-PPMT(DefaultData!C$90,C225,DefaultData!C$89,DefaultData!C$88*DefaultData!C$65),0)</f>
        <v>201951.3895595262</v>
      </c>
      <c r="F225" s="84">
        <f t="shared" si="114"/>
        <v>988807.43515936297</v>
      </c>
      <c r="H225" s="348">
        <v>15</v>
      </c>
      <c r="I225" s="84">
        <f>IF(H225&lt;=DefaultData!C$97,-IPMT(DefaultData!C$96,H225,DefaultData!C$97,DefaultData!C$65*DefaultData!C$93*DefaultData!C$94),0)</f>
        <v>0</v>
      </c>
      <c r="J225" s="84">
        <f>IF(H225&lt;=DefaultData!C$97,-PPMT(DefaultData!C$96,H225,DefaultData!C$97,DefaultData!C$93*DefaultData!C$65*DefaultData!C$94),0)</f>
        <v>0</v>
      </c>
      <c r="K225" s="84">
        <f t="shared" si="115"/>
        <v>0</v>
      </c>
      <c r="L225" s="228"/>
      <c r="M225" s="348">
        <v>15</v>
      </c>
      <c r="N225" s="84">
        <f>IF(M225&lt;=DefaultData!C$97,-IPMT(DefaultData!C$96,M225,DefaultData!C$97,DefaultData!C$65*DefaultData!C$93),0)</f>
        <v>0</v>
      </c>
      <c r="O225" s="84">
        <f>IF(M225&lt;=DefaultData!C$97,-PPMT(DefaultData!C$96,M225,DefaultData!C$97,DefaultData!C$93*DefaultData!C$65*DefaultData!C$95),0)</f>
        <v>0</v>
      </c>
      <c r="P225" s="84">
        <f t="shared" si="116"/>
        <v>0</v>
      </c>
    </row>
    <row r="226" spans="3:16" x14ac:dyDescent="0.2">
      <c r="C226">
        <v>16</v>
      </c>
      <c r="D226" s="84">
        <f>IF(C226&lt;=DefaultData!C$89,-IPMT(DefaultData!C$90,C226,DefaultData!C$89,DefaultData!C$65*DefaultData!C$88),0)</f>
        <v>774133.10805758648</v>
      </c>
      <c r="E226" s="84">
        <f>IF(C226&lt;=DefaultData!C$89,-PPMT(DefaultData!C$90,C226,DefaultData!C$89,DefaultData!C$88*DefaultData!C$65),0)</f>
        <v>214674.32710177635</v>
      </c>
      <c r="F226" s="84">
        <f t="shared" si="114"/>
        <v>988807.43515936285</v>
      </c>
      <c r="H226" s="348">
        <v>16</v>
      </c>
      <c r="I226" s="84">
        <f>IF(H226&lt;=DefaultData!C$97,-IPMT(DefaultData!C$96,H226,DefaultData!C$97,DefaultData!C$65*DefaultData!C$93*DefaultData!C$94),0)</f>
        <v>0</v>
      </c>
      <c r="J226" s="84">
        <f>IF(H226&lt;=DefaultData!C$97,-PPMT(DefaultData!C$96,H226,DefaultData!C$97,DefaultData!C$93*DefaultData!C$65*DefaultData!C$94),0)</f>
        <v>0</v>
      </c>
      <c r="K226" s="84">
        <f t="shared" si="115"/>
        <v>0</v>
      </c>
      <c r="L226" s="228"/>
      <c r="M226" s="348">
        <v>16</v>
      </c>
      <c r="N226" s="84">
        <f>IF(M226&lt;=DefaultData!C$97,-IPMT(DefaultData!C$96,M226,DefaultData!C$97,DefaultData!C$65*DefaultData!C$93),0)</f>
        <v>0</v>
      </c>
      <c r="O226" s="84">
        <f>IF(M226&lt;=DefaultData!C$97,-PPMT(DefaultData!C$96,M226,DefaultData!C$97,DefaultData!C$93*DefaultData!C$65*DefaultData!C$95),0)</f>
        <v>0</v>
      </c>
      <c r="P226" s="84">
        <f t="shared" si="116"/>
        <v>0</v>
      </c>
    </row>
    <row r="227" spans="3:16" x14ac:dyDescent="0.2">
      <c r="C227">
        <v>17</v>
      </c>
      <c r="D227" s="84">
        <f>IF(C227&lt;=DefaultData!C$89,-IPMT(DefaultData!C$90,C227,DefaultData!C$89,DefaultData!C$65*DefaultData!C$88),0)</f>
        <v>760608.62545017456</v>
      </c>
      <c r="E227" s="84">
        <f>IF(C227&lt;=DefaultData!C$89,-PPMT(DefaultData!C$90,C227,DefaultData!C$89,DefaultData!C$88*DefaultData!C$65),0)</f>
        <v>228198.8097091883</v>
      </c>
      <c r="F227" s="84">
        <f t="shared" si="114"/>
        <v>988807.43515936285</v>
      </c>
      <c r="H227" s="348">
        <v>17</v>
      </c>
      <c r="I227" s="84">
        <f>IF(H227&lt;=DefaultData!C$97,-IPMT(DefaultData!C$96,H227,DefaultData!C$97,DefaultData!C$65*DefaultData!C$93*DefaultData!C$94),0)</f>
        <v>0</v>
      </c>
      <c r="J227" s="84">
        <f>IF(H227&lt;=DefaultData!C$97,-PPMT(DefaultData!C$96,H227,DefaultData!C$97,DefaultData!C$93*DefaultData!C$65*DefaultData!C$94),0)</f>
        <v>0</v>
      </c>
      <c r="K227" s="84">
        <f t="shared" si="115"/>
        <v>0</v>
      </c>
      <c r="L227" s="228"/>
      <c r="M227" s="348">
        <v>17</v>
      </c>
      <c r="N227" s="84">
        <f>IF(M227&lt;=DefaultData!C$97,-IPMT(DefaultData!C$96,M227,DefaultData!C$97,DefaultData!C$65*DefaultData!C$93),0)</f>
        <v>0</v>
      </c>
      <c r="O227" s="84">
        <f>IF(M227&lt;=DefaultData!C$97,-PPMT(DefaultData!C$96,M227,DefaultData!C$97,DefaultData!C$93*DefaultData!C$65*DefaultData!C$95),0)</f>
        <v>0</v>
      </c>
      <c r="P227" s="84">
        <f t="shared" si="116"/>
        <v>0</v>
      </c>
    </row>
    <row r="228" spans="3:16" x14ac:dyDescent="0.2">
      <c r="C228">
        <v>18</v>
      </c>
      <c r="D228" s="84">
        <f>IF(C228&lt;=DefaultData!C$89,-IPMT(DefaultData!C$90,C228,DefaultData!C$89,DefaultData!C$65*DefaultData!C$88),0)</f>
        <v>746232.10043849575</v>
      </c>
      <c r="E228" s="84">
        <f>IF(C228&lt;=DefaultData!C$89,-PPMT(DefaultData!C$90,C228,DefaultData!C$89,DefaultData!C$88*DefaultData!C$65),0)</f>
        <v>242575.33472086713</v>
      </c>
      <c r="F228" s="84">
        <f t="shared" si="114"/>
        <v>988807.43515936285</v>
      </c>
      <c r="H228" s="348">
        <v>18</v>
      </c>
      <c r="I228" s="84">
        <f>IF(H228&lt;=DefaultData!C$97,-IPMT(DefaultData!C$96,H228,DefaultData!C$97,DefaultData!C$65*DefaultData!C$93*DefaultData!C$94),0)</f>
        <v>0</v>
      </c>
      <c r="J228" s="84">
        <f>IF(H228&lt;=DefaultData!C$97,-PPMT(DefaultData!C$96,H228,DefaultData!C$97,DefaultData!C$93*DefaultData!C$65*DefaultData!C$94),0)</f>
        <v>0</v>
      </c>
      <c r="K228" s="84">
        <f t="shared" si="115"/>
        <v>0</v>
      </c>
      <c r="L228" s="228"/>
      <c r="M228" s="348">
        <v>18</v>
      </c>
      <c r="N228" s="84">
        <f>IF(M228&lt;=DefaultData!C$97,-IPMT(DefaultData!C$96,M228,DefaultData!C$97,DefaultData!C$65*DefaultData!C$93),0)</f>
        <v>0</v>
      </c>
      <c r="O228" s="84">
        <f>IF(M228&lt;=DefaultData!C$97,-PPMT(DefaultData!C$96,M228,DefaultData!C$97,DefaultData!C$93*DefaultData!C$65*DefaultData!C$95),0)</f>
        <v>0</v>
      </c>
      <c r="P228" s="84">
        <f t="shared" si="116"/>
        <v>0</v>
      </c>
    </row>
    <row r="229" spans="3:16" x14ac:dyDescent="0.2">
      <c r="C229">
        <v>19</v>
      </c>
      <c r="D229" s="84">
        <f>IF(C229&lt;=DefaultData!C$89,-IPMT(DefaultData!C$90,C229,DefaultData!C$89,DefaultData!C$65*DefaultData!C$88),0)</f>
        <v>730949.85435108107</v>
      </c>
      <c r="E229" s="84">
        <f>IF(C229&lt;=DefaultData!C$89,-PPMT(DefaultData!C$90,C229,DefaultData!C$89,DefaultData!C$88*DefaultData!C$65),0)</f>
        <v>257857.58080828172</v>
      </c>
      <c r="F229" s="84">
        <f t="shared" si="114"/>
        <v>988807.43515936285</v>
      </c>
      <c r="H229" s="348">
        <v>19</v>
      </c>
      <c r="I229" s="84">
        <f>IF(H229&lt;=DefaultData!C$97,-IPMT(DefaultData!C$96,H229,DefaultData!C$97,DefaultData!C$65*DefaultData!C$93*DefaultData!C$94),0)</f>
        <v>0</v>
      </c>
      <c r="J229" s="84">
        <f>IF(H229&lt;=DefaultData!C$97,-PPMT(DefaultData!C$96,H229,DefaultData!C$97,DefaultData!C$93*DefaultData!C$65*DefaultData!C$94),0)</f>
        <v>0</v>
      </c>
      <c r="K229" s="84">
        <f t="shared" si="115"/>
        <v>0</v>
      </c>
      <c r="L229" s="228"/>
      <c r="M229" s="348">
        <v>19</v>
      </c>
      <c r="N229" s="84">
        <f>IF(M229&lt;=DefaultData!C$97,-IPMT(DefaultData!C$96,M229,DefaultData!C$97,DefaultData!C$65*DefaultData!C$93),0)</f>
        <v>0</v>
      </c>
      <c r="O229" s="84">
        <f>IF(M229&lt;=DefaultData!C$97,-PPMT(DefaultData!C$96,M229,DefaultData!C$97,DefaultData!C$93*DefaultData!C$65*DefaultData!C$95),0)</f>
        <v>0</v>
      </c>
      <c r="P229" s="84">
        <f t="shared" si="116"/>
        <v>0</v>
      </c>
    </row>
    <row r="230" spans="3:16" x14ac:dyDescent="0.2">
      <c r="C230">
        <v>20</v>
      </c>
      <c r="D230" s="84">
        <f>IF(C230&lt;=DefaultData!C$89,-IPMT(DefaultData!C$90,C230,DefaultData!C$89,DefaultData!C$65*DefaultData!C$88),0)</f>
        <v>714704.82676015946</v>
      </c>
      <c r="E230" s="84">
        <f>IF(C230&lt;=DefaultData!C$89,-PPMT(DefaultData!C$90,C230,DefaultData!C$89,DefaultData!C$88*DefaultData!C$65),0)</f>
        <v>274102.60839920357</v>
      </c>
      <c r="F230" s="84">
        <f t="shared" si="114"/>
        <v>988807.43515936309</v>
      </c>
      <c r="H230" s="348">
        <v>20</v>
      </c>
      <c r="I230" s="84">
        <f>IF(H230&lt;=DefaultData!C$97,-IPMT(DefaultData!C$96,H230,DefaultData!C$97,DefaultData!C$65*DefaultData!C$93*DefaultData!C$94),0)</f>
        <v>0</v>
      </c>
      <c r="J230" s="84">
        <f>IF(H230&lt;=DefaultData!C$97,-PPMT(DefaultData!C$96,H230,DefaultData!C$97,DefaultData!C$93*DefaultData!C$65*DefaultData!C$94),0)</f>
        <v>0</v>
      </c>
      <c r="K230" s="84">
        <f t="shared" si="115"/>
        <v>0</v>
      </c>
      <c r="L230" s="228"/>
      <c r="M230" s="348">
        <v>20</v>
      </c>
      <c r="N230" s="84">
        <f>IF(M230&lt;=DefaultData!C$97,-IPMT(DefaultData!C$96,M230,DefaultData!C$97,DefaultData!C$65*DefaultData!C$93),0)</f>
        <v>0</v>
      </c>
      <c r="O230" s="84">
        <f>IF(M230&lt;=DefaultData!C$97,-PPMT(DefaultData!C$96,M230,DefaultData!C$97,DefaultData!C$93*DefaultData!C$65*DefaultData!C$95),0)</f>
        <v>0</v>
      </c>
      <c r="P230" s="84">
        <f t="shared" si="116"/>
        <v>0</v>
      </c>
    </row>
    <row r="231" spans="3:16" x14ac:dyDescent="0.2">
      <c r="C231">
        <v>21</v>
      </c>
      <c r="D231" s="84">
        <f>IF(C231&lt;=DefaultData!C$89,-IPMT(DefaultData!C$90,C231,DefaultData!C$89,DefaultData!C$65*DefaultData!C$88),0)</f>
        <v>697436.36243100965</v>
      </c>
      <c r="E231" s="84">
        <f>IF(C231&lt;=DefaultData!C$89,-PPMT(DefaultData!C$90,C231,DefaultData!C$89,DefaultData!C$88*DefaultData!C$65),0)</f>
        <v>291371.07272835332</v>
      </c>
      <c r="F231" s="84">
        <f t="shared" si="114"/>
        <v>988807.43515936297</v>
      </c>
      <c r="H231" s="348">
        <v>21</v>
      </c>
      <c r="I231" s="84">
        <f>IF(H231&lt;=DefaultData!C$97,-IPMT(DefaultData!C$96,H231,DefaultData!C$97,DefaultData!C$65*DefaultData!C$93*DefaultData!C$94),0)</f>
        <v>0</v>
      </c>
      <c r="J231" s="84">
        <f>IF(H231&lt;=DefaultData!C$97,-PPMT(DefaultData!C$96,H231,DefaultData!C$97,DefaultData!C$93*DefaultData!C$65*DefaultData!C$94),0)</f>
        <v>0</v>
      </c>
      <c r="K231" s="84">
        <f t="shared" si="115"/>
        <v>0</v>
      </c>
      <c r="L231" s="228"/>
      <c r="M231" s="348">
        <v>21</v>
      </c>
      <c r="N231" s="84">
        <f>IF(M231&lt;=DefaultData!C$97,-IPMT(DefaultData!C$96,M231,DefaultData!C$97,DefaultData!C$65*DefaultData!C$93),0)</f>
        <v>0</v>
      </c>
      <c r="O231" s="84">
        <f>IF(M231&lt;=DefaultData!C$97,-PPMT(DefaultData!C$96,M231,DefaultData!C$97,DefaultData!C$93*DefaultData!C$65*DefaultData!C$95),0)</f>
        <v>0</v>
      </c>
      <c r="P231" s="84">
        <f t="shared" si="116"/>
        <v>0</v>
      </c>
    </row>
    <row r="232" spans="3:16" x14ac:dyDescent="0.2">
      <c r="C232">
        <v>22</v>
      </c>
      <c r="D232" s="84">
        <f>IF(C232&lt;=DefaultData!C$89,-IPMT(DefaultData!C$90,C232,DefaultData!C$89,DefaultData!C$65*DefaultData!C$88),0)</f>
        <v>679079.98484912328</v>
      </c>
      <c r="E232" s="84">
        <f>IF(C232&lt;=DefaultData!C$89,-PPMT(DefaultData!C$90,C232,DefaultData!C$89,DefaultData!C$88*DefaultData!C$65),0)</f>
        <v>309727.45031023963</v>
      </c>
      <c r="F232" s="84">
        <f t="shared" si="114"/>
        <v>988807.43515936285</v>
      </c>
      <c r="H232" s="348">
        <v>22</v>
      </c>
      <c r="I232" s="84">
        <f>IF(H232&lt;=DefaultData!C$97,-IPMT(DefaultData!C$96,H232,DefaultData!C$97,DefaultData!C$65*DefaultData!C$93*DefaultData!C$94),0)</f>
        <v>0</v>
      </c>
      <c r="J232" s="84">
        <f>IF(H232&lt;=DefaultData!C$97,-PPMT(DefaultData!C$96,H232,DefaultData!C$97,DefaultData!C$93*DefaultData!C$65*DefaultData!C$94),0)</f>
        <v>0</v>
      </c>
      <c r="K232" s="84">
        <f t="shared" si="115"/>
        <v>0</v>
      </c>
      <c r="L232" s="228"/>
      <c r="M232" s="348">
        <v>22</v>
      </c>
      <c r="N232" s="84">
        <f>IF(M232&lt;=DefaultData!C$97,-IPMT(DefaultData!C$96,M232,DefaultData!C$97,DefaultData!C$65*DefaultData!C$93),0)</f>
        <v>0</v>
      </c>
      <c r="O232" s="84">
        <f>IF(M232&lt;=DefaultData!C$97,-PPMT(DefaultData!C$96,M232,DefaultData!C$97,DefaultData!C$93*DefaultData!C$65*DefaultData!C$95),0)</f>
        <v>0</v>
      </c>
      <c r="P232" s="84">
        <f t="shared" si="116"/>
        <v>0</v>
      </c>
    </row>
    <row r="233" spans="3:16" x14ac:dyDescent="0.2">
      <c r="C233">
        <v>23</v>
      </c>
      <c r="D233" s="84">
        <f>IF(C233&lt;=DefaultData!C$89,-IPMT(DefaultData!C$90,C233,DefaultData!C$89,DefaultData!C$65*DefaultData!C$88),0)</f>
        <v>659567.15547957807</v>
      </c>
      <c r="E233" s="84">
        <f>IF(C233&lt;=DefaultData!C$89,-PPMT(DefaultData!C$90,C233,DefaultData!C$89,DefaultData!C$88*DefaultData!C$65),0)</f>
        <v>329240.27967978473</v>
      </c>
      <c r="F233" s="84">
        <f t="shared" si="114"/>
        <v>988807.43515936285</v>
      </c>
      <c r="H233" s="348">
        <v>23</v>
      </c>
      <c r="I233" s="84">
        <f>IF(H233&lt;=DefaultData!C$97,-IPMT(DefaultData!C$96,H233,DefaultData!C$97,DefaultData!C$65*DefaultData!C$93*DefaultData!C$94),0)</f>
        <v>0</v>
      </c>
      <c r="J233" s="84">
        <f>IF(H233&lt;=DefaultData!C$97,-PPMT(DefaultData!C$96,H233,DefaultData!C$97,DefaultData!C$93*DefaultData!C$65*DefaultData!C$94),0)</f>
        <v>0</v>
      </c>
      <c r="K233" s="84">
        <f t="shared" si="115"/>
        <v>0</v>
      </c>
      <c r="L233" s="228"/>
      <c r="M233" s="348">
        <v>23</v>
      </c>
      <c r="N233" s="84">
        <f>IF(M233&lt;=DefaultData!C$97,-IPMT(DefaultData!C$96,M233,DefaultData!C$97,DefaultData!C$65*DefaultData!C$93),0)</f>
        <v>0</v>
      </c>
      <c r="O233" s="84">
        <f>IF(M233&lt;=DefaultData!C$97,-PPMT(DefaultData!C$96,M233,DefaultData!C$97,DefaultData!C$93*DefaultData!C$65*DefaultData!C$95),0)</f>
        <v>0</v>
      </c>
      <c r="P233" s="84">
        <f t="shared" si="116"/>
        <v>0</v>
      </c>
    </row>
    <row r="234" spans="3:16" x14ac:dyDescent="0.2">
      <c r="C234">
        <v>24</v>
      </c>
      <c r="D234" s="84">
        <f>IF(C234&lt;=DefaultData!C$89,-IPMT(DefaultData!C$90,C234,DefaultData!C$89,DefaultData!C$65*DefaultData!C$88),0)</f>
        <v>638825.01785975194</v>
      </c>
      <c r="E234" s="84">
        <f>IF(C234&lt;=DefaultData!C$89,-PPMT(DefaultData!C$90,C234,DefaultData!C$89,DefaultData!C$88*DefaultData!C$65),0)</f>
        <v>349982.41729961109</v>
      </c>
      <c r="F234" s="84">
        <f t="shared" si="114"/>
        <v>988807.43515936309</v>
      </c>
      <c r="H234" s="348">
        <v>24</v>
      </c>
      <c r="I234" s="84">
        <f>IF(H234&lt;=DefaultData!C$97,-IPMT(DefaultData!C$96,H234,DefaultData!C$97,DefaultData!C$65*DefaultData!C$93*DefaultData!C$94),0)</f>
        <v>0</v>
      </c>
      <c r="J234" s="84">
        <f>IF(H234&lt;=DefaultData!C$97,-PPMT(DefaultData!C$96,H234,DefaultData!C$97,DefaultData!C$93*DefaultData!C$65*DefaultData!C$94),0)</f>
        <v>0</v>
      </c>
      <c r="K234" s="84">
        <f t="shared" si="115"/>
        <v>0</v>
      </c>
      <c r="L234" s="228"/>
      <c r="M234" s="348">
        <v>24</v>
      </c>
      <c r="N234" s="84">
        <f>IF(M234&lt;=DefaultData!C$97,-IPMT(DefaultData!C$96,M234,DefaultData!C$97,DefaultData!C$65*DefaultData!C$93),0)</f>
        <v>0</v>
      </c>
      <c r="O234" s="84">
        <f>IF(M234&lt;=DefaultData!C$97,-PPMT(DefaultData!C$96,M234,DefaultData!C$97,DefaultData!C$93*DefaultData!C$65*DefaultData!C$95),0)</f>
        <v>0</v>
      </c>
      <c r="P234" s="84">
        <f t="shared" si="116"/>
        <v>0</v>
      </c>
    </row>
    <row r="235" spans="3:16" x14ac:dyDescent="0.2">
      <c r="C235">
        <v>25</v>
      </c>
      <c r="D235" s="84">
        <f>IF(C235&lt;=DefaultData!C$89,-IPMT(DefaultData!C$90,C235,DefaultData!C$89,DefaultData!C$65*DefaultData!C$88),0)</f>
        <v>616776.1255698764</v>
      </c>
      <c r="E235" s="84">
        <f>IF(C235&lt;=DefaultData!C$89,-PPMT(DefaultData!C$90,C235,DefaultData!C$89,DefaultData!C$88*DefaultData!C$65),0)</f>
        <v>372031.30958948657</v>
      </c>
      <c r="F235" s="84">
        <f t="shared" si="114"/>
        <v>988807.43515936297</v>
      </c>
      <c r="H235" s="348">
        <v>25</v>
      </c>
      <c r="I235" s="84">
        <f>IF(H235&lt;=DefaultData!C$97,-IPMT(DefaultData!C$96,H235,DefaultData!C$97,DefaultData!C$65*DefaultData!C$93*DefaultData!C$94),0)</f>
        <v>0</v>
      </c>
      <c r="J235" s="84">
        <f>IF(H235&lt;=DefaultData!C$97,-PPMT(DefaultData!C$96,H235,DefaultData!C$97,DefaultData!C$93*DefaultData!C$65*DefaultData!C$94),0)</f>
        <v>0</v>
      </c>
      <c r="K235" s="84">
        <f t="shared" si="115"/>
        <v>0</v>
      </c>
      <c r="L235" s="228"/>
      <c r="M235" s="348">
        <v>25</v>
      </c>
      <c r="N235" s="84">
        <f>IF(M235&lt;=DefaultData!C$97,-IPMT(DefaultData!C$96,M235,DefaultData!C$97,DefaultData!C$65*DefaultData!C$93),0)</f>
        <v>0</v>
      </c>
      <c r="O235" s="84">
        <f>IF(M235&lt;=DefaultData!C$97,-PPMT(DefaultData!C$96,M235,DefaultData!C$97,DefaultData!C$93*DefaultData!C$65*DefaultData!C$95),0)</f>
        <v>0</v>
      </c>
      <c r="P235" s="84">
        <f t="shared" si="116"/>
        <v>0</v>
      </c>
    </row>
    <row r="236" spans="3:16" x14ac:dyDescent="0.2">
      <c r="C236">
        <v>26</v>
      </c>
      <c r="D236" s="84">
        <f>IF(C236&lt;=DefaultData!C$89,-IPMT(DefaultData!C$90,C236,DefaultData!C$89,DefaultData!C$65*DefaultData!C$88),0)</f>
        <v>593338.15306573862</v>
      </c>
      <c r="E236" s="84">
        <f>IF(C236&lt;=DefaultData!C$89,-PPMT(DefaultData!C$90,C236,DefaultData!C$89,DefaultData!C$88*DefaultData!C$65),0)</f>
        <v>395469.28209362424</v>
      </c>
      <c r="F236" s="84">
        <f t="shared" si="114"/>
        <v>988807.43515936285</v>
      </c>
      <c r="H236" s="348">
        <v>26</v>
      </c>
      <c r="I236" s="84">
        <f>IF(H236&lt;=DefaultData!C$97,-IPMT(DefaultData!C$96,H236,DefaultData!C$97,DefaultData!C$65*DefaultData!C$93*DefaultData!C$94),0)</f>
        <v>0</v>
      </c>
      <c r="J236" s="84">
        <f>IF(H236&lt;=DefaultData!C$97,-PPMT(DefaultData!C$96,H236,DefaultData!C$97,DefaultData!C$93*DefaultData!C$65*DefaultData!C$94),0)</f>
        <v>0</v>
      </c>
      <c r="K236" s="84">
        <f t="shared" si="115"/>
        <v>0</v>
      </c>
      <c r="L236" s="228"/>
      <c r="M236" s="348">
        <v>26</v>
      </c>
      <c r="N236" s="84">
        <f>IF(M236&lt;=DefaultData!C$97,-IPMT(DefaultData!C$96,M236,DefaultData!C$97,DefaultData!C$65*DefaultData!C$93),0)</f>
        <v>0</v>
      </c>
      <c r="O236" s="84">
        <f>IF(M236&lt;=DefaultData!C$97,-PPMT(DefaultData!C$96,M236,DefaultData!C$97,DefaultData!C$93*DefaultData!C$65*DefaultData!C$95),0)</f>
        <v>0</v>
      </c>
      <c r="P236" s="84">
        <f t="shared" si="116"/>
        <v>0</v>
      </c>
    </row>
    <row r="237" spans="3:16" x14ac:dyDescent="0.2">
      <c r="C237">
        <v>27</v>
      </c>
      <c r="D237" s="84">
        <f>IF(C237&lt;=DefaultData!C$89,-IPMT(DefaultData!C$90,C237,DefaultData!C$89,DefaultData!C$65*DefaultData!C$88),0)</f>
        <v>568423.58829384029</v>
      </c>
      <c r="E237" s="84">
        <f>IF(C237&lt;=DefaultData!C$89,-PPMT(DefaultData!C$90,C237,DefaultData!C$89,DefaultData!C$88*DefaultData!C$65),0)</f>
        <v>420383.84686552262</v>
      </c>
      <c r="F237" s="84">
        <f t="shared" si="114"/>
        <v>988807.43515936285</v>
      </c>
      <c r="H237" s="348">
        <v>27</v>
      </c>
      <c r="I237" s="84">
        <f>IF(H237&lt;=DefaultData!C$97,-IPMT(DefaultData!C$96,H237,DefaultData!C$97,DefaultData!C$65*DefaultData!C$93*DefaultData!C$94),0)</f>
        <v>0</v>
      </c>
      <c r="J237" s="84">
        <f>IF(H237&lt;=DefaultData!C$97,-PPMT(DefaultData!C$96,H237,DefaultData!C$97,DefaultData!C$93*DefaultData!C$65*DefaultData!C$94),0)</f>
        <v>0</v>
      </c>
      <c r="K237" s="84">
        <f t="shared" si="115"/>
        <v>0</v>
      </c>
      <c r="L237" s="228"/>
      <c r="M237" s="348">
        <v>27</v>
      </c>
      <c r="N237" s="84">
        <f>IF(M237&lt;=DefaultData!C$97,-IPMT(DefaultData!C$96,M237,DefaultData!C$97,DefaultData!C$65*DefaultData!C$93),0)</f>
        <v>0</v>
      </c>
      <c r="O237" s="84">
        <f>IF(M237&lt;=DefaultData!C$97,-PPMT(DefaultData!C$96,M237,DefaultData!C$97,DefaultData!C$93*DefaultData!C$65*DefaultData!C$95),0)</f>
        <v>0</v>
      </c>
      <c r="P237" s="84">
        <f t="shared" si="116"/>
        <v>0</v>
      </c>
    </row>
    <row r="238" spans="3:16" x14ac:dyDescent="0.2">
      <c r="C238">
        <v>28</v>
      </c>
      <c r="D238" s="84">
        <f>IF(C238&lt;=DefaultData!C$89,-IPMT(DefaultData!C$90,C238,DefaultData!C$89,DefaultData!C$65*DefaultData!C$88),0)</f>
        <v>541939.40594131243</v>
      </c>
      <c r="E238" s="84">
        <f>IF(C238&lt;=DefaultData!C$89,-PPMT(DefaultData!C$90,C238,DefaultData!C$89,DefaultData!C$88*DefaultData!C$65),0)</f>
        <v>446868.02921805053</v>
      </c>
      <c r="F238" s="84">
        <f t="shared" si="114"/>
        <v>988807.43515936297</v>
      </c>
      <c r="H238" s="348">
        <v>28</v>
      </c>
      <c r="I238" s="84">
        <f>IF(H238&lt;=DefaultData!C$97,-IPMT(DefaultData!C$96,H238,DefaultData!C$97,DefaultData!C$65*DefaultData!C$93*DefaultData!C$94),0)</f>
        <v>0</v>
      </c>
      <c r="J238" s="84">
        <f>IF(H238&lt;=DefaultData!C$97,-PPMT(DefaultData!C$96,H238,DefaultData!C$97,DefaultData!C$93*DefaultData!C$65*DefaultData!C$94),0)</f>
        <v>0</v>
      </c>
      <c r="K238" s="84">
        <f t="shared" si="115"/>
        <v>0</v>
      </c>
      <c r="L238" s="228"/>
      <c r="M238" s="348">
        <v>28</v>
      </c>
      <c r="N238" s="84">
        <f>IF(M238&lt;=DefaultData!C$97,-IPMT(DefaultData!C$96,M238,DefaultData!C$97,DefaultData!C$65*DefaultData!C$93),0)</f>
        <v>0</v>
      </c>
      <c r="O238" s="84">
        <f>IF(M238&lt;=DefaultData!C$97,-PPMT(DefaultData!C$96,M238,DefaultData!C$97,DefaultData!C$93*DefaultData!C$65*DefaultData!C$95),0)</f>
        <v>0</v>
      </c>
      <c r="P238" s="84">
        <f t="shared" si="116"/>
        <v>0</v>
      </c>
    </row>
    <row r="239" spans="3:16" x14ac:dyDescent="0.2">
      <c r="C239">
        <v>29</v>
      </c>
      <c r="D239" s="84">
        <f>IF(C239&lt;=DefaultData!C$89,-IPMT(DefaultData!C$90,C239,DefaultData!C$89,DefaultData!C$65*DefaultData!C$88),0)</f>
        <v>513786.7201005753</v>
      </c>
      <c r="E239" s="84">
        <f>IF(C239&lt;=DefaultData!C$89,-PPMT(DefaultData!C$90,C239,DefaultData!C$89,DefaultData!C$88*DefaultData!C$65),0)</f>
        <v>475020.71505878773</v>
      </c>
      <c r="F239" s="84">
        <f t="shared" si="114"/>
        <v>988807.43515936309</v>
      </c>
      <c r="H239" s="348">
        <v>29</v>
      </c>
      <c r="I239" s="84">
        <f>IF(H239&lt;=DefaultData!C$97,-IPMT(DefaultData!C$96,H239,DefaultData!C$97,DefaultData!C$65*DefaultData!C$93*DefaultData!C$94),0)</f>
        <v>0</v>
      </c>
      <c r="J239" s="84">
        <f>IF(H239&lt;=DefaultData!C$97,-PPMT(DefaultData!C$96,H239,DefaultData!C$97,DefaultData!C$93*DefaultData!C$65*DefaultData!C$94),0)</f>
        <v>0</v>
      </c>
      <c r="K239" s="84">
        <f t="shared" si="115"/>
        <v>0</v>
      </c>
      <c r="L239" s="228"/>
      <c r="M239" s="348">
        <v>29</v>
      </c>
      <c r="N239" s="84">
        <f>IF(M239&lt;=DefaultData!C$97,-IPMT(DefaultData!C$96,M239,DefaultData!C$97,DefaultData!C$65*DefaultData!C$93),0)</f>
        <v>0</v>
      </c>
      <c r="O239" s="84">
        <f>IF(M239&lt;=DefaultData!C$97,-PPMT(DefaultData!C$96,M239,DefaultData!C$97,DefaultData!C$93*DefaultData!C$65*DefaultData!C$95),0)</f>
        <v>0</v>
      </c>
      <c r="P239" s="84">
        <f t="shared" si="116"/>
        <v>0</v>
      </c>
    </row>
    <row r="240" spans="3:16" x14ac:dyDescent="0.2">
      <c r="C240">
        <f>C239+1</f>
        <v>30</v>
      </c>
      <c r="D240" s="84">
        <f>IF(C240&lt;=DefaultData!C$89,-IPMT(DefaultData!C$90,C240,DefaultData!C$89,DefaultData!C$65*DefaultData!C$88),0)</f>
        <v>483860.41505187156</v>
      </c>
      <c r="E240" s="84">
        <f>IF(C240&lt;=DefaultData!C$89,-PPMT(DefaultData!C$90,C240,DefaultData!C$89,DefaultData!C$88*DefaultData!C$65),0)</f>
        <v>504947.02010749129</v>
      </c>
      <c r="F240" s="84">
        <f t="shared" si="114"/>
        <v>988807.43515936285</v>
      </c>
      <c r="H240">
        <f>H239+1</f>
        <v>30</v>
      </c>
      <c r="I240" s="84">
        <f>IF(H240&lt;=DefaultData!C$97,-IPMT(DefaultData!C$96,H240,DefaultData!C$97,DefaultData!C$65*DefaultData!C$93*DefaultData!C$94),0)</f>
        <v>0</v>
      </c>
      <c r="J240" s="84">
        <f>IF(H240&lt;=DefaultData!C$97,-PPMT(DefaultData!C$96,H240,DefaultData!C$97,DefaultData!C$93*DefaultData!C$65*DefaultData!C$94),0)</f>
        <v>0</v>
      </c>
      <c r="K240" s="84">
        <f t="shared" si="115"/>
        <v>0</v>
      </c>
      <c r="L240" s="228"/>
      <c r="M240">
        <f>M239+1</f>
        <v>30</v>
      </c>
      <c r="N240" s="84">
        <f>IF(M240&lt;=DefaultData!C$97,-IPMT(DefaultData!C$96,M240,DefaultData!C$97,DefaultData!C$65*DefaultData!C$93),0)</f>
        <v>0</v>
      </c>
      <c r="O240" s="84">
        <f>IF(M240&lt;=DefaultData!C$97,-PPMT(DefaultData!C$96,M240,DefaultData!C$97,DefaultData!C$93*DefaultData!C$65*DefaultData!C$95),0)</f>
        <v>0</v>
      </c>
      <c r="P240" s="84">
        <f t="shared" si="116"/>
        <v>0</v>
      </c>
    </row>
    <row r="241" spans="3:16" x14ac:dyDescent="0.2">
      <c r="C241">
        <f t="shared" ref="C241:C250" si="117">C240+1</f>
        <v>31</v>
      </c>
      <c r="D241" s="84">
        <f>IF(C241&lt;=DefaultData!C$89,-IPMT(DefaultData!C$90,C241,DefaultData!C$89,DefaultData!C$65*DefaultData!C$88),0)</f>
        <v>452048.75278509961</v>
      </c>
      <c r="E241" s="84">
        <f>IF(C241&lt;=DefaultData!C$89,-PPMT(DefaultData!C$90,C241,DefaultData!C$89,DefaultData!C$88*DefaultData!C$65),0)</f>
        <v>536758.68237426318</v>
      </c>
      <c r="F241" s="84">
        <f t="shared" si="114"/>
        <v>988807.43515936285</v>
      </c>
      <c r="H241">
        <f t="shared" ref="H241:H250" si="118">H240+1</f>
        <v>31</v>
      </c>
      <c r="I241" s="84">
        <f>IF(H241&lt;=DefaultData!C$97,-IPMT(DefaultData!C$96,H241,DefaultData!C$97,DefaultData!C$65*DefaultData!C$93*DefaultData!C$94),0)</f>
        <v>0</v>
      </c>
      <c r="J241" s="84">
        <f>IF(H241&lt;=DefaultData!C$97,-PPMT(DefaultData!C$96,H241,DefaultData!C$97,DefaultData!C$93*DefaultData!C$65*DefaultData!C$94),0)</f>
        <v>0</v>
      </c>
      <c r="K241" s="84">
        <f t="shared" si="115"/>
        <v>0</v>
      </c>
      <c r="L241" s="228"/>
      <c r="M241">
        <f t="shared" ref="M241:M250" si="119">M240+1</f>
        <v>31</v>
      </c>
      <c r="N241" s="84">
        <f>IF(M241&lt;=DefaultData!C$97,-IPMT(DefaultData!C$96,M241,DefaultData!C$97,DefaultData!C$65*DefaultData!C$93),0)</f>
        <v>0</v>
      </c>
      <c r="O241" s="84">
        <f>IF(M241&lt;=DefaultData!C$97,-PPMT(DefaultData!C$96,M241,DefaultData!C$97,DefaultData!C$93*DefaultData!C$65*DefaultData!C$95),0)</f>
        <v>0</v>
      </c>
      <c r="P241" s="84">
        <f t="shared" si="116"/>
        <v>0</v>
      </c>
    </row>
    <row r="242" spans="3:16" x14ac:dyDescent="0.2">
      <c r="C242">
        <f t="shared" si="117"/>
        <v>32</v>
      </c>
      <c r="D242" s="84">
        <f>IF(C242&lt;=DefaultData!C$89,-IPMT(DefaultData!C$90,C242,DefaultData!C$89,DefaultData!C$65*DefaultData!C$88),0)</f>
        <v>418232.95579552109</v>
      </c>
      <c r="E242" s="84">
        <f>IF(C242&lt;=DefaultData!C$89,-PPMT(DefaultData!C$90,C242,DefaultData!C$89,DefaultData!C$88*DefaultData!C$65),0)</f>
        <v>570574.47936384194</v>
      </c>
      <c r="F242" s="84">
        <f t="shared" si="114"/>
        <v>988807.43515936309</v>
      </c>
      <c r="H242">
        <f t="shared" si="118"/>
        <v>32</v>
      </c>
      <c r="I242" s="84">
        <f>IF(H242&lt;=DefaultData!C$97,-IPMT(DefaultData!C$96,H242,DefaultData!C$97,DefaultData!C$65*DefaultData!C$93*DefaultData!C$94),0)</f>
        <v>0</v>
      </c>
      <c r="J242" s="84">
        <f>IF(H242&lt;=DefaultData!C$97,-PPMT(DefaultData!C$96,H242,DefaultData!C$97,DefaultData!C$93*DefaultData!C$65*DefaultData!C$94),0)</f>
        <v>0</v>
      </c>
      <c r="K242" s="84">
        <f t="shared" si="115"/>
        <v>0</v>
      </c>
      <c r="L242" s="228"/>
      <c r="M242">
        <f t="shared" si="119"/>
        <v>32</v>
      </c>
      <c r="N242" s="84">
        <f>IF(M242&lt;=DefaultData!C$97,-IPMT(DefaultData!C$96,M242,DefaultData!C$97,DefaultData!C$65*DefaultData!C$93),0)</f>
        <v>0</v>
      </c>
      <c r="O242" s="84">
        <f>IF(M242&lt;=DefaultData!C$97,-PPMT(DefaultData!C$96,M242,DefaultData!C$97,DefaultData!C$93*DefaultData!C$65*DefaultData!C$95),0)</f>
        <v>0</v>
      </c>
      <c r="P242" s="84">
        <f t="shared" si="116"/>
        <v>0</v>
      </c>
    </row>
    <row r="243" spans="3:16" x14ac:dyDescent="0.2">
      <c r="C243">
        <f t="shared" si="117"/>
        <v>33</v>
      </c>
      <c r="D243" s="84">
        <f>IF(C243&lt;=DefaultData!C$89,-IPMT(DefaultData!C$90,C243,DefaultData!C$89,DefaultData!C$65*DefaultData!C$88),0)</f>
        <v>382286.76359559898</v>
      </c>
      <c r="E243" s="84">
        <f>IF(C243&lt;=DefaultData!C$89,-PPMT(DefaultData!C$90,C243,DefaultData!C$89,DefaultData!C$88*DefaultData!C$65),0)</f>
        <v>606520.67156376387</v>
      </c>
      <c r="F243" s="84">
        <f t="shared" si="114"/>
        <v>988807.43515936285</v>
      </c>
      <c r="H243">
        <f t="shared" si="118"/>
        <v>33</v>
      </c>
      <c r="I243" s="84">
        <f>IF(H243&lt;=DefaultData!C$97,-IPMT(DefaultData!C$96,H243,DefaultData!C$97,DefaultData!C$65*DefaultData!C$93*DefaultData!C$94),0)</f>
        <v>0</v>
      </c>
      <c r="J243" s="84">
        <f>IF(H243&lt;=DefaultData!C$97,-PPMT(DefaultData!C$96,H243,DefaultData!C$97,DefaultData!C$93*DefaultData!C$65*DefaultData!C$94),0)</f>
        <v>0</v>
      </c>
      <c r="K243" s="84">
        <f t="shared" si="115"/>
        <v>0</v>
      </c>
      <c r="L243" s="228"/>
      <c r="M243">
        <f t="shared" si="119"/>
        <v>33</v>
      </c>
      <c r="N243" s="84">
        <f>IF(M243&lt;=DefaultData!C$97,-IPMT(DefaultData!C$96,M243,DefaultData!C$97,DefaultData!C$65*DefaultData!C$93),0)</f>
        <v>0</v>
      </c>
      <c r="O243" s="84">
        <f>IF(M243&lt;=DefaultData!C$97,-PPMT(DefaultData!C$96,M243,DefaultData!C$97,DefaultData!C$93*DefaultData!C$65*DefaultData!C$95),0)</f>
        <v>0</v>
      </c>
      <c r="P243" s="84">
        <f t="shared" si="116"/>
        <v>0</v>
      </c>
    </row>
    <row r="244" spans="3:16" x14ac:dyDescent="0.2">
      <c r="C244">
        <f t="shared" si="117"/>
        <v>34</v>
      </c>
      <c r="D244" s="84">
        <f>IF(C244&lt;=DefaultData!C$89,-IPMT(DefaultData!C$90,C244,DefaultData!C$89,DefaultData!C$65*DefaultData!C$88),0)</f>
        <v>344075.96128708188</v>
      </c>
      <c r="E244" s="84">
        <f>IF(C244&lt;=DefaultData!C$89,-PPMT(DefaultData!C$90,C244,DefaultData!C$89,DefaultData!C$88*DefaultData!C$65),0)</f>
        <v>644731.47387228103</v>
      </c>
      <c r="F244" s="84">
        <f t="shared" si="114"/>
        <v>988807.43515936285</v>
      </c>
      <c r="H244">
        <f t="shared" si="118"/>
        <v>34</v>
      </c>
      <c r="I244" s="84">
        <f>IF(H244&lt;=DefaultData!C$97,-IPMT(DefaultData!C$96,H244,DefaultData!C$97,DefaultData!C$65*DefaultData!C$93*DefaultData!C$94),0)</f>
        <v>0</v>
      </c>
      <c r="J244" s="84">
        <f>IF(H244&lt;=DefaultData!C$97,-PPMT(DefaultData!C$96,H244,DefaultData!C$97,DefaultData!C$93*DefaultData!C$65*DefaultData!C$94),0)</f>
        <v>0</v>
      </c>
      <c r="K244" s="84">
        <f t="shared" si="115"/>
        <v>0</v>
      </c>
      <c r="L244" s="228"/>
      <c r="M244">
        <f t="shared" si="119"/>
        <v>34</v>
      </c>
      <c r="N244" s="84">
        <f>IF(M244&lt;=DefaultData!C$97,-IPMT(DefaultData!C$96,M244,DefaultData!C$97,DefaultData!C$65*DefaultData!C$93),0)</f>
        <v>0</v>
      </c>
      <c r="O244" s="84">
        <f>IF(M244&lt;=DefaultData!C$97,-PPMT(DefaultData!C$96,M244,DefaultData!C$97,DefaultData!C$93*DefaultData!C$65*DefaultData!C$95),0)</f>
        <v>0</v>
      </c>
      <c r="P244" s="84">
        <f t="shared" si="116"/>
        <v>0</v>
      </c>
    </row>
    <row r="245" spans="3:16" x14ac:dyDescent="0.2">
      <c r="C245">
        <f t="shared" si="117"/>
        <v>35</v>
      </c>
      <c r="D245" s="84">
        <f>IF(C245&lt;=DefaultData!C$89,-IPMT(DefaultData!C$90,C245,DefaultData!C$89,DefaultData!C$65*DefaultData!C$88),0)</f>
        <v>303457.87843312812</v>
      </c>
      <c r="E245" s="84">
        <f>IF(C245&lt;=DefaultData!C$89,-PPMT(DefaultData!C$90,C245,DefaultData!C$89,DefaultData!C$88*DefaultData!C$65),0)</f>
        <v>685349.55672623462</v>
      </c>
      <c r="F245" s="84">
        <f t="shared" si="114"/>
        <v>988807.43515936274</v>
      </c>
      <c r="H245">
        <f t="shared" si="118"/>
        <v>35</v>
      </c>
      <c r="I245" s="84">
        <f>IF(H245&lt;=DefaultData!C$97,-IPMT(DefaultData!C$96,H245,DefaultData!C$97,DefaultData!C$65*DefaultData!C$93*DefaultData!C$94),0)</f>
        <v>0</v>
      </c>
      <c r="J245" s="84">
        <f>IF(H245&lt;=DefaultData!C$97,-PPMT(DefaultData!C$96,H245,DefaultData!C$97,DefaultData!C$93*DefaultData!C$65*DefaultData!C$94),0)</f>
        <v>0</v>
      </c>
      <c r="K245" s="84">
        <f t="shared" si="115"/>
        <v>0</v>
      </c>
      <c r="L245" s="228"/>
      <c r="M245">
        <f t="shared" si="119"/>
        <v>35</v>
      </c>
      <c r="N245" s="84">
        <f>IF(M245&lt;=DefaultData!C$97,-IPMT(DefaultData!C$96,M245,DefaultData!C$97,DefaultData!C$65*DefaultData!C$93),0)</f>
        <v>0</v>
      </c>
      <c r="O245" s="84">
        <f>IF(M245&lt;=DefaultData!C$97,-PPMT(DefaultData!C$96,M245,DefaultData!C$97,DefaultData!C$93*DefaultData!C$65*DefaultData!C$95),0)</f>
        <v>0</v>
      </c>
      <c r="P245" s="84">
        <f t="shared" si="116"/>
        <v>0</v>
      </c>
    </row>
    <row r="246" spans="3:16" x14ac:dyDescent="0.2">
      <c r="C246">
        <f t="shared" si="117"/>
        <v>36</v>
      </c>
      <c r="D246" s="84">
        <f>IF(C246&lt;=DefaultData!C$89,-IPMT(DefaultData!C$90,C246,DefaultData!C$89,DefaultData!C$65*DefaultData!C$88),0)</f>
        <v>260280.85635937541</v>
      </c>
      <c r="E246" s="84">
        <f>IF(C246&lt;=DefaultData!C$89,-PPMT(DefaultData!C$90,C246,DefaultData!C$89,DefaultData!C$88*DefaultData!C$65),0)</f>
        <v>728526.57879998756</v>
      </c>
      <c r="F246" s="84">
        <f t="shared" si="114"/>
        <v>988807.43515936297</v>
      </c>
      <c r="H246">
        <f t="shared" si="118"/>
        <v>36</v>
      </c>
      <c r="I246" s="84">
        <f>IF(H246&lt;=DefaultData!C$97,-IPMT(DefaultData!C$96,H246,DefaultData!C$97,DefaultData!C$65*DefaultData!C$93*DefaultData!C$94),0)</f>
        <v>0</v>
      </c>
      <c r="J246" s="84">
        <f>IF(H246&lt;=DefaultData!C$97,-PPMT(DefaultData!C$96,H246,DefaultData!C$97,DefaultData!C$93*DefaultData!C$65*DefaultData!C$94),0)</f>
        <v>0</v>
      </c>
      <c r="K246" s="84">
        <f t="shared" si="115"/>
        <v>0</v>
      </c>
      <c r="L246" s="228"/>
      <c r="M246">
        <f t="shared" si="119"/>
        <v>36</v>
      </c>
      <c r="N246" s="84">
        <f>IF(M246&lt;=DefaultData!C$97,-IPMT(DefaultData!C$96,M246,DefaultData!C$97,DefaultData!C$65*DefaultData!C$93),0)</f>
        <v>0</v>
      </c>
      <c r="O246" s="84">
        <f>IF(M246&lt;=DefaultData!C$97,-PPMT(DefaultData!C$96,M246,DefaultData!C$97,DefaultData!C$93*DefaultData!C$65*DefaultData!C$95),0)</f>
        <v>0</v>
      </c>
      <c r="P246" s="84">
        <f t="shared" si="116"/>
        <v>0</v>
      </c>
    </row>
    <row r="247" spans="3:16" x14ac:dyDescent="0.2">
      <c r="C247">
        <f t="shared" si="117"/>
        <v>37</v>
      </c>
      <c r="D247" s="84">
        <f>IF(C247&lt;=DefaultData!C$89,-IPMT(DefaultData!C$90,C247,DefaultData!C$89,DefaultData!C$65*DefaultData!C$88),0)</f>
        <v>214383.68189497618</v>
      </c>
      <c r="E247" s="84">
        <f>IF(C247&lt;=DefaultData!C$89,-PPMT(DefaultData!C$90,C247,DefaultData!C$89,DefaultData!C$88*DefaultData!C$65),0)</f>
        <v>774423.75326438667</v>
      </c>
      <c r="F247" s="84">
        <f t="shared" si="114"/>
        <v>988807.43515936285</v>
      </c>
      <c r="H247">
        <f t="shared" si="118"/>
        <v>37</v>
      </c>
      <c r="I247" s="84">
        <f>IF(H247&lt;=DefaultData!C$97,-IPMT(DefaultData!C$96,H247,DefaultData!C$97,DefaultData!C$65*DefaultData!C$93*DefaultData!C$94),0)</f>
        <v>0</v>
      </c>
      <c r="J247" s="84">
        <f>IF(H247&lt;=DefaultData!C$97,-PPMT(DefaultData!C$96,H247,DefaultData!C$97,DefaultData!C$93*DefaultData!C$65*DefaultData!C$94),0)</f>
        <v>0</v>
      </c>
      <c r="K247" s="84">
        <f t="shared" si="115"/>
        <v>0</v>
      </c>
      <c r="L247" s="228"/>
      <c r="M247">
        <f t="shared" si="119"/>
        <v>37</v>
      </c>
      <c r="N247" s="84">
        <f>IF(M247&lt;=DefaultData!C$97,-IPMT(DefaultData!C$96,M247,DefaultData!C$97,DefaultData!C$65*DefaultData!C$93),0)</f>
        <v>0</v>
      </c>
      <c r="O247" s="84">
        <f>IF(M247&lt;=DefaultData!C$97,-PPMT(DefaultData!C$96,M247,DefaultData!C$97,DefaultData!C$93*DefaultData!C$65*DefaultData!C$95),0)</f>
        <v>0</v>
      </c>
      <c r="P247" s="84">
        <f t="shared" si="116"/>
        <v>0</v>
      </c>
    </row>
    <row r="248" spans="3:16" x14ac:dyDescent="0.2">
      <c r="C248">
        <f t="shared" si="117"/>
        <v>38</v>
      </c>
      <c r="D248" s="84">
        <f>IF(C248&lt;=DefaultData!C$89,-IPMT(DefaultData!C$90,C248,DefaultData!C$89,DefaultData!C$65*DefaultData!C$88),0)</f>
        <v>165594.98543931983</v>
      </c>
      <c r="E248" s="84">
        <f>IF(C248&lt;=DefaultData!C$89,-PPMT(DefaultData!C$90,C248,DefaultData!C$89,DefaultData!C$88*DefaultData!C$65),0)</f>
        <v>823212.44972004299</v>
      </c>
      <c r="F248" s="84">
        <f t="shared" si="114"/>
        <v>988807.43515936285</v>
      </c>
      <c r="H248">
        <f t="shared" si="118"/>
        <v>38</v>
      </c>
      <c r="I248" s="84">
        <f>IF(H248&lt;=DefaultData!C$97,-IPMT(DefaultData!C$96,H248,DefaultData!C$97,DefaultData!C$65*DefaultData!C$93*DefaultData!C$94),0)</f>
        <v>0</v>
      </c>
      <c r="J248" s="84">
        <f>IF(H248&lt;=DefaultData!C$97,-PPMT(DefaultData!C$96,H248,DefaultData!C$97,DefaultData!C$93*DefaultData!C$65*DefaultData!C$94),0)</f>
        <v>0</v>
      </c>
      <c r="K248" s="84">
        <f t="shared" si="115"/>
        <v>0</v>
      </c>
      <c r="L248" s="228"/>
      <c r="M248">
        <f t="shared" si="119"/>
        <v>38</v>
      </c>
      <c r="N248" s="84">
        <f>IF(M248&lt;=DefaultData!C$97,-IPMT(DefaultData!C$96,M248,DefaultData!C$97,DefaultData!C$65*DefaultData!C$93),0)</f>
        <v>0</v>
      </c>
      <c r="O248" s="84">
        <f>IF(M248&lt;=DefaultData!C$97,-PPMT(DefaultData!C$96,M248,DefaultData!C$97,DefaultData!C$93*DefaultData!C$65*DefaultData!C$95),0)</f>
        <v>0</v>
      </c>
      <c r="P248" s="84">
        <f t="shared" si="116"/>
        <v>0</v>
      </c>
    </row>
    <row r="249" spans="3:16" x14ac:dyDescent="0.2">
      <c r="C249">
        <f t="shared" si="117"/>
        <v>39</v>
      </c>
      <c r="D249" s="84">
        <f>IF(C249&lt;=DefaultData!C$89,-IPMT(DefaultData!C$90,C249,DefaultData!C$89,DefaultData!C$65*DefaultData!C$88),0)</f>
        <v>113732.60110695711</v>
      </c>
      <c r="E249" s="84">
        <f>IF(C249&lt;=DefaultData!C$89,-PPMT(DefaultData!C$90,C249,DefaultData!C$89,DefaultData!C$88*DefaultData!C$65),0)</f>
        <v>875074.83405240579</v>
      </c>
      <c r="F249" s="84">
        <f t="shared" si="114"/>
        <v>988807.43515936285</v>
      </c>
      <c r="H249">
        <f t="shared" si="118"/>
        <v>39</v>
      </c>
      <c r="I249" s="84">
        <f>IF(H249&lt;=DefaultData!C$97,-IPMT(DefaultData!C$96,H249,DefaultData!C$97,DefaultData!C$65*DefaultData!C$93*DefaultData!C$94),0)</f>
        <v>0</v>
      </c>
      <c r="J249" s="84">
        <f>IF(H249&lt;=DefaultData!C$97,-PPMT(DefaultData!C$96,H249,DefaultData!C$97,DefaultData!C$93*DefaultData!C$65*DefaultData!C$94),0)</f>
        <v>0</v>
      </c>
      <c r="K249" s="84">
        <f t="shared" si="115"/>
        <v>0</v>
      </c>
      <c r="L249" s="228"/>
      <c r="M249">
        <f t="shared" si="119"/>
        <v>39</v>
      </c>
      <c r="N249" s="84">
        <f>IF(M249&lt;=DefaultData!C$97,-IPMT(DefaultData!C$96,M249,DefaultData!C$97,DefaultData!C$65*DefaultData!C$93),0)</f>
        <v>0</v>
      </c>
      <c r="O249" s="84">
        <f>IF(M249&lt;=DefaultData!C$97,-PPMT(DefaultData!C$96,M249,DefaultData!C$97,DefaultData!C$93*DefaultData!C$65*DefaultData!C$95),0)</f>
        <v>0</v>
      </c>
      <c r="P249" s="84">
        <f t="shared" si="116"/>
        <v>0</v>
      </c>
    </row>
    <row r="250" spans="3:16" x14ac:dyDescent="0.2">
      <c r="C250">
        <f t="shared" si="117"/>
        <v>40</v>
      </c>
      <c r="D250" s="84">
        <f>IF(C250&lt;=DefaultData!C$89,-IPMT(DefaultData!C$90,C250,DefaultData!C$89,DefaultData!C$65*DefaultData!C$88),0)</f>
        <v>58602.886561655563</v>
      </c>
      <c r="E250" s="84">
        <f>IF(C250&lt;=DefaultData!C$89,-PPMT(DefaultData!C$90,C250,DefaultData!C$89,DefaultData!C$88*DefaultData!C$65),0)</f>
        <v>930204.5485977073</v>
      </c>
      <c r="F250" s="84">
        <f t="shared" si="114"/>
        <v>988807.43515936285</v>
      </c>
      <c r="H250">
        <f t="shared" si="118"/>
        <v>40</v>
      </c>
      <c r="I250" s="84">
        <f>IF(H250&lt;=DefaultData!C$97,-IPMT(DefaultData!C$96,H250,DefaultData!C$97,DefaultData!C$65*DefaultData!C$93*DefaultData!C$94),0)</f>
        <v>0</v>
      </c>
      <c r="J250" s="84">
        <f>IF(H250&lt;=DefaultData!C$97,-PPMT(DefaultData!C$96,H250,DefaultData!C$97,DefaultData!C$93*DefaultData!C$65*DefaultData!C$94),0)</f>
        <v>0</v>
      </c>
      <c r="K250" s="84">
        <f t="shared" si="115"/>
        <v>0</v>
      </c>
      <c r="L250" s="228"/>
      <c r="M250">
        <f t="shared" si="119"/>
        <v>40</v>
      </c>
      <c r="N250" s="84">
        <f>IF(M250&lt;=DefaultData!C$97,-IPMT(DefaultData!C$96,M250,DefaultData!C$97,DefaultData!C$65*DefaultData!C$93),0)</f>
        <v>0</v>
      </c>
      <c r="O250" s="84">
        <f>IF(M250&lt;=DefaultData!C$97,-PPMT(DefaultData!C$96,M250,DefaultData!C$97,DefaultData!C$93*DefaultData!C$65*DefaultData!C$95),0)</f>
        <v>0</v>
      </c>
      <c r="P250" s="84">
        <f>O250+N250</f>
        <v>0</v>
      </c>
    </row>
    <row r="251" spans="3:16" x14ac:dyDescent="0.2">
      <c r="C251" t="s">
        <v>4</v>
      </c>
      <c r="D251" s="84">
        <f>SUM(D211:D250)</f>
        <v>25219767.865498114</v>
      </c>
      <c r="E251" s="84">
        <f>SUM(E211:E250)</f>
        <v>14332529.540876389</v>
      </c>
      <c r="F251" s="84">
        <f t="shared" si="114"/>
        <v>39552297.406374499</v>
      </c>
      <c r="H251" s="348" t="s">
        <v>4</v>
      </c>
      <c r="I251" s="84">
        <f>SUM(I211:I250)</f>
        <v>0</v>
      </c>
      <c r="J251" s="84">
        <f>SUM(J211:J250)</f>
        <v>0</v>
      </c>
      <c r="K251" s="84">
        <f>J251+I251</f>
        <v>0</v>
      </c>
      <c r="L251" s="228"/>
      <c r="M251" s="348" t="s">
        <v>4</v>
      </c>
      <c r="N251" s="84">
        <f>SUM(N211:N250)</f>
        <v>11281779.781481538</v>
      </c>
      <c r="O251" s="84">
        <f>SUM(O211:O250)</f>
        <v>15526907.002616089</v>
      </c>
      <c r="P251" s="84">
        <f>O251+N251</f>
        <v>26808686.784097627</v>
      </c>
    </row>
    <row r="252" spans="3:16" x14ac:dyDescent="0.2">
      <c r="C252" t="s">
        <v>119</v>
      </c>
      <c r="D252" s="84">
        <f>D251/DefaultData!$C89</f>
        <v>630494.19663745281</v>
      </c>
      <c r="E252" s="84">
        <f>E251/DefaultData!$C89</f>
        <v>358313.23852190969</v>
      </c>
      <c r="F252" s="84">
        <f t="shared" si="114"/>
        <v>988807.4351593625</v>
      </c>
      <c r="H252" s="348" t="s">
        <v>119</v>
      </c>
      <c r="I252" s="84">
        <f>I251/DefaultData!$C97</f>
        <v>0</v>
      </c>
      <c r="J252" s="84">
        <f>J251/DefaultData!$C97</f>
        <v>0</v>
      </c>
      <c r="K252" s="84">
        <f>J252+I252</f>
        <v>0</v>
      </c>
      <c r="L252" s="228"/>
      <c r="M252" s="348" t="s">
        <v>119</v>
      </c>
      <c r="N252" s="84">
        <f>N251/DefaultData!$C97</f>
        <v>1128177.9781481538</v>
      </c>
      <c r="O252" s="84">
        <f>O251/DefaultData!$C97</f>
        <v>1552690.7002616089</v>
      </c>
      <c r="P252" s="84">
        <f>O252+N252</f>
        <v>2680868.6784097627</v>
      </c>
    </row>
    <row r="253" spans="3:16" x14ac:dyDescent="0.2">
      <c r="H253" s="348"/>
      <c r="K253" s="228"/>
      <c r="L253" s="228"/>
      <c r="M253" s="348"/>
      <c r="N253" s="228"/>
      <c r="O253" s="228"/>
      <c r="P253" s="228"/>
    </row>
    <row r="254" spans="3:16" x14ac:dyDescent="0.2">
      <c r="C254" s="30" t="s">
        <v>122</v>
      </c>
      <c r="H254" s="360" t="s">
        <v>328</v>
      </c>
      <c r="K254" s="228"/>
      <c r="L254" s="228"/>
      <c r="M254" s="360" t="s">
        <v>328</v>
      </c>
      <c r="N254" s="228"/>
      <c r="O254" s="228"/>
      <c r="P254" s="228"/>
    </row>
    <row r="255" spans="3:16" x14ac:dyDescent="0.2">
      <c r="C255" t="s">
        <v>114</v>
      </c>
      <c r="H255" s="360" t="s">
        <v>326</v>
      </c>
      <c r="K255" s="228"/>
      <c r="L255" s="228"/>
      <c r="M255" s="360" t="s">
        <v>327</v>
      </c>
      <c r="N255" s="228"/>
      <c r="O255" s="228"/>
      <c r="P255" s="228"/>
    </row>
    <row r="256" spans="3:16" x14ac:dyDescent="0.2">
      <c r="D256" t="s">
        <v>111</v>
      </c>
      <c r="E256" t="s">
        <v>112</v>
      </c>
      <c r="F256" t="s">
        <v>113</v>
      </c>
      <c r="H256" s="348"/>
      <c r="I256" t="s">
        <v>111</v>
      </c>
      <c r="J256" t="s">
        <v>112</v>
      </c>
      <c r="K256" s="228" t="s">
        <v>113</v>
      </c>
      <c r="L256" s="228"/>
      <c r="M256" s="348"/>
      <c r="N256" s="228" t="s">
        <v>111</v>
      </c>
      <c r="O256" s="228" t="s">
        <v>112</v>
      </c>
      <c r="P256" s="228" t="s">
        <v>113</v>
      </c>
    </row>
    <row r="257" spans="3:16" x14ac:dyDescent="0.2">
      <c r="C257">
        <v>1</v>
      </c>
      <c r="D257" s="84">
        <f>IF(C257&lt;=ProjectData!B$131,-IPMT(ProjectData!B$132,C257,ProjectData!B$131,ProjectData!B$130*ProjectData!B$107),0)</f>
        <v>902949.36107521248</v>
      </c>
      <c r="E257" s="84">
        <f>IF(C257&lt;=ProjectData!B$131,-PPMT(ProjectData!B$132,C257,ProjectData!B$131,ProjectData!B$107*ProjectData!B$130),0)</f>
        <v>85858.074084150416</v>
      </c>
      <c r="F257" s="84">
        <f t="shared" ref="F257:F298" si="120">E257+D257</f>
        <v>988807.43515936285</v>
      </c>
      <c r="H257" s="348">
        <v>1</v>
      </c>
      <c r="I257" s="84">
        <f>IF(H257&lt;=ProjectData!$B$138,-IPMT(ProjectData!$B$137,H257,ProjectData!$B$138,ProjectData!$B$134*ProjectData!$B$107*ProjectData!$B$135),0)</f>
        <v>0</v>
      </c>
      <c r="J257" s="84">
        <f>IF(H257&lt;=ProjectData!$B$138,-PPMT(ProjectData!$B$137,H257,ProjectData!$B$138,ProjectData!$B$134*ProjectData!$B$107*ProjectData!$B$135),0)</f>
        <v>0</v>
      </c>
      <c r="K257" s="84">
        <f>J257+I257</f>
        <v>0</v>
      </c>
      <c r="L257" s="228"/>
      <c r="M257" s="348">
        <v>1</v>
      </c>
      <c r="N257" s="84">
        <f>IF(M257&lt;=ProjectData!$B$138,-IPMT(ProjectData!$B$137,M257,ProjectData!$B$138,ProjectData!$B$134*ProjectData!$B$107*ProjectData!$B$136),0)</f>
        <v>1770067.3982982342</v>
      </c>
      <c r="O257" s="84">
        <f>IF(M257&lt;=ProjectData!$B$138,-PPMT(ProjectData!$B$137,M257,ProjectData!$B$138,ProjectData!$B$134*ProjectData!$B$107*ProjectData!$B$136),0)</f>
        <v>910801.28011152847</v>
      </c>
      <c r="P257" s="84">
        <f>O257+N257</f>
        <v>2680868.6784097627</v>
      </c>
    </row>
    <row r="258" spans="3:16" x14ac:dyDescent="0.2">
      <c r="C258">
        <v>2</v>
      </c>
      <c r="D258" s="84">
        <f>IF(C258&lt;=ProjectData!B$131,-IPMT(ProjectData!B$132,C258,ProjectData!B$131,ProjectData!B$130*ProjectData!B$107),0)</f>
        <v>897540.30240791105</v>
      </c>
      <c r="E258" s="84">
        <f>IF(C258&lt;=ProjectData!B$131,-PPMT(ProjectData!B$132,C258,ProjectData!B$131,ProjectData!B$107*ProjectData!B$130),0)</f>
        <v>91267.132751451907</v>
      </c>
      <c r="F258" s="84">
        <f t="shared" si="120"/>
        <v>988807.43515936297</v>
      </c>
      <c r="H258" s="348">
        <v>2</v>
      </c>
      <c r="I258" s="84">
        <f>IF(H258&lt;=ProjectData!$B$138,-IPMT(ProjectData!$B$137,H258,ProjectData!$B$138,ProjectData!$B$134*ProjectData!$B$107*ProjectData!$B$135),0)</f>
        <v>0</v>
      </c>
      <c r="J258" s="84">
        <f>IF(H258&lt;=ProjectData!$B$138,-PPMT(ProjectData!$B$137,H258,ProjectData!$B$138,ProjectData!$B$134*ProjectData!$B$107*ProjectData!$B$135),0)</f>
        <v>0</v>
      </c>
      <c r="K258" s="84">
        <f t="shared" ref="K258:K296" si="121">J258+I258</f>
        <v>0</v>
      </c>
      <c r="L258" s="228"/>
      <c r="M258" s="348">
        <v>2</v>
      </c>
      <c r="N258" s="84">
        <f>IF(M258&lt;=ProjectData!$B$138,-IPMT(ProjectData!$B$137,M258,ProjectData!$B$138,ProjectData!$B$134*ProjectData!$B$107*ProjectData!$B$136),0)</f>
        <v>1666236.0523655198</v>
      </c>
      <c r="O258" s="84">
        <f>IF(M258&lt;=ProjectData!$B$138,-PPMT(ProjectData!$B$137,M258,ProjectData!$B$138,ProjectData!$B$134*ProjectData!$B$107*ProjectData!$B$136),0)</f>
        <v>1014632.6260442429</v>
      </c>
      <c r="P258" s="84">
        <f t="shared" ref="P258:P296" si="122">O258+N258</f>
        <v>2680868.6784097627</v>
      </c>
    </row>
    <row r="259" spans="3:16" x14ac:dyDescent="0.2">
      <c r="C259">
        <v>3</v>
      </c>
      <c r="D259" s="84">
        <f>IF(C259&lt;=ProjectData!B$131,-IPMT(ProjectData!B$132,C259,ProjectData!B$131,ProjectData!B$130*ProjectData!B$107),0)</f>
        <v>891790.4730445696</v>
      </c>
      <c r="E259" s="84">
        <f>IF(C259&lt;=ProjectData!B$131,-PPMT(ProjectData!B$132,C259,ProjectData!B$131,ProjectData!B$107*ProjectData!B$130),0)</f>
        <v>97016.962114793379</v>
      </c>
      <c r="F259" s="84">
        <f t="shared" si="120"/>
        <v>988807.43515936297</v>
      </c>
      <c r="H259" s="348">
        <v>3</v>
      </c>
      <c r="I259" s="84">
        <f>IF(H259&lt;=ProjectData!$B$138,-IPMT(ProjectData!$B$137,H259,ProjectData!$B$138,ProjectData!$B$134*ProjectData!$B$107*ProjectData!$B$135),0)</f>
        <v>0</v>
      </c>
      <c r="J259" s="84">
        <f>IF(H259&lt;=ProjectData!$B$138,-PPMT(ProjectData!$B$137,H259,ProjectData!$B$138,ProjectData!$B$134*ProjectData!$B$107*ProjectData!$B$135),0)</f>
        <v>0</v>
      </c>
      <c r="K259" s="84">
        <f t="shared" si="121"/>
        <v>0</v>
      </c>
      <c r="L259" s="228"/>
      <c r="M259" s="348">
        <v>3</v>
      </c>
      <c r="N259" s="84">
        <f>IF(M259&lt;=ProjectData!$B$138,-IPMT(ProjectData!$B$137,M259,ProjectData!$B$138,ProjectData!$B$134*ProjectData!$B$107*ProjectData!$B$136),0)</f>
        <v>1550567.9329964758</v>
      </c>
      <c r="O259" s="84">
        <f>IF(M259&lt;=ProjectData!$B$138,-PPMT(ProjectData!$B$137,M259,ProjectData!$B$138,ProjectData!$B$134*ProjectData!$B$107*ProjectData!$B$136),0)</f>
        <v>1130300.7454132864</v>
      </c>
      <c r="P259" s="84">
        <f t="shared" si="122"/>
        <v>2680868.6784097622</v>
      </c>
    </row>
    <row r="260" spans="3:16" x14ac:dyDescent="0.2">
      <c r="C260">
        <v>4</v>
      </c>
      <c r="D260" s="84">
        <f>IF(C260&lt;=ProjectData!B$131,-IPMT(ProjectData!B$132,C260,ProjectData!B$131,ProjectData!B$130*ProjectData!B$107),0)</f>
        <v>885678.40443133749</v>
      </c>
      <c r="E260" s="84">
        <f>IF(C260&lt;=ProjectData!B$131,-PPMT(ProjectData!B$132,C260,ProjectData!B$131,ProjectData!B$107*ProjectData!B$130),0)</f>
        <v>103129.03072802538</v>
      </c>
      <c r="F260" s="84">
        <f t="shared" si="120"/>
        <v>988807.43515936285</v>
      </c>
      <c r="H260" s="348">
        <v>4</v>
      </c>
      <c r="I260" s="84">
        <f>IF(H260&lt;=ProjectData!$B$138,-IPMT(ProjectData!$B$137,H260,ProjectData!$B$138,ProjectData!$B$134*ProjectData!$B$107*ProjectData!$B$135),0)</f>
        <v>0</v>
      </c>
      <c r="J260" s="84">
        <f>IF(H260&lt;=ProjectData!$B$138,-PPMT(ProjectData!$B$137,H260,ProjectData!$B$138,ProjectData!$B$134*ProjectData!$B$107*ProjectData!$B$135),0)</f>
        <v>0</v>
      </c>
      <c r="K260" s="84">
        <f t="shared" si="121"/>
        <v>0</v>
      </c>
      <c r="L260" s="228"/>
      <c r="M260" s="348">
        <v>4</v>
      </c>
      <c r="N260" s="84">
        <f>IF(M260&lt;=ProjectData!$B$138,-IPMT(ProjectData!$B$137,M260,ProjectData!$B$138,ProjectData!$B$134*ProjectData!$B$107*ProjectData!$B$136),0)</f>
        <v>1421713.6480193615</v>
      </c>
      <c r="O260" s="84">
        <f>IF(M260&lt;=ProjectData!$B$138,-PPMT(ProjectData!$B$137,M260,ProjectData!$B$138,ProjectData!$B$134*ProjectData!$B$107*ProjectData!$B$136),0)</f>
        <v>1259155.0303904011</v>
      </c>
      <c r="P260" s="84">
        <f t="shared" si="122"/>
        <v>2680868.6784097627</v>
      </c>
    </row>
    <row r="261" spans="3:16" x14ac:dyDescent="0.2">
      <c r="C261">
        <v>5</v>
      </c>
      <c r="D261" s="84">
        <f>IF(C261&lt;=ProjectData!B$131,-IPMT(ProjectData!B$132,C261,ProjectData!B$131,ProjectData!B$130*ProjectData!B$107),0)</f>
        <v>879181.27549547201</v>
      </c>
      <c r="E261" s="84">
        <f>IF(C261&lt;=ProjectData!B$131,-PPMT(ProjectData!B$132,C261,ProjectData!B$131,ProjectData!B$107*ProjectData!B$130),0)</f>
        <v>109626.15966389098</v>
      </c>
      <c r="F261" s="84">
        <f t="shared" si="120"/>
        <v>988807.43515936297</v>
      </c>
      <c r="H261" s="348">
        <v>5</v>
      </c>
      <c r="I261" s="84">
        <f>IF(H261&lt;=ProjectData!$B$138,-IPMT(ProjectData!$B$137,H261,ProjectData!$B$138,ProjectData!$B$134*ProjectData!$B$107*ProjectData!$B$135),0)</f>
        <v>0</v>
      </c>
      <c r="J261" s="84">
        <f>IF(H261&lt;=ProjectData!$B$138,-PPMT(ProjectData!$B$137,H261,ProjectData!$B$138,ProjectData!$B$134*ProjectData!$B$107*ProjectData!$B$135),0)</f>
        <v>0</v>
      </c>
      <c r="K261" s="84">
        <f t="shared" si="121"/>
        <v>0</v>
      </c>
      <c r="L261" s="228"/>
      <c r="M261" s="348">
        <v>5</v>
      </c>
      <c r="N261" s="84">
        <f>IF(M261&lt;=ProjectData!$B$138,-IPMT(ProjectData!$B$137,M261,ProjectData!$B$138,ProjectData!$B$134*ProjectData!$B$107*ProjectData!$B$136),0)</f>
        <v>1278169.9745548556</v>
      </c>
      <c r="O261" s="84">
        <f>IF(M261&lt;=ProjectData!$B$138,-PPMT(ProjectData!$B$137,M261,ProjectData!$B$138,ProjectData!$B$134*ProjectData!$B$107*ProjectData!$B$136),0)</f>
        <v>1402698.7038549068</v>
      </c>
      <c r="P261" s="84">
        <f t="shared" si="122"/>
        <v>2680868.6784097627</v>
      </c>
    </row>
    <row r="262" spans="3:16" x14ac:dyDescent="0.2">
      <c r="C262">
        <v>6</v>
      </c>
      <c r="D262" s="84">
        <f>IF(C262&lt;=ProjectData!B$131,-IPMT(ProjectData!B$132,C262,ProjectData!B$131,ProjectData!B$130*ProjectData!B$107),0)</f>
        <v>872274.8274366468</v>
      </c>
      <c r="E262" s="84">
        <f>IF(C262&lt;=ProjectData!B$131,-PPMT(ProjectData!B$132,C262,ProjectData!B$131,ProjectData!B$107*ProjectData!B$130),0)</f>
        <v>116532.60772271607</v>
      </c>
      <c r="F262" s="84">
        <f t="shared" si="120"/>
        <v>988807.43515936285</v>
      </c>
      <c r="H262" s="348">
        <v>6</v>
      </c>
      <c r="I262" s="84">
        <f>IF(H262&lt;=ProjectData!$B$138,-IPMT(ProjectData!$B$137,H262,ProjectData!$B$138,ProjectData!$B$134*ProjectData!$B$107*ProjectData!$B$135),0)</f>
        <v>0</v>
      </c>
      <c r="J262" s="84">
        <f>IF(H262&lt;=ProjectData!$B$138,-PPMT(ProjectData!$B$137,H262,ProjectData!$B$138,ProjectData!$B$134*ProjectData!$B$107*ProjectData!$B$135),0)</f>
        <v>0</v>
      </c>
      <c r="K262" s="84">
        <f t="shared" si="121"/>
        <v>0</v>
      </c>
      <c r="L262" s="228"/>
      <c r="M262" s="348">
        <v>6</v>
      </c>
      <c r="N262" s="84">
        <f>IF(M262&lt;=ProjectData!$B$138,-IPMT(ProjectData!$B$137,M262,ProjectData!$B$138,ProjectData!$B$134*ProjectData!$B$107*ProjectData!$B$136),0)</f>
        <v>1118262.3223153963</v>
      </c>
      <c r="O262" s="84">
        <f>IF(M262&lt;=ProjectData!$B$138,-PPMT(ProjectData!$B$137,M262,ProjectData!$B$138,ProjectData!$B$134*ProjectData!$B$107*ProjectData!$B$136),0)</f>
        <v>1562606.3560943664</v>
      </c>
      <c r="P262" s="84">
        <f t="shared" si="122"/>
        <v>2680868.6784097627</v>
      </c>
    </row>
    <row r="263" spans="3:16" x14ac:dyDescent="0.2">
      <c r="C263">
        <v>7</v>
      </c>
      <c r="D263" s="84">
        <f>IF(C263&lt;=ProjectData!B$131,-IPMT(ProjectData!B$132,C263,ProjectData!B$131,ProjectData!B$130*ProjectData!B$107),0)</f>
        <v>864933.27315011574</v>
      </c>
      <c r="E263" s="84">
        <f>IF(C263&lt;=ProjectData!B$131,-PPMT(ProjectData!B$132,C263,ProjectData!B$131,ProjectData!B$107*ProjectData!B$130),0)</f>
        <v>123874.16200924719</v>
      </c>
      <c r="F263" s="84">
        <f t="shared" si="120"/>
        <v>988807.43515936297</v>
      </c>
      <c r="H263" s="348">
        <v>7</v>
      </c>
      <c r="I263" s="84">
        <f>IF(H263&lt;=ProjectData!$B$138,-IPMT(ProjectData!$B$137,H263,ProjectData!$B$138,ProjectData!$B$134*ProjectData!$B$107*ProjectData!$B$135),0)</f>
        <v>0</v>
      </c>
      <c r="J263" s="84">
        <f>IF(H263&lt;=ProjectData!$B$138,-PPMT(ProjectData!$B$137,H263,ProjectData!$B$138,ProjectData!$B$134*ProjectData!$B$107*ProjectData!$B$135),0)</f>
        <v>0</v>
      </c>
      <c r="K263" s="84">
        <f t="shared" si="121"/>
        <v>0</v>
      </c>
      <c r="L263" s="228"/>
      <c r="M263" s="348">
        <v>7</v>
      </c>
      <c r="N263" s="84">
        <f>IF(M263&lt;=ProjectData!$B$138,-IPMT(ProjectData!$B$137,M263,ProjectData!$B$138,ProjectData!$B$134*ProjectData!$B$107*ProjectData!$B$136),0)</f>
        <v>940125.19772063859</v>
      </c>
      <c r="O263" s="84">
        <f>IF(M263&lt;=ProjectData!$B$138,-PPMT(ProjectData!$B$137,M263,ProjectData!$B$138,ProjectData!$B$134*ProjectData!$B$107*ProjectData!$B$136),0)</f>
        <v>1740743.4806891242</v>
      </c>
      <c r="P263" s="84">
        <f t="shared" si="122"/>
        <v>2680868.6784097627</v>
      </c>
    </row>
    <row r="264" spans="3:16" x14ac:dyDescent="0.2">
      <c r="C264">
        <v>8</v>
      </c>
      <c r="D264" s="84">
        <f>IF(C264&lt;=ProjectData!B$131,-IPMT(ProjectData!B$132,C264,ProjectData!B$131,ProjectData!B$130*ProjectData!B$107),0)</f>
        <v>857129.2009435331</v>
      </c>
      <c r="E264" s="84">
        <f>IF(C264&lt;=ProjectData!B$131,-PPMT(ProjectData!B$132,C264,ProjectData!B$131,ProjectData!B$107*ProjectData!B$130),0)</f>
        <v>131678.23421582978</v>
      </c>
      <c r="F264" s="84">
        <f t="shared" si="120"/>
        <v>988807.43515936285</v>
      </c>
      <c r="H264" s="348">
        <v>8</v>
      </c>
      <c r="I264" s="84">
        <f>IF(H264&lt;=ProjectData!$B$138,-IPMT(ProjectData!$B$137,H264,ProjectData!$B$138,ProjectData!$B$134*ProjectData!$B$107*ProjectData!$B$135),0)</f>
        <v>0</v>
      </c>
      <c r="J264" s="84">
        <f>IF(H264&lt;=ProjectData!$B$138,-PPMT(ProjectData!$B$137,H264,ProjectData!$B$138,ProjectData!$B$134*ProjectData!$B$107*ProjectData!$B$135),0)</f>
        <v>0</v>
      </c>
      <c r="K264" s="84">
        <f t="shared" si="121"/>
        <v>0</v>
      </c>
      <c r="L264" s="228"/>
      <c r="M264" s="348">
        <v>8</v>
      </c>
      <c r="N264" s="84">
        <f>IF(M264&lt;=ProjectData!$B$138,-IPMT(ProjectData!$B$137,M264,ProjectData!$B$138,ProjectData!$B$134*ProjectData!$B$107*ProjectData!$B$136),0)</f>
        <v>741680.44092207844</v>
      </c>
      <c r="O264" s="84">
        <f>IF(M264&lt;=ProjectData!$B$138,-PPMT(ProjectData!$B$137,M264,ProjectData!$B$138,ProjectData!$B$134*ProjectData!$B$107*ProjectData!$B$136),0)</f>
        <v>1939188.2374876842</v>
      </c>
      <c r="P264" s="84">
        <f t="shared" si="122"/>
        <v>2680868.6784097627</v>
      </c>
    </row>
    <row r="265" spans="3:16" x14ac:dyDescent="0.2">
      <c r="C265">
        <v>9</v>
      </c>
      <c r="D265" s="84">
        <f>IF(C265&lt;=ProjectData!B$131,-IPMT(ProjectData!B$132,C265,ProjectData!B$131,ProjectData!B$130*ProjectData!B$107),0)</f>
        <v>848833.47218793584</v>
      </c>
      <c r="E265" s="84">
        <f>IF(C265&lt;=ProjectData!B$131,-PPMT(ProjectData!B$132,C265,ProjectData!B$131,ProjectData!B$107*ProjectData!B$130),0)</f>
        <v>139973.96297142704</v>
      </c>
      <c r="F265" s="84">
        <f t="shared" si="120"/>
        <v>988807.43515936285</v>
      </c>
      <c r="H265" s="348">
        <v>9</v>
      </c>
      <c r="I265" s="84">
        <f>IF(H265&lt;=ProjectData!$B$138,-IPMT(ProjectData!$B$137,H265,ProjectData!$B$138,ProjectData!$B$134*ProjectData!$B$107*ProjectData!$B$135),0)</f>
        <v>0</v>
      </c>
      <c r="J265" s="84">
        <f>IF(H265&lt;=ProjectData!$B$138,-PPMT(ProjectData!$B$137,H265,ProjectData!$B$138,ProjectData!$B$134*ProjectData!$B$107*ProjectData!$B$135),0)</f>
        <v>0</v>
      </c>
      <c r="K265" s="84">
        <f t="shared" si="121"/>
        <v>0</v>
      </c>
      <c r="L265" s="228"/>
      <c r="M265" s="348">
        <v>9</v>
      </c>
      <c r="N265" s="84">
        <f>IF(M265&lt;=ProjectData!$B$138,-IPMT(ProjectData!$B$137,M265,ProjectData!$B$138,ProjectData!$B$134*ProjectData!$B$107*ProjectData!$B$136),0)</f>
        <v>520612.98184848239</v>
      </c>
      <c r="O265" s="84">
        <f>IF(M265&lt;=ProjectData!$B$138,-PPMT(ProjectData!$B$137,M265,ProjectData!$B$138,ProjectData!$B$134*ProjectData!$B$107*ProjectData!$B$136),0)</f>
        <v>2160255.6965612802</v>
      </c>
      <c r="P265" s="84">
        <f t="shared" si="122"/>
        <v>2680868.6784097627</v>
      </c>
    </row>
    <row r="266" spans="3:16" x14ac:dyDescent="0.2">
      <c r="C266">
        <v>10</v>
      </c>
      <c r="D266" s="84">
        <f>IF(C266&lt;=ProjectData!B$131,-IPMT(ProjectData!B$132,C266,ProjectData!B$131,ProjectData!B$130*ProjectData!B$107),0)</f>
        <v>840015.11252073594</v>
      </c>
      <c r="E266" s="84">
        <f>IF(C266&lt;=ProjectData!B$131,-PPMT(ProjectData!B$132,C266,ProjectData!B$131,ProjectData!B$107*ProjectData!B$130),0)</f>
        <v>148792.322638627</v>
      </c>
      <c r="F266" s="84">
        <f t="shared" si="120"/>
        <v>988807.43515936297</v>
      </c>
      <c r="H266" s="348">
        <v>10</v>
      </c>
      <c r="I266" s="84">
        <f>IF(H266&lt;=ProjectData!$B$138,-IPMT(ProjectData!$B$137,H266,ProjectData!$B$138,ProjectData!$B$134*ProjectData!$B$107*ProjectData!$B$135),0)</f>
        <v>0</v>
      </c>
      <c r="J266" s="84">
        <f>IF(H266&lt;=ProjectData!$B$138,-PPMT(ProjectData!$B$137,H266,ProjectData!$B$138,ProjectData!$B$134*ProjectData!$B$107*ProjectData!$B$135),0)</f>
        <v>0</v>
      </c>
      <c r="K266" s="84">
        <f t="shared" si="121"/>
        <v>0</v>
      </c>
      <c r="L266" s="228"/>
      <c r="M266" s="348">
        <v>10</v>
      </c>
      <c r="N266" s="84">
        <f>IF(M266&lt;=ProjectData!$B$138,-IPMT(ProjectData!$B$137,M266,ProjectData!$B$138,ProjectData!$B$134*ProjectData!$B$107*ProjectData!$B$136),0)</f>
        <v>274343.83244049642</v>
      </c>
      <c r="O266" s="84">
        <f>IF(M266&lt;=ProjectData!$B$138,-PPMT(ProjectData!$B$137,M266,ProjectData!$B$138,ProjectData!$B$134*ProjectData!$B$107*ProjectData!$B$136),0)</f>
        <v>2406524.8459692663</v>
      </c>
      <c r="P266" s="84">
        <f t="shared" si="122"/>
        <v>2680868.6784097627</v>
      </c>
    </row>
    <row r="267" spans="3:16" x14ac:dyDescent="0.2">
      <c r="C267">
        <v>11</v>
      </c>
      <c r="D267" s="84">
        <f>IF(C267&lt;=ProjectData!B$131,-IPMT(ProjectData!B$132,C267,ProjectData!B$131,ProjectData!B$130*ProjectData!B$107),0)</f>
        <v>830641.19619450241</v>
      </c>
      <c r="E267" s="84">
        <f>IF(C267&lt;=ProjectData!B$131,-PPMT(ProjectData!B$132,C267,ProjectData!B$131,ProjectData!B$107*ProjectData!B$130),0)</f>
        <v>158166.23896486044</v>
      </c>
      <c r="F267" s="84">
        <f t="shared" si="120"/>
        <v>988807.43515936285</v>
      </c>
      <c r="H267" s="348">
        <v>11</v>
      </c>
      <c r="I267" s="84">
        <f>IF(H267&lt;=ProjectData!$B$138,-IPMT(ProjectData!$B$137,H267,ProjectData!$B$138,ProjectData!$B$134*ProjectData!$B$107*ProjectData!$B$135),0)</f>
        <v>0</v>
      </c>
      <c r="J267" s="84">
        <f>IF(H267&lt;=ProjectData!$B$138,-PPMT(ProjectData!$B$137,H267,ProjectData!$B$138,ProjectData!$B$134*ProjectData!$B$107*ProjectData!$B$135),0)</f>
        <v>0</v>
      </c>
      <c r="K267" s="84">
        <f t="shared" si="121"/>
        <v>0</v>
      </c>
      <c r="L267" s="228"/>
      <c r="M267" s="348">
        <v>11</v>
      </c>
      <c r="N267" s="84">
        <f>IF(M267&lt;=ProjectData!$B$138,-IPMT(ProjectData!$B$137,M267,ProjectData!$B$138,ProjectData!$B$134*ProjectData!$B$107*ProjectData!$B$136),0)</f>
        <v>0</v>
      </c>
      <c r="O267" s="84">
        <f>IF(M267&lt;=ProjectData!$B$138,-PPMT(ProjectData!$B$137,M267,ProjectData!$B$138,ProjectData!$B$134*ProjectData!$B$107*ProjectData!$B$136),0)</f>
        <v>0</v>
      </c>
      <c r="P267" s="84">
        <f t="shared" si="122"/>
        <v>0</v>
      </c>
    </row>
    <row r="268" spans="3:16" x14ac:dyDescent="0.2">
      <c r="C268">
        <v>12</v>
      </c>
      <c r="D268" s="84">
        <f>IF(C268&lt;=ProjectData!B$131,-IPMT(ProjectData!B$132,C268,ProjectData!B$131,ProjectData!B$130*ProjectData!B$107),0)</f>
        <v>820676.7231397162</v>
      </c>
      <c r="E268" s="84">
        <f>IF(C268&lt;=ProjectData!B$131,-PPMT(ProjectData!B$132,C268,ProjectData!B$131,ProjectData!B$107*ProjectData!B$130),0)</f>
        <v>168130.71201964669</v>
      </c>
      <c r="F268" s="84">
        <f t="shared" si="120"/>
        <v>988807.43515936285</v>
      </c>
      <c r="H268" s="348">
        <v>12</v>
      </c>
      <c r="I268" s="84">
        <f>IF(H268&lt;=ProjectData!$B$138,-IPMT(ProjectData!$B$137,H268,ProjectData!$B$138,ProjectData!$B$134*ProjectData!$B$107*ProjectData!$B$135),0)</f>
        <v>0</v>
      </c>
      <c r="J268" s="84">
        <f>IF(H268&lt;=ProjectData!$B$138,-PPMT(ProjectData!$B$137,H268,ProjectData!$B$138,ProjectData!$B$134*ProjectData!$B$107*ProjectData!$B$135),0)</f>
        <v>0</v>
      </c>
      <c r="K268" s="84">
        <f t="shared" si="121"/>
        <v>0</v>
      </c>
      <c r="L268" s="228"/>
      <c r="M268" s="348">
        <v>12</v>
      </c>
      <c r="N268" s="84">
        <f>IF(M268&lt;=ProjectData!$B$138,-IPMT(ProjectData!$B$137,M268,ProjectData!$B$138,ProjectData!$B$134*ProjectData!$B$107*ProjectData!$B$136),0)</f>
        <v>0</v>
      </c>
      <c r="O268" s="84">
        <f>IF(M268&lt;=ProjectData!$B$138,-PPMT(ProjectData!$B$137,M268,ProjectData!$B$138,ProjectData!$B$134*ProjectData!$B$107*ProjectData!$B$136),0)</f>
        <v>0</v>
      </c>
      <c r="P268" s="84">
        <f t="shared" si="122"/>
        <v>0</v>
      </c>
    </row>
    <row r="269" spans="3:16" x14ac:dyDescent="0.2">
      <c r="C269">
        <v>13</v>
      </c>
      <c r="D269" s="84">
        <f>IF(C269&lt;=ProjectData!B$131,-IPMT(ProjectData!B$132,C269,ProjectData!B$131,ProjectData!B$130*ProjectData!B$107),0)</f>
        <v>810084.48828247853</v>
      </c>
      <c r="E269" s="84">
        <f>IF(C269&lt;=ProjectData!B$131,-PPMT(ProjectData!B$132,C269,ProjectData!B$131,ProjectData!B$107*ProjectData!B$130),0)</f>
        <v>178722.94687688441</v>
      </c>
      <c r="F269" s="84">
        <f t="shared" si="120"/>
        <v>988807.43515936297</v>
      </c>
      <c r="H269" s="348">
        <v>13</v>
      </c>
      <c r="I269" s="84">
        <f>IF(H269&lt;=ProjectData!$B$138,-IPMT(ProjectData!$B$137,H269,ProjectData!$B$138,ProjectData!$B$134*ProjectData!$B$107*ProjectData!$B$135),0)</f>
        <v>0</v>
      </c>
      <c r="J269" s="84">
        <f>IF(H269&lt;=ProjectData!$B$138,-PPMT(ProjectData!$B$137,H269,ProjectData!$B$138,ProjectData!$B$134*ProjectData!$B$107*ProjectData!$B$135),0)</f>
        <v>0</v>
      </c>
      <c r="K269" s="84">
        <f t="shared" si="121"/>
        <v>0</v>
      </c>
      <c r="L269" s="228"/>
      <c r="M269" s="348">
        <v>13</v>
      </c>
      <c r="N269" s="84">
        <f>IF(M269&lt;=ProjectData!$B$138,-IPMT(ProjectData!$B$137,M269,ProjectData!$B$138,ProjectData!$B$134*ProjectData!$B$107*ProjectData!$B$136),0)</f>
        <v>0</v>
      </c>
      <c r="O269" s="84">
        <f>IF(M269&lt;=ProjectData!$B$138,-PPMT(ProjectData!$B$137,M269,ProjectData!$B$138,ProjectData!$B$134*ProjectData!$B$107*ProjectData!$B$136),0)</f>
        <v>0</v>
      </c>
      <c r="P269" s="84">
        <f t="shared" si="122"/>
        <v>0</v>
      </c>
    </row>
    <row r="270" spans="3:16" x14ac:dyDescent="0.2">
      <c r="C270">
        <v>14</v>
      </c>
      <c r="D270" s="84">
        <f>IF(C270&lt;=ProjectData!B$131,-IPMT(ProjectData!B$132,C270,ProjectData!B$131,ProjectData!B$130*ProjectData!B$107),0)</f>
        <v>798824.94262923487</v>
      </c>
      <c r="E270" s="84">
        <f>IF(C270&lt;=ProjectData!B$131,-PPMT(ProjectData!B$132,C270,ProjectData!B$131,ProjectData!B$107*ProjectData!B$130),0)</f>
        <v>189982.4925301281</v>
      </c>
      <c r="F270" s="84">
        <f t="shared" si="120"/>
        <v>988807.43515936297</v>
      </c>
      <c r="H270" s="348">
        <v>14</v>
      </c>
      <c r="I270" s="84">
        <f>IF(H270&lt;=ProjectData!$B$138,-IPMT(ProjectData!$B$137,H270,ProjectData!$B$138,ProjectData!$B$134*ProjectData!$B$107*ProjectData!$B$135),0)</f>
        <v>0</v>
      </c>
      <c r="J270" s="84">
        <f>IF(H270&lt;=ProjectData!$B$138,-PPMT(ProjectData!$B$137,H270,ProjectData!$B$138,ProjectData!$B$134*ProjectData!$B$107*ProjectData!$B$135),0)</f>
        <v>0</v>
      </c>
      <c r="K270" s="84">
        <f t="shared" si="121"/>
        <v>0</v>
      </c>
      <c r="L270" s="228"/>
      <c r="M270" s="348">
        <v>14</v>
      </c>
      <c r="N270" s="84">
        <f>IF(M270&lt;=ProjectData!$B$138,-IPMT(ProjectData!$B$137,M270,ProjectData!$B$138,ProjectData!$B$134*ProjectData!$B$107*ProjectData!$B$136),0)</f>
        <v>0</v>
      </c>
      <c r="O270" s="84">
        <f>IF(M270&lt;=ProjectData!$B$138,-PPMT(ProjectData!$B$137,M270,ProjectData!$B$138,ProjectData!$B$134*ProjectData!$B$107*ProjectData!$B$136),0)</f>
        <v>0</v>
      </c>
      <c r="P270" s="84">
        <f t="shared" si="122"/>
        <v>0</v>
      </c>
    </row>
    <row r="271" spans="3:16" x14ac:dyDescent="0.2">
      <c r="C271">
        <v>15</v>
      </c>
      <c r="D271" s="84">
        <f>IF(C271&lt;=ProjectData!B$131,-IPMT(ProjectData!B$132,C271,ProjectData!B$131,ProjectData!B$130*ProjectData!B$107),0)</f>
        <v>786856.04559983674</v>
      </c>
      <c r="E271" s="84">
        <f>IF(C271&lt;=ProjectData!B$131,-PPMT(ProjectData!B$132,C271,ProjectData!B$131,ProjectData!B$107*ProjectData!B$130),0)</f>
        <v>201951.3895595262</v>
      </c>
      <c r="F271" s="84">
        <f t="shared" si="120"/>
        <v>988807.43515936297</v>
      </c>
      <c r="H271" s="348">
        <v>15</v>
      </c>
      <c r="I271" s="84">
        <f>IF(H271&lt;=ProjectData!$B$138,-IPMT(ProjectData!$B$137,H271,ProjectData!$B$138,ProjectData!$B$134*ProjectData!$B$107*ProjectData!$B$135),0)</f>
        <v>0</v>
      </c>
      <c r="J271" s="84">
        <f>IF(H271&lt;=ProjectData!$B$138,-PPMT(ProjectData!$B$137,H271,ProjectData!$B$138,ProjectData!$B$134*ProjectData!$B$107*ProjectData!$B$135),0)</f>
        <v>0</v>
      </c>
      <c r="K271" s="84">
        <f t="shared" si="121"/>
        <v>0</v>
      </c>
      <c r="L271" s="228"/>
      <c r="M271" s="348">
        <v>15</v>
      </c>
      <c r="N271" s="84">
        <f>IF(M271&lt;=ProjectData!$B$138,-IPMT(ProjectData!$B$137,M271,ProjectData!$B$138,ProjectData!$B$134*ProjectData!$B$107*ProjectData!$B$136),0)</f>
        <v>0</v>
      </c>
      <c r="O271" s="84">
        <f>IF(M271&lt;=ProjectData!$B$138,-PPMT(ProjectData!$B$137,M271,ProjectData!$B$138,ProjectData!$B$134*ProjectData!$B$107*ProjectData!$B$136),0)</f>
        <v>0</v>
      </c>
      <c r="P271" s="84">
        <f t="shared" si="122"/>
        <v>0</v>
      </c>
    </row>
    <row r="272" spans="3:16" x14ac:dyDescent="0.2">
      <c r="C272">
        <v>16</v>
      </c>
      <c r="D272" s="84">
        <f>IF(C272&lt;=ProjectData!B$131,-IPMT(ProjectData!B$132,C272,ProjectData!B$131,ProjectData!B$130*ProjectData!B$107),0)</f>
        <v>774133.10805758648</v>
      </c>
      <c r="E272" s="84">
        <f>IF(C272&lt;=ProjectData!B$131,-PPMT(ProjectData!B$132,C272,ProjectData!B$131,ProjectData!B$107*ProjectData!B$130),0)</f>
        <v>214674.32710177635</v>
      </c>
      <c r="F272" s="84">
        <f t="shared" si="120"/>
        <v>988807.43515936285</v>
      </c>
      <c r="H272" s="348">
        <v>16</v>
      </c>
      <c r="I272" s="84">
        <f>IF(H272&lt;=ProjectData!$B$138,-IPMT(ProjectData!$B$137,H272,ProjectData!$B$138,ProjectData!$B$134*ProjectData!$B$107*ProjectData!$B$135),0)</f>
        <v>0</v>
      </c>
      <c r="J272" s="84">
        <f>IF(H272&lt;=ProjectData!$B$138,-PPMT(ProjectData!$B$137,H272,ProjectData!$B$138,ProjectData!$B$134*ProjectData!$B$107*ProjectData!$B$135),0)</f>
        <v>0</v>
      </c>
      <c r="K272" s="84">
        <f t="shared" si="121"/>
        <v>0</v>
      </c>
      <c r="L272" s="228"/>
      <c r="M272" s="348">
        <v>16</v>
      </c>
      <c r="N272" s="84">
        <f>IF(M272&lt;=ProjectData!$B$138,-IPMT(ProjectData!$B$137,M272,ProjectData!$B$138,ProjectData!$B$134*ProjectData!$B$107*ProjectData!$B$136),0)</f>
        <v>0</v>
      </c>
      <c r="O272" s="84">
        <f>IF(M272&lt;=ProjectData!$B$138,-PPMT(ProjectData!$B$137,M272,ProjectData!$B$138,ProjectData!$B$134*ProjectData!$B$107*ProjectData!$B$136),0)</f>
        <v>0</v>
      </c>
      <c r="P272" s="84">
        <f t="shared" si="122"/>
        <v>0</v>
      </c>
    </row>
    <row r="273" spans="3:16" x14ac:dyDescent="0.2">
      <c r="C273">
        <v>17</v>
      </c>
      <c r="D273" s="84">
        <f>IF(C273&lt;=ProjectData!B$131,-IPMT(ProjectData!B$132,C273,ProjectData!B$131,ProjectData!B$130*ProjectData!B$107),0)</f>
        <v>760608.62545017456</v>
      </c>
      <c r="E273" s="84">
        <f>IF(C273&lt;=ProjectData!B$131,-PPMT(ProjectData!B$132,C273,ProjectData!B$131,ProjectData!B$107*ProjectData!B$130),0)</f>
        <v>228198.8097091883</v>
      </c>
      <c r="F273" s="84">
        <f t="shared" si="120"/>
        <v>988807.43515936285</v>
      </c>
      <c r="H273" s="348">
        <v>17</v>
      </c>
      <c r="I273" s="84">
        <f>IF(H273&lt;=ProjectData!$B$138,-IPMT(ProjectData!$B$137,H273,ProjectData!$B$138,ProjectData!$B$134*ProjectData!$B$107*ProjectData!$B$135),0)</f>
        <v>0</v>
      </c>
      <c r="J273" s="84">
        <f>IF(H273&lt;=ProjectData!$B$138,-PPMT(ProjectData!$B$137,H273,ProjectData!$B$138,ProjectData!$B$134*ProjectData!$B$107*ProjectData!$B$135),0)</f>
        <v>0</v>
      </c>
      <c r="K273" s="84">
        <f t="shared" si="121"/>
        <v>0</v>
      </c>
      <c r="L273" s="228"/>
      <c r="M273" s="348">
        <v>17</v>
      </c>
      <c r="N273" s="84">
        <f>IF(M273&lt;=ProjectData!$B$138,-IPMT(ProjectData!$B$137,M273,ProjectData!$B$138,ProjectData!$B$134*ProjectData!$B$107*ProjectData!$B$136),0)</f>
        <v>0</v>
      </c>
      <c r="O273" s="84">
        <f>IF(M273&lt;=ProjectData!$B$138,-PPMT(ProjectData!$B$137,M273,ProjectData!$B$138,ProjectData!$B$134*ProjectData!$B$107*ProjectData!$B$136),0)</f>
        <v>0</v>
      </c>
      <c r="P273" s="84">
        <f t="shared" si="122"/>
        <v>0</v>
      </c>
    </row>
    <row r="274" spans="3:16" x14ac:dyDescent="0.2">
      <c r="C274">
        <v>18</v>
      </c>
      <c r="D274" s="84">
        <f>IF(C274&lt;=ProjectData!B$131,-IPMT(ProjectData!B$132,C274,ProjectData!B$131,ProjectData!B$130*ProjectData!B$107),0)</f>
        <v>746232.10043849575</v>
      </c>
      <c r="E274" s="84">
        <f>IF(C274&lt;=ProjectData!B$131,-PPMT(ProjectData!B$132,C274,ProjectData!B$131,ProjectData!B$107*ProjectData!B$130),0)</f>
        <v>242575.33472086713</v>
      </c>
      <c r="F274" s="84">
        <f t="shared" si="120"/>
        <v>988807.43515936285</v>
      </c>
      <c r="H274" s="348">
        <v>18</v>
      </c>
      <c r="I274" s="84">
        <f>IF(H274&lt;=ProjectData!$B$138,-IPMT(ProjectData!$B$137,H274,ProjectData!$B$138,ProjectData!$B$134*ProjectData!$B$107*ProjectData!$B$135),0)</f>
        <v>0</v>
      </c>
      <c r="J274" s="84">
        <f>IF(H274&lt;=ProjectData!$B$138,-PPMT(ProjectData!$B$137,H274,ProjectData!$B$138,ProjectData!$B$134*ProjectData!$B$107*ProjectData!$B$135),0)</f>
        <v>0</v>
      </c>
      <c r="K274" s="84">
        <f t="shared" si="121"/>
        <v>0</v>
      </c>
      <c r="L274" s="228"/>
      <c r="M274" s="348">
        <v>18</v>
      </c>
      <c r="N274" s="84">
        <f>IF(M274&lt;=ProjectData!$B$138,-IPMT(ProjectData!$B$137,M274,ProjectData!$B$138,ProjectData!$B$134*ProjectData!$B$107*ProjectData!$B$136),0)</f>
        <v>0</v>
      </c>
      <c r="O274" s="84">
        <f>IF(M274&lt;=ProjectData!$B$138,-PPMT(ProjectData!$B$137,M274,ProjectData!$B$138,ProjectData!$B$134*ProjectData!$B$107*ProjectData!$B$136),0)</f>
        <v>0</v>
      </c>
      <c r="P274" s="84">
        <f t="shared" si="122"/>
        <v>0</v>
      </c>
    </row>
    <row r="275" spans="3:16" x14ac:dyDescent="0.2">
      <c r="C275">
        <v>19</v>
      </c>
      <c r="D275" s="84">
        <f>IF(C275&lt;=ProjectData!B$131,-IPMT(ProjectData!B$132,C275,ProjectData!B$131,ProjectData!B$130*ProjectData!B$107),0)</f>
        <v>730949.85435108107</v>
      </c>
      <c r="E275" s="84">
        <f>IF(C275&lt;=ProjectData!B$131,-PPMT(ProjectData!B$132,C275,ProjectData!B$131,ProjectData!B$107*ProjectData!B$130),0)</f>
        <v>257857.58080828172</v>
      </c>
      <c r="F275" s="84">
        <f t="shared" si="120"/>
        <v>988807.43515936285</v>
      </c>
      <c r="H275" s="348">
        <v>19</v>
      </c>
      <c r="I275" s="84">
        <f>IF(H275&lt;=ProjectData!$B$138,-IPMT(ProjectData!$B$137,H275,ProjectData!$B$138,ProjectData!$B$134*ProjectData!$B$107*ProjectData!$B$135),0)</f>
        <v>0</v>
      </c>
      <c r="J275" s="84">
        <f>IF(H275&lt;=ProjectData!$B$138,-PPMT(ProjectData!$B$137,H275,ProjectData!$B$138,ProjectData!$B$134*ProjectData!$B$107*ProjectData!$B$135),0)</f>
        <v>0</v>
      </c>
      <c r="K275" s="84">
        <f t="shared" si="121"/>
        <v>0</v>
      </c>
      <c r="L275" s="228"/>
      <c r="M275" s="348">
        <v>19</v>
      </c>
      <c r="N275" s="84">
        <f>IF(M275&lt;=ProjectData!$B$138,-IPMT(ProjectData!$B$137,M275,ProjectData!$B$138,ProjectData!$B$134*ProjectData!$B$107*ProjectData!$B$136),0)</f>
        <v>0</v>
      </c>
      <c r="O275" s="84">
        <f>IF(M275&lt;=ProjectData!$B$138,-PPMT(ProjectData!$B$137,M275,ProjectData!$B$138,ProjectData!$B$134*ProjectData!$B$107*ProjectData!$B$136),0)</f>
        <v>0</v>
      </c>
      <c r="P275" s="84">
        <f t="shared" si="122"/>
        <v>0</v>
      </c>
    </row>
    <row r="276" spans="3:16" x14ac:dyDescent="0.2">
      <c r="C276">
        <v>20</v>
      </c>
      <c r="D276" s="84">
        <f>IF(C276&lt;=ProjectData!B$131,-IPMT(ProjectData!B$132,C276,ProjectData!B$131,ProjectData!B$130*ProjectData!B$107),0)</f>
        <v>714704.82676015946</v>
      </c>
      <c r="E276" s="84">
        <f>IF(C276&lt;=ProjectData!B$131,-PPMT(ProjectData!B$132,C276,ProjectData!B$131,ProjectData!B$107*ProjectData!B$130),0)</f>
        <v>274102.60839920357</v>
      </c>
      <c r="F276" s="84">
        <f t="shared" si="120"/>
        <v>988807.43515936309</v>
      </c>
      <c r="H276" s="348">
        <v>20</v>
      </c>
      <c r="I276" s="84">
        <f>IF(H276&lt;=ProjectData!$B$138,-IPMT(ProjectData!$B$137,H276,ProjectData!$B$138,ProjectData!$B$134*ProjectData!$B$107*ProjectData!$B$135),0)</f>
        <v>0</v>
      </c>
      <c r="J276" s="84">
        <f>IF(H276&lt;=ProjectData!$B$138,-PPMT(ProjectData!$B$137,H276,ProjectData!$B$138,ProjectData!$B$134*ProjectData!$B$107*ProjectData!$B$135),0)</f>
        <v>0</v>
      </c>
      <c r="K276" s="84">
        <f t="shared" si="121"/>
        <v>0</v>
      </c>
      <c r="L276" s="228"/>
      <c r="M276" s="348">
        <v>20</v>
      </c>
      <c r="N276" s="84">
        <f>IF(M276&lt;=ProjectData!$B$138,-IPMT(ProjectData!$B$137,M276,ProjectData!$B$138,ProjectData!$B$134*ProjectData!$B$107*ProjectData!$B$136),0)</f>
        <v>0</v>
      </c>
      <c r="O276" s="84">
        <f>IF(M276&lt;=ProjectData!$B$138,-PPMT(ProjectData!$B$137,M276,ProjectData!$B$138,ProjectData!$B$134*ProjectData!$B$107*ProjectData!$B$136),0)</f>
        <v>0</v>
      </c>
      <c r="P276" s="84">
        <f t="shared" si="122"/>
        <v>0</v>
      </c>
    </row>
    <row r="277" spans="3:16" x14ac:dyDescent="0.2">
      <c r="C277">
        <v>21</v>
      </c>
      <c r="D277" s="84">
        <f>IF(C277&lt;=ProjectData!B$131,-IPMT(ProjectData!B$132,C277,ProjectData!B$131,ProjectData!B$130*ProjectData!B$107),0)</f>
        <v>697436.36243100965</v>
      </c>
      <c r="E277" s="84">
        <f>IF(C277&lt;=ProjectData!B$131,-PPMT(ProjectData!B$132,C277,ProjectData!B$131,ProjectData!B$107*ProjectData!B$130),0)</f>
        <v>291371.07272835332</v>
      </c>
      <c r="F277" s="84">
        <f t="shared" si="120"/>
        <v>988807.43515936297</v>
      </c>
      <c r="H277" s="348">
        <v>21</v>
      </c>
      <c r="I277" s="84">
        <f>IF(H277&lt;=ProjectData!$B$138,-IPMT(ProjectData!$B$137,H277,ProjectData!$B$138,ProjectData!$B$134*ProjectData!$B$107*ProjectData!$B$135),0)</f>
        <v>0</v>
      </c>
      <c r="J277" s="84">
        <f>IF(H277&lt;=ProjectData!$B$138,-PPMT(ProjectData!$B$137,H277,ProjectData!$B$138,ProjectData!$B$134*ProjectData!$B$107*ProjectData!$B$135),0)</f>
        <v>0</v>
      </c>
      <c r="K277" s="84">
        <f t="shared" si="121"/>
        <v>0</v>
      </c>
      <c r="L277" s="228"/>
      <c r="M277" s="348">
        <v>21</v>
      </c>
      <c r="N277" s="84">
        <f>IF(M277&lt;=ProjectData!$B$138,-IPMT(ProjectData!$B$137,M277,ProjectData!$B$138,ProjectData!$B$134*ProjectData!$B$107*ProjectData!$B$136),0)</f>
        <v>0</v>
      </c>
      <c r="O277" s="84">
        <f>IF(M277&lt;=ProjectData!$B$138,-PPMT(ProjectData!$B$137,M277,ProjectData!$B$138,ProjectData!$B$134*ProjectData!$B$107*ProjectData!$B$136),0)</f>
        <v>0</v>
      </c>
      <c r="P277" s="84">
        <f t="shared" si="122"/>
        <v>0</v>
      </c>
    </row>
    <row r="278" spans="3:16" x14ac:dyDescent="0.2">
      <c r="C278">
        <v>22</v>
      </c>
      <c r="D278" s="84">
        <f>IF(C278&lt;=ProjectData!B$131,-IPMT(ProjectData!B$132,C278,ProjectData!B$131,ProjectData!B$130*ProjectData!B$107),0)</f>
        <v>679079.98484912328</v>
      </c>
      <c r="E278" s="84">
        <f>IF(C278&lt;=ProjectData!B$131,-PPMT(ProjectData!B$132,C278,ProjectData!B$131,ProjectData!B$107*ProjectData!B$130),0)</f>
        <v>309727.45031023963</v>
      </c>
      <c r="F278" s="84">
        <f t="shared" si="120"/>
        <v>988807.43515936285</v>
      </c>
      <c r="H278" s="348">
        <v>22</v>
      </c>
      <c r="I278" s="84">
        <f>IF(H278&lt;=ProjectData!$B$138,-IPMT(ProjectData!$B$137,H278,ProjectData!$B$138,ProjectData!$B$134*ProjectData!$B$107*ProjectData!$B$135),0)</f>
        <v>0</v>
      </c>
      <c r="J278" s="84">
        <f>IF(H278&lt;=ProjectData!$B$138,-PPMT(ProjectData!$B$137,H278,ProjectData!$B$138,ProjectData!$B$134*ProjectData!$B$107*ProjectData!$B$135),0)</f>
        <v>0</v>
      </c>
      <c r="K278" s="84">
        <f t="shared" si="121"/>
        <v>0</v>
      </c>
      <c r="L278" s="228"/>
      <c r="M278" s="348">
        <v>22</v>
      </c>
      <c r="N278" s="84">
        <f>IF(M278&lt;=ProjectData!$B$138,-IPMT(ProjectData!$B$137,M278,ProjectData!$B$138,ProjectData!$B$134*ProjectData!$B$107*ProjectData!$B$136),0)</f>
        <v>0</v>
      </c>
      <c r="O278" s="84">
        <f>IF(M278&lt;=ProjectData!$B$138,-PPMT(ProjectData!$B$137,M278,ProjectData!$B$138,ProjectData!$B$134*ProjectData!$B$107*ProjectData!$B$136),0)</f>
        <v>0</v>
      </c>
      <c r="P278" s="84">
        <f t="shared" si="122"/>
        <v>0</v>
      </c>
    </row>
    <row r="279" spans="3:16" x14ac:dyDescent="0.2">
      <c r="C279">
        <v>23</v>
      </c>
      <c r="D279" s="84">
        <f>IF(C279&lt;=ProjectData!B$131,-IPMT(ProjectData!B$132,C279,ProjectData!B$131,ProjectData!B$130*ProjectData!B$107),0)</f>
        <v>659567.15547957807</v>
      </c>
      <c r="E279" s="84">
        <f>IF(C279&lt;=ProjectData!B$131,-PPMT(ProjectData!B$132,C279,ProjectData!B$131,ProjectData!B$107*ProjectData!B$130),0)</f>
        <v>329240.27967978473</v>
      </c>
      <c r="F279" s="84">
        <f t="shared" si="120"/>
        <v>988807.43515936285</v>
      </c>
      <c r="H279" s="348">
        <v>23</v>
      </c>
      <c r="I279" s="84">
        <f>IF(H279&lt;=ProjectData!$B$138,-IPMT(ProjectData!$B$137,H279,ProjectData!$B$138,ProjectData!$B$134*ProjectData!$B$107*ProjectData!$B$135),0)</f>
        <v>0</v>
      </c>
      <c r="J279" s="84">
        <f>IF(H279&lt;=ProjectData!$B$138,-PPMT(ProjectData!$B$137,H279,ProjectData!$B$138,ProjectData!$B$134*ProjectData!$B$107*ProjectData!$B$135),0)</f>
        <v>0</v>
      </c>
      <c r="K279" s="84">
        <f t="shared" si="121"/>
        <v>0</v>
      </c>
      <c r="L279" s="228"/>
      <c r="M279" s="348">
        <v>23</v>
      </c>
      <c r="N279" s="84">
        <f>IF(M279&lt;=ProjectData!$B$138,-IPMT(ProjectData!$B$137,M279,ProjectData!$B$138,ProjectData!$B$134*ProjectData!$B$107*ProjectData!$B$136),0)</f>
        <v>0</v>
      </c>
      <c r="O279" s="84">
        <f>IF(M279&lt;=ProjectData!$B$138,-PPMT(ProjectData!$B$137,M279,ProjectData!$B$138,ProjectData!$B$134*ProjectData!$B$107*ProjectData!$B$136),0)</f>
        <v>0</v>
      </c>
      <c r="P279" s="84">
        <f t="shared" si="122"/>
        <v>0</v>
      </c>
    </row>
    <row r="280" spans="3:16" x14ac:dyDescent="0.2">
      <c r="C280">
        <v>24</v>
      </c>
      <c r="D280" s="84">
        <f>IF(C280&lt;=ProjectData!B$131,-IPMT(ProjectData!B$132,C280,ProjectData!B$131,ProjectData!B$130*ProjectData!B$107),0)</f>
        <v>638825.01785975194</v>
      </c>
      <c r="E280" s="84">
        <f>IF(C280&lt;=ProjectData!B$131,-PPMT(ProjectData!B$132,C280,ProjectData!B$131,ProjectData!B$107*ProjectData!B$130),0)</f>
        <v>349982.41729961109</v>
      </c>
      <c r="F280" s="84">
        <f t="shared" si="120"/>
        <v>988807.43515936309</v>
      </c>
      <c r="H280" s="348">
        <v>24</v>
      </c>
      <c r="I280" s="84">
        <f>IF(H280&lt;=ProjectData!$B$138,-IPMT(ProjectData!$B$137,H280,ProjectData!$B$138,ProjectData!$B$134*ProjectData!$B$107*ProjectData!$B$135),0)</f>
        <v>0</v>
      </c>
      <c r="J280" s="84">
        <f>IF(H280&lt;=ProjectData!$B$138,-PPMT(ProjectData!$B$137,H280,ProjectData!$B$138,ProjectData!$B$134*ProjectData!$B$107*ProjectData!$B$135),0)</f>
        <v>0</v>
      </c>
      <c r="K280" s="84">
        <f t="shared" si="121"/>
        <v>0</v>
      </c>
      <c r="L280" s="228"/>
      <c r="M280" s="348">
        <v>24</v>
      </c>
      <c r="N280" s="84">
        <f>IF(M280&lt;=ProjectData!$B$138,-IPMT(ProjectData!$B$137,M280,ProjectData!$B$138,ProjectData!$B$134*ProjectData!$B$107*ProjectData!$B$136),0)</f>
        <v>0</v>
      </c>
      <c r="O280" s="84">
        <f>IF(M280&lt;=ProjectData!$B$138,-PPMT(ProjectData!$B$137,M280,ProjectData!$B$138,ProjectData!$B$134*ProjectData!$B$107*ProjectData!$B$136),0)</f>
        <v>0</v>
      </c>
      <c r="P280" s="84">
        <f t="shared" si="122"/>
        <v>0</v>
      </c>
    </row>
    <row r="281" spans="3:16" x14ac:dyDescent="0.2">
      <c r="C281">
        <v>25</v>
      </c>
      <c r="D281" s="84">
        <f>IF(C281&lt;=ProjectData!B$131,-IPMT(ProjectData!B$132,C281,ProjectData!B$131,ProjectData!B$130*ProjectData!B$107),0)</f>
        <v>616776.1255698764</v>
      </c>
      <c r="E281" s="84">
        <f>IF(C281&lt;=ProjectData!B$131,-PPMT(ProjectData!B$132,C281,ProjectData!B$131,ProjectData!B$107*ProjectData!B$130),0)</f>
        <v>372031.30958948657</v>
      </c>
      <c r="F281" s="84">
        <f t="shared" si="120"/>
        <v>988807.43515936297</v>
      </c>
      <c r="H281" s="348">
        <v>25</v>
      </c>
      <c r="I281" s="84">
        <f>IF(H281&lt;=ProjectData!$B$138,-IPMT(ProjectData!$B$137,H281,ProjectData!$B$138,ProjectData!$B$134*ProjectData!$B$107*ProjectData!$B$135),0)</f>
        <v>0</v>
      </c>
      <c r="J281" s="84">
        <f>IF(H281&lt;=ProjectData!$B$138,-PPMT(ProjectData!$B$137,H281,ProjectData!$B$138,ProjectData!$B$134*ProjectData!$B$107*ProjectData!$B$135),0)</f>
        <v>0</v>
      </c>
      <c r="K281" s="84">
        <f t="shared" si="121"/>
        <v>0</v>
      </c>
      <c r="L281" s="228"/>
      <c r="M281" s="348">
        <v>25</v>
      </c>
      <c r="N281" s="84">
        <f>IF(M281&lt;=ProjectData!$B$138,-IPMT(ProjectData!$B$137,M281,ProjectData!$B$138,ProjectData!$B$134*ProjectData!$B$107*ProjectData!$B$136),0)</f>
        <v>0</v>
      </c>
      <c r="O281" s="84">
        <f>IF(M281&lt;=ProjectData!$B$138,-PPMT(ProjectData!$B$137,M281,ProjectData!$B$138,ProjectData!$B$134*ProjectData!$B$107*ProjectData!$B$136),0)</f>
        <v>0</v>
      </c>
      <c r="P281" s="84">
        <f t="shared" si="122"/>
        <v>0</v>
      </c>
    </row>
    <row r="282" spans="3:16" x14ac:dyDescent="0.2">
      <c r="C282">
        <v>26</v>
      </c>
      <c r="D282" s="84">
        <f>IF(C282&lt;=ProjectData!B$131,-IPMT(ProjectData!B$132,C282,ProjectData!B$131,ProjectData!B$130*ProjectData!B$107),0)</f>
        <v>593338.15306573862</v>
      </c>
      <c r="E282" s="84">
        <f>IF(C282&lt;=ProjectData!B$131,-PPMT(ProjectData!B$132,C282,ProjectData!B$131,ProjectData!B$107*ProjectData!B$130),0)</f>
        <v>395469.28209362424</v>
      </c>
      <c r="F282" s="84">
        <f t="shared" si="120"/>
        <v>988807.43515936285</v>
      </c>
      <c r="H282" s="348">
        <v>26</v>
      </c>
      <c r="I282" s="84">
        <f>IF(H282&lt;=ProjectData!$B$138,-IPMT(ProjectData!$B$137,H282,ProjectData!$B$138,ProjectData!$B$134*ProjectData!$B$107*ProjectData!$B$135),0)</f>
        <v>0</v>
      </c>
      <c r="J282" s="84">
        <f>IF(H282&lt;=ProjectData!$B$138,-PPMT(ProjectData!$B$137,H282,ProjectData!$B$138,ProjectData!$B$134*ProjectData!$B$107*ProjectData!$B$135),0)</f>
        <v>0</v>
      </c>
      <c r="K282" s="84">
        <f t="shared" si="121"/>
        <v>0</v>
      </c>
      <c r="L282" s="228"/>
      <c r="M282" s="348">
        <v>26</v>
      </c>
      <c r="N282" s="84">
        <f>IF(M282&lt;=ProjectData!$B$138,-IPMT(ProjectData!$B$137,M282,ProjectData!$B$138,ProjectData!$B$134*ProjectData!$B$107*ProjectData!$B$136),0)</f>
        <v>0</v>
      </c>
      <c r="O282" s="84">
        <f>IF(M282&lt;=ProjectData!$B$138,-PPMT(ProjectData!$B$137,M282,ProjectData!$B$138,ProjectData!$B$134*ProjectData!$B$107*ProjectData!$B$136),0)</f>
        <v>0</v>
      </c>
      <c r="P282" s="84">
        <f t="shared" si="122"/>
        <v>0</v>
      </c>
    </row>
    <row r="283" spans="3:16" x14ac:dyDescent="0.2">
      <c r="C283">
        <v>27</v>
      </c>
      <c r="D283" s="84">
        <f>IF(C283&lt;=ProjectData!B$131,-IPMT(ProjectData!B$132,C283,ProjectData!B$131,ProjectData!B$130*ProjectData!B$107),0)</f>
        <v>568423.58829384029</v>
      </c>
      <c r="E283" s="84">
        <f>IF(C283&lt;=ProjectData!B$131,-PPMT(ProjectData!B$132,C283,ProjectData!B$131,ProjectData!B$107*ProjectData!B$130),0)</f>
        <v>420383.84686552262</v>
      </c>
      <c r="F283" s="84">
        <f t="shared" si="120"/>
        <v>988807.43515936285</v>
      </c>
      <c r="H283" s="348">
        <v>27</v>
      </c>
      <c r="I283" s="84">
        <f>IF(H283&lt;=ProjectData!$B$138,-IPMT(ProjectData!$B$137,H283,ProjectData!$B$138,ProjectData!$B$134*ProjectData!$B$107*ProjectData!$B$135),0)</f>
        <v>0</v>
      </c>
      <c r="J283" s="84">
        <f>IF(H283&lt;=ProjectData!$B$138,-PPMT(ProjectData!$B$137,H283,ProjectData!$B$138,ProjectData!$B$134*ProjectData!$B$107*ProjectData!$B$135),0)</f>
        <v>0</v>
      </c>
      <c r="K283" s="84">
        <f t="shared" si="121"/>
        <v>0</v>
      </c>
      <c r="L283" s="228"/>
      <c r="M283" s="348">
        <v>27</v>
      </c>
      <c r="N283" s="84">
        <f>IF(M283&lt;=ProjectData!$B$138,-IPMT(ProjectData!$B$137,M283,ProjectData!$B$138,ProjectData!$B$134*ProjectData!$B$107*ProjectData!$B$136),0)</f>
        <v>0</v>
      </c>
      <c r="O283" s="84">
        <f>IF(M283&lt;=ProjectData!$B$138,-PPMT(ProjectData!$B$137,M283,ProjectData!$B$138,ProjectData!$B$134*ProjectData!$B$107*ProjectData!$B$136),0)</f>
        <v>0</v>
      </c>
      <c r="P283" s="84">
        <f t="shared" si="122"/>
        <v>0</v>
      </c>
    </row>
    <row r="284" spans="3:16" x14ac:dyDescent="0.2">
      <c r="C284">
        <v>28</v>
      </c>
      <c r="D284" s="84">
        <f>IF(C284&lt;=ProjectData!B$131,-IPMT(ProjectData!B$132,C284,ProjectData!B$131,ProjectData!B$130*ProjectData!B$107),0)</f>
        <v>541939.40594131243</v>
      </c>
      <c r="E284" s="84">
        <f>IF(C284&lt;=ProjectData!B$131,-PPMT(ProjectData!B$132,C284,ProjectData!B$131,ProjectData!B$107*ProjectData!B$130),0)</f>
        <v>446868.02921805053</v>
      </c>
      <c r="F284" s="84">
        <f t="shared" si="120"/>
        <v>988807.43515936297</v>
      </c>
      <c r="H284" s="348">
        <v>28</v>
      </c>
      <c r="I284" s="84">
        <f>IF(H284&lt;=ProjectData!$B$138,-IPMT(ProjectData!$B$137,H284,ProjectData!$B$138,ProjectData!$B$134*ProjectData!$B$107*ProjectData!$B$135),0)</f>
        <v>0</v>
      </c>
      <c r="J284" s="84">
        <f>IF(H284&lt;=ProjectData!$B$138,-PPMT(ProjectData!$B$137,H284,ProjectData!$B$138,ProjectData!$B$134*ProjectData!$B$107*ProjectData!$B$135),0)</f>
        <v>0</v>
      </c>
      <c r="K284" s="84">
        <f t="shared" si="121"/>
        <v>0</v>
      </c>
      <c r="L284" s="228"/>
      <c r="M284" s="348">
        <v>28</v>
      </c>
      <c r="N284" s="84">
        <f>IF(M284&lt;=ProjectData!$B$138,-IPMT(ProjectData!$B$137,M284,ProjectData!$B$138,ProjectData!$B$134*ProjectData!$B$107*ProjectData!$B$136),0)</f>
        <v>0</v>
      </c>
      <c r="O284" s="84">
        <f>IF(M284&lt;=ProjectData!$B$138,-PPMT(ProjectData!$B$137,M284,ProjectData!$B$138,ProjectData!$B$134*ProjectData!$B$107*ProjectData!$B$136),0)</f>
        <v>0</v>
      </c>
      <c r="P284" s="84">
        <f t="shared" si="122"/>
        <v>0</v>
      </c>
    </row>
    <row r="285" spans="3:16" x14ac:dyDescent="0.2">
      <c r="C285">
        <v>29</v>
      </c>
      <c r="D285" s="84">
        <f>IF(C285&lt;=ProjectData!B$131,-IPMT(ProjectData!B$132,C285,ProjectData!B$131,ProjectData!B$130*ProjectData!B$107),0)</f>
        <v>513786.7201005753</v>
      </c>
      <c r="E285" s="84">
        <f>IF(C285&lt;=ProjectData!B$131,-PPMT(ProjectData!B$132,C285,ProjectData!B$131,ProjectData!B$107*ProjectData!B$130),0)</f>
        <v>475020.71505878773</v>
      </c>
      <c r="F285" s="84">
        <f t="shared" si="120"/>
        <v>988807.43515936309</v>
      </c>
      <c r="H285" s="348">
        <v>29</v>
      </c>
      <c r="I285" s="84">
        <f>IF(H285&lt;=ProjectData!$B$138,-IPMT(ProjectData!$B$137,H285,ProjectData!$B$138,ProjectData!$B$134*ProjectData!$B$107*ProjectData!$B$135),0)</f>
        <v>0</v>
      </c>
      <c r="J285" s="84">
        <f>IF(H285&lt;=ProjectData!$B$138,-PPMT(ProjectData!$B$137,H285,ProjectData!$B$138,ProjectData!$B$134*ProjectData!$B$107*ProjectData!$B$135),0)</f>
        <v>0</v>
      </c>
      <c r="K285" s="84">
        <f t="shared" si="121"/>
        <v>0</v>
      </c>
      <c r="L285" s="228"/>
      <c r="M285" s="348">
        <v>29</v>
      </c>
      <c r="N285" s="84">
        <f>IF(M285&lt;=ProjectData!$B$138,-IPMT(ProjectData!$B$137,M285,ProjectData!$B$138,ProjectData!$B$134*ProjectData!$B$107*ProjectData!$B$136),0)</f>
        <v>0</v>
      </c>
      <c r="O285" s="84">
        <f>IF(M285&lt;=ProjectData!$B$138,-PPMT(ProjectData!$B$137,M285,ProjectData!$B$138,ProjectData!$B$134*ProjectData!$B$107*ProjectData!$B$136),0)</f>
        <v>0</v>
      </c>
      <c r="P285" s="84">
        <f t="shared" si="122"/>
        <v>0</v>
      </c>
    </row>
    <row r="286" spans="3:16" x14ac:dyDescent="0.2">
      <c r="C286" s="348">
        <f t="shared" ref="C286:C296" si="123">C285+1</f>
        <v>30</v>
      </c>
      <c r="D286" s="84">
        <f>IF(C286&lt;=ProjectData!B$131,-IPMT(ProjectData!B$132,C286,ProjectData!B$131,ProjectData!B$130*ProjectData!B$107),0)</f>
        <v>483860.41505187156</v>
      </c>
      <c r="E286" s="84">
        <f>IF(C286&lt;=ProjectData!B$131,-PPMT(ProjectData!B$132,C286,ProjectData!B$131,ProjectData!B$107*ProjectData!B$130),0)</f>
        <v>504947.02010749129</v>
      </c>
      <c r="F286" s="84">
        <f t="shared" ref="F286:F296" si="124">E286+D286</f>
        <v>988807.43515936285</v>
      </c>
      <c r="H286" s="348">
        <f>H285+1</f>
        <v>30</v>
      </c>
      <c r="I286" s="84">
        <f>IF(H286&lt;=ProjectData!$B$138,-IPMT(ProjectData!$B$137,H286,ProjectData!$B$138,ProjectData!$B$134*ProjectData!$B$107*ProjectData!$B$135),0)</f>
        <v>0</v>
      </c>
      <c r="J286" s="84">
        <f>IF(H286&lt;=ProjectData!$B$138,-PPMT(ProjectData!$B$137,H286,ProjectData!$B$138,ProjectData!$B$134*ProjectData!$B$107*ProjectData!$B$135),0)</f>
        <v>0</v>
      </c>
      <c r="K286" s="84">
        <f t="shared" si="121"/>
        <v>0</v>
      </c>
      <c r="L286" s="228"/>
      <c r="M286" s="348">
        <f>M285+1</f>
        <v>30</v>
      </c>
      <c r="N286" s="84">
        <f>IF(M286&lt;=ProjectData!$B$138,-IPMT(ProjectData!$B$137,M286,ProjectData!$B$138,ProjectData!$B$134*ProjectData!$B$107*ProjectData!$B$136),0)</f>
        <v>0</v>
      </c>
      <c r="O286" s="84">
        <f>IF(M286&lt;=ProjectData!$B$138,-PPMT(ProjectData!$B$137,M286,ProjectData!$B$138,ProjectData!$B$134*ProjectData!$B$107*ProjectData!$B$136),0)</f>
        <v>0</v>
      </c>
      <c r="P286" s="84">
        <f t="shared" si="122"/>
        <v>0</v>
      </c>
    </row>
    <row r="287" spans="3:16" x14ac:dyDescent="0.2">
      <c r="C287" s="348">
        <f t="shared" si="123"/>
        <v>31</v>
      </c>
      <c r="D287" s="84">
        <f>IF(C287&lt;=ProjectData!B$131,-IPMT(ProjectData!B$132,C287,ProjectData!B$131,ProjectData!B$130*ProjectData!B$107),0)</f>
        <v>452048.75278509961</v>
      </c>
      <c r="E287" s="84">
        <f>IF(C287&lt;=ProjectData!B$131,-PPMT(ProjectData!B$132,C287,ProjectData!B$131,ProjectData!B$107*ProjectData!B$130),0)</f>
        <v>536758.68237426318</v>
      </c>
      <c r="F287" s="84">
        <f t="shared" si="124"/>
        <v>988807.43515936285</v>
      </c>
      <c r="H287" s="348">
        <f t="shared" ref="H287:H296" si="125">H286+1</f>
        <v>31</v>
      </c>
      <c r="I287" s="84">
        <f>IF(H287&lt;=ProjectData!$B$138,-IPMT(ProjectData!$B$137,H287,ProjectData!$B$138,ProjectData!$B$134*ProjectData!$B$107*ProjectData!$B$135),0)</f>
        <v>0</v>
      </c>
      <c r="J287" s="84">
        <f>IF(H287&lt;=ProjectData!$B$138,-PPMT(ProjectData!$B$137,H287,ProjectData!$B$138,ProjectData!$B$134*ProjectData!$B$107*ProjectData!$B$135),0)</f>
        <v>0</v>
      </c>
      <c r="K287" s="84">
        <f t="shared" si="121"/>
        <v>0</v>
      </c>
      <c r="L287" s="228"/>
      <c r="M287" s="348">
        <f t="shared" ref="M287:M296" si="126">M286+1</f>
        <v>31</v>
      </c>
      <c r="N287" s="84">
        <f>IF(M287&lt;=ProjectData!$B$138,-IPMT(ProjectData!$B$137,M287,ProjectData!$B$138,ProjectData!$B$134*ProjectData!$B$107*ProjectData!$B$136),0)</f>
        <v>0</v>
      </c>
      <c r="O287" s="84">
        <f>IF(M287&lt;=ProjectData!$B$138,-PPMT(ProjectData!$B$137,M287,ProjectData!$B$138,ProjectData!$B$134*ProjectData!$B$107*ProjectData!$B$136),0)</f>
        <v>0</v>
      </c>
      <c r="P287" s="84">
        <f t="shared" si="122"/>
        <v>0</v>
      </c>
    </row>
    <row r="288" spans="3:16" x14ac:dyDescent="0.2">
      <c r="C288" s="348">
        <f t="shared" si="123"/>
        <v>32</v>
      </c>
      <c r="D288" s="84">
        <f>IF(C288&lt;=ProjectData!B$131,-IPMT(ProjectData!B$132,C288,ProjectData!B$131,ProjectData!B$130*ProjectData!B$107),0)</f>
        <v>418232.95579552109</v>
      </c>
      <c r="E288" s="84">
        <f>IF(C288&lt;=ProjectData!B$131,-PPMT(ProjectData!B$132,C288,ProjectData!B$131,ProjectData!B$107*ProjectData!B$130),0)</f>
        <v>570574.47936384194</v>
      </c>
      <c r="F288" s="84">
        <f t="shared" si="124"/>
        <v>988807.43515936309</v>
      </c>
      <c r="H288" s="348">
        <f t="shared" si="125"/>
        <v>32</v>
      </c>
      <c r="I288" s="84">
        <f>IF(H288&lt;=ProjectData!$B$138,-IPMT(ProjectData!$B$137,H288,ProjectData!$B$138,ProjectData!$B$134*ProjectData!$B$107*ProjectData!$B$135),0)</f>
        <v>0</v>
      </c>
      <c r="J288" s="84">
        <f>IF(H288&lt;=ProjectData!$B$138,-PPMT(ProjectData!$B$137,H288,ProjectData!$B$138,ProjectData!$B$134*ProjectData!$B$107*ProjectData!$B$135),0)</f>
        <v>0</v>
      </c>
      <c r="K288" s="84">
        <f t="shared" si="121"/>
        <v>0</v>
      </c>
      <c r="L288" s="228"/>
      <c r="M288" s="348">
        <f t="shared" si="126"/>
        <v>32</v>
      </c>
      <c r="N288" s="84">
        <f>IF(M288&lt;=ProjectData!$B$138,-IPMT(ProjectData!$B$137,M288,ProjectData!$B$138,ProjectData!$B$134*ProjectData!$B$107*ProjectData!$B$136),0)</f>
        <v>0</v>
      </c>
      <c r="O288" s="84">
        <f>IF(M288&lt;=ProjectData!$B$138,-PPMT(ProjectData!$B$137,M288,ProjectData!$B$138,ProjectData!$B$134*ProjectData!$B$107*ProjectData!$B$136),0)</f>
        <v>0</v>
      </c>
      <c r="P288" s="84">
        <f t="shared" si="122"/>
        <v>0</v>
      </c>
    </row>
    <row r="289" spans="3:16" x14ac:dyDescent="0.2">
      <c r="C289" s="348">
        <f t="shared" si="123"/>
        <v>33</v>
      </c>
      <c r="D289" s="84">
        <f>IF(C289&lt;=ProjectData!B$131,-IPMT(ProjectData!B$132,C289,ProjectData!B$131,ProjectData!B$130*ProjectData!B$107),0)</f>
        <v>382286.76359559898</v>
      </c>
      <c r="E289" s="84">
        <f>IF(C289&lt;=ProjectData!B$131,-PPMT(ProjectData!B$132,C289,ProjectData!B$131,ProjectData!B$107*ProjectData!B$130),0)</f>
        <v>606520.67156376387</v>
      </c>
      <c r="F289" s="84">
        <f t="shared" si="124"/>
        <v>988807.43515936285</v>
      </c>
      <c r="H289" s="348">
        <f t="shared" si="125"/>
        <v>33</v>
      </c>
      <c r="I289" s="84">
        <f>IF(H289&lt;=ProjectData!$B$138,-IPMT(ProjectData!$B$137,H289,ProjectData!$B$138,ProjectData!$B$134*ProjectData!$B$107*ProjectData!$B$135),0)</f>
        <v>0</v>
      </c>
      <c r="J289" s="84">
        <f>IF(H289&lt;=ProjectData!$B$138,-PPMT(ProjectData!$B$137,H289,ProjectData!$B$138,ProjectData!$B$134*ProjectData!$B$107*ProjectData!$B$135),0)</f>
        <v>0</v>
      </c>
      <c r="K289" s="84">
        <f t="shared" si="121"/>
        <v>0</v>
      </c>
      <c r="L289" s="228"/>
      <c r="M289" s="348">
        <f t="shared" si="126"/>
        <v>33</v>
      </c>
      <c r="N289" s="84">
        <f>IF(M289&lt;=ProjectData!$B$138,-IPMT(ProjectData!$B$137,M289,ProjectData!$B$138,ProjectData!$B$134*ProjectData!$B$107*ProjectData!$B$136),0)</f>
        <v>0</v>
      </c>
      <c r="O289" s="84">
        <f>IF(M289&lt;=ProjectData!$B$138,-PPMT(ProjectData!$B$137,M289,ProjectData!$B$138,ProjectData!$B$134*ProjectData!$B$107*ProjectData!$B$136),0)</f>
        <v>0</v>
      </c>
      <c r="P289" s="84">
        <f t="shared" si="122"/>
        <v>0</v>
      </c>
    </row>
    <row r="290" spans="3:16" x14ac:dyDescent="0.2">
      <c r="C290" s="348">
        <f t="shared" si="123"/>
        <v>34</v>
      </c>
      <c r="D290" s="84">
        <f>IF(C290&lt;=ProjectData!B$131,-IPMT(ProjectData!B$132,C290,ProjectData!B$131,ProjectData!B$130*ProjectData!B$107),0)</f>
        <v>344075.96128708188</v>
      </c>
      <c r="E290" s="84">
        <f>IF(C290&lt;=ProjectData!B$131,-PPMT(ProjectData!B$132,C290,ProjectData!B$131,ProjectData!B$107*ProjectData!B$130),0)</f>
        <v>644731.47387228103</v>
      </c>
      <c r="F290" s="84">
        <f t="shared" si="124"/>
        <v>988807.43515936285</v>
      </c>
      <c r="H290" s="348">
        <f t="shared" si="125"/>
        <v>34</v>
      </c>
      <c r="I290" s="84">
        <f>IF(H290&lt;=ProjectData!$B$138,-IPMT(ProjectData!$B$137,H290,ProjectData!$B$138,ProjectData!$B$134*ProjectData!$B$107*ProjectData!$B$135),0)</f>
        <v>0</v>
      </c>
      <c r="J290" s="84">
        <f>IF(H290&lt;=ProjectData!$B$138,-PPMT(ProjectData!$B$137,H290,ProjectData!$B$138,ProjectData!$B$134*ProjectData!$B$107*ProjectData!$B$135),0)</f>
        <v>0</v>
      </c>
      <c r="K290" s="84">
        <f t="shared" si="121"/>
        <v>0</v>
      </c>
      <c r="L290" s="228"/>
      <c r="M290" s="348">
        <f t="shared" si="126"/>
        <v>34</v>
      </c>
      <c r="N290" s="84">
        <f>IF(M290&lt;=ProjectData!$B$138,-IPMT(ProjectData!$B$137,M290,ProjectData!$B$138,ProjectData!$B$134*ProjectData!$B$107*ProjectData!$B$136),0)</f>
        <v>0</v>
      </c>
      <c r="O290" s="84">
        <f>IF(M290&lt;=ProjectData!$B$138,-PPMT(ProjectData!$B$137,M290,ProjectData!$B$138,ProjectData!$B$134*ProjectData!$B$107*ProjectData!$B$136),0)</f>
        <v>0</v>
      </c>
      <c r="P290" s="84">
        <f t="shared" si="122"/>
        <v>0</v>
      </c>
    </row>
    <row r="291" spans="3:16" x14ac:dyDescent="0.2">
      <c r="C291" s="348">
        <f t="shared" si="123"/>
        <v>35</v>
      </c>
      <c r="D291" s="84">
        <f>IF(C291&lt;=ProjectData!B$131,-IPMT(ProjectData!B$132,C291,ProjectData!B$131,ProjectData!B$130*ProjectData!B$107),0)</f>
        <v>303457.87843312812</v>
      </c>
      <c r="E291" s="84">
        <f>IF(C291&lt;=ProjectData!B$131,-PPMT(ProjectData!B$132,C291,ProjectData!B$131,ProjectData!B$107*ProjectData!B$130),0)</f>
        <v>685349.55672623462</v>
      </c>
      <c r="F291" s="84">
        <f t="shared" si="124"/>
        <v>988807.43515936274</v>
      </c>
      <c r="H291" s="348">
        <f t="shared" si="125"/>
        <v>35</v>
      </c>
      <c r="I291" s="84">
        <f>IF(H291&lt;=ProjectData!$B$138,-IPMT(ProjectData!$B$137,H291,ProjectData!$B$138,ProjectData!$B$134*ProjectData!$B$107*ProjectData!$B$135),0)</f>
        <v>0</v>
      </c>
      <c r="J291" s="84">
        <f>IF(H291&lt;=ProjectData!$B$138,-PPMT(ProjectData!$B$137,H291,ProjectData!$B$138,ProjectData!$B$134*ProjectData!$B$107*ProjectData!$B$135),0)</f>
        <v>0</v>
      </c>
      <c r="K291" s="84">
        <f t="shared" si="121"/>
        <v>0</v>
      </c>
      <c r="L291" s="228"/>
      <c r="M291" s="348">
        <f t="shared" si="126"/>
        <v>35</v>
      </c>
      <c r="N291" s="84">
        <f>IF(M291&lt;=ProjectData!$B$138,-IPMT(ProjectData!$B$137,M291,ProjectData!$B$138,ProjectData!$B$134*ProjectData!$B$107*ProjectData!$B$136),0)</f>
        <v>0</v>
      </c>
      <c r="O291" s="84">
        <f>IF(M291&lt;=ProjectData!$B$138,-PPMT(ProjectData!$B$137,M291,ProjectData!$B$138,ProjectData!$B$134*ProjectData!$B$107*ProjectData!$B$136),0)</f>
        <v>0</v>
      </c>
      <c r="P291" s="84">
        <f t="shared" si="122"/>
        <v>0</v>
      </c>
    </row>
    <row r="292" spans="3:16" x14ac:dyDescent="0.2">
      <c r="C292" s="348">
        <f t="shared" si="123"/>
        <v>36</v>
      </c>
      <c r="D292" s="84">
        <f>IF(C292&lt;=ProjectData!B$131,-IPMT(ProjectData!B$132,C292,ProjectData!B$131,ProjectData!B$130*ProjectData!B$107),0)</f>
        <v>260280.85635937541</v>
      </c>
      <c r="E292" s="84">
        <f>IF(C292&lt;=ProjectData!B$131,-PPMT(ProjectData!B$132,C292,ProjectData!B$131,ProjectData!B$107*ProjectData!B$130),0)</f>
        <v>728526.57879998756</v>
      </c>
      <c r="F292" s="84">
        <f t="shared" si="124"/>
        <v>988807.43515936297</v>
      </c>
      <c r="H292" s="348">
        <f t="shared" si="125"/>
        <v>36</v>
      </c>
      <c r="I292" s="84">
        <f>IF(H292&lt;=ProjectData!$B$138,-IPMT(ProjectData!$B$137,H292,ProjectData!$B$138,ProjectData!$B$134*ProjectData!$B$107*ProjectData!$B$135),0)</f>
        <v>0</v>
      </c>
      <c r="J292" s="84">
        <f>IF(H292&lt;=ProjectData!$B$138,-PPMT(ProjectData!$B$137,H292,ProjectData!$B$138,ProjectData!$B$134*ProjectData!$B$107*ProjectData!$B$135),0)</f>
        <v>0</v>
      </c>
      <c r="K292" s="84">
        <f t="shared" si="121"/>
        <v>0</v>
      </c>
      <c r="L292" s="228"/>
      <c r="M292" s="348">
        <f t="shared" si="126"/>
        <v>36</v>
      </c>
      <c r="N292" s="84">
        <f>IF(M292&lt;=ProjectData!$B$138,-IPMT(ProjectData!$B$137,M292,ProjectData!$B$138,ProjectData!$B$134*ProjectData!$B$107*ProjectData!$B$136),0)</f>
        <v>0</v>
      </c>
      <c r="O292" s="84">
        <f>IF(M292&lt;=ProjectData!$B$138,-PPMT(ProjectData!$B$137,M292,ProjectData!$B$138,ProjectData!$B$134*ProjectData!$B$107*ProjectData!$B$136),0)</f>
        <v>0</v>
      </c>
      <c r="P292" s="84">
        <f t="shared" si="122"/>
        <v>0</v>
      </c>
    </row>
    <row r="293" spans="3:16" x14ac:dyDescent="0.2">
      <c r="C293" s="348">
        <f t="shared" si="123"/>
        <v>37</v>
      </c>
      <c r="D293" s="84">
        <f>IF(C293&lt;=ProjectData!B$131,-IPMT(ProjectData!B$132,C293,ProjectData!B$131,ProjectData!B$130*ProjectData!B$107),0)</f>
        <v>214383.68189497618</v>
      </c>
      <c r="E293" s="84">
        <f>IF(C293&lt;=ProjectData!B$131,-PPMT(ProjectData!B$132,C293,ProjectData!B$131,ProjectData!B$107*ProjectData!B$130),0)</f>
        <v>774423.75326438667</v>
      </c>
      <c r="F293" s="84">
        <f t="shared" si="124"/>
        <v>988807.43515936285</v>
      </c>
      <c r="H293" s="348">
        <f t="shared" si="125"/>
        <v>37</v>
      </c>
      <c r="I293" s="84">
        <f>IF(H293&lt;=ProjectData!$B$138,-IPMT(ProjectData!$B$137,H293,ProjectData!$B$138,ProjectData!$B$134*ProjectData!$B$107*ProjectData!$B$135),0)</f>
        <v>0</v>
      </c>
      <c r="J293" s="84">
        <f>IF(H293&lt;=ProjectData!$B$138,-PPMT(ProjectData!$B$137,H293,ProjectData!$B$138,ProjectData!$B$134*ProjectData!$B$107*ProjectData!$B$135),0)</f>
        <v>0</v>
      </c>
      <c r="K293" s="84">
        <f t="shared" si="121"/>
        <v>0</v>
      </c>
      <c r="L293" s="228"/>
      <c r="M293" s="348">
        <f t="shared" si="126"/>
        <v>37</v>
      </c>
      <c r="N293" s="84">
        <f>IF(M293&lt;=ProjectData!$B$138,-IPMT(ProjectData!$B$137,M293,ProjectData!$B$138,ProjectData!$B$134*ProjectData!$B$107*ProjectData!$B$136),0)</f>
        <v>0</v>
      </c>
      <c r="O293" s="84">
        <f>IF(M293&lt;=ProjectData!$B$138,-PPMT(ProjectData!$B$137,M293,ProjectData!$B$138,ProjectData!$B$134*ProjectData!$B$107*ProjectData!$B$136),0)</f>
        <v>0</v>
      </c>
      <c r="P293" s="84">
        <f t="shared" si="122"/>
        <v>0</v>
      </c>
    </row>
    <row r="294" spans="3:16" x14ac:dyDescent="0.2">
      <c r="C294" s="348">
        <f t="shared" si="123"/>
        <v>38</v>
      </c>
      <c r="D294" s="84">
        <f>IF(C294&lt;=ProjectData!B$131,-IPMT(ProjectData!B$132,C294,ProjectData!B$131,ProjectData!B$130*ProjectData!B$107),0)</f>
        <v>165594.98543931983</v>
      </c>
      <c r="E294" s="84">
        <f>IF(C294&lt;=ProjectData!B$131,-PPMT(ProjectData!B$132,C294,ProjectData!B$131,ProjectData!B$107*ProjectData!B$130),0)</f>
        <v>823212.44972004299</v>
      </c>
      <c r="F294" s="84">
        <f t="shared" si="124"/>
        <v>988807.43515936285</v>
      </c>
      <c r="H294" s="348">
        <f t="shared" si="125"/>
        <v>38</v>
      </c>
      <c r="I294" s="84">
        <f>IF(H294&lt;=ProjectData!$B$138,-IPMT(ProjectData!$B$137,H294,ProjectData!$B$138,ProjectData!$B$134*ProjectData!$B$107*ProjectData!$B$135),0)</f>
        <v>0</v>
      </c>
      <c r="J294" s="84">
        <f>IF(H294&lt;=ProjectData!$B$138,-PPMT(ProjectData!$B$137,H294,ProjectData!$B$138,ProjectData!$B$134*ProjectData!$B$107*ProjectData!$B$135),0)</f>
        <v>0</v>
      </c>
      <c r="K294" s="84">
        <f t="shared" si="121"/>
        <v>0</v>
      </c>
      <c r="L294" s="228"/>
      <c r="M294" s="348">
        <f t="shared" si="126"/>
        <v>38</v>
      </c>
      <c r="N294" s="84">
        <f>IF(M294&lt;=ProjectData!$B$138,-IPMT(ProjectData!$B$137,M294,ProjectData!$B$138,ProjectData!$B$134*ProjectData!$B$107*ProjectData!$B$136),0)</f>
        <v>0</v>
      </c>
      <c r="O294" s="84">
        <f>IF(M294&lt;=ProjectData!$B$138,-PPMT(ProjectData!$B$137,M294,ProjectData!$B$138,ProjectData!$B$134*ProjectData!$B$107*ProjectData!$B$136),0)</f>
        <v>0</v>
      </c>
      <c r="P294" s="84">
        <f t="shared" si="122"/>
        <v>0</v>
      </c>
    </row>
    <row r="295" spans="3:16" x14ac:dyDescent="0.2">
      <c r="C295" s="348">
        <f t="shared" si="123"/>
        <v>39</v>
      </c>
      <c r="D295" s="84">
        <f>IF(C295&lt;=ProjectData!B$131,-IPMT(ProjectData!B$132,C295,ProjectData!B$131,ProjectData!B$130*ProjectData!B$107),0)</f>
        <v>113732.60110695711</v>
      </c>
      <c r="E295" s="84">
        <f>IF(C295&lt;=ProjectData!B$131,-PPMT(ProjectData!B$132,C295,ProjectData!B$131,ProjectData!B$107*ProjectData!B$130),0)</f>
        <v>875074.83405240579</v>
      </c>
      <c r="F295" s="84">
        <f t="shared" si="124"/>
        <v>988807.43515936285</v>
      </c>
      <c r="H295" s="348">
        <f t="shared" si="125"/>
        <v>39</v>
      </c>
      <c r="I295" s="84">
        <f>IF(H295&lt;=ProjectData!$B$138,-IPMT(ProjectData!$B$137,H295,ProjectData!$B$138,ProjectData!$B$134*ProjectData!$B$107*ProjectData!$B$135),0)</f>
        <v>0</v>
      </c>
      <c r="J295" s="84">
        <f>IF(H295&lt;=ProjectData!$B$138,-PPMT(ProjectData!$B$137,H295,ProjectData!$B$138,ProjectData!$B$134*ProjectData!$B$107*ProjectData!$B$135),0)</f>
        <v>0</v>
      </c>
      <c r="K295" s="84">
        <f t="shared" si="121"/>
        <v>0</v>
      </c>
      <c r="L295" s="228"/>
      <c r="M295" s="348">
        <f t="shared" si="126"/>
        <v>39</v>
      </c>
      <c r="N295" s="84">
        <f>IF(M295&lt;=ProjectData!$B$138,-IPMT(ProjectData!$B$137,M295,ProjectData!$B$138,ProjectData!$B$134*ProjectData!$B$107*ProjectData!$B$136),0)</f>
        <v>0</v>
      </c>
      <c r="O295" s="84">
        <f>IF(M295&lt;=ProjectData!$B$138,-PPMT(ProjectData!$B$137,M295,ProjectData!$B$138,ProjectData!$B$134*ProjectData!$B$107*ProjectData!$B$136),0)</f>
        <v>0</v>
      </c>
      <c r="P295" s="84">
        <f t="shared" si="122"/>
        <v>0</v>
      </c>
    </row>
    <row r="296" spans="3:16" x14ac:dyDescent="0.2">
      <c r="C296" s="348">
        <f t="shared" si="123"/>
        <v>40</v>
      </c>
      <c r="D296" s="84">
        <f>IF(C296&lt;=ProjectData!B$131,-IPMT(ProjectData!B$132,C296,ProjectData!B$131,ProjectData!B$130*ProjectData!B$107),0)</f>
        <v>58602.886561655563</v>
      </c>
      <c r="E296" s="84">
        <f>IF(C296&lt;=ProjectData!B$131,-PPMT(ProjectData!B$132,C296,ProjectData!B$131,ProjectData!B$107*ProjectData!B$130),0)</f>
        <v>930204.5485977073</v>
      </c>
      <c r="F296" s="84">
        <f t="shared" si="124"/>
        <v>988807.43515936285</v>
      </c>
      <c r="H296" s="348">
        <f t="shared" si="125"/>
        <v>40</v>
      </c>
      <c r="I296" s="84">
        <f>IF(H296&lt;=ProjectData!$B$138,-IPMT(ProjectData!$B$137,H296,ProjectData!$B$138,ProjectData!$B$134*ProjectData!$B$107*ProjectData!$B$135),0)</f>
        <v>0</v>
      </c>
      <c r="J296" s="84">
        <f>IF(H296&lt;=ProjectData!$B$138,-PPMT(ProjectData!$B$137,H296,ProjectData!$B$138,ProjectData!$B$134*ProjectData!$B$107*ProjectData!$B$135),0)</f>
        <v>0</v>
      </c>
      <c r="K296" s="84">
        <f t="shared" si="121"/>
        <v>0</v>
      </c>
      <c r="L296" s="228"/>
      <c r="M296" s="348">
        <f t="shared" si="126"/>
        <v>40</v>
      </c>
      <c r="N296" s="84">
        <f>IF(M296&lt;=ProjectData!$B$138,-IPMT(ProjectData!$B$137,M296,ProjectData!$B$138,ProjectData!$B$134*ProjectData!$B$107*ProjectData!$B$136),0)</f>
        <v>0</v>
      </c>
      <c r="O296" s="84">
        <f>IF(M296&lt;=ProjectData!$B$138,-PPMT(ProjectData!$B$137,M296,ProjectData!$B$138,ProjectData!$B$134*ProjectData!$B$107*ProjectData!$B$136),0)</f>
        <v>0</v>
      </c>
      <c r="P296" s="84">
        <f t="shared" si="122"/>
        <v>0</v>
      </c>
    </row>
    <row r="297" spans="3:16" x14ac:dyDescent="0.2">
      <c r="C297" t="s">
        <v>4</v>
      </c>
      <c r="D297" s="84">
        <f>SUM(D257:D296)</f>
        <v>25219767.865498114</v>
      </c>
      <c r="E297" s="84">
        <f>SUM(E257:E296)</f>
        <v>14332529.540876389</v>
      </c>
      <c r="F297" s="84">
        <f t="shared" si="120"/>
        <v>39552297.406374499</v>
      </c>
      <c r="H297" s="348" t="s">
        <v>4</v>
      </c>
      <c r="I297" s="84">
        <f>SUM(I257:I296)</f>
        <v>0</v>
      </c>
      <c r="J297" s="84">
        <f>SUM(J257:J296)</f>
        <v>0</v>
      </c>
      <c r="K297" s="84">
        <f>J297+I297</f>
        <v>0</v>
      </c>
      <c r="L297" s="228"/>
      <c r="M297" s="348" t="s">
        <v>4</v>
      </c>
      <c r="N297" s="84">
        <f>SUM(N257:N296)</f>
        <v>11281779.781481538</v>
      </c>
      <c r="O297" s="84">
        <f>SUM(O257:O296)</f>
        <v>15526907.002616089</v>
      </c>
      <c r="P297" s="84">
        <f>O297+N297</f>
        <v>26808686.784097627</v>
      </c>
    </row>
    <row r="298" spans="3:16" x14ac:dyDescent="0.2">
      <c r="C298" t="s">
        <v>119</v>
      </c>
      <c r="D298" s="84">
        <f>D297/ProjectData!B131</f>
        <v>630494.19663745281</v>
      </c>
      <c r="E298" s="84">
        <f>E297/ProjectData!B131</f>
        <v>358313.23852190969</v>
      </c>
      <c r="F298" s="84">
        <f t="shared" si="120"/>
        <v>988807.4351593625</v>
      </c>
      <c r="H298" s="348" t="s">
        <v>119</v>
      </c>
      <c r="I298" s="84">
        <f>I297/ProjectData!B138</f>
        <v>0</v>
      </c>
      <c r="J298" s="84">
        <f>J297/ProjectData!B138</f>
        <v>0</v>
      </c>
      <c r="K298" s="84">
        <f>J298+I298</f>
        <v>0</v>
      </c>
      <c r="L298" s="228"/>
      <c r="M298" s="348" t="s">
        <v>119</v>
      </c>
      <c r="N298" s="84">
        <f>N297/ProjectData!B138</f>
        <v>1128177.9781481538</v>
      </c>
      <c r="O298" s="84">
        <f>O297/ProjectData!B138</f>
        <v>1552690.7002616089</v>
      </c>
      <c r="P298" s="84">
        <f>O298+N298</f>
        <v>2680868.6784097627</v>
      </c>
    </row>
    <row r="299" spans="3:16" x14ac:dyDescent="0.2">
      <c r="M299" s="24"/>
    </row>
    <row r="300" spans="3:16" x14ac:dyDescent="0.2">
      <c r="N300" s="104"/>
    </row>
  </sheetData>
  <sheetProtection password="DFD3" sheet="1" objects="1" scenarios="1"/>
  <customSheetViews>
    <customSheetView guid="{55B80D82-F000-11D6-8735-C8E5A357943D}" showRuler="0">
      <selection activeCell="E10" sqref="E10"/>
      <pageMargins left="0.75" right="0.75" top="1" bottom="1" header="0.5" footer="0.5"/>
      <pageSetup orientation="portrait" horizontalDpi="0" verticalDpi="0" copies="0" r:id="rId1"/>
      <headerFooter alignWithMargins="0"/>
    </customSheetView>
  </customSheetViews>
  <phoneticPr fontId="0" type="noConversion"/>
  <conditionalFormatting sqref="AB104:AB105">
    <cfRule type="expression" dxfId="1" priority="2">
      <formula>$B$24="Simple"</formula>
    </cfRule>
  </conditionalFormatting>
  <conditionalFormatting sqref="AB108">
    <cfRule type="expression" dxfId="0" priority="1">
      <formula>$B$24="Simple"</formula>
    </cfRule>
  </conditionalFormatting>
  <pageMargins left="0.75" right="0.75" top="0.25" bottom="0.25" header="0" footer="0.25"/>
  <pageSetup scale="69" orientation="portrait" horizontalDpi="360" verticalDpi="300" r:id="rId2"/>
  <headerFooter alignWithMargins="0">
    <oddFooter>&amp;L&amp;D&amp;CWind Power Plant Economic Impact Model</oddFooter>
  </headerFooter>
  <rowBreaks count="1" manualBreakCount="1">
    <brk id="134" max="16383" man="1"/>
  </rowBreaks>
  <colBreaks count="2" manualBreakCount="2">
    <brk id="24" max="1048575" man="1"/>
    <brk id="31" max="1048575" man="1"/>
  </colBreaks>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O61"/>
  <sheetViews>
    <sheetView workbookViewId="0">
      <selection activeCell="K2" sqref="K2"/>
    </sheetView>
  </sheetViews>
  <sheetFormatPr defaultRowHeight="12.75" x14ac:dyDescent="0.2"/>
  <cols>
    <col min="1" max="1" width="206.5703125" style="228" customWidth="1"/>
    <col min="2" max="2" width="53.140625" style="228" customWidth="1"/>
    <col min="4" max="4" width="12.7109375" customWidth="1"/>
    <col min="5" max="5" width="10.85546875" customWidth="1"/>
    <col min="24" max="26" width="9.5703125" bestFit="1" customWidth="1"/>
    <col min="27" max="30" width="10.5703125" bestFit="1" customWidth="1"/>
    <col min="31" max="33" width="11.5703125" bestFit="1" customWidth="1"/>
    <col min="34" max="36" width="12.5703125" bestFit="1" customWidth="1"/>
    <col min="37" max="38" width="13.7109375" bestFit="1" customWidth="1"/>
  </cols>
  <sheetData>
    <row r="1" spans="1:67" x14ac:dyDescent="0.2">
      <c r="A1" s="224"/>
      <c r="B1" s="224"/>
      <c r="H1" s="14"/>
    </row>
    <row r="2" spans="1:67" x14ac:dyDescent="0.2">
      <c r="A2" s="224"/>
      <c r="B2" s="224"/>
      <c r="C2" s="142" t="str">
        <f>CONCATENATE("Conversion to Year ",E4," dollars and back for consistency with multiplier data.")</f>
        <v>Conversion to Year 2014 dollars and back for consistency with multiplier data.</v>
      </c>
      <c r="G2" s="14"/>
    </row>
    <row r="3" spans="1:67" x14ac:dyDescent="0.2">
      <c r="A3" s="224"/>
      <c r="B3" s="224"/>
      <c r="C3" s="142"/>
      <c r="G3" s="14"/>
    </row>
    <row r="4" spans="1:67" x14ac:dyDescent="0.2">
      <c r="A4" s="224"/>
      <c r="B4" s="224"/>
      <c r="C4" s="23" t="s">
        <v>159</v>
      </c>
      <c r="E4">
        <f>IF(ProjectData!B16="MYCOUNTY",'User Add-in Location'!D3,IF(ProjectData!B16="MYREGION",'User Add-in Location'!D4,Multipliers!D2))</f>
        <v>2014</v>
      </c>
      <c r="F4" s="149" t="str">
        <f>IF(E4=0,"ERROR","")</f>
        <v/>
      </c>
      <c r="G4" s="14" t="s">
        <v>160</v>
      </c>
      <c r="I4" s="1" t="str">
        <f>ProjectData!B16</f>
        <v>Texas</v>
      </c>
    </row>
    <row r="5" spans="1:67" ht="23.25" x14ac:dyDescent="0.35">
      <c r="A5" s="225" t="s">
        <v>220</v>
      </c>
      <c r="B5" s="225"/>
      <c r="C5" s="23" t="s">
        <v>161</v>
      </c>
      <c r="E5">
        <f>+ProjectData!B50</f>
        <v>2012</v>
      </c>
    </row>
    <row r="6" spans="1:67" x14ac:dyDescent="0.2">
      <c r="A6" s="224"/>
      <c r="B6" s="224"/>
      <c r="F6" s="148"/>
    </row>
    <row r="7" spans="1:67" ht="15.75" x14ac:dyDescent="0.25">
      <c r="A7" s="226" t="s">
        <v>221</v>
      </c>
      <c r="B7" s="226"/>
      <c r="C7" s="228"/>
      <c r="D7" s="228" t="s">
        <v>72</v>
      </c>
      <c r="E7" s="282"/>
      <c r="F7" s="282">
        <f>HLOOKUP($E$5,$D$11:$AM$39,$D$51)</f>
        <v>1.048564068314092</v>
      </c>
      <c r="G7" s="228"/>
      <c r="H7" s="228"/>
      <c r="I7" s="228"/>
      <c r="J7" s="228"/>
      <c r="K7" s="228"/>
      <c r="L7" s="228"/>
      <c r="M7" s="228"/>
      <c r="N7" s="228"/>
      <c r="O7" s="228"/>
      <c r="P7" s="228"/>
      <c r="Q7" s="228"/>
      <c r="R7" s="228"/>
      <c r="S7" s="228"/>
      <c r="T7" s="228"/>
      <c r="U7" s="228"/>
      <c r="V7" s="228"/>
      <c r="W7" s="228"/>
      <c r="X7" s="228"/>
      <c r="Y7" s="228"/>
      <c r="Z7" s="228"/>
      <c r="AA7" s="228"/>
      <c r="AB7" s="228"/>
      <c r="AC7" s="228"/>
      <c r="AD7" s="228"/>
      <c r="AE7" s="228"/>
      <c r="AF7" s="228"/>
      <c r="AG7" s="228"/>
      <c r="AH7" s="228"/>
      <c r="AI7" s="228"/>
      <c r="AJ7" s="228"/>
      <c r="AK7" s="228"/>
      <c r="AL7" s="228"/>
      <c r="AM7" s="228"/>
    </row>
    <row r="8" spans="1:67" ht="15" x14ac:dyDescent="0.2">
      <c r="A8" s="227"/>
      <c r="B8" s="227"/>
      <c r="C8" s="228"/>
      <c r="D8" s="228" t="s">
        <v>144</v>
      </c>
      <c r="E8" s="282"/>
      <c r="F8" s="282">
        <f>HLOOKUP($E$5,$D$11:$AM$39,$D$52)</f>
        <v>0.96661440560730427</v>
      </c>
      <c r="G8" s="228"/>
      <c r="H8" s="228"/>
      <c r="I8" s="228"/>
      <c r="J8" s="228"/>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28"/>
      <c r="AJ8" s="228"/>
      <c r="AK8" s="228"/>
      <c r="AL8" s="228"/>
      <c r="AM8" s="228"/>
    </row>
    <row r="9" spans="1:67" ht="15.75" x14ac:dyDescent="0.25">
      <c r="A9" s="226" t="s">
        <v>222</v>
      </c>
      <c r="B9" s="226"/>
      <c r="C9" s="228"/>
      <c r="D9" s="230"/>
      <c r="E9" s="230"/>
      <c r="F9" s="230"/>
      <c r="G9" s="228"/>
      <c r="H9" s="228"/>
      <c r="I9" s="228"/>
      <c r="J9" s="228"/>
      <c r="K9" s="228"/>
      <c r="L9" s="228"/>
      <c r="M9" s="228"/>
      <c r="N9" s="228"/>
      <c r="O9" s="228"/>
      <c r="P9" s="228"/>
      <c r="Q9" s="230"/>
      <c r="R9" s="230"/>
      <c r="S9" s="230"/>
      <c r="T9" s="230"/>
      <c r="U9" s="230"/>
      <c r="V9" s="230"/>
      <c r="W9" s="230"/>
      <c r="X9" s="230"/>
      <c r="Y9" s="230"/>
      <c r="Z9" s="230"/>
      <c r="AA9" s="230"/>
      <c r="AB9" s="230"/>
      <c r="AC9" s="230"/>
      <c r="AD9" s="230"/>
      <c r="AE9" s="230"/>
      <c r="AF9" s="230"/>
      <c r="AG9" s="230"/>
      <c r="AH9" s="230"/>
      <c r="AI9" s="230"/>
      <c r="AJ9" s="230"/>
      <c r="AK9" s="230"/>
      <c r="AL9" s="230"/>
      <c r="AM9" s="228"/>
    </row>
    <row r="10" spans="1:67" ht="15.75" x14ac:dyDescent="0.25">
      <c r="A10" s="226"/>
      <c r="B10" s="226"/>
      <c r="C10" s="228"/>
      <c r="D10" s="231"/>
      <c r="E10" s="231"/>
      <c r="F10" s="231"/>
      <c r="G10" s="231"/>
      <c r="H10" s="231"/>
      <c r="I10" s="231"/>
      <c r="J10" s="231"/>
      <c r="K10" s="231"/>
      <c r="L10" s="231"/>
      <c r="M10" s="228"/>
      <c r="N10" s="228"/>
      <c r="O10" s="228"/>
      <c r="P10" s="228"/>
      <c r="Q10" s="228"/>
      <c r="R10" s="228"/>
      <c r="S10" s="228"/>
      <c r="T10" s="228"/>
      <c r="U10" s="228"/>
      <c r="V10" s="230"/>
      <c r="W10" s="228"/>
      <c r="X10" s="228"/>
      <c r="Y10" s="228"/>
      <c r="Z10" s="228"/>
      <c r="AA10" s="228"/>
      <c r="AB10" s="228"/>
      <c r="AC10" s="228"/>
      <c r="AD10" s="228"/>
      <c r="AE10" s="228"/>
      <c r="AF10" s="228"/>
      <c r="AG10" s="228"/>
      <c r="AH10" s="228"/>
      <c r="AI10" s="228"/>
      <c r="AJ10" s="228"/>
      <c r="AK10" s="228"/>
      <c r="AL10" s="228"/>
      <c r="AM10" s="228"/>
    </row>
    <row r="11" spans="1:67" ht="15.75" x14ac:dyDescent="0.25">
      <c r="A11" s="291" t="s">
        <v>223</v>
      </c>
      <c r="B11" s="291"/>
      <c r="C11" s="233"/>
      <c r="D11" s="441">
        <v>2005</v>
      </c>
      <c r="E11" s="441">
        <v>2006</v>
      </c>
      <c r="F11" s="441">
        <v>2007</v>
      </c>
      <c r="G11" s="441">
        <v>2008</v>
      </c>
      <c r="H11" s="441">
        <v>2009</v>
      </c>
      <c r="I11" s="441">
        <v>2010</v>
      </c>
      <c r="J11" s="441">
        <v>2011</v>
      </c>
      <c r="K11" s="441">
        <v>2012</v>
      </c>
      <c r="L11" s="441">
        <v>2013</v>
      </c>
      <c r="M11" s="441">
        <v>2014</v>
      </c>
      <c r="N11" s="441">
        <v>2015</v>
      </c>
      <c r="O11" s="441">
        <v>2016</v>
      </c>
      <c r="P11" s="441">
        <v>2017</v>
      </c>
      <c r="Q11" s="441">
        <v>2018</v>
      </c>
      <c r="R11" s="441">
        <v>2019</v>
      </c>
      <c r="S11" s="441">
        <v>2020</v>
      </c>
      <c r="T11" s="441">
        <v>2021</v>
      </c>
      <c r="U11" s="441">
        <v>2022</v>
      </c>
      <c r="V11" s="441">
        <v>2023</v>
      </c>
      <c r="W11" s="441">
        <v>2024</v>
      </c>
      <c r="X11" s="441">
        <v>2025</v>
      </c>
      <c r="Y11" s="441">
        <v>2026</v>
      </c>
      <c r="Z11" s="441">
        <v>2027</v>
      </c>
      <c r="AA11" s="441">
        <v>2028</v>
      </c>
      <c r="AB11" s="441">
        <v>2029</v>
      </c>
      <c r="AC11" s="441">
        <v>2030</v>
      </c>
      <c r="AD11" s="441">
        <v>2031</v>
      </c>
      <c r="AE11" s="441">
        <v>2032</v>
      </c>
      <c r="AF11" s="441">
        <v>2033</v>
      </c>
      <c r="AG11" s="441">
        <v>2034</v>
      </c>
      <c r="AH11" s="441">
        <v>2035</v>
      </c>
      <c r="AI11" s="441">
        <v>2036</v>
      </c>
      <c r="AJ11" s="441">
        <v>2037</v>
      </c>
      <c r="AK11" s="441">
        <v>2038</v>
      </c>
      <c r="AL11" s="441">
        <v>2039</v>
      </c>
      <c r="AM11" s="441">
        <v>2040</v>
      </c>
      <c r="AN11" s="233"/>
      <c r="AO11" s="233"/>
      <c r="AP11" s="233"/>
      <c r="AQ11" s="233"/>
      <c r="AR11" s="233"/>
      <c r="AS11" s="233"/>
      <c r="AT11" s="233"/>
      <c r="AU11" s="233"/>
      <c r="AV11" s="233"/>
      <c r="AW11" s="233"/>
      <c r="AX11" s="233"/>
      <c r="AY11" s="233"/>
      <c r="AZ11" s="233"/>
      <c r="BA11" s="233"/>
      <c r="BB11" s="233"/>
      <c r="BC11" s="233"/>
      <c r="BD11" s="233"/>
      <c r="BE11" s="233"/>
      <c r="BF11" s="233"/>
      <c r="BG11" s="233"/>
      <c r="BH11" s="233"/>
      <c r="BI11" s="233"/>
      <c r="BJ11" s="233"/>
      <c r="BK11" s="233"/>
      <c r="BL11" s="233"/>
      <c r="BM11" s="233"/>
      <c r="BN11" s="233"/>
      <c r="BO11" s="233"/>
    </row>
    <row r="12" spans="1:67" x14ac:dyDescent="0.2">
      <c r="A12" s="224"/>
      <c r="B12" s="224"/>
      <c r="C12" s="593" t="s">
        <v>225</v>
      </c>
      <c r="D12" s="61">
        <v>0.94289549772821146</v>
      </c>
      <c r="E12" s="61">
        <v>0.97356464270962406</v>
      </c>
      <c r="F12" s="61">
        <v>1</v>
      </c>
      <c r="G12" s="61">
        <v>1.0207558859975217</v>
      </c>
      <c r="H12" s="61">
        <v>1.0326311441553078</v>
      </c>
      <c r="I12" s="61">
        <v>1.0417182982238744</v>
      </c>
      <c r="J12" s="61">
        <v>1.0628872366790583</v>
      </c>
      <c r="K12" s="61">
        <v>1.082300702189178</v>
      </c>
      <c r="L12" s="61">
        <v>1.1008880627839737</v>
      </c>
      <c r="M12" s="61">
        <v>1.1196819496076003</v>
      </c>
      <c r="N12" s="61">
        <v>1.1348616274266832</v>
      </c>
      <c r="O12" s="61">
        <v>1.1528294093349856</v>
      </c>
      <c r="P12" s="61">
        <v>1.1734820322180917</v>
      </c>
      <c r="Q12" s="61">
        <v>1.1961999173895086</v>
      </c>
      <c r="R12" s="61">
        <v>1.2201569599339115</v>
      </c>
      <c r="S12" s="61">
        <v>1.2446303180503924</v>
      </c>
      <c r="T12" s="61">
        <v>1.2666461495080106</v>
      </c>
      <c r="U12" s="61">
        <v>1.2890514113271916</v>
      </c>
      <c r="V12" s="61">
        <v>1.3118529920057327</v>
      </c>
      <c r="W12" s="61">
        <v>1.3350579018896658</v>
      </c>
      <c r="X12" s="61">
        <v>1.3586732753285877</v>
      </c>
      <c r="Y12" s="61">
        <v>1.3827063728691165</v>
      </c>
      <c r="Z12" s="61">
        <v>1.4071645834871456</v>
      </c>
      <c r="AA12" s="61">
        <v>1.4320554268595855</v>
      </c>
      <c r="AB12" s="61">
        <v>1.4573865556762882</v>
      </c>
      <c r="AC12" s="61">
        <v>1.4831657579928661</v>
      </c>
      <c r="AD12" s="61">
        <v>1.5094009596251305</v>
      </c>
      <c r="AE12" s="61">
        <v>1.5361002265858834</v>
      </c>
      <c r="AF12" s="61">
        <v>1.5632717675648127</v>
      </c>
      <c r="AG12" s="61">
        <v>1.5909239364522545</v>
      </c>
      <c r="AH12" s="61">
        <v>1.6190652349075965</v>
      </c>
      <c r="AI12" s="61">
        <v>1.6477043149731132</v>
      </c>
      <c r="AJ12" s="61">
        <v>1.6768499817340363</v>
      </c>
      <c r="AK12" s="61">
        <v>1.706511196025678</v>
      </c>
      <c r="AL12" s="61">
        <v>1.73669707718844</v>
      </c>
      <c r="AM12" s="61">
        <v>1.767416905871555</v>
      </c>
    </row>
    <row r="13" spans="1:67" x14ac:dyDescent="0.2">
      <c r="A13" s="224"/>
      <c r="B13" s="224"/>
      <c r="C13" s="593"/>
      <c r="D13" s="61">
        <v>1.0605629175336766</v>
      </c>
      <c r="E13" s="61">
        <v>1.0271531607976241</v>
      </c>
      <c r="F13" s="61">
        <v>1</v>
      </c>
      <c r="G13" s="61">
        <v>0.97966616084977243</v>
      </c>
      <c r="H13" s="61">
        <v>0.96839999999999993</v>
      </c>
      <c r="I13" s="61">
        <v>0.95995241871530534</v>
      </c>
      <c r="J13" s="61">
        <v>0.94083357621684638</v>
      </c>
      <c r="K13" s="61">
        <v>0.92395763762999716</v>
      </c>
      <c r="L13" s="61">
        <v>0.90835756495638298</v>
      </c>
      <c r="M13" s="61">
        <v>0.89311076270404866</v>
      </c>
      <c r="N13" s="61">
        <v>0.88116469517743401</v>
      </c>
      <c r="O13" s="61">
        <v>0.86743102830526686</v>
      </c>
      <c r="P13" s="61">
        <v>0.85216473072861676</v>
      </c>
      <c r="Q13" s="61">
        <v>0.83598066298342533</v>
      </c>
      <c r="R13" s="61">
        <v>0.81956668923493581</v>
      </c>
      <c r="S13" s="61">
        <v>0.80345142288227001</v>
      </c>
      <c r="T13" s="61">
        <v>0.78948647212042522</v>
      </c>
      <c r="U13" s="61">
        <v>0.77576424897623919</v>
      </c>
      <c r="V13" s="61">
        <v>0.76228053455217493</v>
      </c>
      <c r="W13" s="61">
        <v>0.74903118328020191</v>
      </c>
      <c r="X13" s="61">
        <v>0.73601212164724106</v>
      </c>
      <c r="Y13" s="61">
        <v>0.7232193469427638</v>
      </c>
      <c r="Z13" s="61">
        <v>0.71064892602815777</v>
      </c>
      <c r="AA13" s="61">
        <v>0.69829699412748425</v>
      </c>
      <c r="AB13" s="61">
        <v>0.68615975363925208</v>
      </c>
      <c r="AC13" s="61">
        <v>0.67423347296884528</v>
      </c>
      <c r="AD13" s="61">
        <v>0.66251448538124447</v>
      </c>
      <c r="AE13" s="61">
        <v>0.65099918787368916</v>
      </c>
      <c r="AF13" s="61">
        <v>0.63968404006793422</v>
      </c>
      <c r="AG13" s="61">
        <v>0.62856556312176093</v>
      </c>
      <c r="AH13" s="61">
        <v>0.61764033865940682</v>
      </c>
      <c r="AI13" s="61">
        <v>0.60690500772058587</v>
      </c>
      <c r="AJ13" s="61">
        <v>0.59635626972777644</v>
      </c>
      <c r="AK13" s="61">
        <v>0.5859908814714585</v>
      </c>
      <c r="AL13" s="61">
        <v>0.57580565611298895</v>
      </c>
      <c r="AM13" s="61">
        <v>0.56579746220480809</v>
      </c>
    </row>
    <row r="14" spans="1:67" x14ac:dyDescent="0.2">
      <c r="A14" s="224"/>
      <c r="B14" s="224"/>
      <c r="C14" s="593" t="s">
        <v>226</v>
      </c>
      <c r="D14" s="61">
        <v>0.92372281234193221</v>
      </c>
      <c r="E14" s="61">
        <v>0.95376833586241772</v>
      </c>
      <c r="F14" s="61">
        <v>0.97966616084977243</v>
      </c>
      <c r="G14" s="61">
        <v>1</v>
      </c>
      <c r="H14" s="61">
        <v>1.0116337885685383</v>
      </c>
      <c r="I14" s="61">
        <v>1.0205361659079413</v>
      </c>
      <c r="J14" s="61">
        <v>1.0412746585735964</v>
      </c>
      <c r="K14" s="61">
        <v>1.0602933737986848</v>
      </c>
      <c r="L14" s="61">
        <v>1.0785027819929185</v>
      </c>
      <c r="M14" s="61">
        <v>1.096914516944866</v>
      </c>
      <c r="N14" s="61">
        <v>1.1117855336368234</v>
      </c>
      <c r="O14" s="61">
        <v>1.1293879615579161</v>
      </c>
      <c r="P14" s="61">
        <v>1.1496206373292868</v>
      </c>
      <c r="Q14" s="61">
        <v>1.1718765806777947</v>
      </c>
      <c r="R14" s="61">
        <v>1.1953464845725847</v>
      </c>
      <c r="S14" s="61">
        <v>1.219322205361659</v>
      </c>
      <c r="T14" s="61">
        <v>1.2408903704436596</v>
      </c>
      <c r="U14" s="61">
        <v>1.2628400472728905</v>
      </c>
      <c r="V14" s="61">
        <v>1.2851779842775433</v>
      </c>
      <c r="W14" s="61">
        <v>1.307911049256401</v>
      </c>
      <c r="X14" s="61">
        <v>1.3310462314903435</v>
      </c>
      <c r="Y14" s="61">
        <v>1.3545906438912014</v>
      </c>
      <c r="Z14" s="61">
        <v>1.3785515251886211</v>
      </c>
      <c r="AA14" s="61">
        <v>1.4029362421556124</v>
      </c>
      <c r="AB14" s="61">
        <v>1.4277522918734626</v>
      </c>
      <c r="AC14" s="61">
        <v>1.4530073040367142</v>
      </c>
      <c r="AD14" s="61">
        <v>1.4787090432989145</v>
      </c>
      <c r="AE14" s="61">
        <v>1.5048654116598583</v>
      </c>
      <c r="AF14" s="61">
        <v>1.5314844508950582</v>
      </c>
      <c r="AG14" s="61">
        <v>1.5585743450281879</v>
      </c>
      <c r="AH14" s="61">
        <v>1.5861434228472604</v>
      </c>
      <c r="AI14" s="61">
        <v>1.6142001604653144</v>
      </c>
      <c r="AJ14" s="61">
        <v>1.6427531839263947</v>
      </c>
      <c r="AK14" s="61">
        <v>1.6718112718576297</v>
      </c>
      <c r="AL14" s="61">
        <v>1.7013833581682203</v>
      </c>
      <c r="AM14" s="61">
        <v>1.7314785347961703</v>
      </c>
      <c r="AN14" s="233"/>
      <c r="AO14" s="233"/>
      <c r="AP14" s="233"/>
      <c r="AQ14" s="233"/>
      <c r="AR14" s="233"/>
      <c r="AS14" s="233"/>
      <c r="AT14" s="233"/>
      <c r="AU14" s="233"/>
      <c r="AV14" s="233"/>
      <c r="AW14" s="233"/>
      <c r="AX14" s="233"/>
      <c r="AY14" s="233"/>
      <c r="AZ14" s="233"/>
      <c r="BA14" s="233"/>
      <c r="BB14" s="233"/>
      <c r="BC14" s="233"/>
      <c r="BD14" s="233"/>
      <c r="BE14" s="233"/>
      <c r="BF14" s="233"/>
      <c r="BG14" s="233"/>
      <c r="BH14" s="233"/>
      <c r="BI14" s="233"/>
      <c r="BJ14" s="233"/>
      <c r="BK14" s="233"/>
      <c r="BL14" s="233"/>
      <c r="BM14" s="233"/>
      <c r="BN14" s="233"/>
      <c r="BO14" s="233"/>
    </row>
    <row r="15" spans="1:67" x14ac:dyDescent="0.2">
      <c r="A15" s="224"/>
      <c r="B15" s="224"/>
      <c r="C15" s="593"/>
      <c r="D15" s="61">
        <v>1.0825758405432044</v>
      </c>
      <c r="E15" s="61">
        <v>1.0484726347051336</v>
      </c>
      <c r="F15" s="61">
        <v>1.0207558859975217</v>
      </c>
      <c r="G15" s="61">
        <v>1</v>
      </c>
      <c r="H15" s="61">
        <v>0.98849999999999993</v>
      </c>
      <c r="I15" s="61">
        <v>0.97987708168120546</v>
      </c>
      <c r="J15" s="61">
        <v>0.96036141066744385</v>
      </c>
      <c r="K15" s="61">
        <v>0.94313519702318482</v>
      </c>
      <c r="L15" s="61">
        <v>0.92721133101960418</v>
      </c>
      <c r="M15" s="61">
        <v>0.91164806787789354</v>
      </c>
      <c r="N15" s="61">
        <v>0.8994540491355778</v>
      </c>
      <c r="O15" s="61">
        <v>0.88543532783948398</v>
      </c>
      <c r="P15" s="61">
        <v>0.86985216473072868</v>
      </c>
      <c r="Q15" s="61">
        <v>0.85333218232044195</v>
      </c>
      <c r="R15" s="61">
        <v>0.83657752200406232</v>
      </c>
      <c r="S15" s="61">
        <v>0.82012776902016093</v>
      </c>
      <c r="T15" s="61">
        <v>0.80587296333234237</v>
      </c>
      <c r="U15" s="61">
        <v>0.79186592328894312</v>
      </c>
      <c r="V15" s="61">
        <v>0.77810234242546983</v>
      </c>
      <c r="W15" s="61">
        <v>0.76457798912895447</v>
      </c>
      <c r="X15" s="61">
        <v>0.75128870533694514</v>
      </c>
      <c r="Y15" s="61">
        <v>0.73823040525910977</v>
      </c>
      <c r="Z15" s="61">
        <v>0.72539907412105931</v>
      </c>
      <c r="AA15" s="61">
        <v>0.71279076693000631</v>
      </c>
      <c r="AB15" s="61">
        <v>0.70040160726187572</v>
      </c>
      <c r="AC15" s="61">
        <v>0.68822778606949953</v>
      </c>
      <c r="AD15" s="61">
        <v>0.67626556051152409</v>
      </c>
      <c r="AE15" s="61">
        <v>0.66451125280167445</v>
      </c>
      <c r="AF15" s="61">
        <v>0.65296124907801811</v>
      </c>
      <c r="AG15" s="61">
        <v>0.64161199829188409</v>
      </c>
      <c r="AH15" s="61">
        <v>0.63046001111609196</v>
      </c>
      <c r="AI15" s="61">
        <v>0.61950185887215925</v>
      </c>
      <c r="AJ15" s="61">
        <v>0.60873417247615336</v>
      </c>
      <c r="AK15" s="61">
        <v>0.5981536414028672</v>
      </c>
      <c r="AL15" s="61">
        <v>0.58775701266799818</v>
      </c>
      <c r="AM15" s="61">
        <v>0.57754108982801799</v>
      </c>
    </row>
    <row r="16" spans="1:67" x14ac:dyDescent="0.2">
      <c r="A16" s="224"/>
      <c r="B16" s="224"/>
      <c r="C16" s="593" t="s">
        <v>252</v>
      </c>
      <c r="D16" s="61">
        <v>0.91310000000000002</v>
      </c>
      <c r="E16" s="61">
        <v>0.94279999999999997</v>
      </c>
      <c r="F16" s="61">
        <v>0.96840000000000004</v>
      </c>
      <c r="G16" s="61">
        <v>0.98850000000000005</v>
      </c>
      <c r="H16" s="61">
        <v>1</v>
      </c>
      <c r="I16" s="61">
        <v>1.0087999999999999</v>
      </c>
      <c r="J16" s="61">
        <v>1.0293000000000001</v>
      </c>
      <c r="K16" s="61">
        <v>1.0481</v>
      </c>
      <c r="L16" s="61">
        <v>1.0661</v>
      </c>
      <c r="M16" s="61">
        <v>1.0843</v>
      </c>
      <c r="N16" s="61">
        <v>1.099</v>
      </c>
      <c r="O16" s="61">
        <v>1.1164000000000001</v>
      </c>
      <c r="P16" s="61">
        <v>1.1364000000000001</v>
      </c>
      <c r="Q16" s="61">
        <v>1.1584000000000001</v>
      </c>
      <c r="R16" s="61">
        <v>1.1816</v>
      </c>
      <c r="S16" s="61">
        <v>1.2053</v>
      </c>
      <c r="T16" s="61">
        <v>1.2266201311835576</v>
      </c>
      <c r="U16" s="61">
        <v>1.2483173867292525</v>
      </c>
      <c r="V16" s="61">
        <v>1.2703984374583517</v>
      </c>
      <c r="W16" s="61">
        <v>1.2928700721899526</v>
      </c>
      <c r="X16" s="61">
        <v>1.3157391998282046</v>
      </c>
      <c r="Y16" s="61">
        <v>1.3390128514864525</v>
      </c>
      <c r="Z16" s="61">
        <v>1.3626981826489519</v>
      </c>
      <c r="AA16" s="61">
        <v>1.3868024753708228</v>
      </c>
      <c r="AB16" s="61">
        <v>1.4113331405169178</v>
      </c>
      <c r="AC16" s="61">
        <v>1.436297720040292</v>
      </c>
      <c r="AD16" s="61">
        <v>1.4617038893009771</v>
      </c>
      <c r="AE16" s="61">
        <v>1.4875594594257702</v>
      </c>
      <c r="AF16" s="61">
        <v>1.5138723797097653</v>
      </c>
      <c r="AG16" s="61">
        <v>1.540650740060364</v>
      </c>
      <c r="AH16" s="61">
        <v>1.5679027734845172</v>
      </c>
      <c r="AI16" s="61">
        <v>1.5956368586199636</v>
      </c>
      <c r="AJ16" s="61">
        <v>1.6238615223112416</v>
      </c>
      <c r="AK16" s="61">
        <v>1.6525854422312674</v>
      </c>
      <c r="AL16" s="61">
        <v>1.6818174495492861</v>
      </c>
      <c r="AM16" s="61">
        <v>1.7115665316460147</v>
      </c>
    </row>
    <row r="17" spans="1:67" x14ac:dyDescent="0.2">
      <c r="A17" s="224"/>
      <c r="B17" s="224"/>
      <c r="C17" s="593"/>
      <c r="D17" s="61">
        <v>1.0951702989814915</v>
      </c>
      <c r="E17" s="61">
        <v>1.0606703436571914</v>
      </c>
      <c r="F17" s="61">
        <v>1.0326311441553078</v>
      </c>
      <c r="G17" s="61">
        <v>1.0116337885685383</v>
      </c>
      <c r="H17" s="61">
        <v>1</v>
      </c>
      <c r="I17" s="61">
        <v>0.99127676447264079</v>
      </c>
      <c r="J17" s="61">
        <v>0.97153405226853196</v>
      </c>
      <c r="K17" s="61">
        <v>0.95410743249689911</v>
      </c>
      <c r="L17" s="61">
        <v>0.93799831160303904</v>
      </c>
      <c r="M17" s="61">
        <v>0.92225398874850129</v>
      </c>
      <c r="N17" s="61">
        <v>0.90991810737033674</v>
      </c>
      <c r="O17" s="61">
        <v>0.8957362952346829</v>
      </c>
      <c r="P17" s="61">
        <v>0.87997184090109115</v>
      </c>
      <c r="Q17" s="61">
        <v>0.86325966850828717</v>
      </c>
      <c r="R17" s="61">
        <v>0.84631008801624918</v>
      </c>
      <c r="S17" s="61">
        <v>0.82966896208412844</v>
      </c>
      <c r="T17" s="61">
        <v>0.81524831900085204</v>
      </c>
      <c r="U17" s="61">
        <v>0.8010783240151168</v>
      </c>
      <c r="V17" s="61">
        <v>0.78715462056193186</v>
      </c>
      <c r="W17" s="61">
        <v>0.77347292779863863</v>
      </c>
      <c r="X17" s="61">
        <v>0.76002903928876597</v>
      </c>
      <c r="Y17" s="61">
        <v>0.74681882170876046</v>
      </c>
      <c r="Z17" s="61">
        <v>0.73383821357719714</v>
      </c>
      <c r="AA17" s="61">
        <v>0.72108322400607616</v>
      </c>
      <c r="AB17" s="61">
        <v>0.70854993147382472</v>
      </c>
      <c r="AC17" s="61">
        <v>0.69623448261962517</v>
      </c>
      <c r="AD17" s="61">
        <v>0.68413309105869913</v>
      </c>
      <c r="AE17" s="61">
        <v>0.67224203621818346</v>
      </c>
      <c r="AF17" s="61">
        <v>0.6605576621932403</v>
      </c>
      <c r="AG17" s="61">
        <v>0.64907637662304907</v>
      </c>
      <c r="AH17" s="61">
        <v>0.63779464958633469</v>
      </c>
      <c r="AI17" s="61">
        <v>0.62670901251609423</v>
      </c>
      <c r="AJ17" s="61">
        <v>0.61581605713318477</v>
      </c>
      <c r="AK17" s="61">
        <v>0.60511243439844919</v>
      </c>
      <c r="AL17" s="61">
        <v>0.59459485348305319</v>
      </c>
      <c r="AM17" s="61">
        <v>0.5842600807567202</v>
      </c>
      <c r="AN17" s="233"/>
      <c r="AO17" s="233"/>
      <c r="AP17" s="233"/>
      <c r="AQ17" s="233"/>
      <c r="AR17" s="233"/>
      <c r="AS17" s="233"/>
      <c r="AT17" s="233"/>
      <c r="AU17" s="233"/>
      <c r="AV17" s="233"/>
      <c r="AW17" s="233"/>
      <c r="AX17" s="233"/>
      <c r="AY17" s="233"/>
      <c r="AZ17" s="233"/>
      <c r="BA17" s="233"/>
      <c r="BB17" s="233"/>
      <c r="BC17" s="233"/>
      <c r="BD17" s="233"/>
      <c r="BE17" s="233"/>
      <c r="BF17" s="233"/>
      <c r="BG17" s="233"/>
      <c r="BH17" s="233"/>
      <c r="BI17" s="233"/>
      <c r="BJ17" s="233"/>
      <c r="BK17" s="233"/>
      <c r="BL17" s="233"/>
      <c r="BM17" s="233"/>
      <c r="BN17" s="233"/>
      <c r="BO17" s="233"/>
    </row>
    <row r="18" spans="1:67" ht="15.75" x14ac:dyDescent="0.25">
      <c r="A18" s="226" t="s">
        <v>224</v>
      </c>
      <c r="B18" s="226"/>
      <c r="C18" s="593" t="s">
        <v>253</v>
      </c>
      <c r="D18" s="61">
        <v>0.90513481363996839</v>
      </c>
      <c r="E18" s="61">
        <v>0.93457573354480572</v>
      </c>
      <c r="F18" s="61">
        <v>0.95995241871530546</v>
      </c>
      <c r="G18" s="61">
        <v>0.97987708168120546</v>
      </c>
      <c r="H18" s="61">
        <v>0.99127676447264079</v>
      </c>
      <c r="I18" s="61">
        <v>1</v>
      </c>
      <c r="J18" s="61">
        <v>1.0203211736716893</v>
      </c>
      <c r="K18" s="61">
        <v>1.0389571768437749</v>
      </c>
      <c r="L18" s="61">
        <v>1.0568001586042826</v>
      </c>
      <c r="M18" s="61">
        <v>1.0748413957176846</v>
      </c>
      <c r="N18" s="61">
        <v>1.0894131641554323</v>
      </c>
      <c r="O18" s="61">
        <v>1.1066613798572562</v>
      </c>
      <c r="P18" s="61">
        <v>1.1264869151467092</v>
      </c>
      <c r="Q18" s="61">
        <v>1.1482950039651072</v>
      </c>
      <c r="R18" s="61">
        <v>1.1712926249008724</v>
      </c>
      <c r="S18" s="61">
        <v>1.1947858842188741</v>
      </c>
      <c r="T18" s="61">
        <v>1.2159200348766432</v>
      </c>
      <c r="U18" s="61">
        <v>1.2374280201519157</v>
      </c>
      <c r="V18" s="61">
        <v>1.2593164526748135</v>
      </c>
      <c r="W18" s="61">
        <v>1.2815920620439658</v>
      </c>
      <c r="X18" s="61">
        <v>1.3042616968955243</v>
      </c>
      <c r="Y18" s="61">
        <v>1.3273323270087756</v>
      </c>
      <c r="Z18" s="61">
        <v>1.350811045449001</v>
      </c>
      <c r="AA18" s="61">
        <v>1.3747050707482387</v>
      </c>
      <c r="AB18" s="61">
        <v>1.3990217491246215</v>
      </c>
      <c r="AC18" s="61">
        <v>1.4237685567409719</v>
      </c>
      <c r="AD18" s="61">
        <v>1.4489531020033479</v>
      </c>
      <c r="AE18" s="61">
        <v>1.4745831279002481</v>
      </c>
      <c r="AF18" s="61">
        <v>1.5006665143831934</v>
      </c>
      <c r="AG18" s="61">
        <v>1.5272112807894174</v>
      </c>
      <c r="AH18" s="61">
        <v>1.5542255883074123</v>
      </c>
      <c r="AI18" s="61">
        <v>1.5817177424860864</v>
      </c>
      <c r="AJ18" s="61">
        <v>1.6096961957883047</v>
      </c>
      <c r="AK18" s="61">
        <v>1.638169550189599</v>
      </c>
      <c r="AL18" s="61">
        <v>1.6671465598228452</v>
      </c>
      <c r="AM18" s="61">
        <v>1.6966361336697213</v>
      </c>
    </row>
    <row r="19" spans="1:67" x14ac:dyDescent="0.2">
      <c r="A19" s="224"/>
      <c r="B19" s="224"/>
      <c r="C19" s="593"/>
      <c r="D19" s="61">
        <v>1.1048077976125286</v>
      </c>
      <c r="E19" s="61">
        <v>1.0700042426813745</v>
      </c>
      <c r="F19" s="61">
        <v>1.0417182982238742</v>
      </c>
      <c r="G19" s="61">
        <v>1.0205361659079413</v>
      </c>
      <c r="H19" s="61">
        <v>1.0087999999999999</v>
      </c>
      <c r="I19" s="61">
        <v>1</v>
      </c>
      <c r="J19" s="61">
        <v>0.98008355192849494</v>
      </c>
      <c r="K19" s="61">
        <v>0.96250357790287178</v>
      </c>
      <c r="L19" s="61">
        <v>0.94625269674514567</v>
      </c>
      <c r="M19" s="61">
        <v>0.93036982384948796</v>
      </c>
      <c r="N19" s="61">
        <v>0.91792538671519552</v>
      </c>
      <c r="O19" s="61">
        <v>0.90361877463274809</v>
      </c>
      <c r="P19" s="61">
        <v>0.88771559310102055</v>
      </c>
      <c r="Q19" s="61">
        <v>0.87085635359116009</v>
      </c>
      <c r="R19" s="61">
        <v>0.8537576167907921</v>
      </c>
      <c r="S19" s="61">
        <v>0.83697004895046867</v>
      </c>
      <c r="T19" s="61">
        <v>0.82242250420805951</v>
      </c>
      <c r="U19" s="61">
        <v>0.80812781326644978</v>
      </c>
      <c r="V19" s="61">
        <v>0.79408158122287675</v>
      </c>
      <c r="W19" s="61">
        <v>0.78027948956326665</v>
      </c>
      <c r="X19" s="61">
        <v>0.7667172948345069</v>
      </c>
      <c r="Y19" s="61">
        <v>0.75339082733979745</v>
      </c>
      <c r="Z19" s="61">
        <v>0.74029598985667633</v>
      </c>
      <c r="AA19" s="61">
        <v>0.72742875637732951</v>
      </c>
      <c r="AB19" s="61">
        <v>0.71478517087079418</v>
      </c>
      <c r="AC19" s="61">
        <v>0.70236134606667766</v>
      </c>
      <c r="AD19" s="61">
        <v>0.6901534622600155</v>
      </c>
      <c r="AE19" s="61">
        <v>0.67815776613690337</v>
      </c>
      <c r="AF19" s="61">
        <v>0.66637056962054075</v>
      </c>
      <c r="AG19" s="61">
        <v>0.65478824873733177</v>
      </c>
      <c r="AH19" s="61">
        <v>0.64340724250269432</v>
      </c>
      <c r="AI19" s="61">
        <v>0.63222405182623564</v>
      </c>
      <c r="AJ19" s="61">
        <v>0.62123523843595674</v>
      </c>
      <c r="AK19" s="61">
        <v>0.61043742382115551</v>
      </c>
      <c r="AL19" s="61">
        <v>0.59982728819370401</v>
      </c>
      <c r="AM19" s="61">
        <v>0.5894015694673792</v>
      </c>
    </row>
    <row r="20" spans="1:67" x14ac:dyDescent="0.2">
      <c r="A20" s="224"/>
      <c r="B20" s="224"/>
      <c r="C20" s="593" t="s">
        <v>576</v>
      </c>
      <c r="D20" s="61">
        <v>0.88710774312639651</v>
      </c>
      <c r="E20" s="61">
        <v>0.91596230447877192</v>
      </c>
      <c r="F20" s="61">
        <v>0.94083357621684638</v>
      </c>
      <c r="G20" s="61">
        <v>0.96036141066744385</v>
      </c>
      <c r="H20" s="61">
        <v>0.97153405226853196</v>
      </c>
      <c r="I20" s="61">
        <v>0.98008355192849494</v>
      </c>
      <c r="J20" s="61">
        <v>1</v>
      </c>
      <c r="K20" s="61">
        <v>1.0182648401826484</v>
      </c>
      <c r="L20" s="61">
        <v>1.0357524531234819</v>
      </c>
      <c r="M20" s="61">
        <v>1.0534343728747693</v>
      </c>
      <c r="N20" s="61">
        <v>1.0677159234431166</v>
      </c>
      <c r="O20" s="61">
        <v>1.0846206159525891</v>
      </c>
      <c r="P20" s="61">
        <v>1.1040512969979597</v>
      </c>
      <c r="Q20" s="61">
        <v>1.1254250461478674</v>
      </c>
      <c r="R20" s="61">
        <v>1.1479646361604974</v>
      </c>
      <c r="S20" s="61">
        <v>1.1709899931992616</v>
      </c>
      <c r="T20" s="61">
        <v>1.1917032266429199</v>
      </c>
      <c r="U20" s="61">
        <v>1.2127828492463346</v>
      </c>
      <c r="V20" s="61">
        <v>1.2342353419395236</v>
      </c>
      <c r="W20" s="61">
        <v>1.256067300291414</v>
      </c>
      <c r="X20" s="61">
        <v>1.2782854365376513</v>
      </c>
      <c r="Y20" s="61">
        <v>1.3008965816442752</v>
      </c>
      <c r="Z20" s="61">
        <v>1.3239076874079005</v>
      </c>
      <c r="AA20" s="61">
        <v>1.3473258285930467</v>
      </c>
      <c r="AB20" s="61">
        <v>1.3711582051072748</v>
      </c>
      <c r="AC20" s="61">
        <v>1.3954121442147986</v>
      </c>
      <c r="AD20" s="61">
        <v>1.4200951027892521</v>
      </c>
      <c r="AE20" s="61">
        <v>1.4452146696063055</v>
      </c>
      <c r="AF20" s="61">
        <v>1.4707785676768341</v>
      </c>
      <c r="AG20" s="61">
        <v>1.4967946566213581</v>
      </c>
      <c r="AH20" s="61">
        <v>1.5232709350864833</v>
      </c>
      <c r="AI20" s="61">
        <v>1.5502155432040841</v>
      </c>
      <c r="AJ20" s="61">
        <v>1.5776367650939878</v>
      </c>
      <c r="AK20" s="61">
        <v>1.6055430314109271</v>
      </c>
      <c r="AL20" s="61">
        <v>1.6339429219365453</v>
      </c>
      <c r="AM20" s="61">
        <v>1.6628451682172491</v>
      </c>
      <c r="AN20" s="233"/>
      <c r="AO20" s="233"/>
      <c r="AP20" s="233"/>
      <c r="AQ20" s="233"/>
      <c r="AR20" s="233"/>
      <c r="AS20" s="233"/>
      <c r="AT20" s="233"/>
      <c r="AU20" s="233"/>
      <c r="AV20" s="233"/>
      <c r="AW20" s="233"/>
      <c r="AX20" s="233"/>
      <c r="AY20" s="233"/>
      <c r="AZ20" s="233"/>
      <c r="BA20" s="233"/>
      <c r="BB20" s="233"/>
      <c r="BC20" s="233"/>
      <c r="BD20" s="233"/>
      <c r="BE20" s="233"/>
      <c r="BF20" s="233"/>
      <c r="BG20" s="233"/>
      <c r="BH20" s="233"/>
      <c r="BI20" s="233"/>
      <c r="BJ20" s="233"/>
      <c r="BK20" s="233"/>
      <c r="BL20" s="233"/>
      <c r="BM20" s="233"/>
      <c r="BN20" s="233"/>
      <c r="BO20" s="233"/>
    </row>
    <row r="21" spans="1:67" x14ac:dyDescent="0.2">
      <c r="A21" s="224"/>
      <c r="B21" s="224"/>
      <c r="C21" s="593"/>
      <c r="D21" s="61">
        <v>1.1272587887416494</v>
      </c>
      <c r="E21" s="61">
        <v>1.0917479847263472</v>
      </c>
      <c r="F21" s="61">
        <v>1.0628872366790583</v>
      </c>
      <c r="G21" s="61">
        <v>1.0412746585735964</v>
      </c>
      <c r="H21" s="61">
        <v>1.0293000000000001</v>
      </c>
      <c r="I21" s="61">
        <v>1.0203211736716893</v>
      </c>
      <c r="J21" s="61">
        <v>1</v>
      </c>
      <c r="K21" s="61">
        <v>0.98206278026905824</v>
      </c>
      <c r="L21" s="61">
        <v>0.96548166213300823</v>
      </c>
      <c r="M21" s="61">
        <v>0.94927603061883248</v>
      </c>
      <c r="N21" s="61">
        <v>0.93657870791628761</v>
      </c>
      <c r="O21" s="61">
        <v>0.9219813686850592</v>
      </c>
      <c r="P21" s="61">
        <v>0.90575501583949325</v>
      </c>
      <c r="Q21" s="61">
        <v>0.8885531767955801</v>
      </c>
      <c r="R21" s="61">
        <v>0.87110697359512534</v>
      </c>
      <c r="S21" s="61">
        <v>0.85397826267319343</v>
      </c>
      <c r="T21" s="61">
        <v>0.83913509474757708</v>
      </c>
      <c r="U21" s="61">
        <v>0.82454991890875995</v>
      </c>
      <c r="V21" s="61">
        <v>0.81021825094439659</v>
      </c>
      <c r="W21" s="61">
        <v>0.79613568458313888</v>
      </c>
      <c r="X21" s="61">
        <v>0.7822978901399269</v>
      </c>
      <c r="Y21" s="61">
        <v>0.76870061318482719</v>
      </c>
      <c r="Z21" s="61">
        <v>0.75533967323500895</v>
      </c>
      <c r="AA21" s="61">
        <v>0.74221096246945417</v>
      </c>
      <c r="AB21" s="61">
        <v>0.72931044446600779</v>
      </c>
      <c r="AC21" s="61">
        <v>0.71663415296038013</v>
      </c>
      <c r="AD21" s="61">
        <v>0.70417819062671894</v>
      </c>
      <c r="AE21" s="61">
        <v>0.69193872787937616</v>
      </c>
      <c r="AF21" s="61">
        <v>0.67991200169550225</v>
      </c>
      <c r="AG21" s="61">
        <v>0.66809431445810441</v>
      </c>
      <c r="AH21" s="61">
        <v>0.65648203281921436</v>
      </c>
      <c r="AI21" s="61">
        <v>0.64507158658281571</v>
      </c>
      <c r="AJ21" s="61">
        <v>0.63385946760718714</v>
      </c>
      <c r="AK21" s="61">
        <v>0.62284222872632378</v>
      </c>
      <c r="AL21" s="61">
        <v>0.61201648269010667</v>
      </c>
      <c r="AM21" s="61">
        <v>0.60137890112289216</v>
      </c>
    </row>
    <row r="22" spans="1:67" x14ac:dyDescent="0.2">
      <c r="A22" s="224"/>
      <c r="B22" s="224"/>
      <c r="C22" s="593" t="s">
        <v>577</v>
      </c>
      <c r="D22" s="61">
        <v>0.87119549661291862</v>
      </c>
      <c r="E22" s="61">
        <v>0.89953248735807645</v>
      </c>
      <c r="F22" s="61">
        <v>0.92395763762999716</v>
      </c>
      <c r="G22" s="61">
        <v>0.94313519702318482</v>
      </c>
      <c r="H22" s="61">
        <v>0.95410743249689911</v>
      </c>
      <c r="I22" s="61">
        <v>0.96250357790287178</v>
      </c>
      <c r="J22" s="61">
        <v>0.98206278026905836</v>
      </c>
      <c r="K22" s="61">
        <v>1</v>
      </c>
      <c r="L22" s="61">
        <v>1.0171739337849441</v>
      </c>
      <c r="M22" s="61">
        <v>1.0345386890563877</v>
      </c>
      <c r="N22" s="61">
        <v>1.0485640683140922</v>
      </c>
      <c r="O22" s="61">
        <v>1.0651655376395381</v>
      </c>
      <c r="P22" s="61">
        <v>1.0842476862894763</v>
      </c>
      <c r="Q22" s="61">
        <v>1.1052380498044081</v>
      </c>
      <c r="R22" s="61">
        <v>1.1273733422383361</v>
      </c>
      <c r="S22" s="61">
        <v>1.1499856883885125</v>
      </c>
      <c r="T22" s="61">
        <v>1.1703273840125537</v>
      </c>
      <c r="U22" s="61">
        <v>1.1910288967934857</v>
      </c>
      <c r="V22" s="61">
        <v>1.2120965914114603</v>
      </c>
      <c r="W22" s="61">
        <v>1.2335369451292362</v>
      </c>
      <c r="X22" s="61">
        <v>1.2553565497836128</v>
      </c>
      <c r="Y22" s="61">
        <v>1.2775621138120909</v>
      </c>
      <c r="Z22" s="61">
        <v>1.3001604643153821</v>
      </c>
      <c r="AA22" s="61">
        <v>1.3231585491564002</v>
      </c>
      <c r="AB22" s="61">
        <v>1.3465634390963821</v>
      </c>
      <c r="AC22" s="61">
        <v>1.3703823299687934</v>
      </c>
      <c r="AD22" s="61">
        <v>1.3946225448916871</v>
      </c>
      <c r="AE22" s="61">
        <v>1.4192915365191969</v>
      </c>
      <c r="AF22" s="61">
        <v>1.4443968893328551</v>
      </c>
      <c r="AG22" s="61">
        <v>1.4699463219734417</v>
      </c>
      <c r="AH22" s="61">
        <v>1.4959476896140802</v>
      </c>
      <c r="AI22" s="61">
        <v>1.5224089863753114</v>
      </c>
      <c r="AJ22" s="61">
        <v>1.549338347782885</v>
      </c>
      <c r="AK22" s="61">
        <v>1.5767440532690273</v>
      </c>
      <c r="AL22" s="61">
        <v>1.6046345287179529</v>
      </c>
      <c r="AM22" s="61">
        <v>1.6330183490564021</v>
      </c>
    </row>
    <row r="23" spans="1:67" x14ac:dyDescent="0.2">
      <c r="A23" s="224"/>
      <c r="B23" s="224"/>
      <c r="C23" s="593"/>
      <c r="D23" s="61">
        <v>1.1478479903625014</v>
      </c>
      <c r="E23" s="61">
        <v>1.1116885871871023</v>
      </c>
      <c r="F23" s="61">
        <v>1.082300702189178</v>
      </c>
      <c r="G23" s="61">
        <v>1.0602933737986848</v>
      </c>
      <c r="H23" s="61">
        <v>1.0481</v>
      </c>
      <c r="I23" s="61">
        <v>1.0389571768437749</v>
      </c>
      <c r="J23" s="61">
        <v>1.0182648401826484</v>
      </c>
      <c r="K23" s="61">
        <v>1</v>
      </c>
      <c r="L23" s="61">
        <v>0.98311603039114537</v>
      </c>
      <c r="M23" s="61">
        <v>0.96661440560730427</v>
      </c>
      <c r="N23" s="61">
        <v>0.95368516833484984</v>
      </c>
      <c r="O23" s="61">
        <v>0.93882121103547123</v>
      </c>
      <c r="P23" s="61">
        <v>0.9222984864484336</v>
      </c>
      <c r="Q23" s="61">
        <v>0.90478245856353579</v>
      </c>
      <c r="R23" s="61">
        <v>0.8870176032498307</v>
      </c>
      <c r="S23" s="61">
        <v>0.86957603916037507</v>
      </c>
      <c r="T23" s="61">
        <v>0.85446176314479316</v>
      </c>
      <c r="U23" s="61">
        <v>0.83961019140024407</v>
      </c>
      <c r="V23" s="61">
        <v>0.82501675781096095</v>
      </c>
      <c r="W23" s="61">
        <v>0.81067697562575336</v>
      </c>
      <c r="X23" s="61">
        <v>0.79658643607855562</v>
      </c>
      <c r="Y23" s="61">
        <v>0.7827408070329519</v>
      </c>
      <c r="Z23" s="61">
        <v>0.76913583165026034</v>
      </c>
      <c r="AA23" s="61">
        <v>0.75576732708076833</v>
      </c>
      <c r="AB23" s="61">
        <v>0.74263118317771559</v>
      </c>
      <c r="AC23" s="61">
        <v>0.72972336123362902</v>
      </c>
      <c r="AD23" s="61">
        <v>0.71703989273862245</v>
      </c>
      <c r="AE23" s="61">
        <v>0.70457687816027803</v>
      </c>
      <c r="AF23" s="61">
        <v>0.6923304857447351</v>
      </c>
      <c r="AG23" s="61">
        <v>0.68029695033861759</v>
      </c>
      <c r="AH23" s="61">
        <v>0.6684725722314373</v>
      </c>
      <c r="AI23" s="61">
        <v>0.65685371601811826</v>
      </c>
      <c r="AJ23" s="61">
        <v>0.6454368094812909</v>
      </c>
      <c r="AK23" s="61">
        <v>0.63421834249301456</v>
      </c>
      <c r="AL23" s="61">
        <v>0.62319486593558793</v>
      </c>
      <c r="AM23" s="61">
        <v>0.61236299064111832</v>
      </c>
      <c r="AN23" s="233"/>
      <c r="AO23" s="233"/>
      <c r="AP23" s="233"/>
      <c r="AQ23" s="233"/>
      <c r="AR23" s="233"/>
      <c r="AS23" s="233"/>
      <c r="AT23" s="233"/>
      <c r="AU23" s="233"/>
      <c r="AV23" s="233"/>
      <c r="AW23" s="233"/>
      <c r="AX23" s="233"/>
      <c r="AY23" s="233"/>
      <c r="AZ23" s="233"/>
      <c r="BA23" s="233"/>
      <c r="BB23" s="233"/>
      <c r="BC23" s="233"/>
      <c r="BD23" s="233"/>
      <c r="BE23" s="233"/>
      <c r="BF23" s="233"/>
      <c r="BG23" s="233"/>
      <c r="BH23" s="233"/>
      <c r="BI23" s="233"/>
      <c r="BJ23" s="233"/>
      <c r="BK23" s="233"/>
      <c r="BL23" s="233"/>
      <c r="BM23" s="233"/>
      <c r="BN23" s="233"/>
      <c r="BO23" s="233"/>
    </row>
    <row r="24" spans="1:67" x14ac:dyDescent="0.2">
      <c r="A24" s="224"/>
      <c r="B24" s="224"/>
      <c r="C24" s="593" t="s">
        <v>578</v>
      </c>
      <c r="D24" s="61">
        <v>0.85648625832473502</v>
      </c>
      <c r="E24" s="61">
        <v>0.88434480817934524</v>
      </c>
      <c r="F24" s="61">
        <v>0.90835756495638309</v>
      </c>
      <c r="G24" s="61">
        <v>0.92721133101960418</v>
      </c>
      <c r="H24" s="61">
        <v>0.93799831160303904</v>
      </c>
      <c r="I24" s="61">
        <v>0.94625269674514578</v>
      </c>
      <c r="J24" s="61">
        <v>0.96548166213300823</v>
      </c>
      <c r="K24" s="61">
        <v>0.98311603039114526</v>
      </c>
      <c r="L24" s="61">
        <v>1</v>
      </c>
      <c r="M24" s="61">
        <v>1.0170715692711754</v>
      </c>
      <c r="N24" s="61">
        <v>1.03086014445174</v>
      </c>
      <c r="O24" s="61">
        <v>1.0471813150736329</v>
      </c>
      <c r="P24" s="61">
        <v>1.0659412813056937</v>
      </c>
      <c r="Q24" s="61">
        <v>1.0865772441609605</v>
      </c>
      <c r="R24" s="61">
        <v>1.108338804990151</v>
      </c>
      <c r="S24" s="61">
        <v>1.1305693649751429</v>
      </c>
      <c r="T24" s="61">
        <v>1.1505676120284751</v>
      </c>
      <c r="U24" s="61">
        <v>1.1709196010967566</v>
      </c>
      <c r="V24" s="61">
        <v>1.1916315893990728</v>
      </c>
      <c r="W24" s="61">
        <v>1.2127099448362746</v>
      </c>
      <c r="X24" s="61">
        <v>1.2341611479487895</v>
      </c>
      <c r="Y24" s="61">
        <v>1.2559917939090635</v>
      </c>
      <c r="Z24" s="61">
        <v>1.2782085945492467</v>
      </c>
      <c r="AA24" s="61">
        <v>1.3008183804247471</v>
      </c>
      <c r="AB24" s="61">
        <v>1.3238281029142835</v>
      </c>
      <c r="AC24" s="61">
        <v>1.3472448363570884</v>
      </c>
      <c r="AD24" s="61">
        <v>1.3710757802279119</v>
      </c>
      <c r="AE24" s="61">
        <v>1.3953282613505018</v>
      </c>
      <c r="AF24" s="61">
        <v>1.4200097361502346</v>
      </c>
      <c r="AG24" s="61">
        <v>1.445127792946594</v>
      </c>
      <c r="AH24" s="61">
        <v>1.4706901542861994</v>
      </c>
      <c r="AI24" s="61">
        <v>1.496704679317103</v>
      </c>
      <c r="AJ24" s="61">
        <v>1.5231793662050852</v>
      </c>
      <c r="AK24" s="61">
        <v>1.5501223545926903</v>
      </c>
      <c r="AL24" s="61">
        <v>1.5775419281017595</v>
      </c>
      <c r="AM24" s="61">
        <v>1.605446516880231</v>
      </c>
    </row>
    <row r="25" spans="1:67" x14ac:dyDescent="0.2">
      <c r="A25" s="224"/>
      <c r="B25" s="224"/>
      <c r="C25" s="593"/>
      <c r="D25" s="61">
        <v>1.1675610557441682</v>
      </c>
      <c r="E25" s="61">
        <v>1.1307806533729317</v>
      </c>
      <c r="F25" s="61">
        <v>1.1008880627839734</v>
      </c>
      <c r="G25" s="61">
        <v>1.0785027819929185</v>
      </c>
      <c r="H25" s="61">
        <v>1.0661</v>
      </c>
      <c r="I25" s="61">
        <v>1.0568001586042823</v>
      </c>
      <c r="J25" s="61">
        <v>1.0357524531234819</v>
      </c>
      <c r="K25" s="61">
        <v>1.0171739337849441</v>
      </c>
      <c r="L25" s="61">
        <v>1</v>
      </c>
      <c r="M25" s="61">
        <v>0.98321497740477726</v>
      </c>
      <c r="N25" s="61">
        <v>0.97006369426751593</v>
      </c>
      <c r="O25" s="61">
        <v>0.95494446434969549</v>
      </c>
      <c r="P25" s="61">
        <v>0.93813797958465328</v>
      </c>
      <c r="Q25" s="61">
        <v>0.92032113259668513</v>
      </c>
      <c r="R25" s="61">
        <v>0.90225118483412325</v>
      </c>
      <c r="S25" s="61">
        <v>0.88451008047788937</v>
      </c>
      <c r="T25" s="61">
        <v>0.86913623288680864</v>
      </c>
      <c r="U25" s="61">
        <v>0.85402960123251614</v>
      </c>
      <c r="V25" s="61">
        <v>0.83918554098107578</v>
      </c>
      <c r="W25" s="61">
        <v>0.82459948832612884</v>
      </c>
      <c r="X25" s="61">
        <v>0.8102669587857535</v>
      </c>
      <c r="Y25" s="61">
        <v>0.79618354582370954</v>
      </c>
      <c r="Z25" s="61">
        <v>0.7823449194946499</v>
      </c>
      <c r="AA25" s="61">
        <v>0.76874682511287784</v>
      </c>
      <c r="AB25" s="61">
        <v>0.75538508194424459</v>
      </c>
      <c r="AC25" s="61">
        <v>0.74225558192078245</v>
      </c>
      <c r="AD25" s="61">
        <v>0.72935428837767924</v>
      </c>
      <c r="AE25" s="61">
        <v>0.71667723481220547</v>
      </c>
      <c r="AF25" s="61">
        <v>0.70422052366421362</v>
      </c>
      <c r="AG25" s="61">
        <v>0.69198032511783258</v>
      </c>
      <c r="AH25" s="61">
        <v>0.67995287592399145</v>
      </c>
      <c r="AI25" s="61">
        <v>0.66813447824340799</v>
      </c>
      <c r="AJ25" s="61">
        <v>0.65652149850968844</v>
      </c>
      <c r="AK25" s="61">
        <v>0.64511036631218677</v>
      </c>
      <c r="AL25" s="61">
        <v>0.63389757329828311</v>
      </c>
      <c r="AM25" s="61">
        <v>0.62287967209473949</v>
      </c>
    </row>
    <row r="26" spans="1:67" x14ac:dyDescent="0.2">
      <c r="A26" s="224"/>
      <c r="B26" s="224"/>
      <c r="C26" s="593" t="s">
        <v>579</v>
      </c>
      <c r="D26" s="61">
        <v>0.84211011712625661</v>
      </c>
      <c r="E26" s="61">
        <v>0.86950106059208698</v>
      </c>
      <c r="F26" s="61">
        <v>0.89311076270404866</v>
      </c>
      <c r="G26" s="61">
        <v>0.91164806787789354</v>
      </c>
      <c r="H26" s="61">
        <v>0.92225398874850129</v>
      </c>
      <c r="I26" s="61">
        <v>0.93036982384948808</v>
      </c>
      <c r="J26" s="61">
        <v>0.94927603061883248</v>
      </c>
      <c r="K26" s="61">
        <v>0.96661440560730427</v>
      </c>
      <c r="L26" s="61">
        <v>0.98321497740477726</v>
      </c>
      <c r="M26" s="61">
        <v>1</v>
      </c>
      <c r="N26" s="61">
        <v>1.013557133634603</v>
      </c>
      <c r="O26" s="61">
        <v>1.0296043530388268</v>
      </c>
      <c r="P26" s="61">
        <v>1.048049432813797</v>
      </c>
      <c r="Q26" s="61">
        <v>1.068339020566264</v>
      </c>
      <c r="R26" s="61">
        <v>1.0897353131052292</v>
      </c>
      <c r="S26" s="61">
        <v>1.1115927326385686</v>
      </c>
      <c r="T26" s="61">
        <v>1.1312553086632458</v>
      </c>
      <c r="U26" s="61">
        <v>1.1512656891351583</v>
      </c>
      <c r="V26" s="61">
        <v>1.1716300262458281</v>
      </c>
      <c r="W26" s="61">
        <v>1.1923545810107463</v>
      </c>
      <c r="X26" s="61">
        <v>1.2134457251943229</v>
      </c>
      <c r="Y26" s="61">
        <v>1.2349099432688853</v>
      </c>
      <c r="Z26" s="61">
        <v>1.2567538344083296</v>
      </c>
      <c r="AA26" s="61">
        <v>1.2789841145170364</v>
      </c>
      <c r="AB26" s="61">
        <v>1.3016076182946763</v>
      </c>
      <c r="AC26" s="61">
        <v>1.3246313013375373</v>
      </c>
      <c r="AD26" s="61">
        <v>1.3480622422770234</v>
      </c>
      <c r="AE26" s="61">
        <v>1.3719076449559804</v>
      </c>
      <c r="AF26" s="61">
        <v>1.3961748406435162</v>
      </c>
      <c r="AG26" s="61">
        <v>1.4208712902890004</v>
      </c>
      <c r="AH26" s="61">
        <v>1.4460045868159332</v>
      </c>
      <c r="AI26" s="61">
        <v>1.4715824574563892</v>
      </c>
      <c r="AJ26" s="61">
        <v>1.4976127661267551</v>
      </c>
      <c r="AK26" s="61">
        <v>1.5241035158454914</v>
      </c>
      <c r="AL26" s="61">
        <v>1.5510628511936595</v>
      </c>
      <c r="AM26" s="61">
        <v>1.578499060818974</v>
      </c>
      <c r="AN26" s="233"/>
      <c r="AO26" s="233"/>
      <c r="AP26" s="233"/>
      <c r="AQ26" s="233"/>
      <c r="AR26" s="233"/>
      <c r="AS26" s="233"/>
      <c r="AT26" s="233"/>
      <c r="AU26" s="233"/>
      <c r="AV26" s="233"/>
      <c r="AW26" s="233"/>
      <c r="AX26" s="233"/>
      <c r="AY26" s="233"/>
      <c r="AZ26" s="233"/>
      <c r="BA26" s="233"/>
      <c r="BB26" s="233"/>
      <c r="BC26" s="233"/>
      <c r="BD26" s="233"/>
      <c r="BE26" s="233"/>
      <c r="BF26" s="233"/>
      <c r="BG26" s="233"/>
      <c r="BH26" s="233"/>
      <c r="BI26" s="233"/>
      <c r="BJ26" s="233"/>
      <c r="BK26" s="233"/>
      <c r="BL26" s="233"/>
      <c r="BM26" s="233"/>
      <c r="BN26" s="233"/>
      <c r="BO26" s="233"/>
    </row>
    <row r="27" spans="1:67" x14ac:dyDescent="0.2">
      <c r="A27" s="224"/>
      <c r="B27" s="224"/>
      <c r="C27" s="594"/>
      <c r="D27" s="61">
        <v>1.1874931551856314</v>
      </c>
      <c r="E27" s="61">
        <v>1.1500848536274926</v>
      </c>
      <c r="F27" s="61">
        <v>1.1196819496076003</v>
      </c>
      <c r="G27" s="61">
        <v>1.096914516944866</v>
      </c>
      <c r="H27" s="61">
        <v>1.0843</v>
      </c>
      <c r="I27" s="61">
        <v>1.0748413957176846</v>
      </c>
      <c r="J27" s="61">
        <v>1.0534343728747693</v>
      </c>
      <c r="K27" s="61">
        <v>1.0345386890563877</v>
      </c>
      <c r="L27" s="61">
        <v>1.0170715692711754</v>
      </c>
      <c r="M27" s="61">
        <v>1</v>
      </c>
      <c r="N27" s="61">
        <v>0.98662420382165605</v>
      </c>
      <c r="O27" s="61">
        <v>0.97124686492296675</v>
      </c>
      <c r="P27" s="61">
        <v>0.95415346708905302</v>
      </c>
      <c r="Q27" s="61">
        <v>0.9360324585635359</v>
      </c>
      <c r="R27" s="61">
        <v>0.91765402843601895</v>
      </c>
      <c r="S27" s="61">
        <v>0.89961005558782048</v>
      </c>
      <c r="T27" s="61">
        <v>0.88397375229262409</v>
      </c>
      <c r="U27" s="61">
        <v>0.8686092267295914</v>
      </c>
      <c r="V27" s="61">
        <v>0.85351175507530297</v>
      </c>
      <c r="W27" s="61">
        <v>0.83867669561206415</v>
      </c>
      <c r="X27" s="61">
        <v>0.82409948730080906</v>
      </c>
      <c r="Y27" s="61">
        <v>0.80977564837880911</v>
      </c>
      <c r="Z27" s="61">
        <v>0.79570077498175495</v>
      </c>
      <c r="AA27" s="61">
        <v>0.7818705397897886</v>
      </c>
      <c r="AB27" s="61">
        <v>0.76828069069706839</v>
      </c>
      <c r="AC27" s="61">
        <v>0.75492704950445977</v>
      </c>
      <c r="AD27" s="61">
        <v>0.74180551063494771</v>
      </c>
      <c r="AE27" s="61">
        <v>0.72891203987137665</v>
      </c>
      <c r="AF27" s="61">
        <v>0.71624267311613088</v>
      </c>
      <c r="AG27" s="61">
        <v>0.70379351517237243</v>
      </c>
      <c r="AH27" s="61">
        <v>0.69156073854646305</v>
      </c>
      <c r="AI27" s="61">
        <v>0.67954058227120129</v>
      </c>
      <c r="AJ27" s="61">
        <v>0.66772935074951267</v>
      </c>
      <c r="AK27" s="61">
        <v>0.65612341261823892</v>
      </c>
      <c r="AL27" s="61">
        <v>0.64471919963167501</v>
      </c>
      <c r="AM27" s="61">
        <v>0.63351320556451218</v>
      </c>
    </row>
    <row r="28" spans="1:67" x14ac:dyDescent="0.2">
      <c r="A28" s="224"/>
      <c r="B28" s="224"/>
      <c r="C28" s="593" t="s">
        <v>580</v>
      </c>
      <c r="D28" s="61">
        <v>0.8308462238398544</v>
      </c>
      <c r="E28" s="61">
        <v>0.85787079162875346</v>
      </c>
      <c r="F28" s="61">
        <v>0.88116469517743412</v>
      </c>
      <c r="G28" s="61">
        <v>0.8994540491355778</v>
      </c>
      <c r="H28" s="61">
        <v>0.90991810737033674</v>
      </c>
      <c r="I28" s="61">
        <v>0.91792538671519552</v>
      </c>
      <c r="J28" s="61">
        <v>0.93657870791628761</v>
      </c>
      <c r="K28" s="61">
        <v>0.95368516833484995</v>
      </c>
      <c r="L28" s="61">
        <v>0.97006369426751604</v>
      </c>
      <c r="M28" s="61">
        <v>0.98662420382165616</v>
      </c>
      <c r="N28" s="61">
        <v>1</v>
      </c>
      <c r="O28" s="61">
        <v>1.015832575068244</v>
      </c>
      <c r="P28" s="61">
        <v>1.0340309372156506</v>
      </c>
      <c r="Q28" s="61">
        <v>1.0540491355777981</v>
      </c>
      <c r="R28" s="61">
        <v>1.0751592356687898</v>
      </c>
      <c r="S28" s="61">
        <v>1.0967242948134668</v>
      </c>
      <c r="T28" s="61">
        <v>1.1161238682288968</v>
      </c>
      <c r="U28" s="61">
        <v>1.135866593930166</v>
      </c>
      <c r="V28" s="61">
        <v>1.1559585418183365</v>
      </c>
      <c r="W28" s="61">
        <v>1.1764058891628322</v>
      </c>
      <c r="X28" s="61">
        <v>1.1972149225006412</v>
      </c>
      <c r="Y28" s="61">
        <v>1.2183920395691108</v>
      </c>
      <c r="Z28" s="61">
        <v>1.2399437512729319</v>
      </c>
      <c r="AA28" s="61">
        <v>1.2618766836859172</v>
      </c>
      <c r="AB28" s="61">
        <v>1.2841975800881873</v>
      </c>
      <c r="AC28" s="61">
        <v>1.3069133030393922</v>
      </c>
      <c r="AD28" s="61">
        <v>1.3300308364886051</v>
      </c>
      <c r="AE28" s="61">
        <v>1.3535572879215378</v>
      </c>
      <c r="AF28" s="61">
        <v>1.3774998905457372</v>
      </c>
      <c r="AG28" s="61">
        <v>1.4018660055144347</v>
      </c>
      <c r="AH28" s="61">
        <v>1.4266631241897334</v>
      </c>
      <c r="AI28" s="61">
        <v>1.4518988704458267</v>
      </c>
      <c r="AJ28" s="61">
        <v>1.4775810030129586</v>
      </c>
      <c r="AK28" s="61">
        <v>1.5037174178628456</v>
      </c>
      <c r="AL28" s="61">
        <v>1.530316150636293</v>
      </c>
      <c r="AM28" s="61">
        <v>1.5573853791137531</v>
      </c>
    </row>
    <row r="29" spans="1:67" x14ac:dyDescent="0.2">
      <c r="A29" s="224"/>
      <c r="B29" s="224"/>
      <c r="C29" s="594"/>
      <c r="D29" s="61">
        <v>1.2035921585806593</v>
      </c>
      <c r="E29" s="61">
        <v>1.1656767076792531</v>
      </c>
      <c r="F29" s="61">
        <v>1.1348616274266832</v>
      </c>
      <c r="G29" s="61">
        <v>1.1117855336368234</v>
      </c>
      <c r="H29" s="61">
        <v>1.099</v>
      </c>
      <c r="I29" s="61">
        <v>1.0894131641554323</v>
      </c>
      <c r="J29" s="61">
        <v>1.0677159234431166</v>
      </c>
      <c r="K29" s="61">
        <v>1.048564068314092</v>
      </c>
      <c r="L29" s="61">
        <v>1.0308601444517398</v>
      </c>
      <c r="M29" s="61">
        <v>1.0135571336346028</v>
      </c>
      <c r="N29" s="61">
        <v>1</v>
      </c>
      <c r="O29" s="61">
        <v>0.9844141884629164</v>
      </c>
      <c r="P29" s="61">
        <v>0.96708905315029914</v>
      </c>
      <c r="Q29" s="61">
        <v>0.94872237569060758</v>
      </c>
      <c r="R29" s="61">
        <v>0.93009478672985779</v>
      </c>
      <c r="S29" s="61">
        <v>0.91180618933045721</v>
      </c>
      <c r="T29" s="61">
        <v>0.89595790258193653</v>
      </c>
      <c r="U29" s="61">
        <v>0.88038507809261346</v>
      </c>
      <c r="V29" s="61">
        <v>0.86508292799756314</v>
      </c>
      <c r="W29" s="61">
        <v>0.85004674765070398</v>
      </c>
      <c r="X29" s="61">
        <v>0.83527191417835378</v>
      </c>
      <c r="Y29" s="61">
        <v>0.82075388505792768</v>
      </c>
      <c r="Z29" s="61">
        <v>0.80648819672133953</v>
      </c>
      <c r="AA29" s="61">
        <v>0.79247046318267766</v>
      </c>
      <c r="AB29" s="61">
        <v>0.77869637468973341</v>
      </c>
      <c r="AC29" s="61">
        <v>0.76516169639896803</v>
      </c>
      <c r="AD29" s="61">
        <v>0.75186226707351034</v>
      </c>
      <c r="AE29" s="61">
        <v>0.73879399780378363</v>
      </c>
      <c r="AF29" s="61">
        <v>0.72595287075037118</v>
      </c>
      <c r="AG29" s="61">
        <v>0.71333493790873093</v>
      </c>
      <c r="AH29" s="61">
        <v>0.70093631989538197</v>
      </c>
      <c r="AI29" s="61">
        <v>0.68875320475518753</v>
      </c>
      <c r="AJ29" s="61">
        <v>0.67678184678937015</v>
      </c>
      <c r="AK29" s="61">
        <v>0.6650185654038957</v>
      </c>
      <c r="AL29" s="61">
        <v>0.65345974397787554</v>
      </c>
      <c r="AM29" s="61">
        <v>0.64210182875163546</v>
      </c>
      <c r="AN29" s="233"/>
      <c r="AO29" s="233"/>
      <c r="AP29" s="233"/>
      <c r="AQ29" s="233"/>
      <c r="AR29" s="233"/>
      <c r="AS29" s="233"/>
      <c r="AT29" s="233"/>
      <c r="AU29" s="233"/>
      <c r="AV29" s="233"/>
      <c r="AW29" s="233"/>
      <c r="AX29" s="233"/>
      <c r="AY29" s="233"/>
      <c r="AZ29" s="233"/>
      <c r="BA29" s="233"/>
      <c r="BB29" s="233"/>
      <c r="BC29" s="233"/>
      <c r="BD29" s="233"/>
      <c r="BE29" s="233"/>
      <c r="BF29" s="233"/>
      <c r="BG29" s="233"/>
      <c r="BH29" s="233"/>
      <c r="BI29" s="233"/>
      <c r="BJ29" s="233"/>
      <c r="BK29" s="233"/>
      <c r="BL29" s="233"/>
      <c r="BM29" s="233"/>
      <c r="BN29" s="233"/>
      <c r="BO29" s="233"/>
    </row>
    <row r="30" spans="1:67" s="716" customFormat="1" x14ac:dyDescent="0.2">
      <c r="A30" s="224"/>
      <c r="B30" s="224"/>
      <c r="C30" s="722" t="s">
        <v>653</v>
      </c>
      <c r="D30" s="61">
        <v>0.81789681117878898</v>
      </c>
      <c r="E30" s="61">
        <v>0.84450017914725894</v>
      </c>
      <c r="F30" s="61">
        <v>0.86743102830526697</v>
      </c>
      <c r="G30" s="61">
        <v>0.88543532783948409</v>
      </c>
      <c r="H30" s="61">
        <v>0.8957362952346829</v>
      </c>
      <c r="I30" s="61">
        <v>0.90361877463274798</v>
      </c>
      <c r="J30" s="61">
        <v>0.9219813686850592</v>
      </c>
      <c r="K30" s="61">
        <v>0.93882121103547111</v>
      </c>
      <c r="L30" s="61">
        <v>0.95494446434969549</v>
      </c>
      <c r="M30" s="61">
        <v>0.97124686492296664</v>
      </c>
      <c r="N30" s="61">
        <v>0.9844141884629164</v>
      </c>
      <c r="O30" s="61">
        <v>1</v>
      </c>
      <c r="P30" s="61">
        <v>1.0179147259046937</v>
      </c>
      <c r="Q30" s="61">
        <v>1.0376209243998566</v>
      </c>
      <c r="R30" s="61">
        <v>1.0584020064493012</v>
      </c>
      <c r="S30" s="61">
        <v>1.0796309566463633</v>
      </c>
      <c r="T30" s="61">
        <v>1.0987281719666406</v>
      </c>
      <c r="U30" s="61">
        <v>1.1181631912659016</v>
      </c>
      <c r="V30" s="61">
        <v>1.137941989840874</v>
      </c>
      <c r="W30" s="61">
        <v>1.1580706486832253</v>
      </c>
      <c r="X30" s="61">
        <v>1.1785553563491624</v>
      </c>
      <c r="Y30" s="61">
        <v>1.199402410862104</v>
      </c>
      <c r="Z30" s="61">
        <v>1.2206182216490078</v>
      </c>
      <c r="AA30" s="61">
        <v>1.2422093115109487</v>
      </c>
      <c r="AB30" s="61">
        <v>1.2641823186285543</v>
      </c>
      <c r="AC30" s="61">
        <v>1.2865439986029132</v>
      </c>
      <c r="AD30" s="61">
        <v>1.3093012265325845</v>
      </c>
      <c r="AE30" s="61">
        <v>1.3324609991273473</v>
      </c>
      <c r="AF30" s="61">
        <v>1.3560304368593386</v>
      </c>
      <c r="AG30" s="61">
        <v>1.3800167861522432</v>
      </c>
      <c r="AH30" s="61">
        <v>1.4044274216092061</v>
      </c>
      <c r="AI30" s="61">
        <v>1.4292698482801542</v>
      </c>
      <c r="AJ30" s="61">
        <v>1.4545517039692244</v>
      </c>
      <c r="AK30" s="61">
        <v>1.480280761583006</v>
      </c>
      <c r="AL30" s="61">
        <v>1.5064649315203213</v>
      </c>
      <c r="AM30" s="61">
        <v>1.5331122641042774</v>
      </c>
      <c r="AN30" s="233"/>
      <c r="AO30" s="233"/>
      <c r="AP30" s="233"/>
      <c r="AQ30" s="233"/>
      <c r="AR30" s="233"/>
      <c r="AS30" s="233"/>
      <c r="AT30" s="233"/>
      <c r="AU30" s="233"/>
      <c r="AV30" s="233"/>
      <c r="AW30" s="233"/>
      <c r="AX30" s="233"/>
      <c r="AY30" s="233"/>
      <c r="AZ30" s="233"/>
      <c r="BA30" s="233"/>
      <c r="BB30" s="233"/>
      <c r="BC30" s="233"/>
      <c r="BD30" s="233"/>
      <c r="BE30" s="233"/>
      <c r="BF30" s="233"/>
      <c r="BG30" s="233"/>
      <c r="BH30" s="233"/>
      <c r="BI30" s="233"/>
      <c r="BJ30" s="233"/>
      <c r="BK30" s="233"/>
      <c r="BL30" s="233"/>
      <c r="BM30" s="233"/>
      <c r="BN30" s="233"/>
      <c r="BO30" s="233"/>
    </row>
    <row r="31" spans="1:67" s="716" customFormat="1" x14ac:dyDescent="0.2">
      <c r="A31" s="224"/>
      <c r="B31" s="224"/>
      <c r="C31" s="722"/>
      <c r="D31" s="61">
        <v>1.2226481217829372</v>
      </c>
      <c r="E31" s="61">
        <v>1.1841323716588885</v>
      </c>
      <c r="F31" s="61">
        <v>1.1528294093349856</v>
      </c>
      <c r="G31" s="61">
        <v>1.1293879615579161</v>
      </c>
      <c r="H31" s="61">
        <v>1.1164000000000001</v>
      </c>
      <c r="I31" s="61">
        <v>1.1066613798572562</v>
      </c>
      <c r="J31" s="61">
        <v>1.0846206159525891</v>
      </c>
      <c r="K31" s="61">
        <v>1.0651655376395384</v>
      </c>
      <c r="L31" s="61">
        <v>1.0471813150736329</v>
      </c>
      <c r="M31" s="61">
        <v>1.029604353038827</v>
      </c>
      <c r="N31" s="61">
        <v>1.015832575068244</v>
      </c>
      <c r="O31" s="61">
        <v>1</v>
      </c>
      <c r="P31" s="61">
        <v>0.98240056318197821</v>
      </c>
      <c r="Q31" s="61">
        <v>0.96374309392265201</v>
      </c>
      <c r="R31" s="61">
        <v>0.94482058226134069</v>
      </c>
      <c r="S31" s="61">
        <v>0.92624242927072098</v>
      </c>
      <c r="T31" s="61">
        <v>0.91014322333255127</v>
      </c>
      <c r="U31" s="61">
        <v>0.89432384093047634</v>
      </c>
      <c r="V31" s="61">
        <v>0.87877941839534068</v>
      </c>
      <c r="W31" s="61">
        <v>0.86350517659440018</v>
      </c>
      <c r="X31" s="61">
        <v>0.84849641946197807</v>
      </c>
      <c r="Y31" s="61">
        <v>0.83374853255566006</v>
      </c>
      <c r="Z31" s="61">
        <v>0.81925698163758265</v>
      </c>
      <c r="AA31" s="61">
        <v>0.80501731128038323</v>
      </c>
      <c r="AB31" s="61">
        <v>0.79102514349737785</v>
      </c>
      <c r="AC31" s="61">
        <v>0.77727617639654945</v>
      </c>
      <c r="AD31" s="61">
        <v>0.76376618285793152</v>
      </c>
      <c r="AE31" s="61">
        <v>0.75049100923397982</v>
      </c>
      <c r="AF31" s="61">
        <v>0.73744657407253333</v>
      </c>
      <c r="AG31" s="61">
        <v>0.72462886686197181</v>
      </c>
      <c r="AH31" s="61">
        <v>0.71203394679818388</v>
      </c>
      <c r="AI31" s="61">
        <v>0.69965794157296735</v>
      </c>
      <c r="AJ31" s="61">
        <v>0.68749704618348728</v>
      </c>
      <c r="AK31" s="61">
        <v>0.67554752176242849</v>
      </c>
      <c r="AL31" s="61">
        <v>0.66380569442848036</v>
      </c>
      <c r="AM31" s="61">
        <v>0.65226795415680217</v>
      </c>
      <c r="AN31" s="233"/>
      <c r="AO31" s="233"/>
      <c r="AP31" s="233"/>
      <c r="AQ31" s="233"/>
      <c r="AR31" s="233"/>
      <c r="AS31" s="233"/>
      <c r="AT31" s="233"/>
      <c r="AU31" s="233"/>
      <c r="AV31" s="233"/>
      <c r="AW31" s="233"/>
      <c r="AX31" s="233"/>
      <c r="AY31" s="233"/>
      <c r="AZ31" s="233"/>
      <c r="BA31" s="233"/>
      <c r="BB31" s="233"/>
      <c r="BC31" s="233"/>
      <c r="BD31" s="233"/>
      <c r="BE31" s="233"/>
      <c r="BF31" s="233"/>
      <c r="BG31" s="233"/>
      <c r="BH31" s="233"/>
      <c r="BI31" s="233"/>
      <c r="BJ31" s="233"/>
      <c r="BK31" s="233"/>
      <c r="BL31" s="233"/>
      <c r="BM31" s="233"/>
      <c r="BN31" s="233"/>
      <c r="BO31" s="233"/>
    </row>
    <row r="32" spans="1:67" s="716" customFormat="1" x14ac:dyDescent="0.2">
      <c r="A32" s="224"/>
      <c r="B32" s="224"/>
      <c r="C32" s="722" t="s">
        <v>654</v>
      </c>
      <c r="D32" s="61">
        <v>0.80350228792678635</v>
      </c>
      <c r="E32" s="61">
        <v>0.82963745160154867</v>
      </c>
      <c r="F32" s="61">
        <v>0.85216473072861665</v>
      </c>
      <c r="G32" s="61">
        <v>0.86985216473072857</v>
      </c>
      <c r="H32" s="61">
        <v>0.87997184090109115</v>
      </c>
      <c r="I32" s="61">
        <v>0.88771559310102066</v>
      </c>
      <c r="J32" s="61">
        <v>0.90575501583949314</v>
      </c>
      <c r="K32" s="61">
        <v>0.9222984864484336</v>
      </c>
      <c r="L32" s="61">
        <v>0.93813797958465328</v>
      </c>
      <c r="M32" s="61">
        <v>0.95415346708905313</v>
      </c>
      <c r="N32" s="61">
        <v>0.96708905315029914</v>
      </c>
      <c r="O32" s="61">
        <v>0.98240056318197821</v>
      </c>
      <c r="P32" s="61">
        <v>1</v>
      </c>
      <c r="Q32" s="61">
        <v>1.019359380499824</v>
      </c>
      <c r="R32" s="61">
        <v>1.0397747272087292</v>
      </c>
      <c r="S32" s="61">
        <v>1.0606300598380851</v>
      </c>
      <c r="T32" s="61">
        <v>1.0793911749239329</v>
      </c>
      <c r="U32" s="61">
        <v>1.0984841488289794</v>
      </c>
      <c r="V32" s="61">
        <v>1.1179148516880952</v>
      </c>
      <c r="W32" s="61">
        <v>1.137689257470919</v>
      </c>
      <c r="X32" s="61">
        <v>1.1578134458185536</v>
      </c>
      <c r="Y32" s="61">
        <v>1.1782936039127527</v>
      </c>
      <c r="Z32" s="61">
        <v>1.1991360283781693</v>
      </c>
      <c r="AA32" s="61">
        <v>1.2203471272182529</v>
      </c>
      <c r="AB32" s="61">
        <v>1.2419334217853903</v>
      </c>
      <c r="AC32" s="61">
        <v>1.2639015487858956</v>
      </c>
      <c r="AD32" s="61">
        <v>1.2862582623204653</v>
      </c>
      <c r="AE32" s="61">
        <v>1.3090104359607266</v>
      </c>
      <c r="AF32" s="61">
        <v>1.3321650648625174</v>
      </c>
      <c r="AG32" s="61">
        <v>1.3557292679165465</v>
      </c>
      <c r="AH32" s="61">
        <v>1.3797102899370968</v>
      </c>
      <c r="AI32" s="61">
        <v>1.4041155038894431</v>
      </c>
      <c r="AJ32" s="61">
        <v>1.4289524131566711</v>
      </c>
      <c r="AK32" s="61">
        <v>1.4542286538465916</v>
      </c>
      <c r="AL32" s="61">
        <v>1.4799519971394628</v>
      </c>
      <c r="AM32" s="61">
        <v>1.5061303516772386</v>
      </c>
      <c r="AN32" s="233"/>
      <c r="AO32" s="233"/>
      <c r="AP32" s="233"/>
      <c r="AQ32" s="233"/>
      <c r="AR32" s="233"/>
      <c r="AS32" s="233"/>
      <c r="AT32" s="233"/>
      <c r="AU32" s="233"/>
      <c r="AV32" s="233"/>
      <c r="AW32" s="233"/>
      <c r="AX32" s="233"/>
      <c r="AY32" s="233"/>
      <c r="AZ32" s="233"/>
      <c r="BA32" s="233"/>
      <c r="BB32" s="233"/>
      <c r="BC32" s="233"/>
      <c r="BD32" s="233"/>
      <c r="BE32" s="233"/>
      <c r="BF32" s="233"/>
      <c r="BG32" s="233"/>
      <c r="BH32" s="233"/>
      <c r="BI32" s="233"/>
      <c r="BJ32" s="233"/>
      <c r="BK32" s="233"/>
      <c r="BL32" s="233"/>
      <c r="BM32" s="233"/>
      <c r="BN32" s="233"/>
      <c r="BO32" s="233"/>
    </row>
    <row r="33" spans="1:67" s="716" customFormat="1" x14ac:dyDescent="0.2">
      <c r="A33" s="224"/>
      <c r="B33" s="224"/>
      <c r="C33" s="722"/>
      <c r="D33" s="61">
        <v>1.2445515277625672</v>
      </c>
      <c r="E33" s="61">
        <v>1.2053457785320323</v>
      </c>
      <c r="F33" s="61">
        <v>1.1734820322180917</v>
      </c>
      <c r="G33" s="61">
        <v>1.1496206373292868</v>
      </c>
      <c r="H33" s="61">
        <v>1.1364000000000001</v>
      </c>
      <c r="I33" s="61">
        <v>1.1264869151467092</v>
      </c>
      <c r="J33" s="61">
        <v>1.1040512969979597</v>
      </c>
      <c r="K33" s="61">
        <v>1.0842476862894763</v>
      </c>
      <c r="L33" s="61">
        <v>1.0659412813056937</v>
      </c>
      <c r="M33" s="61">
        <v>1.048049432813797</v>
      </c>
      <c r="N33" s="61">
        <v>1.0340309372156506</v>
      </c>
      <c r="O33" s="61">
        <v>1.0179147259046937</v>
      </c>
      <c r="P33" s="61">
        <v>1</v>
      </c>
      <c r="Q33" s="61">
        <v>0.98100828729281764</v>
      </c>
      <c r="R33" s="61">
        <v>0.96174678402166569</v>
      </c>
      <c r="S33" s="61">
        <v>0.94283580851240356</v>
      </c>
      <c r="T33" s="61">
        <v>0.92644818971256848</v>
      </c>
      <c r="U33" s="61">
        <v>0.91034540741077896</v>
      </c>
      <c r="V33" s="61">
        <v>0.89452251080657963</v>
      </c>
      <c r="W33" s="61">
        <v>0.87897463515037322</v>
      </c>
      <c r="X33" s="61">
        <v>0.86369700024775387</v>
      </c>
      <c r="Y33" s="61">
        <v>0.84868490898983562</v>
      </c>
      <c r="Z33" s="61">
        <v>0.83393374590912706</v>
      </c>
      <c r="AA33" s="61">
        <v>0.81943897576050517</v>
      </c>
      <c r="AB33" s="61">
        <v>0.80519614212685453</v>
      </c>
      <c r="AC33" s="61">
        <v>0.79120086604894224</v>
      </c>
      <c r="AD33" s="61">
        <v>0.77744884467910591</v>
      </c>
      <c r="AE33" s="61">
        <v>0.76393584995834385</v>
      </c>
      <c r="AF33" s="61">
        <v>0.75065772731639857</v>
      </c>
      <c r="AG33" s="61">
        <v>0.73761039439443321</v>
      </c>
      <c r="AH33" s="61">
        <v>0.72478983978991096</v>
      </c>
      <c r="AI33" s="61">
        <v>0.71219212182328973</v>
      </c>
      <c r="AJ33" s="61">
        <v>0.6998133673261514</v>
      </c>
      <c r="AK33" s="61">
        <v>0.68764977045039799</v>
      </c>
      <c r="AL33" s="61">
        <v>0.6756975914981419</v>
      </c>
      <c r="AM33" s="61">
        <v>0.66395315577193703</v>
      </c>
      <c r="AN33" s="233"/>
      <c r="AO33" s="233"/>
      <c r="AP33" s="233"/>
      <c r="AQ33" s="233"/>
      <c r="AR33" s="233"/>
      <c r="AS33" s="233"/>
      <c r="AT33" s="233"/>
      <c r="AU33" s="233"/>
      <c r="AV33" s="233"/>
      <c r="AW33" s="233"/>
      <c r="AX33" s="233"/>
      <c r="AY33" s="233"/>
      <c r="AZ33" s="233"/>
      <c r="BA33" s="233"/>
      <c r="BB33" s="233"/>
      <c r="BC33" s="233"/>
      <c r="BD33" s="233"/>
      <c r="BE33" s="233"/>
      <c r="BF33" s="233"/>
      <c r="BG33" s="233"/>
      <c r="BH33" s="233"/>
      <c r="BI33" s="233"/>
      <c r="BJ33" s="233"/>
      <c r="BK33" s="233"/>
      <c r="BL33" s="233"/>
      <c r="BM33" s="233"/>
      <c r="BN33" s="233"/>
      <c r="BO33" s="233"/>
    </row>
    <row r="34" spans="1:67" s="716" customFormat="1" x14ac:dyDescent="0.2">
      <c r="A34" s="224"/>
      <c r="B34" s="224"/>
      <c r="C34" s="722" t="s">
        <v>655</v>
      </c>
      <c r="D34" s="61">
        <v>0.78824240331491713</v>
      </c>
      <c r="E34" s="61">
        <v>0.81388121546961312</v>
      </c>
      <c r="F34" s="61">
        <v>0.83598066298342533</v>
      </c>
      <c r="G34" s="61">
        <v>0.85333218232044195</v>
      </c>
      <c r="H34" s="61">
        <v>0.86325966850828717</v>
      </c>
      <c r="I34" s="61">
        <v>0.87085635359116009</v>
      </c>
      <c r="J34" s="61">
        <v>0.8885531767955801</v>
      </c>
      <c r="K34" s="61">
        <v>0.9047824585635359</v>
      </c>
      <c r="L34" s="61">
        <v>0.92032113259668502</v>
      </c>
      <c r="M34" s="61">
        <v>0.9360324585635359</v>
      </c>
      <c r="N34" s="61">
        <v>0.94872237569060769</v>
      </c>
      <c r="O34" s="61">
        <v>0.96374309392265189</v>
      </c>
      <c r="P34" s="61">
        <v>0.98100828729281764</v>
      </c>
      <c r="Q34" s="61">
        <v>1</v>
      </c>
      <c r="R34" s="61">
        <v>1.0200276243093922</v>
      </c>
      <c r="S34" s="61">
        <v>1.0404868784530386</v>
      </c>
      <c r="T34" s="61">
        <v>1.0588916878311097</v>
      </c>
      <c r="U34" s="61">
        <v>1.0776220534610257</v>
      </c>
      <c r="V34" s="61">
        <v>1.0966837339937425</v>
      </c>
      <c r="W34" s="61">
        <v>1.1160825899429836</v>
      </c>
      <c r="X34" s="61">
        <v>1.1358245854870548</v>
      </c>
      <c r="Y34" s="61">
        <v>1.1559157903025312</v>
      </c>
      <c r="Z34" s="61">
        <v>1.1763623814303794</v>
      </c>
      <c r="AA34" s="61">
        <v>1.1971706451750885</v>
      </c>
      <c r="AB34" s="61">
        <v>1.2183469790373942</v>
      </c>
      <c r="AC34" s="61">
        <v>1.2398978936811909</v>
      </c>
      <c r="AD34" s="61">
        <v>1.2618300149352353</v>
      </c>
      <c r="AE34" s="61">
        <v>1.2841500858302568</v>
      </c>
      <c r="AF34" s="61">
        <v>1.3068649686721034</v>
      </c>
      <c r="AG34" s="61">
        <v>1.3299816471515566</v>
      </c>
      <c r="AH34" s="61">
        <v>1.353507228491468</v>
      </c>
      <c r="AI34" s="61">
        <v>1.3774489456318741</v>
      </c>
      <c r="AJ34" s="61">
        <v>1.4018141594537645</v>
      </c>
      <c r="AK34" s="61">
        <v>1.4266103610421845</v>
      </c>
      <c r="AL34" s="61">
        <v>1.4518451739893692</v>
      </c>
      <c r="AM34" s="61">
        <v>1.4775263567386168</v>
      </c>
      <c r="AN34" s="233"/>
      <c r="AO34" s="233"/>
      <c r="AP34" s="233"/>
      <c r="AQ34" s="233"/>
      <c r="AR34" s="233"/>
      <c r="AS34" s="233"/>
      <c r="AT34" s="233"/>
      <c r="AU34" s="233"/>
      <c r="AV34" s="233"/>
      <c r="AW34" s="233"/>
      <c r="AX34" s="233"/>
      <c r="AY34" s="233"/>
      <c r="AZ34" s="233"/>
      <c r="BA34" s="233"/>
      <c r="BB34" s="233"/>
      <c r="BC34" s="233"/>
      <c r="BD34" s="233"/>
      <c r="BE34" s="233"/>
      <c r="BF34" s="233"/>
      <c r="BG34" s="233"/>
      <c r="BH34" s="233"/>
      <c r="BI34" s="233"/>
      <c r="BJ34" s="233"/>
      <c r="BK34" s="233"/>
      <c r="BL34" s="233"/>
      <c r="BM34" s="233"/>
      <c r="BN34" s="233"/>
      <c r="BO34" s="233"/>
    </row>
    <row r="35" spans="1:67" s="716" customFormat="1" x14ac:dyDescent="0.2">
      <c r="A35" s="224"/>
      <c r="B35" s="224"/>
      <c r="C35" s="722"/>
      <c r="D35" s="61">
        <v>1.2686452743401599</v>
      </c>
      <c r="E35" s="61">
        <v>1.2286805260924907</v>
      </c>
      <c r="F35" s="61">
        <v>1.1961999173895086</v>
      </c>
      <c r="G35" s="61">
        <v>1.1718765806777947</v>
      </c>
      <c r="H35" s="61">
        <v>1.1584000000000001</v>
      </c>
      <c r="I35" s="61">
        <v>1.1482950039651072</v>
      </c>
      <c r="J35" s="61">
        <v>1.1254250461478674</v>
      </c>
      <c r="K35" s="61">
        <v>1.1052380498044081</v>
      </c>
      <c r="L35" s="61">
        <v>1.0865772441609607</v>
      </c>
      <c r="M35" s="61">
        <v>1.068339020566264</v>
      </c>
      <c r="N35" s="61">
        <v>1.0540491355777981</v>
      </c>
      <c r="O35" s="61">
        <v>1.0376209243998566</v>
      </c>
      <c r="P35" s="61">
        <v>1.019359380499824</v>
      </c>
      <c r="Q35" s="61">
        <v>1</v>
      </c>
      <c r="R35" s="61">
        <v>0.98036560595802313</v>
      </c>
      <c r="S35" s="61">
        <v>0.96108852567825453</v>
      </c>
      <c r="T35" s="61">
        <v>0.94438365273058722</v>
      </c>
      <c r="U35" s="61">
        <v>0.92796913053911156</v>
      </c>
      <c r="V35" s="61">
        <v>0.91183991245894214</v>
      </c>
      <c r="W35" s="61">
        <v>0.89599103956194337</v>
      </c>
      <c r="X35" s="61">
        <v>0.88041763911210669</v>
      </c>
      <c r="Y35" s="61">
        <v>0.86511492306742843</v>
      </c>
      <c r="Z35" s="61">
        <v>0.85007818660782541</v>
      </c>
      <c r="AA35" s="61">
        <v>0.83530280668863888</v>
      </c>
      <c r="AB35" s="61">
        <v>0.82078424061927879</v>
      </c>
      <c r="AC35" s="61">
        <v>0.80651802466657418</v>
      </c>
      <c r="AD35" s="61">
        <v>0.79249977268239735</v>
      </c>
      <c r="AE35" s="61">
        <v>0.77872517475514413</v>
      </c>
      <c r="AF35" s="61">
        <v>0.76518999588464998</v>
      </c>
      <c r="AG35" s="61">
        <v>0.75189007468014035</v>
      </c>
      <c r="AH35" s="61">
        <v>0.73882132208081053</v>
      </c>
      <c r="AI35" s="61">
        <v>0.72597972009864375</v>
      </c>
      <c r="AJ35" s="61">
        <v>0.71336132058308166</v>
      </c>
      <c r="AK35" s="61">
        <v>0.70096224400716389</v>
      </c>
      <c r="AL35" s="61">
        <v>0.68877867827476913</v>
      </c>
      <c r="AM35" s="61">
        <v>0.67680687754858504</v>
      </c>
      <c r="AN35" s="233"/>
      <c r="AO35" s="233"/>
      <c r="AP35" s="233"/>
      <c r="AQ35" s="233"/>
      <c r="AR35" s="233"/>
      <c r="AS35" s="233"/>
      <c r="AT35" s="233"/>
      <c r="AU35" s="233"/>
      <c r="AV35" s="233"/>
      <c r="AW35" s="233"/>
      <c r="AX35" s="233"/>
      <c r="AY35" s="233"/>
      <c r="AZ35" s="233"/>
      <c r="BA35" s="233"/>
      <c r="BB35" s="233"/>
      <c r="BC35" s="233"/>
      <c r="BD35" s="233"/>
      <c r="BE35" s="233"/>
      <c r="BF35" s="233"/>
      <c r="BG35" s="233"/>
      <c r="BH35" s="233"/>
      <c r="BI35" s="233"/>
      <c r="BJ35" s="233"/>
      <c r="BK35" s="233"/>
      <c r="BL35" s="233"/>
      <c r="BM35" s="233"/>
      <c r="BN35" s="233"/>
      <c r="BO35" s="233"/>
    </row>
    <row r="36" spans="1:67" s="716" customFormat="1" x14ac:dyDescent="0.2">
      <c r="A36" s="224"/>
      <c r="B36" s="224"/>
      <c r="C36" s="722" t="s">
        <v>656</v>
      </c>
      <c r="D36" s="61">
        <v>0.77276574136763709</v>
      </c>
      <c r="E36" s="61">
        <v>0.79790115098171965</v>
      </c>
      <c r="F36" s="61">
        <v>0.8195666892349357</v>
      </c>
      <c r="G36" s="61">
        <v>0.83657752200406232</v>
      </c>
      <c r="H36" s="61">
        <v>0.84631008801624918</v>
      </c>
      <c r="I36" s="61">
        <v>0.8537576167907921</v>
      </c>
      <c r="J36" s="61">
        <v>0.87110697359512534</v>
      </c>
      <c r="K36" s="61">
        <v>0.88701760324983081</v>
      </c>
      <c r="L36" s="61">
        <v>0.90225118483412325</v>
      </c>
      <c r="M36" s="61">
        <v>0.91765402843601895</v>
      </c>
      <c r="N36" s="61">
        <v>0.93009478672985779</v>
      </c>
      <c r="O36" s="61">
        <v>0.94482058226134058</v>
      </c>
      <c r="P36" s="61">
        <v>0.96174678402166558</v>
      </c>
      <c r="Q36" s="61">
        <v>0.98036560595802313</v>
      </c>
      <c r="R36" s="61">
        <v>1</v>
      </c>
      <c r="S36" s="61">
        <v>1.0200575490859851</v>
      </c>
      <c r="T36" s="61">
        <v>1.0381009911844596</v>
      </c>
      <c r="U36" s="61">
        <v>1.0564635974350476</v>
      </c>
      <c r="V36" s="61">
        <v>1.0751510134210829</v>
      </c>
      <c r="W36" s="61">
        <v>1.0941689845886531</v>
      </c>
      <c r="X36" s="61">
        <v>1.113523358013037</v>
      </c>
      <c r="Y36" s="61">
        <v>1.1332200841963884</v>
      </c>
      <c r="Z36" s="61">
        <v>1.1532652188972172</v>
      </c>
      <c r="AA36" s="61">
        <v>1.1736649249922333</v>
      </c>
      <c r="AB36" s="61">
        <v>1.194425474371122</v>
      </c>
      <c r="AC36" s="61">
        <v>1.2155532498648374</v>
      </c>
      <c r="AD36" s="61">
        <v>1.2370547472080033</v>
      </c>
      <c r="AE36" s="61">
        <v>1.2589365770360272</v>
      </c>
      <c r="AF36" s="61">
        <v>1.2812054669175397</v>
      </c>
      <c r="AG36" s="61">
        <v>1.3038682634227856</v>
      </c>
      <c r="AH36" s="61">
        <v>1.3269319342286026</v>
      </c>
      <c r="AI36" s="61">
        <v>1.3504035702606323</v>
      </c>
      <c r="AJ36" s="61">
        <v>1.3742903878734267</v>
      </c>
      <c r="AK36" s="61">
        <v>1.3985997310691154</v>
      </c>
      <c r="AL36" s="61">
        <v>1.4233390737553195</v>
      </c>
      <c r="AM36" s="61">
        <v>1.4485160220430044</v>
      </c>
      <c r="AN36" s="233"/>
      <c r="AO36" s="233"/>
      <c r="AP36" s="233"/>
      <c r="AQ36" s="233"/>
      <c r="AR36" s="233"/>
      <c r="AS36" s="233"/>
      <c r="AT36" s="233"/>
      <c r="AU36" s="233"/>
      <c r="AV36" s="233"/>
      <c r="AW36" s="233"/>
      <c r="AX36" s="233"/>
      <c r="AY36" s="233"/>
      <c r="AZ36" s="233"/>
      <c r="BA36" s="233"/>
      <c r="BB36" s="233"/>
      <c r="BC36" s="233"/>
      <c r="BD36" s="233"/>
      <c r="BE36" s="233"/>
      <c r="BF36" s="233"/>
      <c r="BG36" s="233"/>
      <c r="BH36" s="233"/>
      <c r="BI36" s="233"/>
      <c r="BJ36" s="233"/>
      <c r="BK36" s="233"/>
      <c r="BL36" s="233"/>
      <c r="BM36" s="233"/>
      <c r="BN36" s="233"/>
      <c r="BO36" s="233"/>
    </row>
    <row r="37" spans="1:67" s="716" customFormat="1" x14ac:dyDescent="0.2">
      <c r="A37" s="224"/>
      <c r="B37" s="224"/>
      <c r="C37" s="722"/>
      <c r="D37" s="61">
        <v>1.2940532252765304</v>
      </c>
      <c r="E37" s="61">
        <v>1.2532880780653373</v>
      </c>
      <c r="F37" s="61">
        <v>1.2201569599339115</v>
      </c>
      <c r="G37" s="61">
        <v>1.1953464845725847</v>
      </c>
      <c r="H37" s="61">
        <v>1.1816</v>
      </c>
      <c r="I37" s="61">
        <v>1.1712926249008724</v>
      </c>
      <c r="J37" s="61">
        <v>1.1479646361604974</v>
      </c>
      <c r="K37" s="61">
        <v>1.1273733422383359</v>
      </c>
      <c r="L37" s="61">
        <v>1.108338804990151</v>
      </c>
      <c r="M37" s="61">
        <v>1.0897353131052292</v>
      </c>
      <c r="N37" s="61">
        <v>1.0751592356687898</v>
      </c>
      <c r="O37" s="61">
        <v>1.0584020064493014</v>
      </c>
      <c r="P37" s="61">
        <v>1.0397747272087292</v>
      </c>
      <c r="Q37" s="61">
        <v>1.0200276243093922</v>
      </c>
      <c r="R37" s="61">
        <v>1</v>
      </c>
      <c r="S37" s="61">
        <v>0.98033684559860612</v>
      </c>
      <c r="T37" s="61">
        <v>0.96329741373140687</v>
      </c>
      <c r="U37" s="61">
        <v>0.94655414765626222</v>
      </c>
      <c r="V37" s="61">
        <v>0.93010189965597889</v>
      </c>
      <c r="W37" s="61">
        <v>0.91393561148687152</v>
      </c>
      <c r="X37" s="61">
        <v>0.89805031282360592</v>
      </c>
      <c r="Y37" s="61">
        <v>0.88244111973107142</v>
      </c>
      <c r="Z37" s="61">
        <v>0.86710323316281623</v>
      </c>
      <c r="AA37" s="61">
        <v>0.85203193748557959</v>
      </c>
      <c r="AB37" s="61">
        <v>0.83722259902947138</v>
      </c>
      <c r="AC37" s="61">
        <v>0.82267066466334926</v>
      </c>
      <c r="AD37" s="61">
        <v>0.808371660394959</v>
      </c>
      <c r="AE37" s="61">
        <v>0.7943211899954058</v>
      </c>
      <c r="AF37" s="61">
        <v>0.78051493364753299</v>
      </c>
      <c r="AG37" s="61">
        <v>0.76694864661779494</v>
      </c>
      <c r="AH37" s="61">
        <v>0.75361815795121334</v>
      </c>
      <c r="AI37" s="61">
        <v>0.74051936918901717</v>
      </c>
      <c r="AJ37" s="61">
        <v>0.7276482531085714</v>
      </c>
      <c r="AK37" s="61">
        <v>0.71500085248520784</v>
      </c>
      <c r="AL37" s="61">
        <v>0.70257327887557586</v>
      </c>
      <c r="AM37" s="61">
        <v>0.69036171142214087</v>
      </c>
      <c r="AN37" s="233"/>
      <c r="AO37" s="233"/>
      <c r="AP37" s="233"/>
      <c r="AQ37" s="233"/>
      <c r="AR37" s="233"/>
      <c r="AS37" s="233"/>
      <c r="AT37" s="233"/>
      <c r="AU37" s="233"/>
      <c r="AV37" s="233"/>
      <c r="AW37" s="233"/>
      <c r="AX37" s="233"/>
      <c r="AY37" s="233"/>
      <c r="AZ37" s="233"/>
      <c r="BA37" s="233"/>
      <c r="BB37" s="233"/>
      <c r="BC37" s="233"/>
      <c r="BD37" s="233"/>
      <c r="BE37" s="233"/>
      <c r="BF37" s="233"/>
      <c r="BG37" s="233"/>
      <c r="BH37" s="233"/>
      <c r="BI37" s="233"/>
      <c r="BJ37" s="233"/>
      <c r="BK37" s="233"/>
      <c r="BL37" s="233"/>
      <c r="BM37" s="233"/>
      <c r="BN37" s="233"/>
      <c r="BO37" s="233"/>
    </row>
    <row r="38" spans="1:67" s="716" customFormat="1" x14ac:dyDescent="0.2">
      <c r="A38" s="224"/>
      <c r="B38" s="224"/>
      <c r="C38" s="722" t="s">
        <v>657</v>
      </c>
      <c r="D38" s="61">
        <v>0.7575707292790177</v>
      </c>
      <c r="E38" s="61">
        <v>0.78221189745291619</v>
      </c>
      <c r="F38" s="61">
        <v>0.80345142288227001</v>
      </c>
      <c r="G38" s="61">
        <v>0.82012776902016093</v>
      </c>
      <c r="H38" s="61">
        <v>0.82966896208412844</v>
      </c>
      <c r="I38" s="61">
        <v>0.83697004895046867</v>
      </c>
      <c r="J38" s="61">
        <v>0.85397826267319343</v>
      </c>
      <c r="K38" s="61">
        <v>0.86957603916037496</v>
      </c>
      <c r="L38" s="61">
        <v>0.88451008047788937</v>
      </c>
      <c r="M38" s="61">
        <v>0.89961005558782048</v>
      </c>
      <c r="N38" s="61">
        <v>0.9118061893304571</v>
      </c>
      <c r="O38" s="61">
        <v>0.92624242927072098</v>
      </c>
      <c r="P38" s="61">
        <v>0.94283580851240356</v>
      </c>
      <c r="Q38" s="61">
        <v>0.96108852567825442</v>
      </c>
      <c r="R38" s="61">
        <v>0.98033684559860612</v>
      </c>
      <c r="S38" s="61">
        <v>1</v>
      </c>
      <c r="T38" s="61">
        <v>1.0176886511105596</v>
      </c>
      <c r="U38" s="61">
        <v>1.0356901905992304</v>
      </c>
      <c r="V38" s="61">
        <v>1.0540101530393691</v>
      </c>
      <c r="W38" s="61">
        <v>1.07265417090347</v>
      </c>
      <c r="X38" s="61">
        <v>1.0916279762948682</v>
      </c>
      <c r="Y38" s="61">
        <v>1.1109374027100745</v>
      </c>
      <c r="Z38" s="61">
        <v>1.1305883868322841</v>
      </c>
      <c r="AA38" s="61">
        <v>1.1505869703566107</v>
      </c>
      <c r="AB38" s="61">
        <v>1.1709393018476046</v>
      </c>
      <c r="AC38" s="61">
        <v>1.1916516386296292</v>
      </c>
      <c r="AD38" s="61">
        <v>1.2127303487106753</v>
      </c>
      <c r="AE38" s="61">
        <v>1.2341819127402058</v>
      </c>
      <c r="AF38" s="61">
        <v>1.2560129260016304</v>
      </c>
      <c r="AG38" s="61">
        <v>1.2782301004400263</v>
      </c>
      <c r="AH38" s="61">
        <v>1.3008402667257255</v>
      </c>
      <c r="AI38" s="61">
        <v>1.3238503763544043</v>
      </c>
      <c r="AJ38" s="61">
        <v>1.3472675037843205</v>
      </c>
      <c r="AK38" s="61">
        <v>1.3710988486113558</v>
      </c>
      <c r="AL38" s="61">
        <v>1.395351737782532</v>
      </c>
      <c r="AM38" s="61">
        <v>1.4200336278486803</v>
      </c>
      <c r="AN38" s="233"/>
      <c r="AO38" s="233"/>
      <c r="AP38" s="233"/>
      <c r="AQ38" s="233"/>
      <c r="AR38" s="233"/>
      <c r="AS38" s="233"/>
      <c r="AT38" s="233"/>
      <c r="AU38" s="233"/>
      <c r="AV38" s="233"/>
      <c r="AW38" s="233"/>
      <c r="AX38" s="233"/>
      <c r="AY38" s="233"/>
      <c r="AZ38" s="233"/>
      <c r="BA38" s="233"/>
      <c r="BB38" s="233"/>
      <c r="BC38" s="233"/>
      <c r="BD38" s="233"/>
      <c r="BE38" s="233"/>
      <c r="BF38" s="233"/>
      <c r="BG38" s="233"/>
      <c r="BH38" s="233"/>
      <c r="BI38" s="233"/>
      <c r="BJ38" s="233"/>
      <c r="BK38" s="233"/>
      <c r="BL38" s="233"/>
      <c r="BM38" s="233"/>
      <c r="BN38" s="233"/>
      <c r="BO38" s="233"/>
    </row>
    <row r="39" spans="1:67" s="716" customFormat="1" x14ac:dyDescent="0.2">
      <c r="A39" s="224"/>
      <c r="B39" s="224"/>
      <c r="C39" s="594"/>
      <c r="D39" s="61">
        <v>1.3200087613623919</v>
      </c>
      <c r="E39" s="61">
        <v>1.2784259652100129</v>
      </c>
      <c r="F39" s="61">
        <v>1.2446303180503924</v>
      </c>
      <c r="G39" s="61">
        <v>1.219322205361659</v>
      </c>
      <c r="H39" s="61">
        <v>1.2053</v>
      </c>
      <c r="I39" s="61">
        <v>1.1947858842188741</v>
      </c>
      <c r="J39" s="61">
        <v>1.1709899931992616</v>
      </c>
      <c r="K39" s="61">
        <v>1.1499856883885127</v>
      </c>
      <c r="L39" s="61">
        <v>1.1305693649751429</v>
      </c>
      <c r="M39" s="61">
        <v>1.1115927326385686</v>
      </c>
      <c r="N39" s="61">
        <v>1.0967242948134668</v>
      </c>
      <c r="O39" s="61">
        <v>1.0796309566463633</v>
      </c>
      <c r="P39" s="61">
        <v>1.0606300598380851</v>
      </c>
      <c r="Q39" s="61">
        <v>1.0404868784530386</v>
      </c>
      <c r="R39" s="61">
        <v>1.0200575490859851</v>
      </c>
      <c r="S39" s="61">
        <v>1</v>
      </c>
      <c r="T39" s="61">
        <v>0.9826187988917271</v>
      </c>
      <c r="U39" s="61">
        <v>0.96553970393542032</v>
      </c>
      <c r="V39" s="61">
        <v>0.94875746416329665</v>
      </c>
      <c r="W39" s="61">
        <v>0.93226691987569932</v>
      </c>
      <c r="X39" s="61">
        <v>0.91606300105474958</v>
      </c>
      <c r="Y39" s="61">
        <v>0.90014072580556892</v>
      </c>
      <c r="Z39" s="61">
        <v>0.8844951988245956</v>
      </c>
      <c r="AA39" s="61">
        <v>0.86912160989452358</v>
      </c>
      <c r="AB39" s="61">
        <v>0.85401523240540089</v>
      </c>
      <c r="AC39" s="61">
        <v>0.83917142190143423</v>
      </c>
      <c r="AD39" s="61">
        <v>0.82458561465305014</v>
      </c>
      <c r="AE39" s="61">
        <v>0.81025332625377655</v>
      </c>
      <c r="AF39" s="61">
        <v>0.79617015024151272</v>
      </c>
      <c r="AG39" s="61">
        <v>0.7823317567437611</v>
      </c>
      <c r="AH39" s="61">
        <v>0.76873389114640933</v>
      </c>
      <c r="AI39" s="61">
        <v>0.75537237278564839</v>
      </c>
      <c r="AJ39" s="61">
        <v>0.74224309366262775</v>
      </c>
      <c r="AK39" s="61">
        <v>0.729342017180451</v>
      </c>
      <c r="AL39" s="61">
        <v>0.71666517690312415</v>
      </c>
      <c r="AM39" s="61">
        <v>0.70420867533607501</v>
      </c>
      <c r="AN39" s="233"/>
      <c r="AO39" s="233"/>
      <c r="AP39" s="233"/>
      <c r="AQ39" s="233"/>
      <c r="AR39" s="233"/>
      <c r="AS39" s="233"/>
      <c r="AT39" s="233"/>
      <c r="AU39" s="233"/>
      <c r="AV39" s="233"/>
      <c r="AW39" s="233"/>
      <c r="AX39" s="233"/>
      <c r="AY39" s="233"/>
      <c r="AZ39" s="233"/>
      <c r="BA39" s="233"/>
      <c r="BB39" s="233"/>
      <c r="BC39" s="233"/>
      <c r="BD39" s="233"/>
      <c r="BE39" s="233"/>
      <c r="BF39" s="233"/>
      <c r="BG39" s="233"/>
      <c r="BH39" s="233"/>
      <c r="BI39" s="233"/>
      <c r="BJ39" s="233"/>
      <c r="BK39" s="233"/>
      <c r="BL39" s="233"/>
      <c r="BM39" s="233"/>
      <c r="BN39" s="233"/>
      <c r="BO39" s="233"/>
    </row>
    <row r="40" spans="1:67" ht="15.75" x14ac:dyDescent="0.25">
      <c r="A40" s="224"/>
      <c r="B40" s="224"/>
      <c r="C40" s="284"/>
      <c r="D40" s="232"/>
      <c r="E40" s="232"/>
      <c r="F40" s="232"/>
      <c r="G40" s="232"/>
      <c r="H40" s="232"/>
      <c r="I40" s="232"/>
      <c r="J40" s="232"/>
      <c r="K40" s="232"/>
      <c r="L40" s="232"/>
      <c r="M40" s="232"/>
      <c r="N40" s="232"/>
      <c r="O40" s="232"/>
      <c r="P40" s="232"/>
      <c r="Q40" s="232"/>
      <c r="R40" s="232"/>
      <c r="S40" s="232"/>
      <c r="T40" s="232"/>
      <c r="U40" s="232"/>
      <c r="V40" s="232"/>
      <c r="W40" s="232"/>
      <c r="X40" s="232"/>
      <c r="Y40" s="232"/>
      <c r="Z40" s="232"/>
      <c r="AA40" s="232"/>
      <c r="AB40" s="232"/>
      <c r="AC40" s="232"/>
      <c r="AD40" s="232"/>
      <c r="AE40" s="232"/>
      <c r="AF40" s="232"/>
      <c r="AG40" s="232"/>
      <c r="AH40" s="232"/>
      <c r="AI40" s="232"/>
      <c r="AJ40" s="232"/>
      <c r="AK40" s="232"/>
      <c r="AL40" s="232"/>
      <c r="AM40" s="232"/>
    </row>
    <row r="41" spans="1:67" x14ac:dyDescent="0.2">
      <c r="A41" s="224"/>
      <c r="B41" s="224"/>
      <c r="C41" s="228"/>
      <c r="D41" s="230"/>
      <c r="E41" s="230"/>
      <c r="F41" s="230"/>
      <c r="G41" s="230"/>
      <c r="H41" s="230"/>
      <c r="I41" s="230"/>
      <c r="J41" s="230"/>
      <c r="K41" s="230"/>
      <c r="L41" s="230"/>
      <c r="M41" s="230"/>
      <c r="N41" s="230"/>
      <c r="O41" s="230"/>
      <c r="P41" s="230"/>
      <c r="Q41" s="230"/>
      <c r="R41" s="230"/>
      <c r="S41" s="230"/>
      <c r="T41" s="230"/>
      <c r="U41" s="230"/>
      <c r="V41" s="230"/>
      <c r="W41" s="230"/>
      <c r="X41" s="230"/>
      <c r="Y41" s="230"/>
      <c r="Z41" s="230"/>
      <c r="AA41" s="230"/>
      <c r="AB41" s="230"/>
      <c r="AC41" s="230"/>
      <c r="AD41" s="230"/>
      <c r="AE41" s="230"/>
      <c r="AF41" s="230"/>
      <c r="AG41" s="230"/>
      <c r="AH41" s="230"/>
      <c r="AI41" s="230"/>
      <c r="AJ41" s="230"/>
      <c r="AK41" s="230"/>
      <c r="AL41" s="230"/>
      <c r="AM41" s="228"/>
    </row>
    <row r="42" spans="1:67" x14ac:dyDescent="0.2">
      <c r="A42" s="224"/>
      <c r="B42" s="224"/>
      <c r="C42" s="228"/>
      <c r="D42" s="230"/>
      <c r="E42" s="230"/>
      <c r="F42" s="230"/>
      <c r="G42" s="230"/>
      <c r="H42" s="230"/>
      <c r="I42" s="230"/>
      <c r="J42" s="230"/>
      <c r="K42" s="230"/>
      <c r="L42" s="230"/>
      <c r="M42" s="230"/>
      <c r="N42" s="230"/>
      <c r="O42" s="230"/>
      <c r="P42" s="230"/>
      <c r="Q42" s="230"/>
      <c r="R42" s="230"/>
      <c r="S42" s="228"/>
      <c r="T42" s="228"/>
      <c r="U42" s="228"/>
      <c r="V42" s="228"/>
      <c r="W42" s="228"/>
      <c r="X42" s="228"/>
      <c r="Y42" s="228"/>
      <c r="Z42" s="228"/>
      <c r="AA42" s="228"/>
      <c r="AB42" s="228"/>
      <c r="AC42" s="228"/>
      <c r="AD42" s="228"/>
      <c r="AE42" s="228"/>
      <c r="AF42" s="228"/>
      <c r="AG42" s="228"/>
      <c r="AH42" s="228"/>
      <c r="AI42" s="228"/>
      <c r="AJ42" s="228"/>
      <c r="AK42" s="228"/>
      <c r="AL42" s="228"/>
      <c r="AM42" s="228"/>
    </row>
    <row r="43" spans="1:67" x14ac:dyDescent="0.2">
      <c r="A43" s="224"/>
      <c r="B43" s="224"/>
      <c r="C43" s="595" t="s">
        <v>658</v>
      </c>
      <c r="D43" s="271"/>
      <c r="E43" s="271"/>
      <c r="F43" s="271"/>
      <c r="G43" s="271"/>
      <c r="H43" s="271"/>
      <c r="I43" s="271"/>
      <c r="J43" s="228"/>
      <c r="K43" s="228"/>
      <c r="L43" s="228"/>
      <c r="M43" s="228"/>
      <c r="N43" s="228"/>
      <c r="O43" s="228"/>
      <c r="P43" s="228"/>
      <c r="Q43" s="228"/>
      <c r="R43" s="228"/>
      <c r="S43" s="228"/>
      <c r="T43" s="228"/>
      <c r="U43" s="228"/>
      <c r="V43" s="228"/>
      <c r="W43" s="228"/>
      <c r="X43" s="228"/>
      <c r="Y43" s="228"/>
      <c r="Z43" s="228"/>
      <c r="AA43" s="228"/>
      <c r="AB43" s="228"/>
      <c r="AC43" s="228"/>
      <c r="AD43" s="228"/>
      <c r="AE43" s="228"/>
      <c r="AF43" s="228"/>
      <c r="AG43" s="228"/>
      <c r="AH43" s="228"/>
      <c r="AI43" s="228"/>
      <c r="AJ43" s="228"/>
      <c r="AK43" s="228"/>
      <c r="AL43" s="228"/>
      <c r="AM43" s="228"/>
    </row>
    <row r="44" spans="1:67" x14ac:dyDescent="0.2">
      <c r="A44" s="224"/>
      <c r="B44" s="224"/>
      <c r="C44" s="595" t="s">
        <v>659</v>
      </c>
      <c r="D44" s="228"/>
      <c r="E44" s="271"/>
      <c r="F44" s="271"/>
      <c r="G44" s="271"/>
      <c r="H44" s="271"/>
      <c r="I44" s="228"/>
      <c r="J44" s="228"/>
      <c r="K44" s="228"/>
      <c r="L44" s="228"/>
      <c r="M44" s="228"/>
      <c r="N44" s="228"/>
      <c r="O44" s="228"/>
      <c r="P44" s="228"/>
      <c r="Q44" s="228"/>
      <c r="R44" s="228"/>
      <c r="S44" s="228"/>
      <c r="T44" s="228"/>
      <c r="U44" s="228"/>
      <c r="V44" s="228"/>
      <c r="W44" s="228"/>
      <c r="X44" s="228"/>
      <c r="Y44" s="228"/>
      <c r="Z44" s="228"/>
      <c r="AA44" s="228"/>
      <c r="AB44" s="228"/>
      <c r="AC44" s="228"/>
      <c r="AD44" s="228"/>
      <c r="AE44" s="228"/>
      <c r="AF44" s="228"/>
      <c r="AG44" s="228"/>
      <c r="AH44" s="228"/>
      <c r="AI44" s="228"/>
      <c r="AJ44" s="228"/>
      <c r="AK44" s="228"/>
      <c r="AL44" s="228"/>
      <c r="AM44" s="228"/>
    </row>
    <row r="45" spans="1:67" x14ac:dyDescent="0.2">
      <c r="A45" s="224"/>
      <c r="B45" s="224"/>
      <c r="C45" s="596" t="s">
        <v>660</v>
      </c>
      <c r="D45" s="228"/>
      <c r="E45" s="228"/>
      <c r="F45" s="228"/>
      <c r="G45" s="228"/>
      <c r="H45" s="228"/>
      <c r="I45" s="228"/>
      <c r="J45" s="228"/>
      <c r="K45" s="228"/>
      <c r="L45" s="228"/>
      <c r="M45" s="228"/>
      <c r="N45" s="228"/>
      <c r="O45" s="228"/>
      <c r="P45" s="228"/>
      <c r="Q45" s="228"/>
      <c r="R45" s="228"/>
      <c r="S45" s="228"/>
      <c r="T45" s="228"/>
      <c r="U45" s="228"/>
      <c r="V45" s="228"/>
      <c r="W45" s="228"/>
      <c r="X45" s="228"/>
      <c r="Y45" s="228"/>
      <c r="Z45" s="228"/>
      <c r="AA45" s="228"/>
      <c r="AB45" s="228"/>
      <c r="AC45" s="228"/>
      <c r="AD45" s="228"/>
      <c r="AE45" s="228"/>
      <c r="AF45" s="228"/>
      <c r="AG45" s="228"/>
      <c r="AH45" s="228"/>
      <c r="AI45" s="228"/>
      <c r="AJ45" s="228"/>
      <c r="AK45" s="228"/>
      <c r="AL45" s="228"/>
      <c r="AM45" s="228"/>
    </row>
    <row r="46" spans="1:67" x14ac:dyDescent="0.2">
      <c r="A46" s="224"/>
      <c r="B46" s="224"/>
      <c r="C46" s="285"/>
      <c r="D46" s="228"/>
      <c r="E46" s="228"/>
      <c r="F46" s="228"/>
      <c r="G46" s="228"/>
      <c r="H46" s="228"/>
      <c r="I46" s="228"/>
      <c r="J46" s="228"/>
      <c r="K46" s="228"/>
      <c r="L46" s="228"/>
      <c r="M46" s="228"/>
      <c r="N46" s="228"/>
      <c r="O46" s="228"/>
      <c r="P46" s="228"/>
      <c r="Q46" s="228"/>
      <c r="R46" s="228"/>
      <c r="S46" s="228"/>
      <c r="T46" s="228"/>
      <c r="U46" s="228"/>
      <c r="V46" s="228"/>
      <c r="W46" s="228"/>
      <c r="X46" s="228"/>
      <c r="Y46" s="228"/>
      <c r="Z46" s="228"/>
      <c r="AA46" s="228"/>
      <c r="AB46" s="228"/>
      <c r="AC46" s="228"/>
      <c r="AD46" s="228"/>
      <c r="AE46" s="228"/>
      <c r="AF46" s="228"/>
      <c r="AG46" s="228"/>
      <c r="AH46" s="228"/>
      <c r="AI46" s="228"/>
      <c r="AJ46" s="228"/>
      <c r="AK46" s="228"/>
      <c r="AL46" s="228"/>
      <c r="AM46" s="228"/>
    </row>
    <row r="47" spans="1:67" x14ac:dyDescent="0.2">
      <c r="A47" s="224"/>
      <c r="B47" s="224"/>
      <c r="C47" s="285"/>
      <c r="D47" s="228"/>
      <c r="E47" s="228"/>
      <c r="F47" s="228"/>
      <c r="G47" s="228"/>
      <c r="H47" s="228"/>
      <c r="I47" s="228"/>
      <c r="J47" s="228"/>
      <c r="K47" s="228"/>
      <c r="L47" s="228"/>
      <c r="M47" s="228"/>
      <c r="N47" s="228"/>
      <c r="O47" s="228"/>
      <c r="P47" s="228"/>
      <c r="Q47" s="228"/>
      <c r="R47" s="228"/>
      <c r="S47" s="228"/>
      <c r="T47" s="228"/>
      <c r="U47" s="228"/>
      <c r="V47" s="228"/>
      <c r="W47" s="228"/>
      <c r="X47" s="228"/>
      <c r="Y47" s="228"/>
      <c r="Z47" s="228"/>
      <c r="AA47" s="228"/>
      <c r="AB47" s="228"/>
      <c r="AC47" s="228"/>
      <c r="AD47" s="228"/>
      <c r="AE47" s="228"/>
      <c r="AF47" s="228"/>
      <c r="AG47" s="228"/>
      <c r="AH47" s="228"/>
      <c r="AI47" s="228"/>
      <c r="AJ47" s="228"/>
      <c r="AK47" s="228"/>
      <c r="AL47" s="228"/>
      <c r="AM47" s="228"/>
    </row>
    <row r="48" spans="1:67" x14ac:dyDescent="0.2">
      <c r="A48" s="224"/>
      <c r="B48" s="224"/>
      <c r="C48" s="285"/>
      <c r="D48" s="228"/>
      <c r="E48" s="228"/>
      <c r="F48" s="228"/>
      <c r="G48" s="228"/>
      <c r="H48" s="228"/>
      <c r="I48" s="228"/>
      <c r="J48" s="228"/>
      <c r="K48" s="228"/>
      <c r="L48" s="228"/>
      <c r="M48" s="228"/>
      <c r="N48" s="228"/>
      <c r="O48" s="228"/>
      <c r="P48" s="228"/>
      <c r="Q48" s="228"/>
      <c r="R48" s="228"/>
      <c r="S48" s="228"/>
      <c r="T48" s="228"/>
      <c r="U48" s="228"/>
      <c r="V48" s="228"/>
      <c r="W48" s="228"/>
      <c r="X48" s="228"/>
      <c r="Y48" s="228"/>
      <c r="Z48" s="228"/>
      <c r="AA48" s="228"/>
      <c r="AB48" s="228"/>
      <c r="AC48" s="228"/>
      <c r="AD48" s="228"/>
      <c r="AE48" s="228"/>
      <c r="AF48" s="228"/>
      <c r="AG48" s="228"/>
      <c r="AH48" s="228"/>
      <c r="AI48" s="228"/>
      <c r="AJ48" s="228"/>
      <c r="AK48" s="228"/>
      <c r="AL48" s="228"/>
      <c r="AM48" s="228"/>
    </row>
    <row r="49" spans="1:39" x14ac:dyDescent="0.2">
      <c r="A49" s="224"/>
      <c r="B49" s="224"/>
      <c r="C49" s="89"/>
      <c r="D49" s="89"/>
      <c r="E49" s="228"/>
      <c r="F49" s="228"/>
      <c r="G49" s="228"/>
      <c r="H49" s="228"/>
      <c r="I49" s="228"/>
      <c r="J49" s="228"/>
      <c r="K49" s="228"/>
      <c r="L49" s="228"/>
      <c r="M49" s="228"/>
      <c r="N49" s="228"/>
      <c r="O49" s="228"/>
      <c r="P49" s="228"/>
      <c r="Q49" s="228"/>
      <c r="R49" s="228"/>
      <c r="S49" s="228"/>
      <c r="T49" s="228"/>
      <c r="U49" s="228"/>
      <c r="V49" s="228"/>
      <c r="W49" s="228"/>
      <c r="X49" s="228"/>
      <c r="Y49" s="228"/>
      <c r="Z49" s="228"/>
      <c r="AA49" s="228"/>
      <c r="AB49" s="228"/>
      <c r="AC49" s="228"/>
      <c r="AD49" s="228"/>
      <c r="AE49" s="228"/>
      <c r="AF49" s="228"/>
      <c r="AG49" s="228"/>
      <c r="AH49" s="228"/>
      <c r="AI49" s="228"/>
      <c r="AJ49" s="228"/>
      <c r="AK49" s="228"/>
      <c r="AL49" s="228"/>
      <c r="AM49" s="228"/>
    </row>
    <row r="50" spans="1:39" ht="15.75" x14ac:dyDescent="0.25">
      <c r="A50" s="224"/>
      <c r="B50" s="224"/>
      <c r="C50" s="286"/>
      <c r="D50" s="228"/>
      <c r="E50" s="228"/>
      <c r="F50" s="228"/>
      <c r="G50" s="228"/>
      <c r="H50" s="228"/>
      <c r="I50" s="228"/>
      <c r="J50" s="228"/>
      <c r="K50" s="287"/>
      <c r="L50" s="228"/>
      <c r="M50" s="228"/>
      <c r="N50" s="228"/>
      <c r="O50" s="228"/>
      <c r="P50" s="228"/>
      <c r="Q50" s="228"/>
      <c r="R50" s="228"/>
      <c r="S50" s="228"/>
      <c r="T50" s="228"/>
      <c r="U50" s="228"/>
      <c r="V50" s="228"/>
      <c r="W50" s="228"/>
      <c r="X50" s="228"/>
      <c r="Y50" s="228"/>
      <c r="Z50" s="228"/>
      <c r="AA50" s="228"/>
      <c r="AB50" s="228"/>
      <c r="AC50" s="228"/>
      <c r="AD50" s="228"/>
      <c r="AE50" s="228"/>
      <c r="AF50" s="228"/>
      <c r="AG50" s="228"/>
      <c r="AH50" s="228"/>
      <c r="AI50" s="228"/>
      <c r="AJ50" s="228"/>
      <c r="AK50" s="228"/>
      <c r="AL50" s="228"/>
      <c r="AM50" s="228"/>
    </row>
    <row r="51" spans="1:39" x14ac:dyDescent="0.2">
      <c r="A51" s="224"/>
      <c r="B51" s="224"/>
      <c r="C51" s="228"/>
      <c r="D51" s="368">
        <f>HLOOKUP($E$4,E$51:R$53,3)</f>
        <v>19</v>
      </c>
      <c r="E51" s="368">
        <v>2007</v>
      </c>
      <c r="F51" s="368">
        <v>2008</v>
      </c>
      <c r="G51" s="368">
        <v>2009</v>
      </c>
      <c r="H51" s="368">
        <v>2010</v>
      </c>
      <c r="I51" s="368">
        <v>2011</v>
      </c>
      <c r="J51" s="368">
        <v>2012</v>
      </c>
      <c r="K51" s="368">
        <v>2013</v>
      </c>
      <c r="L51" s="368">
        <v>2014</v>
      </c>
      <c r="M51" s="368">
        <v>2015</v>
      </c>
      <c r="N51" s="723">
        <v>2016</v>
      </c>
      <c r="O51" s="723">
        <v>2017</v>
      </c>
      <c r="P51" s="723">
        <v>2018</v>
      </c>
      <c r="Q51" s="723">
        <v>2019</v>
      </c>
      <c r="R51" s="723">
        <v>2020</v>
      </c>
      <c r="S51" s="228"/>
      <c r="T51" s="228"/>
      <c r="U51" s="228"/>
      <c r="V51" s="228"/>
      <c r="W51" s="228"/>
      <c r="X51" s="228"/>
      <c r="Y51" s="228"/>
      <c r="Z51" s="228"/>
      <c r="AA51" s="228"/>
      <c r="AB51" s="228"/>
      <c r="AC51" s="228"/>
      <c r="AD51" s="228"/>
      <c r="AE51" s="228"/>
      <c r="AF51" s="228"/>
      <c r="AG51" s="228"/>
      <c r="AH51" s="228"/>
      <c r="AI51" s="228"/>
      <c r="AJ51" s="228"/>
      <c r="AK51" s="228"/>
      <c r="AL51" s="228"/>
      <c r="AM51" s="228"/>
    </row>
    <row r="52" spans="1:39" x14ac:dyDescent="0.2">
      <c r="A52" s="224"/>
      <c r="B52" s="224"/>
      <c r="C52" s="228"/>
      <c r="D52" s="368">
        <f>HLOOKUP($E$4,E$51:R$53,2)</f>
        <v>16</v>
      </c>
      <c r="E52" s="368">
        <v>2</v>
      </c>
      <c r="F52" s="368">
        <v>4</v>
      </c>
      <c r="G52" s="368">
        <v>6</v>
      </c>
      <c r="H52" s="368">
        <v>8</v>
      </c>
      <c r="I52" s="368">
        <v>10</v>
      </c>
      <c r="J52" s="368">
        <v>12</v>
      </c>
      <c r="K52" s="368">
        <v>14</v>
      </c>
      <c r="L52" s="368">
        <v>16</v>
      </c>
      <c r="M52" s="368">
        <v>18</v>
      </c>
      <c r="N52" s="723">
        <v>20</v>
      </c>
      <c r="O52" s="723">
        <v>22</v>
      </c>
      <c r="P52" s="723">
        <v>24</v>
      </c>
      <c r="Q52" s="723">
        <v>26</v>
      </c>
      <c r="R52" s="723">
        <v>28</v>
      </c>
      <c r="S52" s="228"/>
      <c r="T52" s="228"/>
      <c r="U52" s="228"/>
      <c r="V52" s="228"/>
      <c r="W52" s="228"/>
      <c r="X52" s="228"/>
      <c r="Y52" s="228"/>
      <c r="Z52" s="228"/>
      <c r="AA52" s="228"/>
      <c r="AB52" s="228"/>
      <c r="AC52" s="228"/>
      <c r="AD52" s="228"/>
      <c r="AE52" s="228"/>
      <c r="AF52" s="228"/>
      <c r="AG52" s="228"/>
      <c r="AH52" s="228"/>
      <c r="AI52" s="228"/>
      <c r="AJ52" s="228"/>
      <c r="AK52" s="228"/>
      <c r="AL52" s="228"/>
      <c r="AM52" s="228"/>
    </row>
    <row r="53" spans="1:39" x14ac:dyDescent="0.2">
      <c r="A53" s="224"/>
      <c r="B53" s="224"/>
      <c r="C53" s="288"/>
      <c r="D53" s="597"/>
      <c r="E53" s="368">
        <f>$F$52+1</f>
        <v>5</v>
      </c>
      <c r="F53" s="368">
        <f>$G$52+1</f>
        <v>7</v>
      </c>
      <c r="G53" s="368">
        <f>$H$52+1</f>
        <v>9</v>
      </c>
      <c r="H53" s="368">
        <f>$I$52+1</f>
        <v>11</v>
      </c>
      <c r="I53" s="368">
        <f>$J$52+1</f>
        <v>13</v>
      </c>
      <c r="J53" s="368">
        <f>$K$52+1</f>
        <v>15</v>
      </c>
      <c r="K53" s="368">
        <f>$L$52+1</f>
        <v>17</v>
      </c>
      <c r="L53" s="368">
        <f>$M$52+1</f>
        <v>19</v>
      </c>
      <c r="M53" s="368">
        <f>$N$52+1</f>
        <v>21</v>
      </c>
      <c r="N53" s="723">
        <v>21</v>
      </c>
      <c r="O53" s="723">
        <v>23</v>
      </c>
      <c r="P53" s="723">
        <v>25</v>
      </c>
      <c r="Q53" s="723">
        <v>27</v>
      </c>
      <c r="R53" s="723">
        <v>29</v>
      </c>
      <c r="S53" s="228"/>
      <c r="T53" s="228"/>
      <c r="U53" s="228"/>
      <c r="V53" s="228"/>
      <c r="W53" s="228"/>
      <c r="X53" s="228"/>
      <c r="Y53" s="228"/>
      <c r="Z53" s="228"/>
      <c r="AA53" s="228"/>
      <c r="AB53" s="228"/>
      <c r="AC53" s="228"/>
      <c r="AD53" s="228"/>
      <c r="AE53" s="228"/>
      <c r="AF53" s="228"/>
      <c r="AG53" s="228"/>
      <c r="AH53" s="228"/>
      <c r="AI53" s="228"/>
      <c r="AJ53" s="228"/>
      <c r="AK53" s="228"/>
      <c r="AL53" s="228"/>
      <c r="AM53" s="228"/>
    </row>
    <row r="54" spans="1:39" x14ac:dyDescent="0.2">
      <c r="A54" s="224"/>
      <c r="B54" s="224"/>
      <c r="C54" s="228"/>
      <c r="D54" s="228"/>
      <c r="E54" s="228"/>
      <c r="F54" s="228"/>
      <c r="G54" s="228"/>
      <c r="H54" s="228"/>
      <c r="I54" s="228"/>
      <c r="J54" s="228"/>
      <c r="K54" s="228"/>
      <c r="L54" s="228"/>
      <c r="M54" s="228"/>
      <c r="N54" s="228"/>
      <c r="O54" s="228"/>
      <c r="P54" s="228"/>
      <c r="Q54" s="228"/>
      <c r="R54" s="228"/>
      <c r="S54" s="228"/>
      <c r="T54" s="228"/>
      <c r="U54" s="228"/>
      <c r="V54" s="228"/>
      <c r="W54" s="228"/>
      <c r="X54" s="228"/>
      <c r="Y54" s="228"/>
      <c r="Z54" s="228"/>
      <c r="AA54" s="228"/>
      <c r="AB54" s="228"/>
      <c r="AC54" s="228"/>
      <c r="AD54" s="228"/>
      <c r="AE54" s="228"/>
      <c r="AF54" s="228"/>
      <c r="AG54" s="228"/>
      <c r="AH54" s="228"/>
      <c r="AI54" s="228"/>
      <c r="AJ54" s="228"/>
      <c r="AK54" s="228"/>
      <c r="AL54" s="228"/>
      <c r="AM54" s="228"/>
    </row>
    <row r="55" spans="1:39" x14ac:dyDescent="0.2">
      <c r="A55" s="224"/>
      <c r="B55" s="224"/>
      <c r="C55" s="166">
        <f>C53*100</f>
        <v>0</v>
      </c>
    </row>
    <row r="56" spans="1:39" x14ac:dyDescent="0.2">
      <c r="A56" s="224"/>
      <c r="B56" s="224"/>
    </row>
    <row r="57" spans="1:39" x14ac:dyDescent="0.2">
      <c r="A57" s="224"/>
      <c r="B57" s="224"/>
    </row>
    <row r="58" spans="1:39" x14ac:dyDescent="0.2">
      <c r="A58" s="224"/>
      <c r="B58" s="224"/>
    </row>
    <row r="61" spans="1:39" ht="13.5" customHeight="1" x14ac:dyDescent="0.2"/>
  </sheetData>
  <sheetProtection password="DFD3" sheet="1" objects="1" scenarios="1"/>
  <customSheetViews>
    <customSheetView guid="{55B80D82-F000-11D6-8735-C8E5A357943D}" showRuler="0">
      <selection activeCell="F8" sqref="F8"/>
      <pageMargins left="0.75" right="0.75" top="1" bottom="1" header="0.5" footer="0.5"/>
      <headerFooter alignWithMargins="0"/>
    </customSheetView>
  </customSheetViews>
  <phoneticPr fontId="0" type="noConversion"/>
  <hyperlinks>
    <hyperlink ref="C43" r:id="rId1" display="https://www.whitehouse.gov/omb/budget/Historicals Table 10.1—GROSS DOMESTIC PRODUCT AND DEFLATORS USED IN THE HISTORICAL TABLES: 1940–2021. Accessed Nov. 2016."/>
  </hyperlinks>
  <pageMargins left="0.75" right="0.75" top="1" bottom="1" header="0.5" footer="0.5"/>
  <pageSetup orientation="portrait" horizontalDpi="4294967293"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E48"/>
  <sheetViews>
    <sheetView workbookViewId="0">
      <selection activeCell="F2" sqref="F2"/>
    </sheetView>
  </sheetViews>
  <sheetFormatPr defaultRowHeight="12.75" x14ac:dyDescent="0.2"/>
  <cols>
    <col min="1" max="1" width="207.140625" style="228" customWidth="1"/>
    <col min="2" max="2" width="29.140625" style="228" customWidth="1"/>
    <col min="3" max="3" width="20.5703125" customWidth="1"/>
    <col min="4" max="4" width="8.28515625" customWidth="1"/>
    <col min="5" max="5" width="6.7109375" customWidth="1"/>
    <col min="50" max="50" width="9.140625" style="462"/>
  </cols>
  <sheetData>
    <row r="1" spans="1:57" x14ac:dyDescent="0.2">
      <c r="A1" s="224"/>
      <c r="B1" s="224"/>
      <c r="C1" s="1" t="s">
        <v>126</v>
      </c>
    </row>
    <row r="2" spans="1:57" x14ac:dyDescent="0.2">
      <c r="A2" s="224"/>
      <c r="B2" s="224"/>
      <c r="C2" s="1" t="s">
        <v>158</v>
      </c>
      <c r="D2" s="1">
        <v>2014</v>
      </c>
    </row>
    <row r="3" spans="1:57" x14ac:dyDescent="0.2">
      <c r="A3" s="224"/>
      <c r="B3" s="224"/>
      <c r="D3" t="s">
        <v>13</v>
      </c>
      <c r="E3" t="s">
        <v>14</v>
      </c>
      <c r="F3" t="s">
        <v>15</v>
      </c>
      <c r="G3" t="s">
        <v>16</v>
      </c>
      <c r="H3" t="s">
        <v>17</v>
      </c>
      <c r="I3" t="s">
        <v>18</v>
      </c>
      <c r="J3" t="s">
        <v>19</v>
      </c>
      <c r="K3" t="s">
        <v>20</v>
      </c>
      <c r="L3" t="s">
        <v>21</v>
      </c>
      <c r="M3" t="s">
        <v>22</v>
      </c>
      <c r="N3" t="s">
        <v>23</v>
      </c>
      <c r="O3" t="s">
        <v>24</v>
      </c>
      <c r="P3" t="s">
        <v>25</v>
      </c>
      <c r="Q3" t="s">
        <v>26</v>
      </c>
      <c r="R3" t="s">
        <v>27</v>
      </c>
      <c r="S3" t="s">
        <v>28</v>
      </c>
      <c r="T3" t="s">
        <v>29</v>
      </c>
      <c r="U3" t="s">
        <v>30</v>
      </c>
      <c r="V3" t="s">
        <v>31</v>
      </c>
      <c r="W3" t="s">
        <v>32</v>
      </c>
      <c r="X3" t="s">
        <v>33</v>
      </c>
      <c r="Y3" t="s">
        <v>34</v>
      </c>
      <c r="Z3" t="s">
        <v>35</v>
      </c>
      <c r="AA3" t="s">
        <v>36</v>
      </c>
      <c r="AB3" t="s">
        <v>37</v>
      </c>
      <c r="AC3" t="s">
        <v>38</v>
      </c>
      <c r="AD3" t="s">
        <v>39</v>
      </c>
      <c r="AE3" t="str">
        <f>'User Add-in Location'!E9</f>
        <v>MyCounty</v>
      </c>
      <c r="AF3" t="str">
        <f>'User Add-in Location'!F9</f>
        <v>MyRegion</v>
      </c>
      <c r="AG3" t="s">
        <v>40</v>
      </c>
      <c r="AH3" t="s">
        <v>41</v>
      </c>
      <c r="AI3" t="s">
        <v>42</v>
      </c>
      <c r="AJ3" t="s">
        <v>43</v>
      </c>
      <c r="AK3" t="s">
        <v>44</v>
      </c>
      <c r="AL3" t="s">
        <v>45</v>
      </c>
      <c r="AM3" t="s">
        <v>46</v>
      </c>
      <c r="AN3" t="s">
        <v>47</v>
      </c>
      <c r="AO3" t="s">
        <v>48</v>
      </c>
      <c r="AP3" t="s">
        <v>49</v>
      </c>
      <c r="AQ3" t="s">
        <v>50</v>
      </c>
      <c r="AR3" t="s">
        <v>51</v>
      </c>
      <c r="AS3" t="s">
        <v>52</v>
      </c>
      <c r="AT3" t="s">
        <v>53</v>
      </c>
      <c r="AU3" t="s">
        <v>54</v>
      </c>
      <c r="AV3" t="s">
        <v>55</v>
      </c>
      <c r="AW3" t="s">
        <v>56</v>
      </c>
      <c r="AX3" s="507" t="s">
        <v>489</v>
      </c>
      <c r="AY3" t="s">
        <v>57</v>
      </c>
      <c r="AZ3" t="s">
        <v>58</v>
      </c>
      <c r="BA3" t="s">
        <v>59</v>
      </c>
      <c r="BB3" t="s">
        <v>60</v>
      </c>
      <c r="BC3" t="s">
        <v>61</v>
      </c>
      <c r="BD3" t="s">
        <v>62</v>
      </c>
      <c r="BE3" t="s">
        <v>12</v>
      </c>
    </row>
    <row r="4" spans="1:57" ht="15" x14ac:dyDescent="0.2">
      <c r="A4" s="224"/>
      <c r="B4" s="224"/>
      <c r="C4" s="6" t="s">
        <v>7</v>
      </c>
      <c r="D4" s="721">
        <v>4.3843303811985359E-3</v>
      </c>
      <c r="E4" s="721">
        <v>1.4119513424010147E-3</v>
      </c>
      <c r="F4" s="721">
        <v>4.5642380753062282E-3</v>
      </c>
      <c r="G4" s="721">
        <v>8.1786328792903557E-3</v>
      </c>
      <c r="H4" s="721">
        <v>3.9792492388490055E-3</v>
      </c>
      <c r="I4" s="721">
        <v>7.0195462872580253E-3</v>
      </c>
      <c r="J4" s="721">
        <v>7.6086075854367723E-4</v>
      </c>
      <c r="K4" s="721">
        <v>5.1514563718655336E-3</v>
      </c>
      <c r="L4" s="721">
        <v>4.2922894157143207E-4</v>
      </c>
      <c r="M4" s="721">
        <v>3.4583683647851009E-3</v>
      </c>
      <c r="N4" s="721">
        <v>4.5081025455065496E-3</v>
      </c>
      <c r="O4" s="721">
        <v>4.9429891793557282E-3</v>
      </c>
      <c r="P4" s="721">
        <v>9.4917506916313097E-3</v>
      </c>
      <c r="Q4" s="721">
        <v>2.8667610141038728E-3</v>
      </c>
      <c r="R4" s="721">
        <v>2.5450437181696911E-3</v>
      </c>
      <c r="S4" s="721">
        <v>9.3934737604823137E-3</v>
      </c>
      <c r="T4" s="721">
        <v>8.7900656478127337E-3</v>
      </c>
      <c r="U4" s="721">
        <v>3.1759610937596942E-3</v>
      </c>
      <c r="V4" s="721">
        <v>1.6396370820067549E-3</v>
      </c>
      <c r="W4" s="721">
        <v>4.0676609250438669E-3</v>
      </c>
      <c r="X4" s="721">
        <v>2.0831860584223857E-3</v>
      </c>
      <c r="Y4" s="721">
        <v>6.3727734320123469E-4</v>
      </c>
      <c r="Z4" s="721">
        <v>2.3812381206889124E-3</v>
      </c>
      <c r="AA4" s="721">
        <v>5.6398054812691872E-3</v>
      </c>
      <c r="AB4" s="721">
        <v>6.3861398447143574E-3</v>
      </c>
      <c r="AC4" s="721">
        <v>4.1043641887382794E-3</v>
      </c>
      <c r="AD4" s="721">
        <v>6.2438382649901989E-3</v>
      </c>
      <c r="AE4" s="234">
        <f>'User Add-in Location'!E10</f>
        <v>0</v>
      </c>
      <c r="AF4" s="234">
        <v>1</v>
      </c>
      <c r="AG4" s="721">
        <v>8.8871317877506888E-3</v>
      </c>
      <c r="AH4" s="721">
        <v>2.5375642195257738E-3</v>
      </c>
      <c r="AI4" s="721">
        <v>1.3888574975611571E-3</v>
      </c>
      <c r="AJ4" s="721">
        <v>5.5163955170102247E-4</v>
      </c>
      <c r="AK4" s="721">
        <v>6.9791702369014427E-3</v>
      </c>
      <c r="AL4" s="721">
        <v>2.8803446526979911E-3</v>
      </c>
      <c r="AM4" s="721">
        <v>4.6077941083095941E-3</v>
      </c>
      <c r="AN4" s="721">
        <v>5.6095972719861992E-3</v>
      </c>
      <c r="AO4" s="721">
        <v>2.0636412707860049E-3</v>
      </c>
      <c r="AP4" s="721">
        <v>4.9050588826224902E-3</v>
      </c>
      <c r="AQ4" s="721">
        <v>6.3409776607044714E-3</v>
      </c>
      <c r="AR4" s="721">
        <v>2.9035521794555925E-3</v>
      </c>
      <c r="AS4" s="721">
        <v>5.1679885725791034E-4</v>
      </c>
      <c r="AT4" s="721">
        <v>2.462276782699504E-3</v>
      </c>
      <c r="AU4" s="721">
        <v>9.4962445436134052E-3</v>
      </c>
      <c r="AV4" s="721">
        <v>2.0966127647710255E-3</v>
      </c>
      <c r="AW4" s="721">
        <v>3.014855508898549E-3</v>
      </c>
      <c r="AX4" s="721">
        <v>5.5260114358864042E-3</v>
      </c>
      <c r="AY4" s="721">
        <v>3.326996211047858E-3</v>
      </c>
      <c r="AZ4" s="721">
        <v>8.7538136649898297E-3</v>
      </c>
      <c r="BA4" s="721">
        <v>3.7363843893953568E-3</v>
      </c>
      <c r="BB4" s="721">
        <v>3.8505743532937222E-3</v>
      </c>
      <c r="BC4" s="721">
        <v>2.7076340157701534E-3</v>
      </c>
      <c r="BD4" s="721">
        <v>7.5054452682812509E-3</v>
      </c>
      <c r="BE4" s="721">
        <v>3.9891255794072527E-3</v>
      </c>
    </row>
    <row r="5" spans="1:57" ht="23.25" x14ac:dyDescent="0.35">
      <c r="A5" s="225" t="s">
        <v>220</v>
      </c>
      <c r="B5" s="225"/>
      <c r="C5" s="6" t="s">
        <v>77</v>
      </c>
      <c r="D5" s="721">
        <v>3.6773337946463026E-6</v>
      </c>
      <c r="E5" s="721">
        <v>2.3634816624978557E-5</v>
      </c>
      <c r="F5" s="721">
        <v>4.4283297127019233E-6</v>
      </c>
      <c r="G5" s="721">
        <v>6.797702789397975E-6</v>
      </c>
      <c r="H5" s="721">
        <v>7.6359916951794383E-6</v>
      </c>
      <c r="I5" s="721">
        <v>1.2855165380975011E-5</v>
      </c>
      <c r="J5" s="721">
        <v>1.4421870222460384E-6</v>
      </c>
      <c r="K5" s="721">
        <v>6.185274109112409E-7</v>
      </c>
      <c r="L5" s="721">
        <v>4.0821663890116674E-7</v>
      </c>
      <c r="M5" s="721">
        <v>3.6201289907853514E-6</v>
      </c>
      <c r="N5" s="721">
        <v>1.558401713256141E-6</v>
      </c>
      <c r="O5" s="721">
        <v>2.0201369292087284E-6</v>
      </c>
      <c r="P5" s="721">
        <v>3.6726986121286635E-6</v>
      </c>
      <c r="Q5" s="721">
        <v>2.3025902350079342E-6</v>
      </c>
      <c r="R5" s="721">
        <v>2.008952670351302E-6</v>
      </c>
      <c r="S5" s="721">
        <v>1.2867504950935838E-6</v>
      </c>
      <c r="T5" s="721">
        <v>1.1185176603211212E-5</v>
      </c>
      <c r="U5" s="721">
        <v>3.426991232403623E-6</v>
      </c>
      <c r="V5" s="721">
        <v>2.1146912621011047E-5</v>
      </c>
      <c r="W5" s="721">
        <v>1.2332214245915419E-6</v>
      </c>
      <c r="X5" s="721">
        <v>1.9918351578770608E-6</v>
      </c>
      <c r="Y5" s="721">
        <v>1.2748979158907943E-6</v>
      </c>
      <c r="Z5" s="721">
        <v>2.4440630223929237E-6</v>
      </c>
      <c r="AA5" s="721">
        <v>1.4453697351436066E-6</v>
      </c>
      <c r="AB5" s="721">
        <v>6.8153249216265298E-6</v>
      </c>
      <c r="AC5" s="721">
        <v>1.6836757825805849E-6</v>
      </c>
      <c r="AD5" s="721">
        <v>1.1670530787507312E-5</v>
      </c>
      <c r="AE5" s="234">
        <f>'User Add-in Location'!E11</f>
        <v>0</v>
      </c>
      <c r="AF5" s="234">
        <f>'User Add-in Location'!F11</f>
        <v>0</v>
      </c>
      <c r="AG5" s="721">
        <v>2.0100264979982797E-6</v>
      </c>
      <c r="AH5" s="721">
        <v>1.1249469601524793E-5</v>
      </c>
      <c r="AI5" s="721">
        <v>1.717982414294884E-6</v>
      </c>
      <c r="AJ5" s="721">
        <v>1.2543190654021425E-6</v>
      </c>
      <c r="AK5" s="721">
        <v>2.3480613968216137E-5</v>
      </c>
      <c r="AL5" s="721">
        <v>1.6327890029108609E-6</v>
      </c>
      <c r="AM5" s="721">
        <v>1.4217484079774229E-6</v>
      </c>
      <c r="AN5" s="721">
        <v>1.7772514413667098E-5</v>
      </c>
      <c r="AO5" s="721">
        <v>4.4978991890939157E-6</v>
      </c>
      <c r="AP5" s="721">
        <v>2.06275835213656E-5</v>
      </c>
      <c r="AQ5" s="721">
        <v>2.1103497251827175E-6</v>
      </c>
      <c r="AR5" s="721">
        <v>7.6035986913116547E-6</v>
      </c>
      <c r="AS5" s="721">
        <v>9.4759943939609369E-7</v>
      </c>
      <c r="AT5" s="721">
        <v>1.2506144101517982E-6</v>
      </c>
      <c r="AU5" s="721">
        <v>3.3045540792100384E-6</v>
      </c>
      <c r="AV5" s="721">
        <v>1.6208048456688673E-6</v>
      </c>
      <c r="AW5" s="721">
        <v>2.145813723175278E-5</v>
      </c>
      <c r="AX5" s="721">
        <v>1.1925970050436198E-5</v>
      </c>
      <c r="AY5" s="721">
        <v>1.0051868482481531E-5</v>
      </c>
      <c r="AZ5" s="721">
        <v>2.1244916594583427E-6</v>
      </c>
      <c r="BA5" s="721">
        <v>3.0913345668405351E-6</v>
      </c>
      <c r="BB5" s="721">
        <v>1.6061511540393748E-6</v>
      </c>
      <c r="BC5" s="721">
        <v>1.3350154124952537E-5</v>
      </c>
      <c r="BD5" s="721">
        <v>1.1620933271415177E-6</v>
      </c>
      <c r="BE5" s="721">
        <v>2.7073449336075241E-5</v>
      </c>
    </row>
    <row r="6" spans="1:57" ht="15" x14ac:dyDescent="0.2">
      <c r="A6" s="224"/>
      <c r="B6" s="224"/>
      <c r="C6" s="6" t="s">
        <v>8</v>
      </c>
      <c r="D6" s="721">
        <v>0</v>
      </c>
      <c r="E6" s="721">
        <v>0</v>
      </c>
      <c r="F6" s="721">
        <v>0</v>
      </c>
      <c r="G6" s="721">
        <v>0</v>
      </c>
      <c r="H6" s="721">
        <v>0</v>
      </c>
      <c r="I6" s="721">
        <v>0</v>
      </c>
      <c r="J6" s="721">
        <v>0</v>
      </c>
      <c r="K6" s="721">
        <v>0</v>
      </c>
      <c r="L6" s="721">
        <v>0</v>
      </c>
      <c r="M6" s="721">
        <v>0</v>
      </c>
      <c r="N6" s="721">
        <v>0</v>
      </c>
      <c r="O6" s="721">
        <v>0</v>
      </c>
      <c r="P6" s="721">
        <v>0</v>
      </c>
      <c r="Q6" s="721">
        <v>0</v>
      </c>
      <c r="R6" s="721">
        <v>0</v>
      </c>
      <c r="S6" s="721">
        <v>0</v>
      </c>
      <c r="T6" s="721">
        <v>0</v>
      </c>
      <c r="U6" s="721">
        <v>0</v>
      </c>
      <c r="V6" s="721">
        <v>0</v>
      </c>
      <c r="W6" s="721">
        <v>0</v>
      </c>
      <c r="X6" s="721">
        <v>0</v>
      </c>
      <c r="Y6" s="721">
        <v>0</v>
      </c>
      <c r="Z6" s="721">
        <v>0</v>
      </c>
      <c r="AA6" s="721">
        <v>0</v>
      </c>
      <c r="AB6" s="721">
        <v>0</v>
      </c>
      <c r="AC6" s="721">
        <v>0</v>
      </c>
      <c r="AD6" s="721">
        <v>0</v>
      </c>
      <c r="AE6" s="234">
        <f>'User Add-in Location'!E12</f>
        <v>0</v>
      </c>
      <c r="AF6" s="234">
        <f>'User Add-in Location'!F12</f>
        <v>0</v>
      </c>
      <c r="AG6" s="721">
        <v>0</v>
      </c>
      <c r="AH6" s="721">
        <v>0</v>
      </c>
      <c r="AI6" s="721">
        <v>0</v>
      </c>
      <c r="AJ6" s="721">
        <v>0</v>
      </c>
      <c r="AK6" s="721">
        <v>0</v>
      </c>
      <c r="AL6" s="721">
        <v>0</v>
      </c>
      <c r="AM6" s="721">
        <v>0</v>
      </c>
      <c r="AN6" s="721">
        <v>0</v>
      </c>
      <c r="AO6" s="721">
        <v>0</v>
      </c>
      <c r="AP6" s="721">
        <v>0</v>
      </c>
      <c r="AQ6" s="721">
        <v>0</v>
      </c>
      <c r="AR6" s="721">
        <v>0</v>
      </c>
      <c r="AS6" s="721">
        <v>0</v>
      </c>
      <c r="AT6" s="721">
        <v>0</v>
      </c>
      <c r="AU6" s="721">
        <v>0</v>
      </c>
      <c r="AV6" s="721">
        <v>0</v>
      </c>
      <c r="AW6" s="721">
        <v>0</v>
      </c>
      <c r="AX6" s="721">
        <v>0</v>
      </c>
      <c r="AY6" s="721">
        <v>0</v>
      </c>
      <c r="AZ6" s="721">
        <v>0</v>
      </c>
      <c r="BA6" s="721">
        <v>0</v>
      </c>
      <c r="BB6" s="721">
        <v>0</v>
      </c>
      <c r="BC6" s="721">
        <v>0</v>
      </c>
      <c r="BD6" s="721">
        <v>0</v>
      </c>
      <c r="BE6" s="721">
        <v>0</v>
      </c>
    </row>
    <row r="7" spans="1:57" ht="15.75" x14ac:dyDescent="0.25">
      <c r="A7" s="226" t="s">
        <v>221</v>
      </c>
      <c r="B7" s="226"/>
      <c r="C7" s="6" t="s">
        <v>78</v>
      </c>
      <c r="D7" s="721">
        <v>4.5387699375112708E-2</v>
      </c>
      <c r="E7" s="721">
        <v>4.7516154386840946E-2</v>
      </c>
      <c r="F7" s="721">
        <v>2.6016019839074693E-2</v>
      </c>
      <c r="G7" s="721">
        <v>3.8716140993729095E-2</v>
      </c>
      <c r="H7" s="721">
        <v>8.4246952112902174E-2</v>
      </c>
      <c r="I7" s="721">
        <v>4.6785312959392457E-2</v>
      </c>
      <c r="J7" s="721">
        <v>2.6914433848206319E-2</v>
      </c>
      <c r="K7" s="721">
        <v>2.7050818178525653E-2</v>
      </c>
      <c r="L7" s="721">
        <v>1.4062697706346782E-3</v>
      </c>
      <c r="M7" s="721">
        <v>3.5882941443291544E-2</v>
      </c>
      <c r="N7" s="721">
        <v>4.107786659675227E-2</v>
      </c>
      <c r="O7" s="721">
        <v>4.7717123505710834E-2</v>
      </c>
      <c r="P7" s="721">
        <v>3.4840698576490761E-2</v>
      </c>
      <c r="Q7" s="721">
        <v>5.3619903155567465E-2</v>
      </c>
      <c r="R7" s="721">
        <v>5.4506346594586579E-2</v>
      </c>
      <c r="S7" s="721">
        <v>3.4478828789508933E-2</v>
      </c>
      <c r="T7" s="721">
        <v>4.3449039277708344E-2</v>
      </c>
      <c r="U7" s="721">
        <v>4.175371942135115E-2</v>
      </c>
      <c r="V7" s="721">
        <v>5.4442608118617869E-2</v>
      </c>
      <c r="W7" s="721">
        <v>3.3381058637137924E-2</v>
      </c>
      <c r="X7" s="721">
        <v>2.1717900252005869E-2</v>
      </c>
      <c r="Y7" s="721">
        <v>3.5008287481424878E-2</v>
      </c>
      <c r="Z7" s="721">
        <v>5.9737902338166442E-2</v>
      </c>
      <c r="AA7" s="721">
        <v>5.8561843833059291E-2</v>
      </c>
      <c r="AB7" s="721">
        <v>3.9646167802461087E-2</v>
      </c>
      <c r="AC7" s="721">
        <v>3.2299161689997004E-2</v>
      </c>
      <c r="AD7" s="721">
        <v>4.1316680699936277E-2</v>
      </c>
      <c r="AE7" s="234">
        <f>'User Add-in Location'!E13</f>
        <v>0</v>
      </c>
      <c r="AF7" s="234">
        <f>'User Add-in Location'!F13</f>
        <v>0</v>
      </c>
      <c r="AG7" s="721">
        <v>2.7513412540971484E-2</v>
      </c>
      <c r="AH7" s="721">
        <v>1.636506977312617E-2</v>
      </c>
      <c r="AI7" s="721">
        <v>1.7462985321525442E-2</v>
      </c>
      <c r="AJ7" s="721">
        <v>3.9476878075801983E-2</v>
      </c>
      <c r="AK7" s="721">
        <v>3.4499424464728104E-2</v>
      </c>
      <c r="AL7" s="721">
        <v>3.0294557471942197E-2</v>
      </c>
      <c r="AM7" s="721">
        <v>5.0989745206259617E-2</v>
      </c>
      <c r="AN7" s="721">
        <v>3.0932976464933402E-2</v>
      </c>
      <c r="AO7" s="721">
        <v>6.1055057251266323E-2</v>
      </c>
      <c r="AP7" s="721">
        <v>4.4021851495473677E-2</v>
      </c>
      <c r="AQ7" s="721">
        <v>3.7839177510743081E-2</v>
      </c>
      <c r="AR7" s="721">
        <v>5.2782222735749083E-2</v>
      </c>
      <c r="AS7" s="721">
        <v>1.4264693232087473E-2</v>
      </c>
      <c r="AT7" s="721">
        <v>3.476185020998087E-2</v>
      </c>
      <c r="AU7" s="721">
        <v>1.765264397039688E-2</v>
      </c>
      <c r="AV7" s="721">
        <v>4.0810666863776164E-2</v>
      </c>
      <c r="AW7" s="721">
        <v>8.8375855808212667E-2</v>
      </c>
      <c r="AX7" s="721">
        <v>0.14375821218021728</v>
      </c>
      <c r="AY7" s="721">
        <v>5.7723752495623559E-2</v>
      </c>
      <c r="AZ7" s="721">
        <v>2.2156788222306382E-2</v>
      </c>
      <c r="BA7" s="721">
        <v>3.0945632266465534E-2</v>
      </c>
      <c r="BB7" s="721">
        <v>6.5328345450713518E-2</v>
      </c>
      <c r="BC7" s="721">
        <v>1.9035011726301475E-2</v>
      </c>
      <c r="BD7" s="721">
        <v>4.8796928866811834E-2</v>
      </c>
      <c r="BE7" s="721">
        <v>3.7161545013766603E-2</v>
      </c>
    </row>
    <row r="8" spans="1:57" ht="15" x14ac:dyDescent="0.2">
      <c r="A8" s="227"/>
      <c r="B8" s="227"/>
      <c r="C8" s="6" t="s">
        <v>79</v>
      </c>
      <c r="D8" s="721">
        <v>1.1245767725101089E-6</v>
      </c>
      <c r="E8" s="721">
        <v>4.3908459481093148E-7</v>
      </c>
      <c r="F8" s="721">
        <v>9.5654334360466661E-7</v>
      </c>
      <c r="G8" s="721">
        <v>6.0106692054337144E-7</v>
      </c>
      <c r="H8" s="721">
        <v>1.8595744133201937E-6</v>
      </c>
      <c r="I8" s="721">
        <v>1.2238997911134965E-6</v>
      </c>
      <c r="J8" s="721">
        <v>6.6051046672399318E-7</v>
      </c>
      <c r="K8" s="721">
        <v>1.6059720563640184E-7</v>
      </c>
      <c r="L8" s="721">
        <v>4.7623793716272886E-10</v>
      </c>
      <c r="M8" s="721">
        <v>9.6580916489607057E-7</v>
      </c>
      <c r="N8" s="721">
        <v>7.5568602746217035E-7</v>
      </c>
      <c r="O8" s="721">
        <v>2.8106899498931216E-7</v>
      </c>
      <c r="P8" s="721">
        <v>5.338386940833573E-7</v>
      </c>
      <c r="Q8" s="721">
        <v>1.0248114403984423E-6</v>
      </c>
      <c r="R8" s="721">
        <v>1.0661306510652467E-6</v>
      </c>
      <c r="S8" s="721">
        <v>6.0783643642408691E-7</v>
      </c>
      <c r="T8" s="721">
        <v>6.5781077466408642E-7</v>
      </c>
      <c r="U8" s="721">
        <v>4.9187209606682381E-7</v>
      </c>
      <c r="V8" s="721">
        <v>1.1936328290580089E-6</v>
      </c>
      <c r="W8" s="721">
        <v>3.5877968328003121E-7</v>
      </c>
      <c r="X8" s="721">
        <v>2.3642657287142139E-7</v>
      </c>
      <c r="Y8" s="721">
        <v>8.7107474526413588E-7</v>
      </c>
      <c r="Z8" s="721">
        <v>1.320824718223053E-6</v>
      </c>
      <c r="AA8" s="721">
        <v>1.4389886701171384E-6</v>
      </c>
      <c r="AB8" s="721">
        <v>4.4389849127930798E-7</v>
      </c>
      <c r="AC8" s="721">
        <v>4.8815796966744083E-7</v>
      </c>
      <c r="AD8" s="721">
        <v>2.9681459284705609E-7</v>
      </c>
      <c r="AE8" s="234">
        <f>'User Add-in Location'!E14</f>
        <v>0</v>
      </c>
      <c r="AF8" s="234">
        <f>'User Add-in Location'!F14</f>
        <v>0</v>
      </c>
      <c r="AG8" s="721">
        <v>7.8681174581697404E-7</v>
      </c>
      <c r="AH8" s="721">
        <v>2.8921569468438832E-7</v>
      </c>
      <c r="AI8" s="721">
        <v>6.2368081634465636E-7</v>
      </c>
      <c r="AJ8" s="721">
        <v>5.2764791654052762E-7</v>
      </c>
      <c r="AK8" s="721">
        <v>2.4858468717158503E-7</v>
      </c>
      <c r="AL8" s="721">
        <v>7.205077774564836E-7</v>
      </c>
      <c r="AM8" s="721">
        <v>1.1742439933612347E-6</v>
      </c>
      <c r="AN8" s="721">
        <v>2.1986944900010398E-7</v>
      </c>
      <c r="AO8" s="721">
        <v>1.2126919895068288E-6</v>
      </c>
      <c r="AP8" s="721">
        <v>1.3499608269439515E-6</v>
      </c>
      <c r="AQ8" s="721">
        <v>1.245413611573794E-6</v>
      </c>
      <c r="AR8" s="721">
        <v>1.3866436745242893E-6</v>
      </c>
      <c r="AS8" s="721">
        <v>1.424880067564686E-7</v>
      </c>
      <c r="AT8" s="721">
        <v>1.0136273402747228E-6</v>
      </c>
      <c r="AU8" s="721">
        <v>3.3690069088377106E-7</v>
      </c>
      <c r="AV8" s="721">
        <v>8.387632050348398E-7</v>
      </c>
      <c r="AW8" s="721">
        <v>2.4244779903836693E-6</v>
      </c>
      <c r="AX8" s="721">
        <v>3.4100792609034342E-6</v>
      </c>
      <c r="AY8" s="721">
        <v>1.8117249178098802E-6</v>
      </c>
      <c r="AZ8" s="721">
        <v>2.1507208657988585E-7</v>
      </c>
      <c r="BA8" s="721">
        <v>9.5525298117678996E-7</v>
      </c>
      <c r="BB8" s="721">
        <v>1.4135164149488903E-6</v>
      </c>
      <c r="BC8" s="721">
        <v>2.1434324297738794E-7</v>
      </c>
      <c r="BD8" s="721">
        <v>1.3015800948452283E-6</v>
      </c>
      <c r="BE8" s="721">
        <v>1.0115736886280189E-7</v>
      </c>
    </row>
    <row r="9" spans="1:57" ht="15.75" x14ac:dyDescent="0.25">
      <c r="A9" s="226" t="s">
        <v>222</v>
      </c>
      <c r="B9" s="226"/>
      <c r="C9" s="6" t="s">
        <v>80</v>
      </c>
      <c r="D9" s="721">
        <v>1.3079282465618454E-5</v>
      </c>
      <c r="E9" s="721">
        <v>2.9005145223010577E-8</v>
      </c>
      <c r="F9" s="721">
        <v>5.1036833988482231E-6</v>
      </c>
      <c r="G9" s="721">
        <v>1.3919981657112904E-5</v>
      </c>
      <c r="H9" s="721">
        <v>1.2102475191582279E-5</v>
      </c>
      <c r="I9" s="721">
        <v>8.7065280410150246E-6</v>
      </c>
      <c r="J9" s="721">
        <v>1.570700561935739E-6</v>
      </c>
      <c r="K9" s="721">
        <v>9.7589029345937529E-7</v>
      </c>
      <c r="L9" s="721">
        <v>1.6062957557616704E-8</v>
      </c>
      <c r="M9" s="721">
        <v>3.301582381498859E-6</v>
      </c>
      <c r="N9" s="721">
        <v>1.0356491925259218E-5</v>
      </c>
      <c r="O9" s="721">
        <v>2.5203049125667166E-6</v>
      </c>
      <c r="P9" s="721">
        <v>1.8867113762817547E-5</v>
      </c>
      <c r="Q9" s="721">
        <v>1.4840238928798885E-5</v>
      </c>
      <c r="R9" s="721">
        <v>1.8199481943464676E-5</v>
      </c>
      <c r="S9" s="721">
        <v>2.2031646787867913E-5</v>
      </c>
      <c r="T9" s="721">
        <v>1.8776869279895314E-5</v>
      </c>
      <c r="U9" s="721">
        <v>7.5849427841489272E-6</v>
      </c>
      <c r="V9" s="721">
        <v>8.1613088054957588E-6</v>
      </c>
      <c r="W9" s="721">
        <v>1.7001264500647307E-6</v>
      </c>
      <c r="X9" s="721">
        <v>8.1992097480947967E-7</v>
      </c>
      <c r="Y9" s="721">
        <v>1.4237997768629299E-6</v>
      </c>
      <c r="Z9" s="721">
        <v>9.1531742831241571E-6</v>
      </c>
      <c r="AA9" s="721">
        <v>1.6638208653805767E-5</v>
      </c>
      <c r="AB9" s="721">
        <v>1.1775629233731597E-5</v>
      </c>
      <c r="AC9" s="721">
        <v>5.4270902014062552E-6</v>
      </c>
      <c r="AD9" s="721">
        <v>3.251735407602234E-6</v>
      </c>
      <c r="AE9" s="234">
        <f>'User Add-in Location'!E15</f>
        <v>0</v>
      </c>
      <c r="AF9" s="234">
        <f>'User Add-in Location'!F15</f>
        <v>0</v>
      </c>
      <c r="AG9" s="721">
        <v>2.3838292852256752E-5</v>
      </c>
      <c r="AH9" s="721">
        <v>3.121221969163107E-7</v>
      </c>
      <c r="AI9" s="721">
        <v>1.0117866907657682E-6</v>
      </c>
      <c r="AJ9" s="721">
        <v>1.5461091719664462E-6</v>
      </c>
      <c r="AK9" s="721">
        <v>3.6169756782592687E-6</v>
      </c>
      <c r="AL9" s="721">
        <v>5.5919493791430489E-6</v>
      </c>
      <c r="AM9" s="721">
        <v>9.5478781726621745E-6</v>
      </c>
      <c r="AN9" s="721">
        <v>2.8355100125996123E-5</v>
      </c>
      <c r="AO9" s="721">
        <v>1.2528763630068732E-5</v>
      </c>
      <c r="AP9" s="721">
        <v>6.6227269096065648E-6</v>
      </c>
      <c r="AQ9" s="721">
        <v>1.6341508129297256E-5</v>
      </c>
      <c r="AR9" s="721">
        <v>8.6590709213007362E-6</v>
      </c>
      <c r="AS9" s="721">
        <v>3.4108394800579149E-7</v>
      </c>
      <c r="AT9" s="721">
        <v>4.9365222790733023E-6</v>
      </c>
      <c r="AU9" s="721">
        <v>2.3631746014167553E-5</v>
      </c>
      <c r="AV9" s="721">
        <v>4.9394011242504769E-6</v>
      </c>
      <c r="AW9" s="721">
        <v>1.1308644280200628E-5</v>
      </c>
      <c r="AX9" s="721">
        <v>4.3739529265498442E-5</v>
      </c>
      <c r="AY9" s="721">
        <v>2.3724954327781337E-6</v>
      </c>
      <c r="AZ9" s="721">
        <v>6.2962372285864794E-7</v>
      </c>
      <c r="BA9" s="721">
        <v>3.7592506607050125E-6</v>
      </c>
      <c r="BB9" s="721">
        <v>8.426869106752937E-6</v>
      </c>
      <c r="BC9" s="721">
        <v>4.1333555518881655E-7</v>
      </c>
      <c r="BD9" s="721">
        <v>2.0461873692125201E-5</v>
      </c>
      <c r="BE9" s="721">
        <v>2.3315833561549723E-6</v>
      </c>
    </row>
    <row r="10" spans="1:57" ht="15.75" x14ac:dyDescent="0.25">
      <c r="A10" s="226"/>
      <c r="B10" s="226"/>
      <c r="C10" s="6" t="s">
        <v>81</v>
      </c>
      <c r="D10" s="721">
        <v>2.918616821556281E-7</v>
      </c>
      <c r="E10" s="721">
        <v>5.4999581007234955E-9</v>
      </c>
      <c r="F10" s="721">
        <v>2.1866212830137327E-5</v>
      </c>
      <c r="G10" s="721">
        <v>6.0004746491652945E-7</v>
      </c>
      <c r="H10" s="721">
        <v>3.2527970911159849E-5</v>
      </c>
      <c r="I10" s="721">
        <v>9.854241955507456E-6</v>
      </c>
      <c r="J10" s="721">
        <v>2.4173129341511173E-6</v>
      </c>
      <c r="K10" s="721">
        <v>4.7358160861630883E-8</v>
      </c>
      <c r="L10" s="721">
        <v>2.7929821387688128E-9</v>
      </c>
      <c r="M10" s="721">
        <v>1.2380236243187212E-5</v>
      </c>
      <c r="N10" s="721">
        <v>1.4816713039653665E-6</v>
      </c>
      <c r="O10" s="721">
        <v>1.8950898337229758E-7</v>
      </c>
      <c r="P10" s="721">
        <v>2.4020384171103594E-5</v>
      </c>
      <c r="Q10" s="721">
        <v>1.9246911008255605E-6</v>
      </c>
      <c r="R10" s="721">
        <v>5.2358438391454332E-7</v>
      </c>
      <c r="S10" s="721">
        <v>4.1952615044281719E-7</v>
      </c>
      <c r="T10" s="721">
        <v>1.6241670574874993E-6</v>
      </c>
      <c r="U10" s="721">
        <v>3.0693426688727953E-7</v>
      </c>
      <c r="V10" s="721">
        <v>6.2507539269393364E-8</v>
      </c>
      <c r="W10" s="721">
        <v>2.9494630100772013E-6</v>
      </c>
      <c r="X10" s="721">
        <v>9.7387565636338444E-7</v>
      </c>
      <c r="Y10" s="721">
        <v>2.2661553365234062E-5</v>
      </c>
      <c r="Z10" s="721">
        <v>1.5365958972238658E-6</v>
      </c>
      <c r="AA10" s="721">
        <v>8.8349009489413301E-6</v>
      </c>
      <c r="AB10" s="721">
        <v>2.7139050084394224E-7</v>
      </c>
      <c r="AC10" s="721">
        <v>4.1456111690385111E-6</v>
      </c>
      <c r="AD10" s="721">
        <v>1.167844335979938E-7</v>
      </c>
      <c r="AE10" s="234">
        <f>'User Add-in Location'!E16</f>
        <v>0</v>
      </c>
      <c r="AF10" s="234">
        <f>'User Add-in Location'!F16</f>
        <v>0</v>
      </c>
      <c r="AG10" s="721">
        <v>3.7276659993842147E-7</v>
      </c>
      <c r="AH10" s="721">
        <v>1.6931909100018739E-5</v>
      </c>
      <c r="AI10" s="721">
        <v>5.5497502341991522E-6</v>
      </c>
      <c r="AJ10" s="721">
        <v>3.3117172940362956E-6</v>
      </c>
      <c r="AK10" s="721">
        <v>2.2616434570045353E-5</v>
      </c>
      <c r="AL10" s="721">
        <v>8.1929721900931612E-6</v>
      </c>
      <c r="AM10" s="721">
        <v>1.0166582105534907E-5</v>
      </c>
      <c r="AN10" s="721">
        <v>2.4423683635006721E-7</v>
      </c>
      <c r="AO10" s="721">
        <v>2.1815303755642776E-6</v>
      </c>
      <c r="AP10" s="721">
        <v>2.8372043509108007E-7</v>
      </c>
      <c r="AQ10" s="721">
        <v>2.9876250353187179E-5</v>
      </c>
      <c r="AR10" s="721">
        <v>3.1454178923192786E-6</v>
      </c>
      <c r="AS10" s="721">
        <v>1.2538026119603249E-6</v>
      </c>
      <c r="AT10" s="721">
        <v>4.7211318748959323E-7</v>
      </c>
      <c r="AU10" s="721">
        <v>7.0207246172394876E-7</v>
      </c>
      <c r="AV10" s="721">
        <v>3.4594934201047774E-7</v>
      </c>
      <c r="AW10" s="721">
        <v>2.2066473446276732E-5</v>
      </c>
      <c r="AX10" s="721">
        <v>2.9126573963567045E-5</v>
      </c>
      <c r="AY10" s="721">
        <v>6.8554211960950217E-6</v>
      </c>
      <c r="AZ10" s="721">
        <v>1.5639659988224276E-5</v>
      </c>
      <c r="BA10" s="721">
        <v>4.791699097821144E-6</v>
      </c>
      <c r="BB10" s="721">
        <v>4.6796029266254304E-6</v>
      </c>
      <c r="BC10" s="721">
        <v>8.1597166277325846E-8</v>
      </c>
      <c r="BD10" s="721">
        <v>1.3442614436633894E-6</v>
      </c>
      <c r="BE10" s="721">
        <v>3.1135596668867438E-9</v>
      </c>
    </row>
    <row r="11" spans="1:57" ht="15.75" x14ac:dyDescent="0.25">
      <c r="A11" s="226" t="s">
        <v>223</v>
      </c>
      <c r="B11" s="226"/>
      <c r="C11" s="6" t="s">
        <v>82</v>
      </c>
      <c r="D11" s="721">
        <v>4.9108267687843446E-2</v>
      </c>
      <c r="E11" s="721">
        <v>4.8353863978332766E-2</v>
      </c>
      <c r="F11" s="721">
        <v>4.2169651625191373E-2</v>
      </c>
      <c r="G11" s="721">
        <v>4.7941396563282015E-2</v>
      </c>
      <c r="H11" s="721">
        <v>2.8760796666206245E-2</v>
      </c>
      <c r="I11" s="721">
        <v>4.0081138596210313E-2</v>
      </c>
      <c r="J11" s="721">
        <v>3.4391421386476377E-2</v>
      </c>
      <c r="K11" s="721">
        <v>3.4159052289741552E-2</v>
      </c>
      <c r="L11" s="721">
        <v>2.6165706359966647E-2</v>
      </c>
      <c r="M11" s="721">
        <v>4.0325706402305386E-2</v>
      </c>
      <c r="N11" s="721">
        <v>4.1155566212902631E-2</v>
      </c>
      <c r="O11" s="721">
        <v>3.535262520771363E-2</v>
      </c>
      <c r="P11" s="721">
        <v>4.4941833501004072E-2</v>
      </c>
      <c r="Q11" s="721">
        <v>4.0447984607668387E-2</v>
      </c>
      <c r="R11" s="721">
        <v>4.4015262113313969E-2</v>
      </c>
      <c r="S11" s="721">
        <v>4.6360949160304692E-2</v>
      </c>
      <c r="T11" s="721">
        <v>3.6018116717605006E-2</v>
      </c>
      <c r="U11" s="721">
        <v>4.3888816678292662E-2</v>
      </c>
      <c r="V11" s="721">
        <v>4.1922662533520352E-2</v>
      </c>
      <c r="W11" s="721">
        <v>4.1428660339457225E-2</v>
      </c>
      <c r="X11" s="721">
        <v>3.7386290912187516E-2</v>
      </c>
      <c r="Y11" s="721">
        <v>3.3181067208681289E-2</v>
      </c>
      <c r="Z11" s="721">
        <v>4.0594824415167825E-2</v>
      </c>
      <c r="AA11" s="721">
        <v>4.6204914510652173E-2</v>
      </c>
      <c r="AB11" s="721">
        <v>5.0423392493861852E-2</v>
      </c>
      <c r="AC11" s="721">
        <v>4.4886490083744478E-2</v>
      </c>
      <c r="AD11" s="721">
        <v>5.2372500378547598E-2</v>
      </c>
      <c r="AE11" s="234">
        <f>'User Add-in Location'!E17</f>
        <v>0</v>
      </c>
      <c r="AF11" s="234">
        <f>'User Add-in Location'!F17</f>
        <v>0</v>
      </c>
      <c r="AG11" s="721">
        <v>4.3829991865927134E-2</v>
      </c>
      <c r="AH11" s="721">
        <v>6.0215409611678865E-2</v>
      </c>
      <c r="AI11" s="721">
        <v>3.3889214645636004E-2</v>
      </c>
      <c r="AJ11" s="721">
        <v>3.7346463173510133E-2</v>
      </c>
      <c r="AK11" s="721">
        <v>4.1156531291510527E-2</v>
      </c>
      <c r="AL11" s="721">
        <v>3.8442847176532895E-2</v>
      </c>
      <c r="AM11" s="721">
        <v>3.7083271999482165E-2</v>
      </c>
      <c r="AN11" s="721">
        <v>5.2187523189730148E-2</v>
      </c>
      <c r="AO11" s="721">
        <v>4.1757865613286829E-2</v>
      </c>
      <c r="AP11" s="721">
        <v>5.0355851749343115E-2</v>
      </c>
      <c r="AQ11" s="721">
        <v>4.470574809680479E-2</v>
      </c>
      <c r="AR11" s="721">
        <v>3.8952778574465767E-2</v>
      </c>
      <c r="AS11" s="721">
        <v>3.1284764325861469E-2</v>
      </c>
      <c r="AT11" s="721">
        <v>3.8623229212291631E-2</v>
      </c>
      <c r="AU11" s="721">
        <v>4.531526910770476E-2</v>
      </c>
      <c r="AV11" s="721">
        <v>4.0659080173091375E-2</v>
      </c>
      <c r="AW11" s="721">
        <v>4.5019766054964432E-2</v>
      </c>
      <c r="AX11" s="721">
        <v>4.0600375073497799E-2</v>
      </c>
      <c r="AY11" s="721">
        <v>3.8519293906471561E-2</v>
      </c>
      <c r="AZ11" s="721">
        <v>4.6742747731975939E-2</v>
      </c>
      <c r="BA11" s="721">
        <v>4.1978151362546706E-2</v>
      </c>
      <c r="BB11" s="721">
        <v>3.8793078753122177E-2</v>
      </c>
      <c r="BC11" s="721">
        <v>4.4943974397233501E-2</v>
      </c>
      <c r="BD11" s="721">
        <v>4.1224864261054761E-2</v>
      </c>
      <c r="BE11" s="721">
        <v>5.4995100851340302E-2</v>
      </c>
    </row>
    <row r="12" spans="1:57" ht="15" x14ac:dyDescent="0.2">
      <c r="A12" s="224"/>
      <c r="B12" s="224"/>
      <c r="C12" s="6" t="s">
        <v>9</v>
      </c>
      <c r="D12" s="721">
        <v>4.0789217891998374E-2</v>
      </c>
      <c r="E12" s="721">
        <v>2.9516921857557124E-2</v>
      </c>
      <c r="F12" s="721">
        <v>4.7548337179930081E-2</v>
      </c>
      <c r="G12" s="721">
        <v>4.7462217100922924E-2</v>
      </c>
      <c r="H12" s="721">
        <v>4.4468954563178724E-2</v>
      </c>
      <c r="I12" s="721">
        <v>4.7565374489379163E-2</v>
      </c>
      <c r="J12" s="721">
        <v>4.9473476019660914E-2</v>
      </c>
      <c r="K12" s="721">
        <v>3.7008054240315683E-2</v>
      </c>
      <c r="L12" s="721">
        <v>2.2732444236118081E-2</v>
      </c>
      <c r="M12" s="721">
        <v>4.8186230270342925E-2</v>
      </c>
      <c r="N12" s="721">
        <v>4.7454307156817636E-2</v>
      </c>
      <c r="O12" s="721">
        <v>3.9174556879363671E-2</v>
      </c>
      <c r="P12" s="721">
        <v>4.5875268943279916E-2</v>
      </c>
      <c r="Q12" s="721">
        <v>4.6768705259648546E-2</v>
      </c>
      <c r="R12" s="721">
        <v>3.9653905006067199E-2</v>
      </c>
      <c r="S12" s="721">
        <v>4.2036309563794567E-2</v>
      </c>
      <c r="T12" s="721">
        <v>4.1173003030443488E-2</v>
      </c>
      <c r="U12" s="721">
        <v>4.5101490096088222E-2</v>
      </c>
      <c r="V12" s="721">
        <v>3.4326190355494626E-2</v>
      </c>
      <c r="W12" s="721">
        <v>4.2701684951149302E-2</v>
      </c>
      <c r="X12" s="721">
        <v>4.3975476964365219E-2</v>
      </c>
      <c r="Y12" s="721">
        <v>4.9231050768007233E-2</v>
      </c>
      <c r="Z12" s="721">
        <v>4.4249769359217685E-2</v>
      </c>
      <c r="AA12" s="721">
        <v>4.7842464101760261E-2</v>
      </c>
      <c r="AB12" s="721">
        <v>3.5137483709684385E-2</v>
      </c>
      <c r="AC12" s="721">
        <v>4.6260683157529861E-2</v>
      </c>
      <c r="AD12" s="721">
        <v>4.3122954208677226E-2</v>
      </c>
      <c r="AE12" s="234">
        <f>'User Add-in Location'!E18</f>
        <v>0</v>
      </c>
      <c r="AF12" s="234">
        <f>'User Add-in Location'!F18</f>
        <v>0</v>
      </c>
      <c r="AG12" s="721">
        <v>4.3866166787696163E-2</v>
      </c>
      <c r="AH12" s="721">
        <v>0.10377916008490036</v>
      </c>
      <c r="AI12" s="721">
        <v>5.3381749074307941E-2</v>
      </c>
      <c r="AJ12" s="721">
        <v>4.9218551552721125E-2</v>
      </c>
      <c r="AK12" s="721">
        <v>3.771081743245544E-2</v>
      </c>
      <c r="AL12" s="721">
        <v>4.7389916248578016E-2</v>
      </c>
      <c r="AM12" s="721">
        <v>4.6953337799466671E-2</v>
      </c>
      <c r="AN12" s="721">
        <v>5.9249341081823476E-2</v>
      </c>
      <c r="AO12" s="721">
        <v>4.438023986702043E-2</v>
      </c>
      <c r="AP12" s="721">
        <v>4.5538082399258668E-2</v>
      </c>
      <c r="AQ12" s="721">
        <v>4.5588809825077278E-2</v>
      </c>
      <c r="AR12" s="721">
        <v>4.6748399075063431E-2</v>
      </c>
      <c r="AS12" s="721">
        <v>4.8826213243770115E-2</v>
      </c>
      <c r="AT12" s="721">
        <v>4.330633857068561E-2</v>
      </c>
      <c r="AU12" s="721">
        <v>5.3106261016088091E-2</v>
      </c>
      <c r="AV12" s="721">
        <v>4.711474199144032E-2</v>
      </c>
      <c r="AW12" s="721">
        <v>4.3874526255301249E-2</v>
      </c>
      <c r="AX12" s="721">
        <v>3.9213669917617967E-2</v>
      </c>
      <c r="AY12" s="721">
        <v>4.1780395929407271E-2</v>
      </c>
      <c r="AZ12" s="721">
        <v>3.6299055983328526E-2</v>
      </c>
      <c r="BA12" s="721">
        <v>4.2188817394474956E-2</v>
      </c>
      <c r="BB12" s="721">
        <v>4.5008037729078951E-2</v>
      </c>
      <c r="BC12" s="721">
        <v>4.1512777598108862E-2</v>
      </c>
      <c r="BD12" s="721">
        <v>4.5314188132871039E-2</v>
      </c>
      <c r="BE12" s="721">
        <v>4.2292843003780459E-2</v>
      </c>
    </row>
    <row r="13" spans="1:57" ht="15" x14ac:dyDescent="0.2">
      <c r="A13" s="224"/>
      <c r="B13" s="224"/>
      <c r="C13" s="6" t="s">
        <v>10</v>
      </c>
      <c r="D13" s="721">
        <v>0.11512955138468219</v>
      </c>
      <c r="E13" s="721">
        <v>0.10908478457025693</v>
      </c>
      <c r="F13" s="721">
        <v>0.10924158443069416</v>
      </c>
      <c r="G13" s="721">
        <v>0.1092664301798124</v>
      </c>
      <c r="H13" s="721">
        <v>9.5816556801184019E-2</v>
      </c>
      <c r="I13" s="721">
        <v>9.4140979325512714E-2</v>
      </c>
      <c r="J13" s="721">
        <v>0.1006055347360858</v>
      </c>
      <c r="K13" s="721">
        <v>0.10766098560936324</v>
      </c>
      <c r="L13" s="721">
        <v>7.8246001869098844E-2</v>
      </c>
      <c r="M13" s="721">
        <v>0.10478424076462656</v>
      </c>
      <c r="N13" s="721">
        <v>0.10328837533902777</v>
      </c>
      <c r="O13" s="721">
        <v>0.11295579737616786</v>
      </c>
      <c r="P13" s="721">
        <v>0.11859991343998641</v>
      </c>
      <c r="Q13" s="721">
        <v>9.5383257444296501E-2</v>
      </c>
      <c r="R13" s="721">
        <v>0.11187054092014342</v>
      </c>
      <c r="S13" s="721">
        <v>0.11269379069074566</v>
      </c>
      <c r="T13" s="721">
        <v>0.11352842108020005</v>
      </c>
      <c r="U13" s="721">
        <v>0.11045116964885283</v>
      </c>
      <c r="V13" s="721">
        <v>0.11219743062016159</v>
      </c>
      <c r="W13" s="721">
        <v>0.1129882695872482</v>
      </c>
      <c r="X13" s="721">
        <v>9.8017242087178796E-2</v>
      </c>
      <c r="Y13" s="721">
        <v>8.8098324725936344E-2</v>
      </c>
      <c r="Z13" s="721">
        <v>0.10709016485759248</v>
      </c>
      <c r="AA13" s="721">
        <v>9.8006820893995164E-2</v>
      </c>
      <c r="AB13" s="721">
        <v>0.11916908786194964</v>
      </c>
      <c r="AC13" s="721">
        <v>0.1038885433439352</v>
      </c>
      <c r="AD13" s="721">
        <v>0.11263787101829217</v>
      </c>
      <c r="AE13" s="234">
        <f>'User Add-in Location'!E19</f>
        <v>0</v>
      </c>
      <c r="AF13" s="234">
        <f>'User Add-in Location'!F19</f>
        <v>0</v>
      </c>
      <c r="AG13" s="721">
        <v>0.11299123061726606</v>
      </c>
      <c r="AH13" s="721">
        <v>0.79457387116115108</v>
      </c>
      <c r="AI13" s="721">
        <v>0.11032404572613616</v>
      </c>
      <c r="AJ13" s="721">
        <v>0.10044930151097912</v>
      </c>
      <c r="AK13" s="721">
        <v>0.11783098243661103</v>
      </c>
      <c r="AL13" s="721">
        <v>9.3943117613783517E-2</v>
      </c>
      <c r="AM13" s="721">
        <v>0.10032191161999769</v>
      </c>
      <c r="AN13" s="721">
        <v>0.11537701873687185</v>
      </c>
      <c r="AO13" s="721">
        <v>0.10352447758349723</v>
      </c>
      <c r="AP13" s="721">
        <v>0.10837768764557004</v>
      </c>
      <c r="AQ13" s="721">
        <v>0.10112243124052911</v>
      </c>
      <c r="AR13" s="721">
        <v>9.7630342155112959E-2</v>
      </c>
      <c r="AS13" s="721">
        <v>9.5377283647999161E-2</v>
      </c>
      <c r="AT13" s="721">
        <v>0.11660122052461119</v>
      </c>
      <c r="AU13" s="721">
        <v>0.11909226754882636</v>
      </c>
      <c r="AV13" s="721">
        <v>0.11108085634468691</v>
      </c>
      <c r="AW13" s="721">
        <v>0.1006792258006836</v>
      </c>
      <c r="AX13" s="721">
        <v>8.6679086373705472E-2</v>
      </c>
      <c r="AY13" s="721">
        <v>0.10184767934515704</v>
      </c>
      <c r="AZ13" s="721">
        <v>0.10874841270823056</v>
      </c>
      <c r="BA13" s="721">
        <v>0.10396004082964774</v>
      </c>
      <c r="BB13" s="721">
        <v>0.10084032611033246</v>
      </c>
      <c r="BC13" s="721">
        <v>0.12363643478575886</v>
      </c>
      <c r="BD13" s="721">
        <v>0.10400480965367537</v>
      </c>
      <c r="BE13" s="721">
        <v>0.11536867431151465</v>
      </c>
    </row>
    <row r="14" spans="1:57" ht="15" x14ac:dyDescent="0.2">
      <c r="A14" s="224"/>
      <c r="B14" s="224"/>
      <c r="C14" s="6" t="s">
        <v>83</v>
      </c>
      <c r="D14" s="721">
        <v>0.124946598504607</v>
      </c>
      <c r="E14" s="721">
        <v>0.11419767090925331</v>
      </c>
      <c r="F14" s="721">
        <v>0.14053773598339764</v>
      </c>
      <c r="G14" s="721">
        <v>0.11360691089506729</v>
      </c>
      <c r="H14" s="721">
        <v>0.11956311632902673</v>
      </c>
      <c r="I14" s="721">
        <v>0.13060907538795952</v>
      </c>
      <c r="J14" s="721">
        <v>0.14141326468333529</v>
      </c>
      <c r="K14" s="721">
        <v>0.16126981627718651</v>
      </c>
      <c r="L14" s="721">
        <v>0.16259977923519314</v>
      </c>
      <c r="M14" s="721">
        <v>0.13339664006329841</v>
      </c>
      <c r="N14" s="721">
        <v>0.12874459525544826</v>
      </c>
      <c r="O14" s="721">
        <v>0.12502498852237837</v>
      </c>
      <c r="P14" s="721">
        <v>0.13406431213014702</v>
      </c>
      <c r="Q14" s="721">
        <v>0.13705164274189624</v>
      </c>
      <c r="R14" s="721">
        <v>0.11781616299321936</v>
      </c>
      <c r="S14" s="721">
        <v>0.14268801065281014</v>
      </c>
      <c r="T14" s="721">
        <v>0.12223405760382047</v>
      </c>
      <c r="U14" s="721">
        <v>0.11855389289589481</v>
      </c>
      <c r="V14" s="721">
        <v>0.11186768336229745</v>
      </c>
      <c r="W14" s="721">
        <v>0.13356888620839644</v>
      </c>
      <c r="X14" s="721">
        <v>0.13213331030837444</v>
      </c>
      <c r="Y14" s="721">
        <v>0.14145931475792473</v>
      </c>
      <c r="Z14" s="721">
        <v>0.11974371185535072</v>
      </c>
      <c r="AA14" s="721">
        <v>0.13089168869621326</v>
      </c>
      <c r="AB14" s="721">
        <v>0.11512138844073534</v>
      </c>
      <c r="AC14" s="721">
        <v>0.12587528016453714</v>
      </c>
      <c r="AD14" s="721">
        <v>0.1272501892817906</v>
      </c>
      <c r="AE14" s="234">
        <f>'User Add-in Location'!E20</f>
        <v>0</v>
      </c>
      <c r="AF14" s="234">
        <f>'User Add-in Location'!F20</f>
        <v>0</v>
      </c>
      <c r="AG14" s="721">
        <v>0.13455092078923123</v>
      </c>
      <c r="AH14" s="721">
        <v>1.1089529173528151E-2</v>
      </c>
      <c r="AI14" s="721">
        <v>0.14292056515746801</v>
      </c>
      <c r="AJ14" s="721">
        <v>0.13536984858064274</v>
      </c>
      <c r="AK14" s="721">
        <v>0.12377137094789951</v>
      </c>
      <c r="AL14" s="721">
        <v>0.14327286017042334</v>
      </c>
      <c r="AM14" s="721">
        <v>0.12996082696419362</v>
      </c>
      <c r="AN14" s="721">
        <v>0.13111201140605541</v>
      </c>
      <c r="AO14" s="721">
        <v>0.13116210891481925</v>
      </c>
      <c r="AP14" s="721">
        <v>0.12053605903943002</v>
      </c>
      <c r="AQ14" s="721">
        <v>0.1252608656762691</v>
      </c>
      <c r="AR14" s="721">
        <v>0.12919270218538531</v>
      </c>
      <c r="AS14" s="721">
        <v>0.15129609396292787</v>
      </c>
      <c r="AT14" s="721">
        <v>0.12015254823379228</v>
      </c>
      <c r="AU14" s="721">
        <v>0.14191291727078362</v>
      </c>
      <c r="AV14" s="721">
        <v>0.12067245786853696</v>
      </c>
      <c r="AW14" s="721">
        <v>0.12556282911043001</v>
      </c>
      <c r="AX14" s="721">
        <v>0.12007488329742046</v>
      </c>
      <c r="AY14" s="721">
        <v>0.13521668420353769</v>
      </c>
      <c r="AZ14" s="721">
        <v>0.13140029060733663</v>
      </c>
      <c r="BA14" s="721">
        <v>0.12854801456166079</v>
      </c>
      <c r="BB14" s="721">
        <v>0.11928894827637879</v>
      </c>
      <c r="BC14" s="721">
        <v>0.11139221171352147</v>
      </c>
      <c r="BD14" s="721">
        <v>0.12993960818743042</v>
      </c>
      <c r="BE14" s="721">
        <v>0.13304344274062907</v>
      </c>
    </row>
    <row r="15" spans="1:57" ht="15" x14ac:dyDescent="0.2">
      <c r="A15" s="224"/>
      <c r="B15" s="224"/>
      <c r="C15" s="6" t="s">
        <v>84</v>
      </c>
      <c r="D15" s="721">
        <v>0.60182383261204198</v>
      </c>
      <c r="E15" s="721">
        <v>0.63347370616626142</v>
      </c>
      <c r="F15" s="721">
        <v>0.61333256098630873</v>
      </c>
      <c r="G15" s="721">
        <v>0.61905001358946254</v>
      </c>
      <c r="H15" s="721">
        <v>0.60631993203158663</v>
      </c>
      <c r="I15" s="721">
        <v>0.61638705815002037</v>
      </c>
      <c r="J15" s="721">
        <v>0.62836124291772277</v>
      </c>
      <c r="K15" s="721">
        <v>0.60907440438224447</v>
      </c>
      <c r="L15" s="721">
        <v>0.68968654989070377</v>
      </c>
      <c r="M15" s="721">
        <v>0.61747790794195312</v>
      </c>
      <c r="N15" s="721">
        <v>0.61802868285055512</v>
      </c>
      <c r="O15" s="721">
        <v>0.62040236638158419</v>
      </c>
      <c r="P15" s="721">
        <v>0.59458089055368835</v>
      </c>
      <c r="Q15" s="721">
        <v>0.60673665712175229</v>
      </c>
      <c r="R15" s="721">
        <v>0.61234094703122033</v>
      </c>
      <c r="S15" s="721">
        <v>0.59659635011675205</v>
      </c>
      <c r="T15" s="721">
        <v>0.61777944149334074</v>
      </c>
      <c r="U15" s="721">
        <v>0.62026736162749019</v>
      </c>
      <c r="V15" s="721">
        <v>0.6259100025551747</v>
      </c>
      <c r="W15" s="721">
        <v>0.61476019949643401</v>
      </c>
      <c r="X15" s="721">
        <v>0.64655924418049848</v>
      </c>
      <c r="Y15" s="721">
        <v>0.63350442811126295</v>
      </c>
      <c r="Z15" s="721">
        <v>0.60840094945773759</v>
      </c>
      <c r="AA15" s="721">
        <v>0.59616628801331961</v>
      </c>
      <c r="AB15" s="721">
        <v>0.61774721295530943</v>
      </c>
      <c r="AC15" s="721">
        <v>0.62570689682980596</v>
      </c>
      <c r="AD15" s="721">
        <v>0.59995103109347514</v>
      </c>
      <c r="AE15" s="234">
        <f>'User Add-in Location'!E21</f>
        <v>0</v>
      </c>
      <c r="AF15" s="234">
        <f>'User Add-in Location'!F21</f>
        <v>0</v>
      </c>
      <c r="AG15" s="721">
        <v>0.61238176825025159</v>
      </c>
      <c r="AH15" s="721">
        <v>1.1410613259496447E-2</v>
      </c>
      <c r="AI15" s="721">
        <v>0.62244342521879348</v>
      </c>
      <c r="AJ15" s="721">
        <v>0.61953780962825167</v>
      </c>
      <c r="AK15" s="721">
        <v>0.6191561378701701</v>
      </c>
      <c r="AL15" s="721">
        <v>0.62569727826191279</v>
      </c>
      <c r="AM15" s="721">
        <v>0.61320436702233994</v>
      </c>
      <c r="AN15" s="721">
        <v>0.58998937585568534</v>
      </c>
      <c r="AO15" s="721">
        <v>0.59959110048534814</v>
      </c>
      <c r="AP15" s="721">
        <v>0.60990280982928569</v>
      </c>
      <c r="AQ15" s="721">
        <v>0.6216366077861023</v>
      </c>
      <c r="AR15" s="721">
        <v>0.61376866388496787</v>
      </c>
      <c r="AS15" s="721">
        <v>0.64130694357328388</v>
      </c>
      <c r="AT15" s="721">
        <v>0.62628241935782314</v>
      </c>
      <c r="AU15" s="721">
        <v>0.59779934138507973</v>
      </c>
      <c r="AV15" s="721">
        <v>0.62041573433234676</v>
      </c>
      <c r="AW15" s="721">
        <v>0.57718045076211577</v>
      </c>
      <c r="AX15" s="721">
        <v>0.54908812432295107</v>
      </c>
      <c r="AY15" s="721">
        <v>0.6049829643032284</v>
      </c>
      <c r="AZ15" s="721">
        <v>0.62756152001318533</v>
      </c>
      <c r="BA15" s="721">
        <v>0.63045156026050386</v>
      </c>
      <c r="BB15" s="721">
        <v>0.60902158437810194</v>
      </c>
      <c r="BC15" s="721">
        <v>0.63715780191157823</v>
      </c>
      <c r="BD15" s="721">
        <v>0.60655432102896423</v>
      </c>
      <c r="BE15" s="721">
        <v>0.59607374860948092</v>
      </c>
    </row>
    <row r="16" spans="1:57" ht="15" x14ac:dyDescent="0.2">
      <c r="A16" s="224"/>
      <c r="B16" s="224"/>
      <c r="C16" s="6" t="s">
        <v>85</v>
      </c>
      <c r="D16" s="721">
        <v>9.3434149200734059E-3</v>
      </c>
      <c r="E16" s="721">
        <v>7.5123235120481344E-3</v>
      </c>
      <c r="F16" s="721">
        <v>8.757965134280999E-3</v>
      </c>
      <c r="G16" s="721">
        <v>6.9072238956950577E-3</v>
      </c>
      <c r="H16" s="721">
        <v>9.9138955994110527E-3</v>
      </c>
      <c r="I16" s="721">
        <v>1.0088275197969119E-2</v>
      </c>
      <c r="J16" s="721">
        <v>1.0324513313785044E-2</v>
      </c>
      <c r="K16" s="721">
        <v>1.0920179669275358E-2</v>
      </c>
      <c r="L16" s="721">
        <v>9.5693065145463583E-3</v>
      </c>
      <c r="M16" s="721">
        <v>9.2597188991578316E-3</v>
      </c>
      <c r="N16" s="721">
        <v>8.8176094267502381E-3</v>
      </c>
      <c r="O16" s="721">
        <v>6.0651887001167337E-3</v>
      </c>
      <c r="P16" s="721">
        <v>8.7008136026926215E-3</v>
      </c>
      <c r="Q16" s="721">
        <v>1.021379651170138E-2</v>
      </c>
      <c r="R16" s="721">
        <v>9.1041801368415103E-3</v>
      </c>
      <c r="S16" s="721">
        <v>7.0775337029738792E-3</v>
      </c>
      <c r="T16" s="721">
        <v>8.6082871125357924E-3</v>
      </c>
      <c r="U16" s="721">
        <v>7.6192011186287361E-3</v>
      </c>
      <c r="V16" s="721">
        <v>8.4844772752473863E-3</v>
      </c>
      <c r="W16" s="721">
        <v>8.6062860967074661E-3</v>
      </c>
      <c r="X16" s="721">
        <v>1.0239035173979958E-2</v>
      </c>
      <c r="Y16" s="721">
        <v>1.1665730056039565E-2</v>
      </c>
      <c r="Z16" s="721">
        <v>1.0086504005475193E-2</v>
      </c>
      <c r="AA16" s="721">
        <v>9.1514650924054662E-3</v>
      </c>
      <c r="AB16" s="721">
        <v>6.8206210054055465E-3</v>
      </c>
      <c r="AC16" s="721">
        <v>8.9881976969593321E-3</v>
      </c>
      <c r="AD16" s="721">
        <v>7.8684770560328125E-3</v>
      </c>
      <c r="AE16" s="234">
        <f>'User Add-in Location'!E22</f>
        <v>0</v>
      </c>
      <c r="AF16" s="234">
        <f>'User Add-in Location'!F22</f>
        <v>0</v>
      </c>
      <c r="AG16" s="721">
        <v>7.8324928957640254E-3</v>
      </c>
      <c r="AH16" s="721">
        <v>0</v>
      </c>
      <c r="AI16" s="721">
        <v>1.0069163113491044E-2</v>
      </c>
      <c r="AJ16" s="721">
        <v>1.0832012811741719E-2</v>
      </c>
      <c r="AK16" s="721">
        <v>9.2813099576327523E-3</v>
      </c>
      <c r="AL16" s="721">
        <v>1.0498061077592666E-2</v>
      </c>
      <c r="AM16" s="721">
        <v>9.353089704606193E-3</v>
      </c>
      <c r="AN16" s="721">
        <v>6.4443522772798037E-3</v>
      </c>
      <c r="AO16" s="721">
        <v>9.0142779931513262E-3</v>
      </c>
      <c r="AP16" s="721">
        <v>7.6869933729786172E-3</v>
      </c>
      <c r="AQ16" s="721">
        <v>9.2885792016024673E-3</v>
      </c>
      <c r="AR16" s="721">
        <v>1.033121994312022E-2</v>
      </c>
      <c r="AS16" s="721">
        <v>9.4938524748284635E-3</v>
      </c>
      <c r="AT16" s="721">
        <v>8.9938427569026917E-3</v>
      </c>
      <c r="AU16" s="721">
        <v>6.5692216851106003E-3</v>
      </c>
      <c r="AV16" s="721">
        <v>9.0288091940249095E-3</v>
      </c>
      <c r="AW16" s="721">
        <v>8.8012447996990185E-3</v>
      </c>
      <c r="AX16" s="721">
        <v>8.9053995859226191E-3</v>
      </c>
      <c r="AY16" s="721">
        <v>9.2330478415333078E-3</v>
      </c>
      <c r="AZ16" s="721">
        <v>9.8661409451946281E-3</v>
      </c>
      <c r="BA16" s="721">
        <v>9.8053436650236084E-3</v>
      </c>
      <c r="BB16" s="721">
        <v>1.0079003242846772E-2</v>
      </c>
      <c r="BC16" s="721">
        <v>9.3463959667232262E-3</v>
      </c>
      <c r="BD16" s="721">
        <v>8.4636570087165287E-3</v>
      </c>
      <c r="BE16" s="721">
        <v>6.5448973259970827E-3</v>
      </c>
    </row>
    <row r="17" spans="1:57" ht="15" x14ac:dyDescent="0.2">
      <c r="A17" s="224"/>
      <c r="B17" s="224"/>
      <c r="C17" s="6" t="s">
        <v>11</v>
      </c>
      <c r="D17" s="721">
        <v>9.0689141877274698E-3</v>
      </c>
      <c r="E17" s="721">
        <v>8.9085148707252534E-3</v>
      </c>
      <c r="F17" s="721">
        <v>7.7995519765308293E-3</v>
      </c>
      <c r="G17" s="721">
        <v>8.8491151039064801E-3</v>
      </c>
      <c r="H17" s="721">
        <v>6.8764206454442088E-3</v>
      </c>
      <c r="I17" s="721">
        <v>7.2905997711297677E-3</v>
      </c>
      <c r="J17" s="721">
        <v>7.749161625198734E-3</v>
      </c>
      <c r="K17" s="721">
        <v>7.7034306084110288E-3</v>
      </c>
      <c r="L17" s="721">
        <v>9.1642856333505381E-3</v>
      </c>
      <c r="M17" s="721">
        <v>7.2079780934586465E-3</v>
      </c>
      <c r="N17" s="721">
        <v>6.9107423652695248E-3</v>
      </c>
      <c r="O17" s="721">
        <v>8.3593532277888832E-3</v>
      </c>
      <c r="P17" s="721">
        <v>8.857424525839307E-3</v>
      </c>
      <c r="Q17" s="721">
        <v>6.8911998116601807E-3</v>
      </c>
      <c r="R17" s="721">
        <v>8.1258133367890593E-3</v>
      </c>
      <c r="S17" s="721">
        <v>8.650407802758003E-3</v>
      </c>
      <c r="T17" s="721">
        <v>8.387324012818026E-3</v>
      </c>
      <c r="U17" s="721">
        <v>9.1765766792621609E-3</v>
      </c>
      <c r="V17" s="721">
        <v>9.1787437356844019E-3</v>
      </c>
      <c r="W17" s="721">
        <v>8.491052167857633E-3</v>
      </c>
      <c r="X17" s="721">
        <v>7.8842920046254799E-3</v>
      </c>
      <c r="Y17" s="721">
        <v>7.1882882217186366E-3</v>
      </c>
      <c r="Z17" s="721">
        <v>7.7004809326821459E-3</v>
      </c>
      <c r="AA17" s="721">
        <v>7.5063519093176633E-3</v>
      </c>
      <c r="AB17" s="721">
        <v>9.529199642730803E-3</v>
      </c>
      <c r="AC17" s="721">
        <v>7.9786383096300661E-3</v>
      </c>
      <c r="AD17" s="721">
        <v>9.2211221330364985E-3</v>
      </c>
      <c r="AE17" s="234">
        <f>'User Add-in Location'!E23</f>
        <v>0</v>
      </c>
      <c r="AF17" s="234">
        <f>'User Add-in Location'!F23</f>
        <v>0</v>
      </c>
      <c r="AG17" s="721">
        <v>8.1198765674457638E-3</v>
      </c>
      <c r="AH17" s="721">
        <v>0</v>
      </c>
      <c r="AI17" s="721">
        <v>8.1110910449251374E-3</v>
      </c>
      <c r="AJ17" s="721">
        <v>7.2108553212025146E-3</v>
      </c>
      <c r="AK17" s="721">
        <v>9.5642927531873635E-3</v>
      </c>
      <c r="AL17" s="721">
        <v>7.5648791081870462E-3</v>
      </c>
      <c r="AM17" s="721">
        <v>7.5033451226650238E-3</v>
      </c>
      <c r="AN17" s="721">
        <v>9.0512119948092905E-3</v>
      </c>
      <c r="AO17" s="721">
        <v>7.4308101356402555E-3</v>
      </c>
      <c r="AP17" s="721">
        <v>8.6467215943447136E-3</v>
      </c>
      <c r="AQ17" s="721">
        <v>8.1672294803482089E-3</v>
      </c>
      <c r="AR17" s="721">
        <v>7.6693245355002569E-3</v>
      </c>
      <c r="AS17" s="721">
        <v>7.6306717079775615E-3</v>
      </c>
      <c r="AT17" s="721">
        <v>8.8086014739961731E-3</v>
      </c>
      <c r="AU17" s="721">
        <v>9.027858199150595E-3</v>
      </c>
      <c r="AV17" s="721">
        <v>8.1132955488085017E-3</v>
      </c>
      <c r="AW17" s="721">
        <v>7.4339881667459667E-3</v>
      </c>
      <c r="AX17" s="721">
        <v>6.0660356602406486E-3</v>
      </c>
      <c r="AY17" s="721">
        <v>7.3480942539642276E-3</v>
      </c>
      <c r="AZ17" s="721">
        <v>8.4526212759951057E-3</v>
      </c>
      <c r="BA17" s="721">
        <v>8.3734577329749506E-3</v>
      </c>
      <c r="BB17" s="721">
        <v>7.7739755665293042E-3</v>
      </c>
      <c r="BC17" s="721">
        <v>1.0253698454914816E-2</v>
      </c>
      <c r="BD17" s="721">
        <v>8.1719077836368628E-3</v>
      </c>
      <c r="BE17" s="721">
        <v>1.0501113260462873E-2</v>
      </c>
    </row>
    <row r="18" spans="1:57" ht="15.75" x14ac:dyDescent="0.25">
      <c r="A18" s="226" t="s">
        <v>224</v>
      </c>
      <c r="B18" s="226"/>
      <c r="C18" s="6" t="s">
        <v>4</v>
      </c>
      <c r="D18" s="14">
        <f>SUM(D4:D17)</f>
        <v>1</v>
      </c>
      <c r="E18" s="14">
        <f t="shared" ref="E18:BE18" si="0">SUM(E4:E17)</f>
        <v>1</v>
      </c>
      <c r="F18" s="14">
        <f t="shared" si="0"/>
        <v>1</v>
      </c>
      <c r="G18" s="14">
        <f t="shared" si="0"/>
        <v>1.0000000000000002</v>
      </c>
      <c r="H18" s="14">
        <f t="shared" si="0"/>
        <v>1</v>
      </c>
      <c r="I18" s="14">
        <f t="shared" si="0"/>
        <v>1</v>
      </c>
      <c r="J18" s="14">
        <f t="shared" si="0"/>
        <v>1</v>
      </c>
      <c r="K18" s="14">
        <f t="shared" si="0"/>
        <v>1</v>
      </c>
      <c r="L18" s="14">
        <f t="shared" si="0"/>
        <v>1</v>
      </c>
      <c r="M18" s="14">
        <f t="shared" si="0"/>
        <v>0.99999999999999978</v>
      </c>
      <c r="N18" s="14">
        <f t="shared" si="0"/>
        <v>1</v>
      </c>
      <c r="O18" s="14">
        <f t="shared" si="0"/>
        <v>1</v>
      </c>
      <c r="P18" s="14">
        <f t="shared" si="0"/>
        <v>0.99999999999999989</v>
      </c>
      <c r="Q18" s="14">
        <f t="shared" si="0"/>
        <v>1</v>
      </c>
      <c r="R18" s="14">
        <f t="shared" si="0"/>
        <v>1</v>
      </c>
      <c r="S18" s="14">
        <f t="shared" si="0"/>
        <v>1</v>
      </c>
      <c r="T18" s="14">
        <f t="shared" si="0"/>
        <v>1</v>
      </c>
      <c r="U18" s="14">
        <f t="shared" si="0"/>
        <v>1</v>
      </c>
      <c r="V18" s="14">
        <f t="shared" si="0"/>
        <v>1</v>
      </c>
      <c r="W18" s="14">
        <f t="shared" si="0"/>
        <v>1</v>
      </c>
      <c r="X18" s="14">
        <f t="shared" si="0"/>
        <v>1</v>
      </c>
      <c r="Y18" s="14">
        <f t="shared" si="0"/>
        <v>1</v>
      </c>
      <c r="Z18" s="14">
        <f t="shared" si="0"/>
        <v>1</v>
      </c>
      <c r="AA18" s="14">
        <f t="shared" si="0"/>
        <v>1</v>
      </c>
      <c r="AB18" s="14">
        <f t="shared" si="0"/>
        <v>0.99999999999999989</v>
      </c>
      <c r="AC18" s="14">
        <f t="shared" si="0"/>
        <v>1</v>
      </c>
      <c r="AD18" s="14">
        <f t="shared" si="0"/>
        <v>1.0000000000000002</v>
      </c>
      <c r="AE18" s="14">
        <f t="shared" si="0"/>
        <v>0</v>
      </c>
      <c r="AF18" s="14">
        <f t="shared" si="0"/>
        <v>1</v>
      </c>
      <c r="AG18" s="14">
        <f t="shared" si="0"/>
        <v>1.0000000000000002</v>
      </c>
      <c r="AH18" s="14">
        <f t="shared" si="0"/>
        <v>0.99999999999999989</v>
      </c>
      <c r="AI18" s="14">
        <f t="shared" si="0"/>
        <v>1</v>
      </c>
      <c r="AJ18" s="14">
        <f t="shared" si="0"/>
        <v>0.99999999999999989</v>
      </c>
      <c r="AK18" s="14">
        <f t="shared" si="0"/>
        <v>1</v>
      </c>
      <c r="AL18" s="14">
        <f t="shared" si="0"/>
        <v>1</v>
      </c>
      <c r="AM18" s="14">
        <f t="shared" si="0"/>
        <v>1</v>
      </c>
      <c r="AN18" s="14">
        <f t="shared" si="0"/>
        <v>0.99999999999999989</v>
      </c>
      <c r="AO18" s="14">
        <f t="shared" si="0"/>
        <v>1</v>
      </c>
      <c r="AP18" s="14">
        <f t="shared" si="0"/>
        <v>1</v>
      </c>
      <c r="AQ18" s="14">
        <f t="shared" si="0"/>
        <v>1</v>
      </c>
      <c r="AR18" s="14">
        <f t="shared" si="0"/>
        <v>1</v>
      </c>
      <c r="AS18" s="14">
        <f t="shared" si="0"/>
        <v>1</v>
      </c>
      <c r="AT18" s="14">
        <f t="shared" si="0"/>
        <v>1</v>
      </c>
      <c r="AU18" s="14">
        <f t="shared" si="0"/>
        <v>1</v>
      </c>
      <c r="AV18" s="14">
        <f t="shared" si="0"/>
        <v>0.99999999999999989</v>
      </c>
      <c r="AW18" s="14">
        <f t="shared" si="0"/>
        <v>0.99999999999999989</v>
      </c>
      <c r="AX18" s="14">
        <f t="shared" si="0"/>
        <v>1</v>
      </c>
      <c r="AY18" s="14">
        <f t="shared" si="0"/>
        <v>1.0000000000000002</v>
      </c>
      <c r="AZ18" s="14">
        <f t="shared" si="0"/>
        <v>1</v>
      </c>
      <c r="BA18" s="14">
        <f t="shared" si="0"/>
        <v>1</v>
      </c>
      <c r="BB18" s="14">
        <f t="shared" si="0"/>
        <v>0.99999999999999989</v>
      </c>
      <c r="BC18" s="14">
        <f t="shared" si="0"/>
        <v>1</v>
      </c>
      <c r="BD18" s="14">
        <f t="shared" si="0"/>
        <v>1.0000000000000002</v>
      </c>
      <c r="BE18" s="14">
        <f t="shared" si="0"/>
        <v>0.99999999999999989</v>
      </c>
    </row>
    <row r="19" spans="1:57" x14ac:dyDescent="0.2">
      <c r="A19" s="224"/>
      <c r="B19" s="224"/>
    </row>
    <row r="20" spans="1:57" ht="12.75" customHeight="1" x14ac:dyDescent="0.2">
      <c r="A20" s="224"/>
      <c r="B20" s="224"/>
      <c r="C20" s="168" t="str">
        <f>CONCATENATE("Source:  All values are averages for all income classes and are derived from IMPLAN™ using ", D2," state data.")</f>
        <v>Source:  All values are averages for all income classes and are derived from IMPLAN™ using 2014 state data.</v>
      </c>
      <c r="I20" s="61"/>
    </row>
    <row r="21" spans="1:57" ht="17.850000000000001" customHeight="1" x14ac:dyDescent="0.2">
      <c r="A21" s="224"/>
      <c r="B21" s="224"/>
      <c r="C21" s="168"/>
    </row>
    <row r="22" spans="1:57" x14ac:dyDescent="0.2">
      <c r="A22" s="224"/>
      <c r="B22" s="224"/>
      <c r="C22" s="142"/>
    </row>
    <row r="23" spans="1:57" x14ac:dyDescent="0.2">
      <c r="A23" s="224"/>
      <c r="B23" s="224"/>
    </row>
    <row r="24" spans="1:57" x14ac:dyDescent="0.2">
      <c r="A24" s="224"/>
      <c r="B24" s="224"/>
    </row>
    <row r="25" spans="1:57" x14ac:dyDescent="0.2">
      <c r="A25" s="224"/>
      <c r="B25" s="224"/>
    </row>
    <row r="26" spans="1:57" x14ac:dyDescent="0.2">
      <c r="A26" s="224"/>
      <c r="B26" s="224"/>
    </row>
    <row r="27" spans="1:57" x14ac:dyDescent="0.2">
      <c r="A27" s="224"/>
      <c r="B27" s="224"/>
    </row>
    <row r="28" spans="1:57" x14ac:dyDescent="0.2">
      <c r="A28" s="224"/>
      <c r="B28" s="224"/>
    </row>
    <row r="29" spans="1:57" x14ac:dyDescent="0.2">
      <c r="A29" s="224"/>
      <c r="B29" s="224"/>
    </row>
    <row r="30" spans="1:57" x14ac:dyDescent="0.2">
      <c r="A30" s="224"/>
      <c r="B30" s="224"/>
    </row>
    <row r="31" spans="1:57" x14ac:dyDescent="0.2">
      <c r="A31" s="224"/>
      <c r="B31" s="224"/>
    </row>
    <row r="32" spans="1:57" x14ac:dyDescent="0.2">
      <c r="A32" s="224"/>
      <c r="B32" s="224"/>
    </row>
    <row r="33" spans="1:2" x14ac:dyDescent="0.2">
      <c r="A33" s="224"/>
      <c r="B33" s="224"/>
    </row>
    <row r="34" spans="1:2" x14ac:dyDescent="0.2">
      <c r="A34" s="224"/>
      <c r="B34" s="224"/>
    </row>
    <row r="35" spans="1:2" x14ac:dyDescent="0.2">
      <c r="A35" s="224"/>
      <c r="B35" s="224"/>
    </row>
    <row r="36" spans="1:2" x14ac:dyDescent="0.2">
      <c r="A36" s="224"/>
      <c r="B36" s="224"/>
    </row>
    <row r="37" spans="1:2" x14ac:dyDescent="0.2">
      <c r="A37" s="224"/>
      <c r="B37" s="224"/>
    </row>
    <row r="38" spans="1:2" x14ac:dyDescent="0.2">
      <c r="A38" s="224"/>
      <c r="B38" s="224"/>
    </row>
    <row r="39" spans="1:2" x14ac:dyDescent="0.2">
      <c r="A39" s="224"/>
      <c r="B39" s="224"/>
    </row>
    <row r="40" spans="1:2" x14ac:dyDescent="0.2">
      <c r="A40" s="224"/>
      <c r="B40" s="224"/>
    </row>
    <row r="41" spans="1:2" x14ac:dyDescent="0.2">
      <c r="A41" s="224"/>
      <c r="B41" s="224"/>
    </row>
    <row r="42" spans="1:2" x14ac:dyDescent="0.2">
      <c r="A42" s="224"/>
      <c r="B42" s="224"/>
    </row>
    <row r="43" spans="1:2" x14ac:dyDescent="0.2">
      <c r="A43" s="224"/>
      <c r="B43" s="224"/>
    </row>
    <row r="44" spans="1:2" x14ac:dyDescent="0.2">
      <c r="A44" s="224"/>
      <c r="B44" s="224"/>
    </row>
    <row r="45" spans="1:2" x14ac:dyDescent="0.2">
      <c r="A45" s="224"/>
      <c r="B45" s="224"/>
    </row>
    <row r="46" spans="1:2" x14ac:dyDescent="0.2">
      <c r="A46" s="224"/>
      <c r="B46" s="224"/>
    </row>
    <row r="47" spans="1:2" x14ac:dyDescent="0.2">
      <c r="A47" s="224"/>
      <c r="B47" s="224"/>
    </row>
    <row r="48" spans="1:2" x14ac:dyDescent="0.2">
      <c r="A48" s="224"/>
      <c r="B48" s="224"/>
    </row>
  </sheetData>
  <sheetProtection password="DFD3" sheet="1" objects="1" scenarios="1"/>
  <customSheetViews>
    <customSheetView guid="{55B80D82-F000-11D6-8735-C8E5A357943D}" showRuler="0">
      <selection activeCell="D17" sqref="D17"/>
      <pageMargins left="0.75" right="0.75" top="1" bottom="1" header="0.5" footer="0.5"/>
      <headerFooter alignWithMargins="0"/>
    </customSheetView>
  </customSheetViews>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26"/>
  <sheetViews>
    <sheetView workbookViewId="0">
      <selection activeCell="E2" sqref="E2"/>
    </sheetView>
  </sheetViews>
  <sheetFormatPr defaultRowHeight="12.75" x14ac:dyDescent="0.2"/>
  <cols>
    <col min="1" max="1" width="205.85546875" style="228" customWidth="1"/>
    <col min="2" max="2" width="50" style="229" customWidth="1"/>
    <col min="3" max="3" width="27.42578125" customWidth="1"/>
    <col min="4" max="4" width="8.28515625" customWidth="1"/>
    <col min="5" max="24" width="9.5703125" bestFit="1" customWidth="1"/>
    <col min="25" max="25" width="13.85546875" customWidth="1"/>
    <col min="26" max="26" width="9.5703125" bestFit="1" customWidth="1"/>
    <col min="27" max="27" width="9.7109375" customWidth="1"/>
    <col min="28" max="28" width="10.28515625" customWidth="1"/>
    <col min="29" max="30" width="9.5703125" bestFit="1" customWidth="1"/>
    <col min="50" max="50" width="9.140625" style="462"/>
  </cols>
  <sheetData>
    <row r="1" spans="1:57" ht="15.75" x14ac:dyDescent="0.25">
      <c r="A1" s="224"/>
      <c r="B1" s="717"/>
      <c r="C1" s="81" t="s">
        <v>110</v>
      </c>
    </row>
    <row r="2" spans="1:57" x14ac:dyDescent="0.2">
      <c r="A2" s="224"/>
      <c r="B2" s="717"/>
      <c r="C2" s="1" t="s">
        <v>158</v>
      </c>
      <c r="D2" s="1">
        <v>2014</v>
      </c>
    </row>
    <row r="3" spans="1:57" x14ac:dyDescent="0.2">
      <c r="A3" s="224"/>
      <c r="B3" s="717"/>
      <c r="C3" s="17" t="s">
        <v>123</v>
      </c>
    </row>
    <row r="4" spans="1:57" x14ac:dyDescent="0.2">
      <c r="A4" s="224"/>
      <c r="B4" s="717"/>
      <c r="C4" s="112" t="s">
        <v>128</v>
      </c>
      <c r="D4" t="s">
        <v>13</v>
      </c>
      <c r="E4" t="s">
        <v>14</v>
      </c>
      <c r="F4" t="s">
        <v>15</v>
      </c>
      <c r="G4" t="s">
        <v>16</v>
      </c>
      <c r="H4" t="s">
        <v>17</v>
      </c>
      <c r="I4" t="s">
        <v>18</v>
      </c>
      <c r="J4" t="s">
        <v>19</v>
      </c>
      <c r="K4" t="s">
        <v>20</v>
      </c>
      <c r="L4" t="s">
        <v>21</v>
      </c>
      <c r="M4" t="s">
        <v>22</v>
      </c>
      <c r="N4" t="s">
        <v>23</v>
      </c>
      <c r="O4" t="s">
        <v>24</v>
      </c>
      <c r="P4" t="s">
        <v>25</v>
      </c>
      <c r="Q4" t="s">
        <v>26</v>
      </c>
      <c r="R4" t="s">
        <v>27</v>
      </c>
      <c r="S4" t="s">
        <v>28</v>
      </c>
      <c r="T4" t="s">
        <v>29</v>
      </c>
      <c r="U4" t="s">
        <v>30</v>
      </c>
      <c r="V4" t="s">
        <v>31</v>
      </c>
      <c r="W4" t="s">
        <v>32</v>
      </c>
      <c r="X4" t="s">
        <v>33</v>
      </c>
      <c r="Y4" t="s">
        <v>34</v>
      </c>
      <c r="Z4" t="s">
        <v>35</v>
      </c>
      <c r="AA4" t="s">
        <v>36</v>
      </c>
      <c r="AB4" t="s">
        <v>37</v>
      </c>
      <c r="AC4" t="s">
        <v>38</v>
      </c>
      <c r="AD4" t="s">
        <v>39</v>
      </c>
      <c r="AE4" s="37" t="s">
        <v>151</v>
      </c>
      <c r="AF4" s="37" t="s">
        <v>150</v>
      </c>
      <c r="AG4" t="s">
        <v>40</v>
      </c>
      <c r="AH4" t="s">
        <v>41</v>
      </c>
      <c r="AI4" t="s">
        <v>42</v>
      </c>
      <c r="AJ4" t="s">
        <v>43</v>
      </c>
      <c r="AK4" t="s">
        <v>44</v>
      </c>
      <c r="AL4" t="s">
        <v>45</v>
      </c>
      <c r="AM4" t="s">
        <v>46</v>
      </c>
      <c r="AN4" t="s">
        <v>47</v>
      </c>
      <c r="AO4" t="s">
        <v>48</v>
      </c>
      <c r="AP4" t="s">
        <v>49</v>
      </c>
      <c r="AQ4" t="s">
        <v>50</v>
      </c>
      <c r="AR4" t="s">
        <v>51</v>
      </c>
      <c r="AS4" t="s">
        <v>52</v>
      </c>
      <c r="AT4" t="s">
        <v>53</v>
      </c>
      <c r="AU4" t="s">
        <v>54</v>
      </c>
      <c r="AV4" t="s">
        <v>55</v>
      </c>
      <c r="AW4" t="s">
        <v>56</v>
      </c>
      <c r="AX4" s="507" t="s">
        <v>489</v>
      </c>
      <c r="AY4" t="s">
        <v>57</v>
      </c>
      <c r="AZ4" t="s">
        <v>58</v>
      </c>
      <c r="BA4" t="s">
        <v>59</v>
      </c>
      <c r="BB4" t="s">
        <v>60</v>
      </c>
      <c r="BC4" t="s">
        <v>61</v>
      </c>
      <c r="BD4" t="s">
        <v>62</v>
      </c>
      <c r="BE4" t="s">
        <v>12</v>
      </c>
    </row>
    <row r="5" spans="1:57" ht="23.25" x14ac:dyDescent="0.35">
      <c r="A5" s="225" t="s">
        <v>220</v>
      </c>
      <c r="B5" s="718"/>
      <c r="C5" s="6" t="s">
        <v>7</v>
      </c>
      <c r="D5" s="721">
        <v>6.5663015045558328</v>
      </c>
      <c r="E5" s="721">
        <v>15.007987862510836</v>
      </c>
      <c r="F5" s="721">
        <v>7.0846371347429953</v>
      </c>
      <c r="G5" s="721">
        <v>4.826203119125676</v>
      </c>
      <c r="H5" s="721">
        <v>6.4064739508622397</v>
      </c>
      <c r="I5" s="721">
        <v>5.3327562463783602</v>
      </c>
      <c r="J5" s="721">
        <v>10.92911050768118</v>
      </c>
      <c r="K5" s="721">
        <v>2.1427253941237847</v>
      </c>
      <c r="L5" s="721">
        <v>32.548691043673088</v>
      </c>
      <c r="M5" s="721">
        <v>9.8466682201793301</v>
      </c>
      <c r="N5" s="721">
        <v>5.3003107956201037</v>
      </c>
      <c r="O5" s="721">
        <v>15.700155296893501</v>
      </c>
      <c r="P5" s="721">
        <v>4.3942043294119415</v>
      </c>
      <c r="Q5" s="721">
        <v>3.9758007039236603</v>
      </c>
      <c r="R5" s="721">
        <v>4.9259886709375857</v>
      </c>
      <c r="S5" s="721">
        <v>2.8565842192292377</v>
      </c>
      <c r="T5" s="721">
        <v>3.3648775995019649</v>
      </c>
      <c r="U5" s="721">
        <v>11.000360246278921</v>
      </c>
      <c r="V5" s="721">
        <v>8.0091573924269834</v>
      </c>
      <c r="W5" s="721">
        <v>12.25358869064806</v>
      </c>
      <c r="X5" s="721">
        <v>6.7707329622302233</v>
      </c>
      <c r="Y5" s="721">
        <v>14.203249702918191</v>
      </c>
      <c r="Z5" s="721">
        <v>7.4627809434201628</v>
      </c>
      <c r="AA5" s="721">
        <v>4.1832733089772223</v>
      </c>
      <c r="AB5" s="721">
        <v>5.943993733603512</v>
      </c>
      <c r="AC5" s="721">
        <v>8.0674112781942782</v>
      </c>
      <c r="AD5" s="721">
        <v>5.8716795525144336</v>
      </c>
      <c r="AE5" s="37">
        <f>'User Add-in Location'!B10</f>
        <v>0</v>
      </c>
      <c r="AF5" s="37">
        <f>'User Add-in Location'!C10</f>
        <v>0</v>
      </c>
      <c r="AG5" s="721">
        <v>1.9400922797206936</v>
      </c>
      <c r="AH5" s="721">
        <v>5.0584565344618202</v>
      </c>
      <c r="AI5" s="721">
        <v>14.270528031944099</v>
      </c>
      <c r="AJ5" s="721">
        <v>14.399031849449479</v>
      </c>
      <c r="AK5" s="721">
        <v>7.2012529050545702</v>
      </c>
      <c r="AL5" s="721">
        <v>7.8477384931179763</v>
      </c>
      <c r="AM5" s="721">
        <v>4.6722488171031573</v>
      </c>
      <c r="AN5" s="721">
        <v>3.6774966274772511</v>
      </c>
      <c r="AO5" s="721">
        <v>7.3894743190244023</v>
      </c>
      <c r="AP5" s="721">
        <v>9.5558103321369678</v>
      </c>
      <c r="AQ5" s="721">
        <v>10.973628912630197</v>
      </c>
      <c r="AR5" s="721">
        <v>7.9622842868706858</v>
      </c>
      <c r="AS5" s="721">
        <v>12.478159874798642</v>
      </c>
      <c r="AT5" s="721">
        <v>8.8901394158803395</v>
      </c>
      <c r="AU5" s="721">
        <v>2.8738458192074252</v>
      </c>
      <c r="AV5" s="721">
        <v>14.213445769272573</v>
      </c>
      <c r="AW5" s="721">
        <v>9.068770211184944</v>
      </c>
      <c r="AX5" s="721">
        <v>6.1851950930645732</v>
      </c>
      <c r="AY5" s="721">
        <v>6.9827820154584952</v>
      </c>
      <c r="AZ5" s="721">
        <v>8.7575038269827594</v>
      </c>
      <c r="BA5" s="721">
        <v>10.059155813895963</v>
      </c>
      <c r="BB5" s="721">
        <v>8.5532339583875689</v>
      </c>
      <c r="BC5" s="721">
        <v>18.067995755372415</v>
      </c>
      <c r="BD5" s="721">
        <v>6.0720271018909671</v>
      </c>
      <c r="BE5" s="721">
        <v>6.0865226650108992</v>
      </c>
    </row>
    <row r="6" spans="1:57" ht="15" x14ac:dyDescent="0.2">
      <c r="A6" s="224"/>
      <c r="B6" s="717"/>
      <c r="C6" s="6" t="s">
        <v>77</v>
      </c>
      <c r="D6" s="721">
        <v>2.1217253173606982</v>
      </c>
      <c r="E6" s="721">
        <v>1.1545064345650051</v>
      </c>
      <c r="F6" s="721">
        <v>2.2579208180524302</v>
      </c>
      <c r="G6" s="721">
        <v>3.3815852731898213</v>
      </c>
      <c r="H6" s="721">
        <v>1.9009331827578337</v>
      </c>
      <c r="I6" s="721">
        <v>2.4706544185030288</v>
      </c>
      <c r="J6" s="721">
        <v>4.560099781423375</v>
      </c>
      <c r="K6" s="721">
        <v>4.3441267428190811</v>
      </c>
      <c r="L6" s="721">
        <v>5.4270365894704629</v>
      </c>
      <c r="M6" s="721">
        <v>3.8621602818585825</v>
      </c>
      <c r="N6" s="721">
        <v>4.1706590237824814</v>
      </c>
      <c r="O6" s="721">
        <v>5.1325576339942822</v>
      </c>
      <c r="P6" s="721">
        <v>3.9741334224092788</v>
      </c>
      <c r="Q6" s="721">
        <v>2.9996732076009116</v>
      </c>
      <c r="R6" s="721">
        <v>2.5167932095734971</v>
      </c>
      <c r="S6" s="721">
        <v>4.7575558372165849</v>
      </c>
      <c r="T6" s="721">
        <v>4.8576760222946387</v>
      </c>
      <c r="U6" s="721">
        <v>2.209793768067291</v>
      </c>
      <c r="V6" s="721">
        <v>2.3092231612274614</v>
      </c>
      <c r="W6" s="721">
        <v>7.2698137863822607</v>
      </c>
      <c r="X6" s="721">
        <v>3.0838668795599453</v>
      </c>
      <c r="Y6" s="721">
        <v>3.9605628856714223</v>
      </c>
      <c r="Z6" s="721">
        <v>4.1434676681739697</v>
      </c>
      <c r="AA6" s="721">
        <v>2.3585410048996196</v>
      </c>
      <c r="AB6" s="721">
        <v>3.5617445102636367</v>
      </c>
      <c r="AC6" s="721">
        <v>3.0183302285014721</v>
      </c>
      <c r="AD6" s="721">
        <v>2.7152476241623149</v>
      </c>
      <c r="AE6" s="37">
        <f>'User Add-in Location'!B11</f>
        <v>0</v>
      </c>
      <c r="AF6" s="37">
        <f>'User Add-in Location'!C11</f>
        <v>0</v>
      </c>
      <c r="AG6" s="721">
        <v>4.3627959818079853</v>
      </c>
      <c r="AH6" s="721">
        <v>2.3153345550315967</v>
      </c>
      <c r="AI6" s="721">
        <v>5.0670945264291074</v>
      </c>
      <c r="AJ6" s="721">
        <v>3.7325409322545151</v>
      </c>
      <c r="AK6" s="721">
        <v>2.5869083542754687</v>
      </c>
      <c r="AL6" s="721">
        <v>5.2739166867905771</v>
      </c>
      <c r="AM6" s="721">
        <v>3.4134655551633974</v>
      </c>
      <c r="AN6" s="721">
        <v>2.5400940438975459</v>
      </c>
      <c r="AO6" s="721">
        <v>3.1204572345899502</v>
      </c>
      <c r="AP6" s="721">
        <v>3.0839265602222388</v>
      </c>
      <c r="AQ6" s="721">
        <v>5.2888486005257871</v>
      </c>
      <c r="AR6" s="721">
        <v>2.282537681469019</v>
      </c>
      <c r="AS6" s="721">
        <v>5.2339062068773359</v>
      </c>
      <c r="AT6" s="721">
        <v>4.8477577541185468</v>
      </c>
      <c r="AU6" s="721">
        <v>4.9183961619501533</v>
      </c>
      <c r="AV6" s="721">
        <v>3.4888015829998515</v>
      </c>
      <c r="AW6" s="721">
        <v>1.8761954307556152</v>
      </c>
      <c r="AX6" s="721">
        <v>2.3006834223650503</v>
      </c>
      <c r="AY6" s="721">
        <v>2.6863234146781592</v>
      </c>
      <c r="AZ6" s="721">
        <v>4.4074662526448574</v>
      </c>
      <c r="BA6" s="721">
        <v>2.4715547976286518</v>
      </c>
      <c r="BB6" s="721">
        <v>4.3192093614218896</v>
      </c>
      <c r="BC6" s="721">
        <v>2.0904075373773989</v>
      </c>
      <c r="BD6" s="721">
        <v>3.808428888735564</v>
      </c>
      <c r="BE6" s="721">
        <v>1.6924850767937261</v>
      </c>
    </row>
    <row r="7" spans="1:57" ht="15.75" x14ac:dyDescent="0.25">
      <c r="A7" s="226" t="s">
        <v>221</v>
      </c>
      <c r="B7" s="719"/>
      <c r="C7" s="6" t="s">
        <v>8</v>
      </c>
      <c r="D7" s="721">
        <v>5.658464877060176</v>
      </c>
      <c r="E7" s="721">
        <v>4.6057365049848489</v>
      </c>
      <c r="F7" s="721">
        <v>5.4247639321272834</v>
      </c>
      <c r="G7" s="721">
        <v>5.8646477205794563</v>
      </c>
      <c r="H7" s="721">
        <v>5.2907700337789363</v>
      </c>
      <c r="I7" s="721">
        <v>5.6488630133970359</v>
      </c>
      <c r="J7" s="721">
        <v>5.1653000162932292</v>
      </c>
      <c r="K7" s="721">
        <v>5.7520762308525164</v>
      </c>
      <c r="L7" s="721">
        <v>5.1720714934127292</v>
      </c>
      <c r="M7" s="721">
        <v>5.6790833431967247</v>
      </c>
      <c r="N7" s="721">
        <v>5.6240884963707005</v>
      </c>
      <c r="O7" s="721">
        <v>4.7463855382954749</v>
      </c>
      <c r="P7" s="721">
        <v>6.1614920079593549</v>
      </c>
      <c r="Q7" s="721">
        <v>5.0767309134163812</v>
      </c>
      <c r="R7" s="721">
        <v>5.7371185378032488</v>
      </c>
      <c r="S7" s="721">
        <v>5.5983909679329757</v>
      </c>
      <c r="T7" s="721">
        <v>5.8302036251187861</v>
      </c>
      <c r="U7" s="721">
        <v>5.636659357350732</v>
      </c>
      <c r="V7" s="721">
        <v>5.4590925943538364</v>
      </c>
      <c r="W7" s="721">
        <v>6.0965794466917975</v>
      </c>
      <c r="X7" s="721">
        <v>5.3545600750139322</v>
      </c>
      <c r="Y7" s="721">
        <v>5.2317409317589663</v>
      </c>
      <c r="Z7" s="721">
        <v>5.6501982214357671</v>
      </c>
      <c r="AA7" s="721">
        <v>5.1408827060464866</v>
      </c>
      <c r="AB7" s="721">
        <v>5.6826704082238528</v>
      </c>
      <c r="AC7" s="721">
        <v>5.8122124012122924</v>
      </c>
      <c r="AD7" s="721">
        <v>5.7962149001328624</v>
      </c>
      <c r="AE7" s="37">
        <f>'User Add-in Location'!B12</f>
        <v>0</v>
      </c>
      <c r="AF7" s="37">
        <f>'User Add-in Location'!C12</f>
        <v>0</v>
      </c>
      <c r="AG7" s="721">
        <v>5.4737035332391999</v>
      </c>
      <c r="AH7" s="721">
        <v>5.3198732970846834</v>
      </c>
      <c r="AI7" s="721">
        <v>5.7915189489197223</v>
      </c>
      <c r="AJ7" s="721">
        <v>4.9636517901362556</v>
      </c>
      <c r="AK7" s="721">
        <v>5.8265824754752842</v>
      </c>
      <c r="AL7" s="721">
        <v>4.9783949773331466</v>
      </c>
      <c r="AM7" s="721">
        <v>5.8338465889167663</v>
      </c>
      <c r="AN7" s="721">
        <v>5.4088768652049035</v>
      </c>
      <c r="AO7" s="721">
        <v>5.6903053622914763</v>
      </c>
      <c r="AP7" s="721">
        <v>5.7652501623115811</v>
      </c>
      <c r="AQ7" s="721">
        <v>5.6259622413481294</v>
      </c>
      <c r="AR7" s="721">
        <v>5.5753756715730551</v>
      </c>
      <c r="AS7" s="721">
        <v>5.0348454645090879</v>
      </c>
      <c r="AT7" s="721">
        <v>5.7251580186870754</v>
      </c>
      <c r="AU7" s="721">
        <v>6.0139692436801093</v>
      </c>
      <c r="AV7" s="721">
        <v>5.7825696920447438</v>
      </c>
      <c r="AW7" s="721">
        <v>5.1774277772604078</v>
      </c>
      <c r="AX7" s="721">
        <v>5.4398943205661761</v>
      </c>
      <c r="AY7" s="721">
        <v>5.5936627499496687</v>
      </c>
      <c r="AZ7" s="721">
        <v>6.1527195366279654</v>
      </c>
      <c r="BA7" s="721">
        <v>5.6487443989320569</v>
      </c>
      <c r="BB7" s="721">
        <v>5.2873420302948837</v>
      </c>
      <c r="BC7" s="721">
        <v>5.3823949361290406</v>
      </c>
      <c r="BD7" s="721">
        <v>5.6659916692785082</v>
      </c>
      <c r="BE7" s="721">
        <v>5.1476637268585703</v>
      </c>
    </row>
    <row r="8" spans="1:57" ht="15" x14ac:dyDescent="0.2">
      <c r="A8" s="227"/>
      <c r="B8" s="720"/>
      <c r="C8" s="6" t="s">
        <v>78</v>
      </c>
      <c r="D8" s="721">
        <v>1.722263429314655</v>
      </c>
      <c r="E8" s="721">
        <v>2.0265835353912882</v>
      </c>
      <c r="F8" s="721">
        <v>2.3565202617840009</v>
      </c>
      <c r="G8" s="721">
        <v>2.108720255723294</v>
      </c>
      <c r="H8" s="721">
        <v>1.7752462288891619</v>
      </c>
      <c r="I8" s="721">
        <v>2.0857658144441165</v>
      </c>
      <c r="J8" s="721">
        <v>2.1699844529286261</v>
      </c>
      <c r="K8" s="721">
        <v>1.5283380989668185</v>
      </c>
      <c r="L8" s="721">
        <v>3.0894862979584099</v>
      </c>
      <c r="M8" s="721">
        <v>2.4512487914785415</v>
      </c>
      <c r="N8" s="721">
        <v>1.9932190474384643</v>
      </c>
      <c r="O8" s="721">
        <v>1.9979140202041468</v>
      </c>
      <c r="P8" s="721">
        <v>1.9073630041483662</v>
      </c>
      <c r="Q8" s="721">
        <v>1.7154571321289029</v>
      </c>
      <c r="R8" s="721">
        <v>1.6580469796191133</v>
      </c>
      <c r="S8" s="721">
        <v>1.754338828561423</v>
      </c>
      <c r="T8" s="721">
        <v>1.6337242350759036</v>
      </c>
      <c r="U8" s="721">
        <v>1.5472413139888725</v>
      </c>
      <c r="V8" s="721">
        <v>0.66667775536000462</v>
      </c>
      <c r="W8" s="721">
        <v>2.4137295854432095</v>
      </c>
      <c r="X8" s="721">
        <v>2.1407379822127441</v>
      </c>
      <c r="Y8" s="721">
        <v>2.0905524253459324</v>
      </c>
      <c r="Z8" s="721">
        <v>1.7349949754370158</v>
      </c>
      <c r="AA8" s="721">
        <v>2.0609765588422073</v>
      </c>
      <c r="AB8" s="721">
        <v>1.7664804256879791</v>
      </c>
      <c r="AC8" s="721">
        <v>1.8184218102751089</v>
      </c>
      <c r="AD8" s="721">
        <v>1.1422024619457718</v>
      </c>
      <c r="AE8" s="37">
        <f>'User Add-in Location'!B13</f>
        <v>0</v>
      </c>
      <c r="AF8" s="37">
        <f>'User Add-in Location'!C13</f>
        <v>0</v>
      </c>
      <c r="AG8" s="721">
        <v>1.7157333002928972</v>
      </c>
      <c r="AH8" s="721">
        <v>2.6685376293624996</v>
      </c>
      <c r="AI8" s="721">
        <v>2.7023379683508639</v>
      </c>
      <c r="AJ8" s="721">
        <v>1.6180798727756496</v>
      </c>
      <c r="AK8" s="721">
        <v>1.6392135189991905</v>
      </c>
      <c r="AL8" s="721">
        <v>2.2300188298741577</v>
      </c>
      <c r="AM8" s="721">
        <v>1.8230912520177891</v>
      </c>
      <c r="AN8" s="721">
        <v>1.7128117078258467</v>
      </c>
      <c r="AO8" s="721">
        <v>1.8113317084140179</v>
      </c>
      <c r="AP8" s="721">
        <v>1.8204848081159239</v>
      </c>
      <c r="AQ8" s="721">
        <v>2.5514420998733982</v>
      </c>
      <c r="AR8" s="721">
        <v>1.9884483934260246</v>
      </c>
      <c r="AS8" s="721">
        <v>2.6747747215086366</v>
      </c>
      <c r="AT8" s="721">
        <v>1.8796633259019702</v>
      </c>
      <c r="AU8" s="721">
        <v>2.2548386315214444</v>
      </c>
      <c r="AV8" s="721">
        <v>1.8605223532282065</v>
      </c>
      <c r="AW8" s="721">
        <v>1.0457595924432921</v>
      </c>
      <c r="AX8" s="721">
        <v>1.7399416111437216</v>
      </c>
      <c r="AY8" s="721">
        <v>1.8842022630851072</v>
      </c>
      <c r="AZ8" s="721">
        <v>2.5158190282071158</v>
      </c>
      <c r="BA8" s="721">
        <v>2.0703209132610683</v>
      </c>
      <c r="BB8" s="721">
        <v>1.5754586793177539</v>
      </c>
      <c r="BC8" s="721">
        <v>1.3881082712597104</v>
      </c>
      <c r="BD8" s="721">
        <v>2.2999526330332887</v>
      </c>
      <c r="BE8" s="721">
        <v>0.70009900424789651</v>
      </c>
    </row>
    <row r="9" spans="1:57" ht="15.75" x14ac:dyDescent="0.25">
      <c r="A9" s="226" t="s">
        <v>222</v>
      </c>
      <c r="B9" s="719"/>
      <c r="C9" s="6" t="s">
        <v>79</v>
      </c>
      <c r="D9" s="721">
        <v>3.7209835041586947</v>
      </c>
      <c r="E9" s="721">
        <v>4.0383095675852241</v>
      </c>
      <c r="F9" s="721">
        <v>4.4303622921792476</v>
      </c>
      <c r="G9" s="721">
        <v>3.5856534108156111</v>
      </c>
      <c r="H9" s="721">
        <v>4.1632234207013763</v>
      </c>
      <c r="I9" s="721">
        <v>3.7081430896026335</v>
      </c>
      <c r="J9" s="721">
        <v>3.9175717489021582</v>
      </c>
      <c r="K9" s="721">
        <v>4.1447204256930004</v>
      </c>
      <c r="L9" s="721">
        <v>0</v>
      </c>
      <c r="M9" s="721">
        <v>4.1780925851042676</v>
      </c>
      <c r="N9" s="721">
        <v>4.0961077547654874</v>
      </c>
      <c r="O9" s="721">
        <v>4.5605125100147434</v>
      </c>
      <c r="P9" s="721">
        <v>4.6311624558960522</v>
      </c>
      <c r="Q9" s="721">
        <v>3.9622681431654025</v>
      </c>
      <c r="R9" s="721">
        <v>3.9737127648621073</v>
      </c>
      <c r="S9" s="721">
        <v>3.8672072178706891</v>
      </c>
      <c r="T9" s="721">
        <v>3.9537980025861321</v>
      </c>
      <c r="U9" s="721">
        <v>3.9979355240740428</v>
      </c>
      <c r="V9" s="721">
        <v>3.4716445222133543</v>
      </c>
      <c r="W9" s="721">
        <v>3.9164822479573691</v>
      </c>
      <c r="X9" s="721">
        <v>4.1121969935370659</v>
      </c>
      <c r="Y9" s="721">
        <v>3.7849325330519097</v>
      </c>
      <c r="Z9" s="721">
        <v>4.0699657514327914</v>
      </c>
      <c r="AA9" s="721">
        <v>4.1142319942392955</v>
      </c>
      <c r="AB9" s="721">
        <v>4.1043371216553011</v>
      </c>
      <c r="AC9" s="721">
        <v>4.0671098050547814</v>
      </c>
      <c r="AD9" s="721">
        <v>4.133525838212269</v>
      </c>
      <c r="AE9" s="37">
        <f>'User Add-in Location'!B14</f>
        <v>0</v>
      </c>
      <c r="AF9" s="37">
        <f>'User Add-in Location'!C14</f>
        <v>0</v>
      </c>
      <c r="AG9" s="721">
        <v>3.6862968130082621</v>
      </c>
      <c r="AH9" s="721">
        <v>4.0612594674273232</v>
      </c>
      <c r="AI9" s="721">
        <v>3.8244231223333176</v>
      </c>
      <c r="AJ9" s="721">
        <v>3.9946684103186541</v>
      </c>
      <c r="AK9" s="721">
        <v>4.4723972111213497</v>
      </c>
      <c r="AL9" s="721">
        <v>3.9126039394518224</v>
      </c>
      <c r="AM9" s="721">
        <v>3.9163701955865071</v>
      </c>
      <c r="AN9" s="721">
        <v>3.8685335567811641</v>
      </c>
      <c r="AO9" s="721">
        <v>3.8645038386670554</v>
      </c>
      <c r="AP9" s="721">
        <v>3.3616171969873152</v>
      </c>
      <c r="AQ9" s="721">
        <v>3.9103008465069098</v>
      </c>
      <c r="AR9" s="721">
        <v>3.980617413433587</v>
      </c>
      <c r="AS9" s="721">
        <v>4.538269651372258</v>
      </c>
      <c r="AT9" s="721">
        <v>3.6473701897917725</v>
      </c>
      <c r="AU9" s="721">
        <v>3.7302720437689527</v>
      </c>
      <c r="AV9" s="721">
        <v>3.7144270513842748</v>
      </c>
      <c r="AW9" s="721">
        <v>3.6779035347990874</v>
      </c>
      <c r="AX9" s="721">
        <v>3.8694822977228864</v>
      </c>
      <c r="AY9" s="721">
        <v>3.8157598997761566</v>
      </c>
      <c r="AZ9" s="721">
        <v>4.4849554111317893</v>
      </c>
      <c r="BA9" s="721">
        <v>3.6164525329339794</v>
      </c>
      <c r="BB9" s="721">
        <v>4.024883193213765</v>
      </c>
      <c r="BC9" s="721">
        <v>4.1468128416596395</v>
      </c>
      <c r="BD9" s="721">
        <v>3.9794223424864978</v>
      </c>
      <c r="BE9" s="721">
        <v>3.6237282971056497</v>
      </c>
    </row>
    <row r="10" spans="1:57" ht="15.75" x14ac:dyDescent="0.25">
      <c r="A10" s="226"/>
      <c r="B10" s="719"/>
      <c r="C10" s="6" t="s">
        <v>80</v>
      </c>
      <c r="D10" s="721">
        <v>1.8864531527506188</v>
      </c>
      <c r="E10" s="721">
        <v>2.3926352998241782</v>
      </c>
      <c r="F10" s="721">
        <v>2.1335161605384201</v>
      </c>
      <c r="G10" s="721">
        <v>2.3739389120601118</v>
      </c>
      <c r="H10" s="721">
        <v>2.1136263813823462</v>
      </c>
      <c r="I10" s="721">
        <v>1.6717336979927495</v>
      </c>
      <c r="J10" s="721">
        <v>2.0251345874276012</v>
      </c>
      <c r="K10" s="721">
        <v>2.9814345564227551</v>
      </c>
      <c r="L10" s="721">
        <v>2.4821015845518559</v>
      </c>
      <c r="M10" s="721">
        <v>2.2962201391346753</v>
      </c>
      <c r="N10" s="721">
        <v>1.9004839163972065</v>
      </c>
      <c r="O10" s="721">
        <v>1.8958374431822449</v>
      </c>
      <c r="P10" s="721">
        <v>2.0214689886197448</v>
      </c>
      <c r="Q10" s="721">
        <v>1.7386777088977396</v>
      </c>
      <c r="R10" s="721">
        <v>1.3715894953347743</v>
      </c>
      <c r="S10" s="721">
        <v>1.5399549449793994</v>
      </c>
      <c r="T10" s="721">
        <v>2.0114459865726531</v>
      </c>
      <c r="U10" s="721">
        <v>2.3507561061996967</v>
      </c>
      <c r="V10" s="721">
        <v>2.1373806966003031</v>
      </c>
      <c r="W10" s="721">
        <v>2.4430518497247249</v>
      </c>
      <c r="X10" s="721">
        <v>1.4634235280100256</v>
      </c>
      <c r="Y10" s="721">
        <v>2.4849712022114545</v>
      </c>
      <c r="Z10" s="721">
        <v>2.2930842658970505</v>
      </c>
      <c r="AA10" s="721">
        <v>2.2346510321367532</v>
      </c>
      <c r="AB10" s="721">
        <v>1.4996395095949993</v>
      </c>
      <c r="AC10" s="721">
        <v>1.6720305950148031</v>
      </c>
      <c r="AD10" s="721">
        <v>2.0740051371976733</v>
      </c>
      <c r="AE10" s="37">
        <f>'User Add-in Location'!B15</f>
        <v>0</v>
      </c>
      <c r="AF10" s="37">
        <f>'User Add-in Location'!C15</f>
        <v>0</v>
      </c>
      <c r="AG10" s="721">
        <v>1.540550944278948</v>
      </c>
      <c r="AH10" s="721">
        <v>2.19282685383223</v>
      </c>
      <c r="AI10" s="721">
        <v>2.7341875839047134</v>
      </c>
      <c r="AJ10" s="721">
        <v>2.7671542956959456</v>
      </c>
      <c r="AK10" s="721">
        <v>2.1065858132205904</v>
      </c>
      <c r="AL10" s="721">
        <v>1.9552934512030333</v>
      </c>
      <c r="AM10" s="721">
        <v>1.7954321629367769</v>
      </c>
      <c r="AN10" s="721">
        <v>1.5481589594855905</v>
      </c>
      <c r="AO10" s="721">
        <v>2.384861194062978</v>
      </c>
      <c r="AP10" s="721">
        <v>1.964364015031606</v>
      </c>
      <c r="AQ10" s="721">
        <v>2.4799304525367916</v>
      </c>
      <c r="AR10" s="721">
        <v>2.2488301282282919</v>
      </c>
      <c r="AS10" s="721">
        <v>3.2649322142824531</v>
      </c>
      <c r="AT10" s="721">
        <v>1.8414999491069466</v>
      </c>
      <c r="AU10" s="721">
        <v>1.8865631833905354</v>
      </c>
      <c r="AV10" s="721">
        <v>1.7975220486987382</v>
      </c>
      <c r="AW10" s="721">
        <v>2.0510711770039052</v>
      </c>
      <c r="AX10" s="721">
        <v>1.9050298763904721</v>
      </c>
      <c r="AY10" s="721">
        <v>1.8662967698182911</v>
      </c>
      <c r="AZ10" s="721">
        <v>3.1965908838901669</v>
      </c>
      <c r="BA10" s="721">
        <v>2.8280915389768779</v>
      </c>
      <c r="BB10" s="721">
        <v>2.5036218599416316</v>
      </c>
      <c r="BC10" s="721">
        <v>3.1651613512076437</v>
      </c>
      <c r="BD10" s="721">
        <v>1.7290629112394527</v>
      </c>
      <c r="BE10" s="721">
        <v>2.3334209413733333</v>
      </c>
    </row>
    <row r="11" spans="1:57" ht="15.75" x14ac:dyDescent="0.25">
      <c r="A11" s="226" t="s">
        <v>223</v>
      </c>
      <c r="B11" s="719"/>
      <c r="C11" s="6" t="s">
        <v>81</v>
      </c>
      <c r="D11" s="721">
        <v>3.7477549455499135</v>
      </c>
      <c r="E11" s="721">
        <v>0</v>
      </c>
      <c r="F11" s="721">
        <v>1.1708865742529593</v>
      </c>
      <c r="G11" s="721">
        <v>3.0169146650580951</v>
      </c>
      <c r="H11" s="721">
        <v>1.3193218951584191</v>
      </c>
      <c r="I11" s="721">
        <v>1.5137559611310241</v>
      </c>
      <c r="J11" s="721">
        <v>2.4553771454800843</v>
      </c>
      <c r="K11" s="721">
        <v>3.5709360056026007</v>
      </c>
      <c r="L11" s="721">
        <v>0.67579817323274516</v>
      </c>
      <c r="M11" s="721">
        <v>1.6767637063098211</v>
      </c>
      <c r="N11" s="721">
        <v>2.5358411804322274</v>
      </c>
      <c r="O11" s="721">
        <v>1.1498477817863546</v>
      </c>
      <c r="P11" s="721">
        <v>1.1241177346116753</v>
      </c>
      <c r="Q11" s="721">
        <v>3.009896796236756</v>
      </c>
      <c r="R11" s="721">
        <v>3.2620947207173994</v>
      </c>
      <c r="S11" s="721">
        <v>2.5015151654520342</v>
      </c>
      <c r="T11" s="721">
        <v>2.6689459969920497</v>
      </c>
      <c r="U11" s="721">
        <v>3.7028671336430374</v>
      </c>
      <c r="V11" s="721">
        <v>2.838088486784248</v>
      </c>
      <c r="W11" s="721">
        <v>1.522556991987331</v>
      </c>
      <c r="X11" s="721">
        <v>3.0526045009654057</v>
      </c>
      <c r="Y11" s="721">
        <v>1.3693274182658042</v>
      </c>
      <c r="Z11" s="721">
        <v>2.9302084548498994</v>
      </c>
      <c r="AA11" s="721">
        <v>2.3110433188817834</v>
      </c>
      <c r="AB11" s="721">
        <v>2.7555427935815628</v>
      </c>
      <c r="AC11" s="721">
        <v>1.9274731156646565</v>
      </c>
      <c r="AD11" s="721">
        <v>1.756795569132733</v>
      </c>
      <c r="AE11" s="37">
        <f>'User Add-in Location'!B16</f>
        <v>0</v>
      </c>
      <c r="AF11" s="37">
        <f>'User Add-in Location'!C16</f>
        <v>0</v>
      </c>
      <c r="AG11" s="721">
        <v>4.0641686326713975</v>
      </c>
      <c r="AH11" s="721">
        <v>3.3299479612740139</v>
      </c>
      <c r="AI11" s="721">
        <v>2.722707276703209</v>
      </c>
      <c r="AJ11" s="721">
        <v>2.3422555949098323</v>
      </c>
      <c r="AK11" s="721">
        <v>0.98382626297653364</v>
      </c>
      <c r="AL11" s="721">
        <v>1.835241634358642</v>
      </c>
      <c r="AM11" s="721">
        <v>1.3262980048374464</v>
      </c>
      <c r="AN11" s="721">
        <v>3.2208418205220215</v>
      </c>
      <c r="AO11" s="721">
        <v>2.312894485330069</v>
      </c>
      <c r="AP11" s="721">
        <v>3.1867271674576627</v>
      </c>
      <c r="AQ11" s="721">
        <v>0.5630010725349508</v>
      </c>
      <c r="AR11" s="721">
        <v>2.4273488290848273</v>
      </c>
      <c r="AS11" s="721">
        <v>1.8431395946010467</v>
      </c>
      <c r="AT11" s="721">
        <v>3.682804548612205</v>
      </c>
      <c r="AU11" s="721">
        <v>3.0627337758259108</v>
      </c>
      <c r="AV11" s="721">
        <v>3.0146494065561602</v>
      </c>
      <c r="AW11" s="721">
        <v>1.2405537712958552</v>
      </c>
      <c r="AX11" s="721">
        <v>1.3585892531179613</v>
      </c>
      <c r="AY11" s="721">
        <v>1.4566755294799805</v>
      </c>
      <c r="AZ11" s="721">
        <v>1.4598530736020816</v>
      </c>
      <c r="BA11" s="721">
        <v>1.6961507963877853</v>
      </c>
      <c r="BB11" s="721">
        <v>1.8362129426771594</v>
      </c>
      <c r="BC11" s="721">
        <v>2.4769330281083302</v>
      </c>
      <c r="BD11" s="721">
        <v>3.4398664223250521</v>
      </c>
      <c r="BE11" s="721">
        <v>5.0323429158938833</v>
      </c>
    </row>
    <row r="12" spans="1:57" ht="15" x14ac:dyDescent="0.2">
      <c r="A12" s="224"/>
      <c r="B12" s="717"/>
      <c r="C12" s="6" t="s">
        <v>82</v>
      </c>
      <c r="D12" s="721">
        <v>2.2836088857715215</v>
      </c>
      <c r="E12" s="721">
        <v>1.6459864953453962</v>
      </c>
      <c r="F12" s="721">
        <v>2.4596742636281288</v>
      </c>
      <c r="G12" s="721">
        <v>3.2843342756979066</v>
      </c>
      <c r="H12" s="721">
        <v>3.2027370950922087</v>
      </c>
      <c r="I12" s="721">
        <v>2.7108330084564249</v>
      </c>
      <c r="J12" s="721">
        <v>3.0112611205923052</v>
      </c>
      <c r="K12" s="721">
        <v>2.707828263547742</v>
      </c>
      <c r="L12" s="721">
        <v>4.1665950662849722</v>
      </c>
      <c r="M12" s="721">
        <v>2.7107788234026735</v>
      </c>
      <c r="N12" s="721">
        <v>2.8044262089283172</v>
      </c>
      <c r="O12" s="721">
        <v>2.2415998564713027</v>
      </c>
      <c r="P12" s="721">
        <v>3.4143175613154977</v>
      </c>
      <c r="Q12" s="721">
        <v>3.4526498132819001</v>
      </c>
      <c r="R12" s="721">
        <v>3.190412520938223</v>
      </c>
      <c r="S12" s="721">
        <v>3.2651392204063465</v>
      </c>
      <c r="T12" s="721">
        <v>2.5789943439432075</v>
      </c>
      <c r="U12" s="721">
        <v>2.8545912368066029</v>
      </c>
      <c r="V12" s="721">
        <v>2.4305787265449177</v>
      </c>
      <c r="W12" s="721">
        <v>3.315745535035949</v>
      </c>
      <c r="X12" s="721">
        <v>2.8147679774712855</v>
      </c>
      <c r="Y12" s="721">
        <v>3.112142899586865</v>
      </c>
      <c r="Z12" s="721">
        <v>2.6751604160775666</v>
      </c>
      <c r="AA12" s="721">
        <v>3.0420095314126301</v>
      </c>
      <c r="AB12" s="721">
        <v>2.789842393550106</v>
      </c>
      <c r="AC12" s="721">
        <v>3.1442156298565127</v>
      </c>
      <c r="AD12" s="721">
        <v>2.6050812329570832</v>
      </c>
      <c r="AE12" s="37">
        <f>'User Add-in Location'!B17</f>
        <v>0</v>
      </c>
      <c r="AF12" s="37">
        <f>'User Add-in Location'!C17</f>
        <v>0</v>
      </c>
      <c r="AG12" s="721">
        <v>2.7440330633613317</v>
      </c>
      <c r="AH12" s="721">
        <v>0</v>
      </c>
      <c r="AI12" s="721">
        <v>2.7854164389688658</v>
      </c>
      <c r="AJ12" s="721">
        <v>3.5178034372577374</v>
      </c>
      <c r="AK12" s="721">
        <v>2.6726474694109861</v>
      </c>
      <c r="AL12" s="721">
        <v>3.5644827130764498</v>
      </c>
      <c r="AM12" s="721">
        <v>3.0510917270535547</v>
      </c>
      <c r="AN12" s="721">
        <v>2.7501171724264495</v>
      </c>
      <c r="AO12" s="721">
        <v>3.0105004634606121</v>
      </c>
      <c r="AP12" s="721">
        <v>2.1304996028908287</v>
      </c>
      <c r="AQ12" s="721">
        <v>2.9450954300192742</v>
      </c>
      <c r="AR12" s="721">
        <v>3.4605247842930509</v>
      </c>
      <c r="AS12" s="721">
        <v>3.3896560147325152</v>
      </c>
      <c r="AT12" s="721">
        <v>2.4589884553418724</v>
      </c>
      <c r="AU12" s="721">
        <v>3.1436790600657587</v>
      </c>
      <c r="AV12" s="721">
        <v>3.1828022760583257</v>
      </c>
      <c r="AW12" s="721">
        <v>2.6255466522418995</v>
      </c>
      <c r="AX12" s="721">
        <v>2.9702788521411452</v>
      </c>
      <c r="AY12" s="721">
        <v>3.5666303698255768</v>
      </c>
      <c r="AZ12" s="721">
        <v>2.6147911486698612</v>
      </c>
      <c r="BA12" s="721">
        <v>3.2681811601400628</v>
      </c>
      <c r="BB12" s="721">
        <v>2.9608058812396885</v>
      </c>
      <c r="BC12" s="721">
        <v>2.5010163116522928</v>
      </c>
      <c r="BD12" s="721">
        <v>3.306148810982068</v>
      </c>
      <c r="BE12" s="721">
        <v>2.1112411786381013</v>
      </c>
    </row>
    <row r="13" spans="1:57" ht="15" x14ac:dyDescent="0.2">
      <c r="A13" s="224"/>
      <c r="B13" s="717"/>
      <c r="C13" s="6" t="s">
        <v>9</v>
      </c>
      <c r="D13" s="721">
        <v>3.9408817359787265</v>
      </c>
      <c r="E13" s="721">
        <v>3.5149118446304413</v>
      </c>
      <c r="F13" s="721">
        <v>3.6856528305008029</v>
      </c>
      <c r="G13" s="721">
        <v>3.4811726079015677</v>
      </c>
      <c r="H13" s="721">
        <v>3.3753966756923472</v>
      </c>
      <c r="I13" s="721">
        <v>3.6626469629253458</v>
      </c>
      <c r="J13" s="721">
        <v>3.0256775576197459</v>
      </c>
      <c r="K13" s="721">
        <v>3.3663703110403644</v>
      </c>
      <c r="L13" s="721">
        <v>3.1378673473518055</v>
      </c>
      <c r="M13" s="721">
        <v>3.5768389707553889</v>
      </c>
      <c r="N13" s="721">
        <v>3.4624823621647089</v>
      </c>
      <c r="O13" s="721">
        <v>4.3872869565815273</v>
      </c>
      <c r="P13" s="721">
        <v>4.2342134058832412</v>
      </c>
      <c r="Q13" s="721">
        <v>3.3890594676583117</v>
      </c>
      <c r="R13" s="721">
        <v>3.879410329693092</v>
      </c>
      <c r="S13" s="721">
        <v>3.9997207767235308</v>
      </c>
      <c r="T13" s="721">
        <v>3.713357157336024</v>
      </c>
      <c r="U13" s="721">
        <v>3.6677167949562302</v>
      </c>
      <c r="V13" s="721">
        <v>3.7160030347858362</v>
      </c>
      <c r="W13" s="721">
        <v>3.9159248306365786</v>
      </c>
      <c r="X13" s="721">
        <v>3.5362717160207784</v>
      </c>
      <c r="Y13" s="721">
        <v>3.3808728886221697</v>
      </c>
      <c r="Z13" s="721">
        <v>3.5648932148596484</v>
      </c>
      <c r="AA13" s="721">
        <v>3.6579341728530248</v>
      </c>
      <c r="AB13" s="721">
        <v>4.0494564758803318</v>
      </c>
      <c r="AC13" s="721">
        <v>3.8527005612493279</v>
      </c>
      <c r="AD13" s="721">
        <v>4.0830311129906933</v>
      </c>
      <c r="AE13" s="37">
        <f>'User Add-in Location'!B18</f>
        <v>0</v>
      </c>
      <c r="AF13" s="37">
        <f>'User Add-in Location'!C18</f>
        <v>0</v>
      </c>
      <c r="AG13" s="721">
        <v>3.9707274956617526</v>
      </c>
      <c r="AH13" s="721">
        <v>3.8267372234138901</v>
      </c>
      <c r="AI13" s="721">
        <v>3.677236958463749</v>
      </c>
      <c r="AJ13" s="721">
        <v>3.1302050713293568</v>
      </c>
      <c r="AK13" s="721">
        <v>4.3849579948151183</v>
      </c>
      <c r="AL13" s="721">
        <v>3.2056023423543234</v>
      </c>
      <c r="AM13" s="721">
        <v>3.8267589243586193</v>
      </c>
      <c r="AN13" s="721">
        <v>3.5577945492224781</v>
      </c>
      <c r="AO13" s="721">
        <v>3.7673278163293165</v>
      </c>
      <c r="AP13" s="721">
        <v>3.813662199488657</v>
      </c>
      <c r="AQ13" s="721">
        <v>3.8620458888436509</v>
      </c>
      <c r="AR13" s="721">
        <v>3.4567885256099133</v>
      </c>
      <c r="AS13" s="721">
        <v>3.7126799240797581</v>
      </c>
      <c r="AT13" s="721">
        <v>3.7206224698506429</v>
      </c>
      <c r="AU13" s="721">
        <v>3.9338207399059915</v>
      </c>
      <c r="AV13" s="721">
        <v>3.7015583946319399</v>
      </c>
      <c r="AW13" s="721">
        <v>3.2614073453549142</v>
      </c>
      <c r="AX13" s="721">
        <v>3.5235430883076377</v>
      </c>
      <c r="AY13" s="721">
        <v>4.0378796360449876</v>
      </c>
      <c r="AZ13" s="721">
        <v>4.188429735377877</v>
      </c>
      <c r="BA13" s="721">
        <v>3.6395854099068101</v>
      </c>
      <c r="BB13" s="721">
        <v>3.4557345967092914</v>
      </c>
      <c r="BC13" s="721">
        <v>3.9255289317605024</v>
      </c>
      <c r="BD13" s="721">
        <v>3.9734831061905731</v>
      </c>
      <c r="BE13" s="721">
        <v>3.5225051280267228</v>
      </c>
    </row>
    <row r="14" spans="1:57" ht="15" x14ac:dyDescent="0.2">
      <c r="A14" s="224"/>
      <c r="B14" s="717"/>
      <c r="C14" s="6" t="s">
        <v>10</v>
      </c>
      <c r="D14" s="721">
        <v>11.956310142203314</v>
      </c>
      <c r="E14" s="721">
        <v>12.349292427551084</v>
      </c>
      <c r="F14" s="721">
        <v>11.119490757845597</v>
      </c>
      <c r="G14" s="721">
        <v>12.828276082203757</v>
      </c>
      <c r="H14" s="721">
        <v>10.244031208122585</v>
      </c>
      <c r="I14" s="721">
        <v>12.190173326333969</v>
      </c>
      <c r="J14" s="721">
        <v>11.054522692294677</v>
      </c>
      <c r="K14" s="721">
        <v>13.111782376855182</v>
      </c>
      <c r="L14" s="721">
        <v>11.228455379366965</v>
      </c>
      <c r="M14" s="721">
        <v>11.930670038035872</v>
      </c>
      <c r="N14" s="721">
        <v>12.374458776388291</v>
      </c>
      <c r="O14" s="721">
        <v>10.963848250564146</v>
      </c>
      <c r="P14" s="721">
        <v>12.605020897858759</v>
      </c>
      <c r="Q14" s="721">
        <v>11.981935021719313</v>
      </c>
      <c r="R14" s="721">
        <v>12.716494900165218</v>
      </c>
      <c r="S14" s="721">
        <v>13.698202814478414</v>
      </c>
      <c r="T14" s="721">
        <v>12.329884579230699</v>
      </c>
      <c r="U14" s="721">
        <v>13.613723014750194</v>
      </c>
      <c r="V14" s="721">
        <v>11.971938694694618</v>
      </c>
      <c r="W14" s="721">
        <v>12.812100337828195</v>
      </c>
      <c r="X14" s="721">
        <v>11.814157571669126</v>
      </c>
      <c r="Y14" s="721">
        <v>12.584338656655724</v>
      </c>
      <c r="Z14" s="721">
        <v>11.826136685652489</v>
      </c>
      <c r="AA14" s="721">
        <v>12.215539386775415</v>
      </c>
      <c r="AB14" s="721">
        <v>12.634674936601067</v>
      </c>
      <c r="AC14" s="721">
        <v>12.997162245106171</v>
      </c>
      <c r="AD14" s="721">
        <v>14.285715844734698</v>
      </c>
      <c r="AE14" s="37">
        <f>'User Add-in Location'!B19</f>
        <v>0</v>
      </c>
      <c r="AF14" s="37">
        <f>'User Add-in Location'!C19</f>
        <v>0</v>
      </c>
      <c r="AG14" s="721">
        <v>13.050872128697996</v>
      </c>
      <c r="AH14" s="721">
        <v>7.7923411051916514</v>
      </c>
      <c r="AI14" s="721">
        <v>12.737382226378884</v>
      </c>
      <c r="AJ14" s="721">
        <v>10.861965778667511</v>
      </c>
      <c r="AK14" s="721">
        <v>12.952496700039912</v>
      </c>
      <c r="AL14" s="721">
        <v>10.887379304198754</v>
      </c>
      <c r="AM14" s="721">
        <v>13.45326683090919</v>
      </c>
      <c r="AN14" s="721">
        <v>12.232234560435543</v>
      </c>
      <c r="AO14" s="721">
        <v>12.204906311093263</v>
      </c>
      <c r="AP14" s="721">
        <v>12.484809736758811</v>
      </c>
      <c r="AQ14" s="721">
        <v>13.785826056945988</v>
      </c>
      <c r="AR14" s="721">
        <v>13.023422977711895</v>
      </c>
      <c r="AS14" s="721">
        <v>12.024152084606255</v>
      </c>
      <c r="AT14" s="721">
        <v>12.666431768378137</v>
      </c>
      <c r="AU14" s="721">
        <v>12.828053085838487</v>
      </c>
      <c r="AV14" s="721">
        <v>12.019563195547438</v>
      </c>
      <c r="AW14" s="721">
        <v>11.103076792453322</v>
      </c>
      <c r="AX14" s="721">
        <v>11.764659543120944</v>
      </c>
      <c r="AY14" s="721">
        <v>11.812326135657166</v>
      </c>
      <c r="AZ14" s="721">
        <v>12.469190139944828</v>
      </c>
      <c r="BA14" s="721">
        <v>12.340154949981388</v>
      </c>
      <c r="BB14" s="721">
        <v>9.5760415659001659</v>
      </c>
      <c r="BC14" s="721">
        <v>12.811300595843511</v>
      </c>
      <c r="BD14" s="721">
        <v>12.844840502975011</v>
      </c>
      <c r="BE14" s="721">
        <v>12.389821345263188</v>
      </c>
    </row>
    <row r="15" spans="1:57" ht="15" x14ac:dyDescent="0.2">
      <c r="A15" s="224"/>
      <c r="B15" s="717"/>
      <c r="C15" s="6" t="s">
        <v>83</v>
      </c>
      <c r="D15" s="721">
        <v>5.57680297969842</v>
      </c>
      <c r="E15" s="721">
        <v>4.5384933120094288</v>
      </c>
      <c r="F15" s="721">
        <v>5.6283418839469297</v>
      </c>
      <c r="G15" s="721">
        <v>5.5530656750971517</v>
      </c>
      <c r="H15" s="721">
        <v>4.4063292678624038</v>
      </c>
      <c r="I15" s="721">
        <v>5.4248188372230057</v>
      </c>
      <c r="J15" s="721">
        <v>3.4375406761614546</v>
      </c>
      <c r="K15" s="721">
        <v>2.9675155417541839</v>
      </c>
      <c r="L15" s="721">
        <v>3.2697747735613119</v>
      </c>
      <c r="M15" s="721">
        <v>5.7807741234895973</v>
      </c>
      <c r="N15" s="721">
        <v>4.7101040149539006</v>
      </c>
      <c r="O15" s="721">
        <v>4.5565237543679951</v>
      </c>
      <c r="P15" s="721">
        <v>5.7070093314754029</v>
      </c>
      <c r="Q15" s="721">
        <v>4.1292172070388782</v>
      </c>
      <c r="R15" s="721">
        <v>4.8554445719474462</v>
      </c>
      <c r="S15" s="721">
        <v>4.0853478666182967</v>
      </c>
      <c r="T15" s="721">
        <v>5.3158939084581691</v>
      </c>
      <c r="U15" s="721">
        <v>5.1917177409947728</v>
      </c>
      <c r="V15" s="721">
        <v>5.7430369732190503</v>
      </c>
      <c r="W15" s="721">
        <v>4.5612570073324576</v>
      </c>
      <c r="X15" s="721">
        <v>4.3723836381019696</v>
      </c>
      <c r="Y15" s="721">
        <v>3.631232682706111</v>
      </c>
      <c r="Z15" s="721">
        <v>5.0829858947060691</v>
      </c>
      <c r="AA15" s="721">
        <v>4.4720119188708942</v>
      </c>
      <c r="AB15" s="721">
        <v>5.5064103002685858</v>
      </c>
      <c r="AC15" s="721">
        <v>4.9592969872649917</v>
      </c>
      <c r="AD15" s="721">
        <v>5.9117140975992477</v>
      </c>
      <c r="AE15" s="37">
        <f>'User Add-in Location'!B20</f>
        <v>0</v>
      </c>
      <c r="AF15" s="37">
        <f>'User Add-in Location'!C20</f>
        <v>0</v>
      </c>
      <c r="AG15" s="721">
        <v>4.4684303300152566</v>
      </c>
      <c r="AH15" s="721">
        <v>0</v>
      </c>
      <c r="AI15" s="721">
        <v>4.2202861052101461</v>
      </c>
      <c r="AJ15" s="721">
        <v>4.3068430666513882</v>
      </c>
      <c r="AK15" s="721">
        <v>5.009788510157116</v>
      </c>
      <c r="AL15" s="721">
        <v>2.8283993900083542</v>
      </c>
      <c r="AM15" s="721">
        <v>4.2516533553010794</v>
      </c>
      <c r="AN15" s="721">
        <v>4.954991794507051</v>
      </c>
      <c r="AO15" s="721">
        <v>4.0598304690943721</v>
      </c>
      <c r="AP15" s="721">
        <v>5.5698752351007315</v>
      </c>
      <c r="AQ15" s="721">
        <v>5.1121149363767282</v>
      </c>
      <c r="AR15" s="721">
        <v>4.3187331219623486</v>
      </c>
      <c r="AS15" s="721">
        <v>4.0460455642947517</v>
      </c>
      <c r="AT15" s="721">
        <v>5.5628122416931101</v>
      </c>
      <c r="AU15" s="721">
        <v>3.9816739615145349</v>
      </c>
      <c r="AV15" s="721">
        <v>5.0208402049997698</v>
      </c>
      <c r="AW15" s="721">
        <v>5.5134869551721604</v>
      </c>
      <c r="AX15" s="721">
        <v>4.4698606886415195</v>
      </c>
      <c r="AY15" s="721">
        <v>5.2353079315147175</v>
      </c>
      <c r="AZ15" s="721">
        <v>4.6553359884453371</v>
      </c>
      <c r="BA15" s="721">
        <v>4.5982341230448283</v>
      </c>
      <c r="BB15" s="721">
        <v>4.4924454183675664</v>
      </c>
      <c r="BC15" s="721">
        <v>5.0647810405825044</v>
      </c>
      <c r="BD15" s="721">
        <v>4.3230310285891136</v>
      </c>
      <c r="BE15" s="721">
        <v>5.6960828670123158</v>
      </c>
    </row>
    <row r="16" spans="1:57" ht="15" x14ac:dyDescent="0.2">
      <c r="A16" s="224"/>
      <c r="B16" s="717"/>
      <c r="C16" s="6" t="s">
        <v>84</v>
      </c>
      <c r="D16" s="721">
        <v>5.9663844575048257</v>
      </c>
      <c r="E16" s="721">
        <v>5.4210609965518959</v>
      </c>
      <c r="F16" s="721">
        <v>6.1861656314031972</v>
      </c>
      <c r="G16" s="721">
        <v>7.0145385293628246</v>
      </c>
      <c r="H16" s="721">
        <v>5.0334249768802533</v>
      </c>
      <c r="I16" s="721">
        <v>5.6137216449755138</v>
      </c>
      <c r="J16" s="721">
        <v>5.238210304806092</v>
      </c>
      <c r="K16" s="721">
        <v>4.0748806725010693</v>
      </c>
      <c r="L16" s="721">
        <v>3.3009842280444959</v>
      </c>
      <c r="M16" s="721">
        <v>6.2545018756730961</v>
      </c>
      <c r="N16" s="721">
        <v>6.0543704024481988</v>
      </c>
      <c r="O16" s="721">
        <v>5.9029378842021618</v>
      </c>
      <c r="P16" s="721">
        <v>5.9261765429635256</v>
      </c>
      <c r="Q16" s="721">
        <v>4.8994076967563718</v>
      </c>
      <c r="R16" s="721">
        <v>5.3456796378982894</v>
      </c>
      <c r="S16" s="721">
        <v>6.2794392389772691</v>
      </c>
      <c r="T16" s="721">
        <v>6.4586095421179017</v>
      </c>
      <c r="U16" s="721">
        <v>6.6314483853649255</v>
      </c>
      <c r="V16" s="721">
        <v>6.1841715359583995</v>
      </c>
      <c r="W16" s="721">
        <v>6.4635894024641756</v>
      </c>
      <c r="X16" s="721">
        <v>5.0080656265732388</v>
      </c>
      <c r="Y16" s="721">
        <v>4.342149864165247</v>
      </c>
      <c r="Z16" s="721">
        <v>5.64989379166121</v>
      </c>
      <c r="AA16" s="721">
        <v>5.6061709736138923</v>
      </c>
      <c r="AB16" s="721">
        <v>6.9544674383701421</v>
      </c>
      <c r="AC16" s="721">
        <v>5.7116292490386282</v>
      </c>
      <c r="AD16" s="721">
        <v>7.079556797394698</v>
      </c>
      <c r="AE16" s="37">
        <f>'User Add-in Location'!B21</f>
        <v>0</v>
      </c>
      <c r="AF16" s="37">
        <f>'User Add-in Location'!C21</f>
        <v>0</v>
      </c>
      <c r="AG16" s="721">
        <v>6.0657102688676847</v>
      </c>
      <c r="AH16" s="721">
        <v>6.245225194727305</v>
      </c>
      <c r="AI16" s="721">
        <v>5.7786999460127513</v>
      </c>
      <c r="AJ16" s="721">
        <v>4.9241055203795208</v>
      </c>
      <c r="AK16" s="721">
        <v>4.8681872779500921</v>
      </c>
      <c r="AL16" s="721">
        <v>4.5737785300247582</v>
      </c>
      <c r="AM16" s="721">
        <v>5.4841041999253735</v>
      </c>
      <c r="AN16" s="721">
        <v>5.9837715631601256</v>
      </c>
      <c r="AO16" s="721">
        <v>5.9259750648553062</v>
      </c>
      <c r="AP16" s="721">
        <v>6.710986315996518</v>
      </c>
      <c r="AQ16" s="721">
        <v>5.5919951063076638</v>
      </c>
      <c r="AR16" s="721">
        <v>5.1228349211018411</v>
      </c>
      <c r="AS16" s="721">
        <v>5.9234286628920838</v>
      </c>
      <c r="AT16" s="721">
        <v>6.2953378061656835</v>
      </c>
      <c r="AU16" s="721">
        <v>6.7181013478346179</v>
      </c>
      <c r="AV16" s="721">
        <v>5.7902110895098611</v>
      </c>
      <c r="AW16" s="721">
        <v>5.4769990971932225</v>
      </c>
      <c r="AX16" s="721">
        <v>5.328985501095695</v>
      </c>
      <c r="AY16" s="721">
        <v>6.3194585005055348</v>
      </c>
      <c r="AZ16" s="721">
        <v>6.513734697209637</v>
      </c>
      <c r="BA16" s="721">
        <v>5.018896626312829</v>
      </c>
      <c r="BB16" s="721">
        <v>5.3165567427237796</v>
      </c>
      <c r="BC16" s="721">
        <v>6.0695553151465145</v>
      </c>
      <c r="BD16" s="721">
        <v>5.947434758800771</v>
      </c>
      <c r="BE16" s="721">
        <v>6.6981384666109962</v>
      </c>
    </row>
    <row r="17" spans="1:57" ht="15" x14ac:dyDescent="0.2">
      <c r="A17" s="224"/>
      <c r="B17" s="717"/>
      <c r="C17" s="6" t="s">
        <v>85</v>
      </c>
      <c r="D17" s="721">
        <v>8.6761030893874125</v>
      </c>
      <c r="E17" s="721">
        <v>7.0509573724388508</v>
      </c>
      <c r="F17" s="721">
        <v>7.8739005379187015</v>
      </c>
      <c r="G17" s="721">
        <v>7.7249277735744055</v>
      </c>
      <c r="H17" s="721">
        <v>6.730931977633321</v>
      </c>
      <c r="I17" s="721">
        <v>7.010025719784573</v>
      </c>
      <c r="J17" s="721">
        <v>6.6360153563914706</v>
      </c>
      <c r="K17" s="721">
        <v>7.5659203035763118</v>
      </c>
      <c r="L17" s="721">
        <v>6.2559808361161515</v>
      </c>
      <c r="M17" s="721">
        <v>8.2157760583184789</v>
      </c>
      <c r="N17" s="721">
        <v>7.3991403963654943</v>
      </c>
      <c r="O17" s="721">
        <v>8.0554225791403908</v>
      </c>
      <c r="P17" s="721">
        <v>9.1265080327058286</v>
      </c>
      <c r="Q17" s="721">
        <v>7.4002404480447268</v>
      </c>
      <c r="R17" s="721">
        <v>8.5660456667570823</v>
      </c>
      <c r="S17" s="721">
        <v>8.7196366660790545</v>
      </c>
      <c r="T17" s="721">
        <v>7.7231574201348554</v>
      </c>
      <c r="U17" s="721">
        <v>8.4843075925569735</v>
      </c>
      <c r="V17" s="721">
        <v>8.1813393053821244</v>
      </c>
      <c r="W17" s="721">
        <v>8.69431565670574</v>
      </c>
      <c r="X17" s="721">
        <v>7.1026512424021098</v>
      </c>
      <c r="Y17" s="721">
        <v>6.9174420910270564</v>
      </c>
      <c r="Z17" s="721">
        <v>8.3323085599157558</v>
      </c>
      <c r="AA17" s="721">
        <v>7.5726062032581964</v>
      </c>
      <c r="AB17" s="721">
        <v>8.9733134484033972</v>
      </c>
      <c r="AC17" s="721">
        <v>7.5152390937993401</v>
      </c>
      <c r="AD17" s="721">
        <v>9.2923086146297287</v>
      </c>
      <c r="AE17" s="37">
        <f>'User Add-in Location'!B22</f>
        <v>0</v>
      </c>
      <c r="AF17" s="37">
        <f>'User Add-in Location'!C22</f>
        <v>0</v>
      </c>
      <c r="AG17" s="721">
        <v>8.2772212872908852</v>
      </c>
      <c r="AH17" s="721">
        <v>7.9055101310111322</v>
      </c>
      <c r="AI17" s="721">
        <v>7.5505011107309246</v>
      </c>
      <c r="AJ17" s="721">
        <v>6.6941554751384365</v>
      </c>
      <c r="AK17" s="721">
        <v>7.9233361936854045</v>
      </c>
      <c r="AL17" s="721">
        <v>6.5707528309695089</v>
      </c>
      <c r="AM17" s="721">
        <v>8.2043953434846877</v>
      </c>
      <c r="AN17" s="721">
        <v>7.8487056605970595</v>
      </c>
      <c r="AO17" s="721">
        <v>8.0747577217186066</v>
      </c>
      <c r="AP17" s="721">
        <v>8.1497098915387163</v>
      </c>
      <c r="AQ17" s="721">
        <v>8.0605840828834872</v>
      </c>
      <c r="AR17" s="721">
        <v>7.4360024884668716</v>
      </c>
      <c r="AS17" s="721">
        <v>7.5192604538896362</v>
      </c>
      <c r="AT17" s="721">
        <v>8.4649391150793889</v>
      </c>
      <c r="AU17" s="721">
        <v>8.5460690526017888</v>
      </c>
      <c r="AV17" s="721">
        <v>7.9970738920365525</v>
      </c>
      <c r="AW17" s="721">
        <v>7.5038205393500457</v>
      </c>
      <c r="AX17" s="721">
        <v>7.4449772344150045</v>
      </c>
      <c r="AY17" s="721">
        <v>7.941773095867064</v>
      </c>
      <c r="AZ17" s="721">
        <v>8.7269171882902548</v>
      </c>
      <c r="BA17" s="721">
        <v>7.037438719329205</v>
      </c>
      <c r="BB17" s="721">
        <v>5.9680754187407148</v>
      </c>
      <c r="BC17" s="721">
        <v>8.5315296308168183</v>
      </c>
      <c r="BD17" s="721">
        <v>8.0656572941904123</v>
      </c>
      <c r="BE17" s="721">
        <v>8.3444100293305361</v>
      </c>
    </row>
    <row r="18" spans="1:57" ht="15.75" x14ac:dyDescent="0.25">
      <c r="A18" s="226" t="s">
        <v>224</v>
      </c>
      <c r="B18" s="719"/>
      <c r="C18" s="6" t="s">
        <v>11</v>
      </c>
      <c r="D18" s="721">
        <v>8.6573833358453012</v>
      </c>
      <c r="E18" s="721">
        <v>7.8686304794968169</v>
      </c>
      <c r="F18" s="721">
        <v>8.1818339482091105</v>
      </c>
      <c r="G18" s="721">
        <v>11.918219563562795</v>
      </c>
      <c r="H18" s="721">
        <v>6.7706171727197866</v>
      </c>
      <c r="I18" s="721">
        <v>9.7113620165401269</v>
      </c>
      <c r="J18" s="721">
        <v>6.5802548402943462</v>
      </c>
      <c r="K18" s="721">
        <v>8.5829000236516801</v>
      </c>
      <c r="L18" s="721">
        <v>4.369121567860387</v>
      </c>
      <c r="M18" s="721">
        <v>8.6896008749585523</v>
      </c>
      <c r="N18" s="721">
        <v>10.183667310218059</v>
      </c>
      <c r="O18" s="721">
        <v>8.098019677126695</v>
      </c>
      <c r="P18" s="721">
        <v>11.166429910583274</v>
      </c>
      <c r="Q18" s="721">
        <v>9.2436109010013325</v>
      </c>
      <c r="R18" s="721">
        <v>11.812686777567011</v>
      </c>
      <c r="S18" s="721">
        <v>10.931989468769988</v>
      </c>
      <c r="T18" s="721">
        <v>11.405731706181031</v>
      </c>
      <c r="U18" s="721">
        <v>10.062863506425654</v>
      </c>
      <c r="V18" s="721">
        <v>10.2648566257858</v>
      </c>
      <c r="W18" s="721">
        <v>10.414893976708209</v>
      </c>
      <c r="X18" s="721">
        <v>5.8156384100103624</v>
      </c>
      <c r="Y18" s="721">
        <v>6.4684425064632265</v>
      </c>
      <c r="Z18" s="721">
        <v>9.650036194131463</v>
      </c>
      <c r="AA18" s="721">
        <v>9.5888723370630657</v>
      </c>
      <c r="AB18" s="721">
        <v>11.859017641330443</v>
      </c>
      <c r="AC18" s="721">
        <v>10.395275426206581</v>
      </c>
      <c r="AD18" s="721">
        <v>10.626711929566142</v>
      </c>
      <c r="AE18" s="37">
        <f>'User Add-in Location'!B23</f>
        <v>0</v>
      </c>
      <c r="AF18" s="37">
        <f>'User Add-in Location'!C23</f>
        <v>0</v>
      </c>
      <c r="AG18" s="721">
        <v>11.165118230684755</v>
      </c>
      <c r="AH18" s="721">
        <v>7.3103160051252614</v>
      </c>
      <c r="AI18" s="721">
        <v>8.1820844758782911</v>
      </c>
      <c r="AJ18" s="721">
        <v>8.0011388721646917</v>
      </c>
      <c r="AK18" s="721">
        <v>6.3706094570006879</v>
      </c>
      <c r="AL18" s="721">
        <v>6.6442355379233993</v>
      </c>
      <c r="AM18" s="721">
        <v>10.440893004185783</v>
      </c>
      <c r="AN18" s="721">
        <v>10.324770238084744</v>
      </c>
      <c r="AO18" s="721">
        <v>9.0618881827979774</v>
      </c>
      <c r="AP18" s="721">
        <v>9.0414318805363472</v>
      </c>
      <c r="AQ18" s="721">
        <v>8.7449818513064734</v>
      </c>
      <c r="AR18" s="721">
        <v>8.4221817367186436</v>
      </c>
      <c r="AS18" s="721">
        <v>6.8562026903804938</v>
      </c>
      <c r="AT18" s="721">
        <v>10.175397503558603</v>
      </c>
      <c r="AU18" s="721">
        <v>10.569807840732654</v>
      </c>
      <c r="AV18" s="721">
        <v>9.9890336406048323</v>
      </c>
      <c r="AW18" s="721">
        <v>9.5401622583012262</v>
      </c>
      <c r="AX18" s="721">
        <v>8.3704796873853642</v>
      </c>
      <c r="AY18" s="721">
        <v>10.320112338299129</v>
      </c>
      <c r="AZ18" s="721">
        <v>10.729227213508278</v>
      </c>
      <c r="BA18" s="721">
        <v>7.0936845700119981</v>
      </c>
      <c r="BB18" s="721">
        <v>7.405113600710723</v>
      </c>
      <c r="BC18" s="721">
        <v>10.044000528225666</v>
      </c>
      <c r="BD18" s="721">
        <v>9.2135571550053452</v>
      </c>
      <c r="BE18" s="721">
        <v>10.038588651856047</v>
      </c>
    </row>
    <row r="19" spans="1:57" ht="15" x14ac:dyDescent="0.2">
      <c r="A19" s="224"/>
      <c r="B19" s="717"/>
      <c r="C19" s="6"/>
      <c r="D19" s="721"/>
      <c r="E19" s="721"/>
      <c r="F19" s="721"/>
      <c r="G19" s="721"/>
      <c r="H19" s="721"/>
      <c r="I19" s="721"/>
      <c r="J19" s="721"/>
      <c r="K19" s="721"/>
      <c r="L19" s="721"/>
      <c r="M19" s="721"/>
      <c r="N19" s="721"/>
      <c r="O19" s="721"/>
      <c r="P19" s="721"/>
      <c r="Q19" s="721"/>
      <c r="R19" s="721"/>
      <c r="S19" s="721"/>
      <c r="T19" s="721"/>
      <c r="U19" s="721"/>
      <c r="V19" s="721"/>
      <c r="W19" s="721"/>
      <c r="X19" s="721"/>
      <c r="Y19" s="721"/>
      <c r="Z19" s="721"/>
      <c r="AA19" s="721"/>
      <c r="AB19" s="721"/>
      <c r="AC19" s="721"/>
      <c r="AD19" s="721"/>
      <c r="AE19" s="37"/>
      <c r="AF19" s="37"/>
      <c r="AG19" s="721"/>
      <c r="AH19" s="721"/>
      <c r="AI19" s="721"/>
      <c r="AJ19" s="721"/>
      <c r="AK19" s="721"/>
      <c r="AL19" s="721"/>
      <c r="AM19" s="721"/>
      <c r="AN19" s="721"/>
      <c r="AO19" s="721"/>
      <c r="AP19" s="721"/>
      <c r="AQ19" s="721"/>
      <c r="AR19" s="721"/>
      <c r="AS19" s="721"/>
      <c r="AT19" s="721"/>
      <c r="AU19" s="721"/>
      <c r="AV19" s="721"/>
      <c r="AW19" s="721"/>
      <c r="AX19" s="721"/>
      <c r="AY19" s="721"/>
      <c r="AZ19" s="721"/>
      <c r="BA19" s="721"/>
      <c r="BB19" s="721"/>
      <c r="BC19" s="721"/>
      <c r="BD19" s="721"/>
      <c r="BE19" s="721"/>
    </row>
    <row r="20" spans="1:57" x14ac:dyDescent="0.2">
      <c r="A20" s="224"/>
      <c r="B20" s="717"/>
      <c r="C20" s="17" t="s">
        <v>123</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1"/>
      <c r="AE20" s="37"/>
      <c r="AF20" s="37"/>
      <c r="AG20" s="721"/>
      <c r="AH20" s="721"/>
      <c r="AI20" s="721"/>
      <c r="AJ20" s="721"/>
      <c r="AK20" s="721"/>
      <c r="AL20" s="721"/>
      <c r="AM20" s="721"/>
      <c r="AN20" s="721"/>
      <c r="AO20" s="721"/>
      <c r="AP20" s="721"/>
      <c r="AQ20" s="721"/>
      <c r="AR20" s="721"/>
      <c r="AS20" s="721"/>
      <c r="AT20" s="721"/>
      <c r="AU20" s="721"/>
      <c r="AV20" s="721"/>
      <c r="AW20" s="721"/>
      <c r="AX20" s="721"/>
      <c r="AY20" s="721"/>
      <c r="AZ20" s="721"/>
      <c r="BA20" s="721"/>
      <c r="BB20" s="721"/>
      <c r="BC20" s="721"/>
      <c r="BD20" s="721"/>
      <c r="BE20" s="721"/>
    </row>
    <row r="21" spans="1:57" x14ac:dyDescent="0.2">
      <c r="A21" s="224"/>
      <c r="B21" s="717"/>
      <c r="C21" s="112" t="s">
        <v>127</v>
      </c>
      <c r="D21" s="721" t="s">
        <v>13</v>
      </c>
      <c r="E21" s="721" t="s">
        <v>14</v>
      </c>
      <c r="F21" s="721" t="s">
        <v>15</v>
      </c>
      <c r="G21" s="721" t="s">
        <v>16</v>
      </c>
      <c r="H21" s="721" t="s">
        <v>17</v>
      </c>
      <c r="I21" s="721" t="s">
        <v>18</v>
      </c>
      <c r="J21" s="721" t="s">
        <v>19</v>
      </c>
      <c r="K21" s="721" t="s">
        <v>20</v>
      </c>
      <c r="L21" s="721" t="s">
        <v>21</v>
      </c>
      <c r="M21" s="721" t="s">
        <v>22</v>
      </c>
      <c r="N21" s="721" t="s">
        <v>23</v>
      </c>
      <c r="O21" s="721" t="s">
        <v>24</v>
      </c>
      <c r="P21" s="721" t="s">
        <v>25</v>
      </c>
      <c r="Q21" s="721" t="s">
        <v>26</v>
      </c>
      <c r="R21" s="721" t="s">
        <v>27</v>
      </c>
      <c r="S21" s="721" t="s">
        <v>28</v>
      </c>
      <c r="T21" s="721" t="s">
        <v>29</v>
      </c>
      <c r="U21" s="721" t="s">
        <v>30</v>
      </c>
      <c r="V21" s="721" t="s">
        <v>31</v>
      </c>
      <c r="W21" s="721" t="s">
        <v>32</v>
      </c>
      <c r="X21" s="721" t="s">
        <v>33</v>
      </c>
      <c r="Y21" s="721" t="s">
        <v>34</v>
      </c>
      <c r="Z21" s="721" t="s">
        <v>35</v>
      </c>
      <c r="AA21" s="721" t="s">
        <v>36</v>
      </c>
      <c r="AB21" s="721" t="s">
        <v>37</v>
      </c>
      <c r="AC21" s="721" t="s">
        <v>38</v>
      </c>
      <c r="AD21" s="721" t="s">
        <v>39</v>
      </c>
      <c r="AE21" s="37" t="s">
        <v>151</v>
      </c>
      <c r="AF21" s="37" t="s">
        <v>150</v>
      </c>
      <c r="AG21" s="721" t="s">
        <v>40</v>
      </c>
      <c r="AH21" s="721" t="s">
        <v>41</v>
      </c>
      <c r="AI21" s="721" t="s">
        <v>42</v>
      </c>
      <c r="AJ21" s="721" t="s">
        <v>43</v>
      </c>
      <c r="AK21" s="721" t="s">
        <v>44</v>
      </c>
      <c r="AL21" s="721" t="s">
        <v>45</v>
      </c>
      <c r="AM21" s="721" t="s">
        <v>46</v>
      </c>
      <c r="AN21" s="721" t="s">
        <v>47</v>
      </c>
      <c r="AO21" s="721" t="s">
        <v>48</v>
      </c>
      <c r="AP21" s="721" t="s">
        <v>49</v>
      </c>
      <c r="AQ21" s="721" t="s">
        <v>50</v>
      </c>
      <c r="AR21" s="721" t="s">
        <v>51</v>
      </c>
      <c r="AS21" s="721" t="s">
        <v>52</v>
      </c>
      <c r="AT21" s="721" t="s">
        <v>53</v>
      </c>
      <c r="AU21" s="721" t="s">
        <v>54</v>
      </c>
      <c r="AV21" s="721" t="s">
        <v>55</v>
      </c>
      <c r="AW21" s="721" t="s">
        <v>56</v>
      </c>
      <c r="AX21" s="721" t="s">
        <v>489</v>
      </c>
      <c r="AY21" s="721" t="s">
        <v>57</v>
      </c>
      <c r="AZ21" s="721" t="s">
        <v>58</v>
      </c>
      <c r="BA21" s="721" t="s">
        <v>59</v>
      </c>
      <c r="BB21" s="721" t="s">
        <v>60</v>
      </c>
      <c r="BC21" s="721" t="s">
        <v>61</v>
      </c>
      <c r="BD21" s="721" t="s">
        <v>62</v>
      </c>
      <c r="BE21" s="721" t="s">
        <v>12</v>
      </c>
    </row>
    <row r="22" spans="1:57" ht="15" x14ac:dyDescent="0.2">
      <c r="A22" s="224"/>
      <c r="B22" s="717"/>
      <c r="C22" s="6" t="s">
        <v>7</v>
      </c>
      <c r="D22" s="721">
        <v>1.3195139210020899</v>
      </c>
      <c r="E22" s="721">
        <v>0.57032354145798536</v>
      </c>
      <c r="F22" s="721">
        <v>1.1653534394962377</v>
      </c>
      <c r="G22" s="721">
        <v>1.8343318182980095</v>
      </c>
      <c r="H22" s="721">
        <v>0.78346690047577694</v>
      </c>
      <c r="I22" s="721">
        <v>2.0262411450500903</v>
      </c>
      <c r="J22" s="721">
        <v>0.47801404134830378</v>
      </c>
      <c r="K22" s="721">
        <v>0.90705697817150732</v>
      </c>
      <c r="L22" s="721">
        <v>0.50293721365509236</v>
      </c>
      <c r="M22" s="721">
        <v>0.95650180460474332</v>
      </c>
      <c r="N22" s="721">
        <v>1.3053112636561</v>
      </c>
      <c r="O22" s="721">
        <v>1.1653477122883675</v>
      </c>
      <c r="P22" s="721">
        <v>1.6603899698941409</v>
      </c>
      <c r="Q22" s="721">
        <v>1.1687189922926391</v>
      </c>
      <c r="R22" s="721">
        <v>0.90446848475723374</v>
      </c>
      <c r="S22" s="721">
        <v>1.2108440379812528</v>
      </c>
      <c r="T22" s="721">
        <v>1.7428415134569306</v>
      </c>
      <c r="U22" s="721">
        <v>1.2219709801577103</v>
      </c>
      <c r="V22" s="721">
        <v>0.72523960531645115</v>
      </c>
      <c r="W22" s="721">
        <v>1.4573191331752422</v>
      </c>
      <c r="X22" s="721">
        <v>0.86596692076232662</v>
      </c>
      <c r="Y22" s="721">
        <v>0.43859285140392423</v>
      </c>
      <c r="Z22" s="721">
        <v>1.0059357902516533</v>
      </c>
      <c r="AA22" s="721">
        <v>1.4369928633569864</v>
      </c>
      <c r="AB22" s="721">
        <v>1.3585006613208734</v>
      </c>
      <c r="AC22" s="721">
        <v>1.4740024897016595</v>
      </c>
      <c r="AD22" s="721">
        <v>1.8244932933492493</v>
      </c>
      <c r="AE22" s="37">
        <f>'User Add-in Location'!B27</f>
        <v>0</v>
      </c>
      <c r="AF22" s="37">
        <f>'User Add-in Location'!C27</f>
        <v>0</v>
      </c>
      <c r="AG22" s="721">
        <v>1.3663291408502685</v>
      </c>
      <c r="AH22" s="721">
        <v>0.50364043296431982</v>
      </c>
      <c r="AI22" s="721">
        <v>0.86689472843732818</v>
      </c>
      <c r="AJ22" s="721">
        <v>0.42555772629093896</v>
      </c>
      <c r="AK22" s="721">
        <v>1.4835006548684087</v>
      </c>
      <c r="AL22" s="721">
        <v>0.97451060066687722</v>
      </c>
      <c r="AM22" s="721">
        <v>1.0091634809728889</v>
      </c>
      <c r="AN22" s="721">
        <v>1.2513936924192355</v>
      </c>
      <c r="AO22" s="721">
        <v>1.0615265243592218</v>
      </c>
      <c r="AP22" s="721">
        <v>1.7231343957180907</v>
      </c>
      <c r="AQ22" s="721">
        <v>1.6779696344522728</v>
      </c>
      <c r="AR22" s="721">
        <v>1.1627074694601223</v>
      </c>
      <c r="AS22" s="721">
        <v>0.48272016987265043</v>
      </c>
      <c r="AT22" s="721">
        <v>0.96002567379013293</v>
      </c>
      <c r="AU22" s="721">
        <v>1.4909083891624688</v>
      </c>
      <c r="AV22" s="721">
        <v>1.2864781587469079</v>
      </c>
      <c r="AW22" s="721">
        <v>1.5284968725883268</v>
      </c>
      <c r="AX22" s="721">
        <v>2.5160479164897831</v>
      </c>
      <c r="AY22" s="721">
        <v>1.2349529240547563</v>
      </c>
      <c r="AZ22" s="721">
        <v>2.1778247921005476</v>
      </c>
      <c r="BA22" s="721">
        <v>1.2737948478316745</v>
      </c>
      <c r="BB22" s="721">
        <v>0.8879994894396791</v>
      </c>
      <c r="BC22" s="721">
        <v>1.3052372190400616</v>
      </c>
      <c r="BD22" s="721">
        <v>1.9357721240981829</v>
      </c>
      <c r="BE22" s="721">
        <v>0.90768922101176963</v>
      </c>
    </row>
    <row r="23" spans="1:57" ht="15" x14ac:dyDescent="0.2">
      <c r="A23" s="224"/>
      <c r="B23" s="717"/>
      <c r="C23" s="6" t="s">
        <v>77</v>
      </c>
      <c r="D23" s="721">
        <v>1.3467413722604946</v>
      </c>
      <c r="E23" s="721">
        <v>0.3854762229366579</v>
      </c>
      <c r="F23" s="721">
        <v>1.7609998868859333</v>
      </c>
      <c r="G23" s="721">
        <v>1.5724012402520664</v>
      </c>
      <c r="H23" s="721">
        <v>1.0656654247339221</v>
      </c>
      <c r="I23" s="721">
        <v>1.4428833947665449</v>
      </c>
      <c r="J23" s="721">
        <v>1.6201880634694861</v>
      </c>
      <c r="K23" s="721">
        <v>1.4929582899895268</v>
      </c>
      <c r="L23" s="721">
        <v>1.2472158791362375</v>
      </c>
      <c r="M23" s="721">
        <v>2.8130057238150337</v>
      </c>
      <c r="N23" s="721">
        <v>1.640434375707654</v>
      </c>
      <c r="O23" s="721">
        <v>1.7586293427840525</v>
      </c>
      <c r="P23" s="721">
        <v>1.9186764316282412</v>
      </c>
      <c r="Q23" s="721">
        <v>1.8142766261446304</v>
      </c>
      <c r="R23" s="721">
        <v>1.6917733731477158</v>
      </c>
      <c r="S23" s="721">
        <v>1.5867198999377266</v>
      </c>
      <c r="T23" s="721">
        <v>2.8907508297242983</v>
      </c>
      <c r="U23" s="721">
        <v>1.5826005244600601</v>
      </c>
      <c r="V23" s="721">
        <v>0.98603520877119433</v>
      </c>
      <c r="W23" s="721">
        <v>2.762200092923814</v>
      </c>
      <c r="X23" s="721">
        <v>2.0980579403863437</v>
      </c>
      <c r="Y23" s="721">
        <v>2.13432945030323</v>
      </c>
      <c r="Z23" s="721">
        <v>2.2772228130395864</v>
      </c>
      <c r="AA23" s="721">
        <v>1.5445205025050952</v>
      </c>
      <c r="AB23" s="721">
        <v>1.6091708722321885</v>
      </c>
      <c r="AC23" s="721">
        <v>1.8243297632189766</v>
      </c>
      <c r="AD23" s="721">
        <v>1.8873560670493306</v>
      </c>
      <c r="AE23" s="37">
        <f>'User Add-in Location'!B28</f>
        <v>0</v>
      </c>
      <c r="AF23" s="37">
        <f>'User Add-in Location'!C28</f>
        <v>0</v>
      </c>
      <c r="AG23" s="721">
        <v>1.6351392441901609</v>
      </c>
      <c r="AH23" s="721">
        <v>1.0256204052247864</v>
      </c>
      <c r="AI23" s="721">
        <v>1.8015312802964363</v>
      </c>
      <c r="AJ23" s="721">
        <v>1.8419130021247312</v>
      </c>
      <c r="AK23" s="721">
        <v>1.4133694275565769</v>
      </c>
      <c r="AL23" s="721">
        <v>1.901746860448865</v>
      </c>
      <c r="AM23" s="721">
        <v>1.5916983010112375</v>
      </c>
      <c r="AN23" s="721">
        <v>0.98603121439615893</v>
      </c>
      <c r="AO23" s="721">
        <v>1.9645499492037124</v>
      </c>
      <c r="AP23" s="721">
        <v>1.8762169298918352</v>
      </c>
      <c r="AQ23" s="721">
        <v>2.2588303607443105</v>
      </c>
      <c r="AR23" s="721">
        <v>1.3548967112665591</v>
      </c>
      <c r="AS23" s="721">
        <v>1.9247521110202956</v>
      </c>
      <c r="AT23" s="721">
        <v>1.754068706346595</v>
      </c>
      <c r="AU23" s="721">
        <v>1.9597141708152883</v>
      </c>
      <c r="AV23" s="721">
        <v>1.6839620203211689</v>
      </c>
      <c r="AW23" s="721">
        <v>1.0913117795750715</v>
      </c>
      <c r="AX23" s="721">
        <v>2.0574631069017495</v>
      </c>
      <c r="AY23" s="721">
        <v>1.717369328374448</v>
      </c>
      <c r="AZ23" s="721">
        <v>1.5065302365068076</v>
      </c>
      <c r="BA23" s="721">
        <v>1.5890234795169556</v>
      </c>
      <c r="BB23" s="721">
        <v>1.7095755977907043</v>
      </c>
      <c r="BC23" s="721">
        <v>1.5491699550462807</v>
      </c>
      <c r="BD23" s="721">
        <v>1.4011501643968667</v>
      </c>
      <c r="BE23" s="721">
        <v>0.88815046393353014</v>
      </c>
    </row>
    <row r="24" spans="1:57" ht="15" x14ac:dyDescent="0.2">
      <c r="A24" s="224"/>
      <c r="B24" s="717"/>
      <c r="C24" s="6" t="s">
        <v>8</v>
      </c>
      <c r="D24" s="721">
        <v>2.8524229298181676</v>
      </c>
      <c r="E24" s="721">
        <v>1.9416188101673797</v>
      </c>
      <c r="F24" s="721">
        <v>2.870700918963748</v>
      </c>
      <c r="G24" s="721">
        <v>3.0196375131301587</v>
      </c>
      <c r="H24" s="721">
        <v>2.9360729408600177</v>
      </c>
      <c r="I24" s="721">
        <v>3.169258980854897</v>
      </c>
      <c r="J24" s="721">
        <v>2.5532904285257403</v>
      </c>
      <c r="K24" s="721">
        <v>2.6944461864664491</v>
      </c>
      <c r="L24" s="721">
        <v>1.2707790245542459</v>
      </c>
      <c r="M24" s="721">
        <v>3.4065510809688826</v>
      </c>
      <c r="N24" s="721">
        <v>3.2325781999223895</v>
      </c>
      <c r="O24" s="721">
        <v>2.2205186831806043</v>
      </c>
      <c r="P24" s="721">
        <v>3.4000618244729539</v>
      </c>
      <c r="Q24" s="721">
        <v>2.773124388133311</v>
      </c>
      <c r="R24" s="721">
        <v>2.9611464935873348</v>
      </c>
      <c r="S24" s="721">
        <v>2.9131867115807641</v>
      </c>
      <c r="T24" s="721">
        <v>3.0551804966227052</v>
      </c>
      <c r="U24" s="721">
        <v>2.8845992621361329</v>
      </c>
      <c r="V24" s="721">
        <v>2.3965543652100108</v>
      </c>
      <c r="W24" s="721">
        <v>3.5977053354368387</v>
      </c>
      <c r="X24" s="721">
        <v>2.3654046615372093</v>
      </c>
      <c r="Y24" s="721">
        <v>2.6301875953717082</v>
      </c>
      <c r="Z24" s="721">
        <v>3.1454679186263195</v>
      </c>
      <c r="AA24" s="721">
        <v>2.9770112918936849</v>
      </c>
      <c r="AB24" s="721">
        <v>2.7897154159991882</v>
      </c>
      <c r="AC24" s="721">
        <v>3.2617896250774279</v>
      </c>
      <c r="AD24" s="721">
        <v>3.2151159692620102</v>
      </c>
      <c r="AE24" s="37">
        <f>'User Add-in Location'!B29</f>
        <v>0</v>
      </c>
      <c r="AF24" s="37">
        <f>'User Add-in Location'!C29</f>
        <v>0</v>
      </c>
      <c r="AG24" s="721">
        <v>2.9174709206281144</v>
      </c>
      <c r="AH24" s="721">
        <v>1.0288482353826274</v>
      </c>
      <c r="AI24" s="721">
        <v>3.317632951620372</v>
      </c>
      <c r="AJ24" s="721">
        <v>2.4576953500604719</v>
      </c>
      <c r="AK24" s="721">
        <v>2.6965448899119422</v>
      </c>
      <c r="AL24" s="721">
        <v>2.233649440792262</v>
      </c>
      <c r="AM24" s="721">
        <v>3.3720401796601203</v>
      </c>
      <c r="AN24" s="721">
        <v>2.4603203199827695</v>
      </c>
      <c r="AO24" s="721">
        <v>3.2867209313390804</v>
      </c>
      <c r="AP24" s="721">
        <v>3.0710648367757756</v>
      </c>
      <c r="AQ24" s="721">
        <v>3.1264255251508732</v>
      </c>
      <c r="AR24" s="721">
        <v>3.1122567773552601</v>
      </c>
      <c r="AS24" s="721">
        <v>2.4861400985778865</v>
      </c>
      <c r="AT24" s="721">
        <v>2.9830406332993493</v>
      </c>
      <c r="AU24" s="721">
        <v>3.0952053799375672</v>
      </c>
      <c r="AV24" s="721">
        <v>3.2808215659371864</v>
      </c>
      <c r="AW24" s="721">
        <v>2.882276963607231</v>
      </c>
      <c r="AX24" s="721">
        <v>4.5359339374215999</v>
      </c>
      <c r="AY24" s="721">
        <v>3.2038248720114084</v>
      </c>
      <c r="AZ24" s="721">
        <v>3.2296791896844503</v>
      </c>
      <c r="BA24" s="721">
        <v>2.7259012883019555</v>
      </c>
      <c r="BB24" s="721">
        <v>2.3126821224694067</v>
      </c>
      <c r="BC24" s="721">
        <v>2.2884661386900418</v>
      </c>
      <c r="BD24" s="721">
        <v>3.1684191359074583</v>
      </c>
      <c r="BE24" s="721">
        <v>1.9101632538703219</v>
      </c>
    </row>
    <row r="25" spans="1:57" ht="15" x14ac:dyDescent="0.2">
      <c r="A25" s="224"/>
      <c r="B25" s="717"/>
      <c r="C25" s="6" t="s">
        <v>78</v>
      </c>
      <c r="D25" s="721">
        <v>1.7196063792779104</v>
      </c>
      <c r="E25" s="721">
        <v>1.5137740180773516</v>
      </c>
      <c r="F25" s="721">
        <v>1.9070028343595831</v>
      </c>
      <c r="G25" s="721">
        <v>1.9438472919298528</v>
      </c>
      <c r="H25" s="721">
        <v>2.1425552439571613</v>
      </c>
      <c r="I25" s="721">
        <v>2.2069593010806581</v>
      </c>
      <c r="J25" s="721">
        <v>1.2877870797942794</v>
      </c>
      <c r="K25" s="721">
        <v>1.3818146461340681</v>
      </c>
      <c r="L25" s="721">
        <v>0.66783594058428331</v>
      </c>
      <c r="M25" s="721">
        <v>2.2369546058194216</v>
      </c>
      <c r="N25" s="721">
        <v>1.8277816656722212</v>
      </c>
      <c r="O25" s="721">
        <v>2.2081797751623955</v>
      </c>
      <c r="P25" s="721">
        <v>2.1859821463507876</v>
      </c>
      <c r="Q25" s="721">
        <v>1.8437573613825995</v>
      </c>
      <c r="R25" s="721">
        <v>1.579410516949618</v>
      </c>
      <c r="S25" s="721">
        <v>1.722338654650287</v>
      </c>
      <c r="T25" s="721">
        <v>2.181515129147626</v>
      </c>
      <c r="U25" s="721">
        <v>1.7093222780525565</v>
      </c>
      <c r="V25" s="721">
        <v>1.6226980245167626</v>
      </c>
      <c r="W25" s="721">
        <v>2.0997135034925263</v>
      </c>
      <c r="X25" s="721">
        <v>1.2603738277121912</v>
      </c>
      <c r="Y25" s="721">
        <v>1.4176902925636234</v>
      </c>
      <c r="Z25" s="721">
        <v>1.8602474388198063</v>
      </c>
      <c r="AA25" s="721">
        <v>2.0701627121006787</v>
      </c>
      <c r="AB25" s="721">
        <v>1.8425147756112974</v>
      </c>
      <c r="AC25" s="721">
        <v>1.9205750805965209</v>
      </c>
      <c r="AD25" s="721">
        <v>2.1731459686252301</v>
      </c>
      <c r="AE25" s="37">
        <f>'User Add-in Location'!B30</f>
        <v>0</v>
      </c>
      <c r="AF25" s="37">
        <f>'User Add-in Location'!C30</f>
        <v>0</v>
      </c>
      <c r="AG25" s="721">
        <v>1.7578243830901503</v>
      </c>
      <c r="AH25" s="721">
        <v>1.0973042203738537</v>
      </c>
      <c r="AI25" s="721">
        <v>1.5038100804395584</v>
      </c>
      <c r="AJ25" s="721">
        <v>1.538768205729967</v>
      </c>
      <c r="AK25" s="721">
        <v>2.0845118308946882</v>
      </c>
      <c r="AL25" s="721">
        <v>1.5365315057505109</v>
      </c>
      <c r="AM25" s="721">
        <v>1.6867017916724723</v>
      </c>
      <c r="AN25" s="721">
        <v>1.8267692010412842</v>
      </c>
      <c r="AO25" s="721">
        <v>1.9707020528837647</v>
      </c>
      <c r="AP25" s="721">
        <v>2.3268712215447063</v>
      </c>
      <c r="AQ25" s="721">
        <v>2.2100139056184394</v>
      </c>
      <c r="AR25" s="721">
        <v>1.935594616699905</v>
      </c>
      <c r="AS25" s="721">
        <v>1.4749821361364648</v>
      </c>
      <c r="AT25" s="721">
        <v>1.6041364009051462</v>
      </c>
      <c r="AU25" s="721">
        <v>1.8284340744921563</v>
      </c>
      <c r="AV25" s="721">
        <v>1.8382150777910262</v>
      </c>
      <c r="AW25" s="721">
        <v>2.3477599295163185</v>
      </c>
      <c r="AX25" s="721">
        <v>4.0691216806034216</v>
      </c>
      <c r="AY25" s="721">
        <v>2.2874798164743892</v>
      </c>
      <c r="AZ25" s="721">
        <v>2.1960466123916524</v>
      </c>
      <c r="BA25" s="721">
        <v>1.4400618514694348</v>
      </c>
      <c r="BB25" s="721">
        <v>1.6559518400439828</v>
      </c>
      <c r="BC25" s="721">
        <v>1.6329893063423357</v>
      </c>
      <c r="BD25" s="721">
        <v>2.0627771798305607</v>
      </c>
      <c r="BE25" s="721">
        <v>1.5745506183344513</v>
      </c>
    </row>
    <row r="26" spans="1:57" ht="15" x14ac:dyDescent="0.2">
      <c r="A26" s="224"/>
      <c r="B26" s="717"/>
      <c r="C26" s="6" t="s">
        <v>79</v>
      </c>
      <c r="D26" s="721">
        <v>1.5350727987725561</v>
      </c>
      <c r="E26" s="721">
        <v>1.3472167675088091</v>
      </c>
      <c r="F26" s="721">
        <v>1.931791671165606</v>
      </c>
      <c r="G26" s="721">
        <v>1.4335709457717292</v>
      </c>
      <c r="H26" s="721">
        <v>2.2314757370367282</v>
      </c>
      <c r="I26" s="721">
        <v>1.9140012736727552</v>
      </c>
      <c r="J26" s="721">
        <v>1.3534657708028468</v>
      </c>
      <c r="K26" s="721">
        <v>1.2335007430576697</v>
      </c>
      <c r="L26" s="721">
        <v>0</v>
      </c>
      <c r="M26" s="721">
        <v>2.166902548656231</v>
      </c>
      <c r="N26" s="721">
        <v>1.7705566439686753</v>
      </c>
      <c r="O26" s="721">
        <v>1.722141222255986</v>
      </c>
      <c r="P26" s="721">
        <v>1.8684941203129002</v>
      </c>
      <c r="Q26" s="721">
        <v>1.8004963892262158</v>
      </c>
      <c r="R26" s="721">
        <v>1.6032953291404539</v>
      </c>
      <c r="S26" s="721">
        <v>1.5209898530710035</v>
      </c>
      <c r="T26" s="721">
        <v>1.5880798210458058</v>
      </c>
      <c r="U26" s="721">
        <v>1.4774118988979155</v>
      </c>
      <c r="V26" s="721">
        <v>1.2971914032610452</v>
      </c>
      <c r="W26" s="721">
        <v>1.732763509197933</v>
      </c>
      <c r="X26" s="721">
        <v>1.3936610861522396</v>
      </c>
      <c r="Y26" s="721">
        <v>1.4765990561828382</v>
      </c>
      <c r="Z26" s="721">
        <v>1.8303083392178141</v>
      </c>
      <c r="AA26" s="721">
        <v>1.9155843606809291</v>
      </c>
      <c r="AB26" s="721">
        <v>1.5029968815605816</v>
      </c>
      <c r="AC26" s="721">
        <v>1.6822440958604581</v>
      </c>
      <c r="AD26" s="721">
        <v>1.6965238277505084</v>
      </c>
      <c r="AE26" s="37">
        <f>'User Add-in Location'!B31</f>
        <v>0</v>
      </c>
      <c r="AF26" s="37">
        <f>'User Add-in Location'!C31</f>
        <v>0</v>
      </c>
      <c r="AG26" s="721">
        <v>1.4842283409543153</v>
      </c>
      <c r="AH26" s="721">
        <v>1.1568305288873069</v>
      </c>
      <c r="AI26" s="721">
        <v>1.4785960887263461</v>
      </c>
      <c r="AJ26" s="721">
        <v>1.5026922102381544</v>
      </c>
      <c r="AK26" s="721">
        <v>1.5779126889821959</v>
      </c>
      <c r="AL26" s="721">
        <v>1.4691663260866956</v>
      </c>
      <c r="AM26" s="721">
        <v>1.8727090489573595</v>
      </c>
      <c r="AN26" s="721">
        <v>1.3907245731935269</v>
      </c>
      <c r="AO26" s="721">
        <v>1.8648121349695252</v>
      </c>
      <c r="AP26" s="721">
        <v>1.5381019169964443</v>
      </c>
      <c r="AQ26" s="721">
        <v>1.8323340793935265</v>
      </c>
      <c r="AR26" s="721">
        <v>1.8171486680100604</v>
      </c>
      <c r="AS26" s="721">
        <v>1.679542800275291</v>
      </c>
      <c r="AT26" s="721">
        <v>1.475785518928272</v>
      </c>
      <c r="AU26" s="721">
        <v>1.4753792133273149</v>
      </c>
      <c r="AV26" s="721">
        <v>1.6621813966733654</v>
      </c>
      <c r="AW26" s="721">
        <v>1.9939217011376125</v>
      </c>
      <c r="AX26" s="721">
        <v>3.9193400464406829</v>
      </c>
      <c r="AY26" s="721">
        <v>2.2051672757398793</v>
      </c>
      <c r="AZ26" s="721">
        <v>1.5924609761412551</v>
      </c>
      <c r="BA26" s="721">
        <v>1.3316338480245777</v>
      </c>
      <c r="BB26" s="721">
        <v>1.5403302311897278</v>
      </c>
      <c r="BC26" s="721">
        <v>1.2967117079874364</v>
      </c>
      <c r="BD26" s="721">
        <v>1.7808918545885783</v>
      </c>
      <c r="BE26" s="721">
        <v>1.1075969396567926</v>
      </c>
    </row>
    <row r="27" spans="1:57" ht="15" x14ac:dyDescent="0.2">
      <c r="A27" s="224"/>
      <c r="B27" s="717"/>
      <c r="C27" s="6" t="s">
        <v>80</v>
      </c>
      <c r="D27" s="721">
        <v>1.782071680878289</v>
      </c>
      <c r="E27" s="721">
        <v>1.3724407239351422</v>
      </c>
      <c r="F27" s="721">
        <v>1.8208202242385596</v>
      </c>
      <c r="G27" s="721">
        <v>1.7626156406477094</v>
      </c>
      <c r="H27" s="721">
        <v>2.1732648452743888</v>
      </c>
      <c r="I27" s="721">
        <v>2.2188616353087127</v>
      </c>
      <c r="J27" s="721">
        <v>1.4587514041922987</v>
      </c>
      <c r="K27" s="721">
        <v>1.2291525106411427</v>
      </c>
      <c r="L27" s="721">
        <v>1.0605147699825466</v>
      </c>
      <c r="M27" s="721">
        <v>2.3882860718294978</v>
      </c>
      <c r="N27" s="721">
        <v>1.8684619824634865</v>
      </c>
      <c r="O27" s="721">
        <v>2.103107777191326</v>
      </c>
      <c r="P27" s="721">
        <v>2.0572034120559692</v>
      </c>
      <c r="Q27" s="721">
        <v>1.7693511871621013</v>
      </c>
      <c r="R27" s="721">
        <v>1.8066850011236966</v>
      </c>
      <c r="S27" s="721">
        <v>1.529336059698835</v>
      </c>
      <c r="T27" s="721">
        <v>1.8906857343390584</v>
      </c>
      <c r="U27" s="721">
        <v>1.6992855791468173</v>
      </c>
      <c r="V27" s="721">
        <v>1.5099613817874342</v>
      </c>
      <c r="W27" s="721">
        <v>1.8850409768056124</v>
      </c>
      <c r="X27" s="721">
        <v>1.6448956232052296</v>
      </c>
      <c r="Y27" s="721">
        <v>1.5923566890414804</v>
      </c>
      <c r="Z27" s="721">
        <v>1.8781136891338974</v>
      </c>
      <c r="AA27" s="721">
        <v>2.2405931509565562</v>
      </c>
      <c r="AB27" s="721">
        <v>1.6511377728311345</v>
      </c>
      <c r="AC27" s="721">
        <v>2.1562412017956376</v>
      </c>
      <c r="AD27" s="721">
        <v>2.0803293455392122</v>
      </c>
      <c r="AE27" s="37">
        <f>'User Add-in Location'!B32</f>
        <v>0</v>
      </c>
      <c r="AF27" s="37">
        <f>'User Add-in Location'!C32</f>
        <v>0</v>
      </c>
      <c r="AG27" s="721">
        <v>1.5884725378127769</v>
      </c>
      <c r="AH27" s="721">
        <v>1.2288776661735028</v>
      </c>
      <c r="AI27" s="721">
        <v>1.2354379529133439</v>
      </c>
      <c r="AJ27" s="721">
        <v>1.517498712753877</v>
      </c>
      <c r="AK27" s="721">
        <v>1.6786485665943474</v>
      </c>
      <c r="AL27" s="721">
        <v>1.5102791707031429</v>
      </c>
      <c r="AM27" s="721">
        <v>1.7303462538402528</v>
      </c>
      <c r="AN27" s="721">
        <v>1.6018982490058988</v>
      </c>
      <c r="AO27" s="721">
        <v>1.993967364076525</v>
      </c>
      <c r="AP27" s="721">
        <v>1.5896976152434945</v>
      </c>
      <c r="AQ27" s="721">
        <v>2.0040470063686371</v>
      </c>
      <c r="AR27" s="721">
        <v>1.8811527632642537</v>
      </c>
      <c r="AS27" s="721">
        <v>1.436684921849519</v>
      </c>
      <c r="AT27" s="721">
        <v>1.5757030642125756</v>
      </c>
      <c r="AU27" s="721">
        <v>1.77649656299036</v>
      </c>
      <c r="AV27" s="721">
        <v>1.8492206644732505</v>
      </c>
      <c r="AW27" s="721">
        <v>1.9986162746790797</v>
      </c>
      <c r="AX27" s="721">
        <v>4.1365373749285936</v>
      </c>
      <c r="AY27" s="721">
        <v>2.2577574665192515</v>
      </c>
      <c r="AZ27" s="721">
        <v>1.4435093749780208</v>
      </c>
      <c r="BA27" s="721">
        <v>1.5095256697386503</v>
      </c>
      <c r="BB27" s="721">
        <v>1.7010848354548216</v>
      </c>
      <c r="BC27" s="721">
        <v>1.2458342234604061</v>
      </c>
      <c r="BD27" s="721">
        <v>2.0101678669452667</v>
      </c>
      <c r="BE27" s="721">
        <v>1.3789334602188319</v>
      </c>
    </row>
    <row r="28" spans="1:57" ht="15" x14ac:dyDescent="0.2">
      <c r="A28" s="224"/>
      <c r="B28" s="717"/>
      <c r="C28" s="6" t="s">
        <v>81</v>
      </c>
      <c r="D28" s="721">
        <v>2.0019834400505148</v>
      </c>
      <c r="E28" s="721">
        <v>0</v>
      </c>
      <c r="F28" s="721">
        <v>2.4190030661962365</v>
      </c>
      <c r="G28" s="721">
        <v>1.9636231186569377</v>
      </c>
      <c r="H28" s="721">
        <v>2.4681934695090018</v>
      </c>
      <c r="I28" s="721">
        <v>2.4386219311785955</v>
      </c>
      <c r="J28" s="721">
        <v>1.7857004775795886</v>
      </c>
      <c r="K28" s="721">
        <v>1.4769086504495272</v>
      </c>
      <c r="L28" s="721">
        <v>0.66183697215972415</v>
      </c>
      <c r="M28" s="721">
        <v>2.7434737015795965</v>
      </c>
      <c r="N28" s="721">
        <v>2.2515174112012311</v>
      </c>
      <c r="O28" s="721">
        <v>1.9519902813819148</v>
      </c>
      <c r="P28" s="721">
        <v>2.2755275182826544</v>
      </c>
      <c r="Q28" s="721">
        <v>2.0878442025953725</v>
      </c>
      <c r="R28" s="721">
        <v>1.7846105406361241</v>
      </c>
      <c r="S28" s="721">
        <v>1.8882310698109288</v>
      </c>
      <c r="T28" s="721">
        <v>1.7679703389444659</v>
      </c>
      <c r="U28" s="721">
        <v>1.9887523240940546</v>
      </c>
      <c r="V28" s="721">
        <v>1.5611928304036458</v>
      </c>
      <c r="W28" s="721">
        <v>2.0580461384147726</v>
      </c>
      <c r="X28" s="721">
        <v>1.7869455532361103</v>
      </c>
      <c r="Y28" s="721">
        <v>2.1120938998396679</v>
      </c>
      <c r="Z28" s="721">
        <v>2.3712453047434487</v>
      </c>
      <c r="AA28" s="721">
        <v>2.7171017533989361</v>
      </c>
      <c r="AB28" s="721">
        <v>2.0425831246119674</v>
      </c>
      <c r="AC28" s="721">
        <v>1.6765104686060259</v>
      </c>
      <c r="AD28" s="721">
        <v>2.4242581859711678</v>
      </c>
      <c r="AE28" s="37">
        <f>'User Add-in Location'!B33</f>
        <v>0</v>
      </c>
      <c r="AF28" s="37">
        <f>'User Add-in Location'!C33</f>
        <v>0</v>
      </c>
      <c r="AG28" s="721">
        <v>1.8507539892709384</v>
      </c>
      <c r="AH28" s="721">
        <v>1.1000424226125081</v>
      </c>
      <c r="AI28" s="721">
        <v>2.0561217184989684</v>
      </c>
      <c r="AJ28" s="721">
        <v>1.9696268702066073</v>
      </c>
      <c r="AK28" s="721">
        <v>1.4379032786174488</v>
      </c>
      <c r="AL28" s="721">
        <v>2.0641963968994799</v>
      </c>
      <c r="AM28" s="721">
        <v>2.266683445181898</v>
      </c>
      <c r="AN28" s="721">
        <v>2.0335874121676207</v>
      </c>
      <c r="AO28" s="721">
        <v>2.3400579908842682</v>
      </c>
      <c r="AP28" s="721">
        <v>2.0245016492823118</v>
      </c>
      <c r="AQ28" s="721">
        <v>1.1016717290365567</v>
      </c>
      <c r="AR28" s="721">
        <v>2.0718441522249611</v>
      </c>
      <c r="AS28" s="721">
        <v>2.1737614216343051</v>
      </c>
      <c r="AT28" s="721">
        <v>1.6759982775616389</v>
      </c>
      <c r="AU28" s="721">
        <v>2.1394741330095517</v>
      </c>
      <c r="AV28" s="721">
        <v>1.9398917946764218</v>
      </c>
      <c r="AW28" s="721">
        <v>2.2382921275272163</v>
      </c>
      <c r="AX28" s="721">
        <v>3.5845567180264379</v>
      </c>
      <c r="AY28" s="721">
        <v>2.796452522277832</v>
      </c>
      <c r="AZ28" s="721">
        <v>2.5631668234384191</v>
      </c>
      <c r="BA28" s="721">
        <v>1.9617404578834452</v>
      </c>
      <c r="BB28" s="721">
        <v>1.9049834846168436</v>
      </c>
      <c r="BC28" s="721">
        <v>1.7920285040332424</v>
      </c>
      <c r="BD28" s="721">
        <v>2.3065498951942689</v>
      </c>
      <c r="BE28" s="721">
        <v>1.5879177483179236</v>
      </c>
    </row>
    <row r="29" spans="1:57" ht="15" x14ac:dyDescent="0.2">
      <c r="A29" s="224"/>
      <c r="B29" s="717"/>
      <c r="C29" s="6" t="s">
        <v>82</v>
      </c>
      <c r="D29" s="721">
        <v>2.423218054349038</v>
      </c>
      <c r="E29" s="721">
        <v>1.2342512621145068</v>
      </c>
      <c r="F29" s="721">
        <v>2.4174778826166325</v>
      </c>
      <c r="G29" s="721">
        <v>2.3862633884949687</v>
      </c>
      <c r="H29" s="721">
        <v>2.3183814552236561</v>
      </c>
      <c r="I29" s="721">
        <v>2.5179594728455599</v>
      </c>
      <c r="J29" s="721">
        <v>1.8577201032248394</v>
      </c>
      <c r="K29" s="721">
        <v>1.9645218289394641</v>
      </c>
      <c r="L29" s="721">
        <v>1.2280234248983355</v>
      </c>
      <c r="M29" s="721">
        <v>2.761678793471888</v>
      </c>
      <c r="N29" s="721">
        <v>2.462624134690004</v>
      </c>
      <c r="O29" s="721">
        <v>2.0061166640152415</v>
      </c>
      <c r="P29" s="721">
        <v>2.5991948074990852</v>
      </c>
      <c r="Q29" s="721">
        <v>2.5640599328994069</v>
      </c>
      <c r="R29" s="721">
        <v>2.4222971380329437</v>
      </c>
      <c r="S29" s="721">
        <v>2.2455372271780356</v>
      </c>
      <c r="T29" s="721">
        <v>2.3143201017668136</v>
      </c>
      <c r="U29" s="721">
        <v>2.3146077876666058</v>
      </c>
      <c r="V29" s="721">
        <v>2.2749381291828135</v>
      </c>
      <c r="W29" s="721">
        <v>2.3370009091179464</v>
      </c>
      <c r="X29" s="721">
        <v>1.9731850088045546</v>
      </c>
      <c r="Y29" s="721">
        <v>2.0891658203833385</v>
      </c>
      <c r="Z29" s="721">
        <v>2.470016261768782</v>
      </c>
      <c r="AA29" s="721">
        <v>2.7437910674009318</v>
      </c>
      <c r="AB29" s="721">
        <v>2.4216232688263273</v>
      </c>
      <c r="AC29" s="721">
        <v>2.4284108651994769</v>
      </c>
      <c r="AD29" s="721">
        <v>2.5005747953032902</v>
      </c>
      <c r="AE29" s="37">
        <f>'User Add-in Location'!B34</f>
        <v>0</v>
      </c>
      <c r="AF29" s="37">
        <f>'User Add-in Location'!C34</f>
        <v>0</v>
      </c>
      <c r="AG29" s="721">
        <v>1.5781557623579254</v>
      </c>
      <c r="AH29" s="721">
        <v>0</v>
      </c>
      <c r="AI29" s="721">
        <v>2.0714392718875252</v>
      </c>
      <c r="AJ29" s="721">
        <v>1.9463964692641305</v>
      </c>
      <c r="AK29" s="721">
        <v>2.1838647633080632</v>
      </c>
      <c r="AL29" s="721">
        <v>2.214101171289971</v>
      </c>
      <c r="AM29" s="721">
        <v>2.3058488655667082</v>
      </c>
      <c r="AN29" s="721">
        <v>2.1097568296020626</v>
      </c>
      <c r="AO29" s="721">
        <v>2.2944220183625927</v>
      </c>
      <c r="AP29" s="721">
        <v>2.3235311017092415</v>
      </c>
      <c r="AQ29" s="721">
        <v>2.2540041010221183</v>
      </c>
      <c r="AR29" s="721">
        <v>2.3446589103164048</v>
      </c>
      <c r="AS29" s="721">
        <v>2.0356201961853886</v>
      </c>
      <c r="AT29" s="721">
        <v>2.2625905952602889</v>
      </c>
      <c r="AU29" s="721">
        <v>2.3969038636266271</v>
      </c>
      <c r="AV29" s="721">
        <v>2.5896155328692934</v>
      </c>
      <c r="AW29" s="721">
        <v>2.4465504599313044</v>
      </c>
      <c r="AX29" s="721">
        <v>3.7249664440141457</v>
      </c>
      <c r="AY29" s="721">
        <v>2.9207918262278127</v>
      </c>
      <c r="AZ29" s="721">
        <v>2.5111654477372198</v>
      </c>
      <c r="BA29" s="721">
        <v>2.0534900136368845</v>
      </c>
      <c r="BB29" s="721">
        <v>1.9283872860176035</v>
      </c>
      <c r="BC29" s="721">
        <v>2.1991013249058349</v>
      </c>
      <c r="BD29" s="721">
        <v>2.3566935025937443</v>
      </c>
      <c r="BE29" s="721">
        <v>1.7122121109143138</v>
      </c>
    </row>
    <row r="30" spans="1:57" ht="15" x14ac:dyDescent="0.2">
      <c r="A30" s="224"/>
      <c r="B30" s="717"/>
      <c r="C30" s="6" t="s">
        <v>9</v>
      </c>
      <c r="D30" s="721">
        <v>2.1567287382251488</v>
      </c>
      <c r="E30" s="721">
        <v>1.5377772588215903</v>
      </c>
      <c r="F30" s="721">
        <v>2.4744670102696218</v>
      </c>
      <c r="G30" s="721">
        <v>1.8527234791281695</v>
      </c>
      <c r="H30" s="721">
        <v>2.0756591268642222</v>
      </c>
      <c r="I30" s="721">
        <v>2.3889636502294485</v>
      </c>
      <c r="J30" s="721">
        <v>1.6162892295928772</v>
      </c>
      <c r="K30" s="721">
        <v>1.6304765292984285</v>
      </c>
      <c r="L30" s="721">
        <v>1.2026884672884457</v>
      </c>
      <c r="M30" s="721">
        <v>2.6623472385063858</v>
      </c>
      <c r="N30" s="721">
        <v>2.1436852420875412</v>
      </c>
      <c r="O30" s="721">
        <v>2.3754275835916667</v>
      </c>
      <c r="P30" s="721">
        <v>2.60957299763571</v>
      </c>
      <c r="Q30" s="721">
        <v>2.100241179095057</v>
      </c>
      <c r="R30" s="721">
        <v>2.1693799795504818</v>
      </c>
      <c r="S30" s="721">
        <v>2.1390981537139346</v>
      </c>
      <c r="T30" s="721">
        <v>2.0936273043741012</v>
      </c>
      <c r="U30" s="721">
        <v>1.9905105567977814</v>
      </c>
      <c r="V30" s="721">
        <v>1.9160468358479574</v>
      </c>
      <c r="W30" s="721">
        <v>2.4326763135944298</v>
      </c>
      <c r="X30" s="721">
        <v>1.8865818663271603</v>
      </c>
      <c r="Y30" s="721">
        <v>1.9212755351723312</v>
      </c>
      <c r="Z30" s="721">
        <v>2.191256579096446</v>
      </c>
      <c r="AA30" s="721">
        <v>2.3142219115160185</v>
      </c>
      <c r="AB30" s="721">
        <v>2.1145777239770949</v>
      </c>
      <c r="AC30" s="721">
        <v>2.3605951925951563</v>
      </c>
      <c r="AD30" s="721">
        <v>2.4139131854394238</v>
      </c>
      <c r="AE30" s="37">
        <f>'User Add-in Location'!B35</f>
        <v>0</v>
      </c>
      <c r="AF30" s="37">
        <f>'User Add-in Location'!C35</f>
        <v>0</v>
      </c>
      <c r="AG30" s="721">
        <v>2.2989604150463721</v>
      </c>
      <c r="AH30" s="721">
        <v>1.7487345992448089</v>
      </c>
      <c r="AI30" s="721">
        <v>2.1041236009426463</v>
      </c>
      <c r="AJ30" s="721">
        <v>1.7726787255909628</v>
      </c>
      <c r="AK30" s="721">
        <v>2.1587841861976123</v>
      </c>
      <c r="AL30" s="721">
        <v>1.6503455867310486</v>
      </c>
      <c r="AM30" s="721">
        <v>2.3417194651986311</v>
      </c>
      <c r="AN30" s="721">
        <v>1.7903041919548355</v>
      </c>
      <c r="AO30" s="721">
        <v>2.3147537893877774</v>
      </c>
      <c r="AP30" s="721">
        <v>2.1874179685901027</v>
      </c>
      <c r="AQ30" s="721">
        <v>2.3533757386807199</v>
      </c>
      <c r="AR30" s="721">
        <v>2.0401328378094887</v>
      </c>
      <c r="AS30" s="721">
        <v>2.224922114503598</v>
      </c>
      <c r="AT30" s="721">
        <v>2.1134906294816984</v>
      </c>
      <c r="AU30" s="721">
        <v>2.1240675880523501</v>
      </c>
      <c r="AV30" s="721">
        <v>2.2467958478870509</v>
      </c>
      <c r="AW30" s="721">
        <v>2.0266690394121731</v>
      </c>
      <c r="AX30" s="721">
        <v>2.7373629004655484</v>
      </c>
      <c r="AY30" s="721">
        <v>2.7819280424517787</v>
      </c>
      <c r="AZ30" s="721">
        <v>2.4686765430930131</v>
      </c>
      <c r="BA30" s="721">
        <v>1.910644119513963</v>
      </c>
      <c r="BB30" s="721">
        <v>1.7368695053511751</v>
      </c>
      <c r="BC30" s="721">
        <v>1.8573490559697865</v>
      </c>
      <c r="BD30" s="721">
        <v>2.3402429820534714</v>
      </c>
      <c r="BE30" s="721">
        <v>1.5095844560040685</v>
      </c>
    </row>
    <row r="31" spans="1:57" ht="15" x14ac:dyDescent="0.2">
      <c r="A31" s="224"/>
      <c r="B31" s="717"/>
      <c r="C31" s="6" t="s">
        <v>10</v>
      </c>
      <c r="D31" s="721">
        <v>2.0260876585124379</v>
      </c>
      <c r="E31" s="721">
        <v>1.6484070434337887</v>
      </c>
      <c r="F31" s="721">
        <v>2.3893890380859375</v>
      </c>
      <c r="G31" s="721">
        <v>2.0948806938467732</v>
      </c>
      <c r="H31" s="721">
        <v>1.916296427974425</v>
      </c>
      <c r="I31" s="721">
        <v>2.5153631775413681</v>
      </c>
      <c r="J31" s="721">
        <v>1.8060475623253549</v>
      </c>
      <c r="K31" s="721">
        <v>1.9619050058624896</v>
      </c>
      <c r="L31" s="721">
        <v>1.3182962995763055</v>
      </c>
      <c r="M31" s="721">
        <v>2.7943701399071745</v>
      </c>
      <c r="N31" s="721">
        <v>2.3761489647359042</v>
      </c>
      <c r="O31" s="721">
        <v>1.8191524049478547</v>
      </c>
      <c r="P31" s="721">
        <v>2.5091927158678207</v>
      </c>
      <c r="Q31" s="721">
        <v>2.308811226966085</v>
      </c>
      <c r="R31" s="721">
        <v>2.2328223049050511</v>
      </c>
      <c r="S31" s="721">
        <v>2.3169770135465506</v>
      </c>
      <c r="T31" s="721">
        <v>2.1737336415147746</v>
      </c>
      <c r="U31" s="721">
        <v>2.2698047743983971</v>
      </c>
      <c r="V31" s="721">
        <v>1.8928513603181396</v>
      </c>
      <c r="W31" s="721">
        <v>2.4582375986196574</v>
      </c>
      <c r="X31" s="721">
        <v>1.9474335268809426</v>
      </c>
      <c r="Y31" s="721">
        <v>2.1405304678505099</v>
      </c>
      <c r="Z31" s="721">
        <v>2.2323216825428576</v>
      </c>
      <c r="AA31" s="721">
        <v>2.456390937956253</v>
      </c>
      <c r="AB31" s="721">
        <v>2.0450620520505303</v>
      </c>
      <c r="AC31" s="721">
        <v>2.5019054812324564</v>
      </c>
      <c r="AD31" s="721">
        <v>2.6541591602159835</v>
      </c>
      <c r="AE31" s="37">
        <f>'User Add-in Location'!B36</f>
        <v>0</v>
      </c>
      <c r="AF31" s="37">
        <f>'User Add-in Location'!C36</f>
        <v>0</v>
      </c>
      <c r="AG31" s="721">
        <v>2.3971410723742146</v>
      </c>
      <c r="AH31" s="721">
        <v>1.7168158802110915</v>
      </c>
      <c r="AI31" s="721">
        <v>2.2364314428650509</v>
      </c>
      <c r="AJ31" s="721">
        <v>1.9007825081528187</v>
      </c>
      <c r="AK31" s="721">
        <v>1.9502115779856373</v>
      </c>
      <c r="AL31" s="721">
        <v>1.6927752600130197</v>
      </c>
      <c r="AM31" s="721">
        <v>2.5087306029181033</v>
      </c>
      <c r="AN31" s="721">
        <v>1.9920292176641041</v>
      </c>
      <c r="AO31" s="721">
        <v>2.3373744642108067</v>
      </c>
      <c r="AP31" s="721">
        <v>2.2377031490445045</v>
      </c>
      <c r="AQ31" s="721">
        <v>2.6191173859979031</v>
      </c>
      <c r="AR31" s="721">
        <v>2.3902093781284584</v>
      </c>
      <c r="AS31" s="721">
        <v>2.1908560009830707</v>
      </c>
      <c r="AT31" s="721">
        <v>2.1944687212139979</v>
      </c>
      <c r="AU31" s="721">
        <v>2.1709090208880157</v>
      </c>
      <c r="AV31" s="721">
        <v>2.2466122568425386</v>
      </c>
      <c r="AW31" s="721">
        <v>2.1837416109199843</v>
      </c>
      <c r="AX31" s="721">
        <v>2.8524127801864636</v>
      </c>
      <c r="AY31" s="721">
        <v>2.6908460923577664</v>
      </c>
      <c r="AZ31" s="721">
        <v>2.2477218652624988</v>
      </c>
      <c r="BA31" s="721">
        <v>2.051322070497279</v>
      </c>
      <c r="BB31" s="721">
        <v>1.519347673141584</v>
      </c>
      <c r="BC31" s="721">
        <v>1.8483201504116828</v>
      </c>
      <c r="BD31" s="721">
        <v>2.4125063279523071</v>
      </c>
      <c r="BE31" s="721">
        <v>1.710030163505653</v>
      </c>
    </row>
    <row r="32" spans="1:57" ht="15" x14ac:dyDescent="0.2">
      <c r="A32" s="224"/>
      <c r="B32" s="717"/>
      <c r="C32" s="6" t="s">
        <v>83</v>
      </c>
      <c r="D32" s="721">
        <v>2.672926329158182</v>
      </c>
      <c r="E32" s="721">
        <v>1.515002522887648</v>
      </c>
      <c r="F32" s="721">
        <v>3.4035654464931229</v>
      </c>
      <c r="G32" s="721">
        <v>2.4859414340515751</v>
      </c>
      <c r="H32" s="721">
        <v>2.1522716907496626</v>
      </c>
      <c r="I32" s="721">
        <v>3.3813058603707535</v>
      </c>
      <c r="J32" s="721">
        <v>1.8894723238527358</v>
      </c>
      <c r="K32" s="721">
        <v>1.1910611308537575</v>
      </c>
      <c r="L32" s="721">
        <v>1.021411763344916</v>
      </c>
      <c r="M32" s="721">
        <v>3.8782614463666718</v>
      </c>
      <c r="N32" s="721">
        <v>2.5206457322205904</v>
      </c>
      <c r="O32" s="721">
        <v>1.9102455392154354</v>
      </c>
      <c r="P32" s="721">
        <v>3.4774914441595612</v>
      </c>
      <c r="Q32" s="721">
        <v>2.3360898510943997</v>
      </c>
      <c r="R32" s="721">
        <v>2.3221651436528621</v>
      </c>
      <c r="S32" s="721">
        <v>2.1954857347477059</v>
      </c>
      <c r="T32" s="721">
        <v>2.7300851174584939</v>
      </c>
      <c r="U32" s="721">
        <v>2.498029581053852</v>
      </c>
      <c r="V32" s="721">
        <v>2.4292389397160883</v>
      </c>
      <c r="W32" s="721">
        <v>2.4981425160870621</v>
      </c>
      <c r="X32" s="721">
        <v>1.9629087845808639</v>
      </c>
      <c r="Y32" s="721">
        <v>1.9163497232987663</v>
      </c>
      <c r="Z32" s="721">
        <v>2.6916940369150035</v>
      </c>
      <c r="AA32" s="721">
        <v>2.743977492692943</v>
      </c>
      <c r="AB32" s="721">
        <v>2.6416492449405373</v>
      </c>
      <c r="AC32" s="721">
        <v>2.6072714565247948</v>
      </c>
      <c r="AD32" s="721">
        <v>2.8128259676969072</v>
      </c>
      <c r="AE32" s="37">
        <f>'User Add-in Location'!B37</f>
        <v>0</v>
      </c>
      <c r="AF32" s="37">
        <f>'User Add-in Location'!C37</f>
        <v>0</v>
      </c>
      <c r="AG32" s="721">
        <v>2.5270443215417053</v>
      </c>
      <c r="AH32" s="721">
        <v>0</v>
      </c>
      <c r="AI32" s="721">
        <v>2.2711025702299086</v>
      </c>
      <c r="AJ32" s="721">
        <v>2.2535448156313107</v>
      </c>
      <c r="AK32" s="721">
        <v>2.0640985743371991</v>
      </c>
      <c r="AL32" s="721">
        <v>1.1866969659716209</v>
      </c>
      <c r="AM32" s="721">
        <v>2.0492375990396932</v>
      </c>
      <c r="AN32" s="721">
        <v>2.2722765481154563</v>
      </c>
      <c r="AO32" s="721">
        <v>2.2647062578247859</v>
      </c>
      <c r="AP32" s="721">
        <v>2.9818195834000121</v>
      </c>
      <c r="AQ32" s="721">
        <v>2.590588948433576</v>
      </c>
      <c r="AR32" s="721">
        <v>2.4778246839227909</v>
      </c>
      <c r="AS32" s="721">
        <v>2.1973099998406096</v>
      </c>
      <c r="AT32" s="721">
        <v>2.6919936790595695</v>
      </c>
      <c r="AU32" s="721">
        <v>1.7575095590794156</v>
      </c>
      <c r="AV32" s="721">
        <v>2.5297829960970524</v>
      </c>
      <c r="AW32" s="721">
        <v>3.3186301046214837</v>
      </c>
      <c r="AX32" s="721">
        <v>3.0308916768626357</v>
      </c>
      <c r="AY32" s="721">
        <v>3.2499555859993192</v>
      </c>
      <c r="AZ32" s="721">
        <v>2.3562123238665453</v>
      </c>
      <c r="BA32" s="721">
        <v>2.0671701340105977</v>
      </c>
      <c r="BB32" s="721">
        <v>1.9623932908002433</v>
      </c>
      <c r="BC32" s="721">
        <v>1.8575954999627611</v>
      </c>
      <c r="BD32" s="721">
        <v>2.4726620046022103</v>
      </c>
      <c r="BE32" s="721">
        <v>2.2930242620190442</v>
      </c>
    </row>
    <row r="33" spans="1:57" ht="15" x14ac:dyDescent="0.2">
      <c r="A33" s="224"/>
      <c r="B33" s="717"/>
      <c r="C33" s="6" t="s">
        <v>84</v>
      </c>
      <c r="D33" s="721">
        <v>2.3910457932758997</v>
      </c>
      <c r="E33" s="721">
        <v>1.6872993097759461</v>
      </c>
      <c r="F33" s="721">
        <v>2.8167665536667048</v>
      </c>
      <c r="G33" s="721">
        <v>2.4472002656843692</v>
      </c>
      <c r="H33" s="721">
        <v>2.129539620189739</v>
      </c>
      <c r="I33" s="721">
        <v>2.6459747610962085</v>
      </c>
      <c r="J33" s="721">
        <v>2.0079742663516553</v>
      </c>
      <c r="K33" s="721">
        <v>1.6015925083606635</v>
      </c>
      <c r="L33" s="721">
        <v>0.9365368547555214</v>
      </c>
      <c r="M33" s="721">
        <v>2.9490561693554245</v>
      </c>
      <c r="N33" s="721">
        <v>2.3509603377079729</v>
      </c>
      <c r="O33" s="721">
        <v>2.1721938182092746</v>
      </c>
      <c r="P33" s="721">
        <v>2.8476026333302009</v>
      </c>
      <c r="Q33" s="721">
        <v>2.0516714342086049</v>
      </c>
      <c r="R33" s="721">
        <v>2.1106139168250611</v>
      </c>
      <c r="S33" s="721">
        <v>2.326551285582847</v>
      </c>
      <c r="T33" s="721">
        <v>2.5336463717801196</v>
      </c>
      <c r="U33" s="721">
        <v>2.364222313554126</v>
      </c>
      <c r="V33" s="721">
        <v>2.0196868879569845</v>
      </c>
      <c r="W33" s="721">
        <v>2.8377173809322729</v>
      </c>
      <c r="X33" s="721">
        <v>2.0633253086037349</v>
      </c>
      <c r="Y33" s="721">
        <v>2.0242493121406437</v>
      </c>
      <c r="Z33" s="721">
        <v>2.5871981772916537</v>
      </c>
      <c r="AA33" s="721">
        <v>2.5074699387960355</v>
      </c>
      <c r="AB33" s="721">
        <v>2.3919638218634534</v>
      </c>
      <c r="AC33" s="721">
        <v>2.4531672446470925</v>
      </c>
      <c r="AD33" s="721">
        <v>2.7195597789985051</v>
      </c>
      <c r="AE33" s="37">
        <f>'User Add-in Location'!B38</f>
        <v>0</v>
      </c>
      <c r="AF33" s="37">
        <f>'User Add-in Location'!C38</f>
        <v>0</v>
      </c>
      <c r="AG33" s="721">
        <v>2.4200230615631551</v>
      </c>
      <c r="AH33" s="721">
        <v>1.7997112690671078</v>
      </c>
      <c r="AI33" s="721">
        <v>2.3975191566420326</v>
      </c>
      <c r="AJ33" s="721">
        <v>1.9498563132417308</v>
      </c>
      <c r="AK33" s="721">
        <v>2.216516933453772</v>
      </c>
      <c r="AL33" s="721">
        <v>1.5855553474017079</v>
      </c>
      <c r="AM33" s="721">
        <v>2.4285385110528406</v>
      </c>
      <c r="AN33" s="721">
        <v>1.9981663782375814</v>
      </c>
      <c r="AO33" s="721">
        <v>2.5512655702869815</v>
      </c>
      <c r="AP33" s="721">
        <v>2.4298677701117906</v>
      </c>
      <c r="AQ33" s="721">
        <v>2.2140313472644877</v>
      </c>
      <c r="AR33" s="721">
        <v>2.2509576922895764</v>
      </c>
      <c r="AS33" s="721">
        <v>2.5592845644792068</v>
      </c>
      <c r="AT33" s="721">
        <v>2.4844873682256119</v>
      </c>
      <c r="AU33" s="721">
        <v>2.529309421044057</v>
      </c>
      <c r="AV33" s="721">
        <v>2.3233081913521887</v>
      </c>
      <c r="AW33" s="721">
        <v>2.2408511035715306</v>
      </c>
      <c r="AX33" s="721">
        <v>2.8962941414795997</v>
      </c>
      <c r="AY33" s="721">
        <v>3.1976797411852416</v>
      </c>
      <c r="AZ33" s="721">
        <v>2.7487790692432723</v>
      </c>
      <c r="BA33" s="721">
        <v>1.8316755433940817</v>
      </c>
      <c r="BB33" s="721">
        <v>2.0190344629535724</v>
      </c>
      <c r="BC33" s="721">
        <v>2.0028649139152943</v>
      </c>
      <c r="BD33" s="721">
        <v>2.5271572873295671</v>
      </c>
      <c r="BE33" s="721">
        <v>1.8427419456872172</v>
      </c>
    </row>
    <row r="34" spans="1:57" ht="15" x14ac:dyDescent="0.2">
      <c r="A34" s="224"/>
      <c r="B34" s="717"/>
      <c r="C34" s="6" t="s">
        <v>85</v>
      </c>
      <c r="D34" s="721">
        <v>2.2485344625336445</v>
      </c>
      <c r="E34" s="721">
        <v>1.6940804869606547</v>
      </c>
      <c r="F34" s="721">
        <v>2.786096653557967</v>
      </c>
      <c r="G34" s="721">
        <v>2.0681908550518697</v>
      </c>
      <c r="H34" s="721">
        <v>2.2641617732642918</v>
      </c>
      <c r="I34" s="721">
        <v>2.5583183852149558</v>
      </c>
      <c r="J34" s="721">
        <v>1.8679940626367952</v>
      </c>
      <c r="K34" s="721">
        <v>1.7764663393404252</v>
      </c>
      <c r="L34" s="721">
        <v>1.2540107138619863</v>
      </c>
      <c r="M34" s="721">
        <v>3.0291206831753157</v>
      </c>
      <c r="N34" s="721">
        <v>2.6050512113029556</v>
      </c>
      <c r="O34" s="721">
        <v>2.0911396809105098</v>
      </c>
      <c r="P34" s="721">
        <v>2.7547447302282393</v>
      </c>
      <c r="Q34" s="721">
        <v>2.3779036032183081</v>
      </c>
      <c r="R34" s="721">
        <v>2.2654415631171574</v>
      </c>
      <c r="S34" s="721">
        <v>2.2164816053739065</v>
      </c>
      <c r="T34" s="721">
        <v>2.3124545825485163</v>
      </c>
      <c r="U34" s="721">
        <v>2.2762393676835759</v>
      </c>
      <c r="V34" s="721">
        <v>2.0546406689293053</v>
      </c>
      <c r="W34" s="721">
        <v>2.600950117737137</v>
      </c>
      <c r="X34" s="721">
        <v>2.0279425678346907</v>
      </c>
      <c r="Y34" s="721">
        <v>2.0759849149020226</v>
      </c>
      <c r="Z34" s="721">
        <v>2.4961478969454305</v>
      </c>
      <c r="AA34" s="721">
        <v>2.4734324153823848</v>
      </c>
      <c r="AB34" s="721">
        <v>2.2973736938845803</v>
      </c>
      <c r="AC34" s="721">
        <v>2.561215368158912</v>
      </c>
      <c r="AD34" s="721">
        <v>2.6549661688660153</v>
      </c>
      <c r="AE34" s="37">
        <f>'User Add-in Location'!B39</f>
        <v>0</v>
      </c>
      <c r="AF34" s="37">
        <f>'User Add-in Location'!C39</f>
        <v>0</v>
      </c>
      <c r="AG34" s="721">
        <v>2.4141143133671177</v>
      </c>
      <c r="AH34" s="721">
        <v>1.6149578509463047</v>
      </c>
      <c r="AI34" s="721">
        <v>2.146222899290863</v>
      </c>
      <c r="AJ34" s="721">
        <v>2.0144635562269992</v>
      </c>
      <c r="AK34" s="721">
        <v>2.3229893116928744</v>
      </c>
      <c r="AL34" s="721">
        <v>1.8177502607961602</v>
      </c>
      <c r="AM34" s="721">
        <v>2.5125792995054921</v>
      </c>
      <c r="AN34" s="721">
        <v>1.9185261663098254</v>
      </c>
      <c r="AO34" s="721">
        <v>2.4354135121785232</v>
      </c>
      <c r="AP34" s="721">
        <v>2.375861164924435</v>
      </c>
      <c r="AQ34" s="721">
        <v>2.5052645414516959</v>
      </c>
      <c r="AR34" s="721">
        <v>2.2132499220214039</v>
      </c>
      <c r="AS34" s="721">
        <v>2.2941113784623859</v>
      </c>
      <c r="AT34" s="721">
        <v>2.4325773429023374</v>
      </c>
      <c r="AU34" s="721">
        <v>2.255512267820829</v>
      </c>
      <c r="AV34" s="721">
        <v>2.3744448821727948</v>
      </c>
      <c r="AW34" s="721">
        <v>2.4684056026516106</v>
      </c>
      <c r="AX34" s="721">
        <v>3.1505160258361928</v>
      </c>
      <c r="AY34" s="721">
        <v>2.9228301041738702</v>
      </c>
      <c r="AZ34" s="721">
        <v>2.4796083811982212</v>
      </c>
      <c r="BA34" s="721">
        <v>2.0037824238083783</v>
      </c>
      <c r="BB34" s="721">
        <v>1.8942858383363781</v>
      </c>
      <c r="BC34" s="721">
        <v>1.9035416785710964</v>
      </c>
      <c r="BD34" s="721">
        <v>2.3251632876977779</v>
      </c>
      <c r="BE34" s="721">
        <v>1.7216079062950178</v>
      </c>
    </row>
    <row r="35" spans="1:57" ht="15" x14ac:dyDescent="0.2">
      <c r="A35" s="224"/>
      <c r="B35" s="717"/>
      <c r="C35" s="6" t="s">
        <v>11</v>
      </c>
      <c r="D35" s="721">
        <v>0.53413935215433173</v>
      </c>
      <c r="E35" s="721">
        <v>0.17361487688416552</v>
      </c>
      <c r="F35" s="721">
        <v>0.83888631524351021</v>
      </c>
      <c r="G35" s="721">
        <v>0.4782421611504864</v>
      </c>
      <c r="H35" s="721">
        <v>0.48384951293077194</v>
      </c>
      <c r="I35" s="721">
        <v>0.38169486117484708</v>
      </c>
      <c r="J35" s="721">
        <v>0.74524362029862345</v>
      </c>
      <c r="K35" s="721">
        <v>9.2231681623396261E-2</v>
      </c>
      <c r="L35" s="721">
        <v>3.4680529287659627E-2</v>
      </c>
      <c r="M35" s="721">
        <v>0.50946477031638204</v>
      </c>
      <c r="N35" s="721">
        <v>9.0149270105674958E-2</v>
      </c>
      <c r="O35" s="721">
        <v>0.27260681628137501</v>
      </c>
      <c r="P35" s="721">
        <v>0.70450853936260061</v>
      </c>
      <c r="Q35" s="721">
        <v>0.23166070168771333</v>
      </c>
      <c r="R35" s="721">
        <v>0.3189855515739502</v>
      </c>
      <c r="S35" s="721">
        <v>0.42979218436365663</v>
      </c>
      <c r="T35" s="721">
        <v>0.50659168070898186</v>
      </c>
      <c r="U35" s="721">
        <v>0.48332452182783686</v>
      </c>
      <c r="V35" s="721">
        <v>0.62630162006047063</v>
      </c>
      <c r="W35" s="721">
        <v>0.5674986272376441</v>
      </c>
      <c r="X35" s="721">
        <v>0.12214300982018268</v>
      </c>
      <c r="Y35" s="721">
        <v>0.16498842733259361</v>
      </c>
      <c r="Z35" s="721">
        <v>0.38246958208814491</v>
      </c>
      <c r="AA35" s="721">
        <v>0.76995929186575429</v>
      </c>
      <c r="AB35" s="721">
        <v>0.40165649096866668</v>
      </c>
      <c r="AC35" s="721">
        <v>0.47691213049912956</v>
      </c>
      <c r="AD35" s="721">
        <v>0.58833550815596192</v>
      </c>
      <c r="AE35" s="37">
        <f>'User Add-in Location'!B40</f>
        <v>0</v>
      </c>
      <c r="AF35" s="37">
        <f>'User Add-in Location'!C40</f>
        <v>0</v>
      </c>
      <c r="AG35" s="721">
        <v>0.43485140713525461</v>
      </c>
      <c r="AH35" s="721">
        <v>0.76419077260402068</v>
      </c>
      <c r="AI35" s="721">
        <v>0.3241086030510722</v>
      </c>
      <c r="AJ35" s="721">
        <v>0.24885775067352361</v>
      </c>
      <c r="AK35" s="721">
        <v>0.58543090312520918</v>
      </c>
      <c r="AL35" s="721">
        <v>0.44448076522237273</v>
      </c>
      <c r="AM35" s="721">
        <v>0.26270778191341787</v>
      </c>
      <c r="AN35" s="721">
        <v>1.0879323605983298</v>
      </c>
      <c r="AO35" s="721">
        <v>0.35099086024133413</v>
      </c>
      <c r="AP35" s="721">
        <v>1.1407282743725264</v>
      </c>
      <c r="AQ35" s="721">
        <v>0.59224820780458454</v>
      </c>
      <c r="AR35" s="721">
        <v>0.46991171722078218</v>
      </c>
      <c r="AS35" s="721">
        <v>0.21282245711111658</v>
      </c>
      <c r="AT35" s="721">
        <v>0.49516075740844817</v>
      </c>
      <c r="AU35" s="721">
        <v>1.2162974724188762</v>
      </c>
      <c r="AV35" s="721">
        <v>0.6544891742786989</v>
      </c>
      <c r="AW35" s="721">
        <v>0.43773407104848339</v>
      </c>
      <c r="AX35" s="721">
        <v>0.61062130068967502</v>
      </c>
      <c r="AY35" s="721">
        <v>0.36677889055270163</v>
      </c>
      <c r="AZ35" s="721">
        <v>0.24207674857041506</v>
      </c>
      <c r="BA35" s="721">
        <v>0.36115877303131128</v>
      </c>
      <c r="BB35" s="721">
        <v>0.71864739549499113</v>
      </c>
      <c r="BC35" s="721">
        <v>0.44306536367737753</v>
      </c>
      <c r="BD35" s="721">
        <v>0.59835102991150035</v>
      </c>
      <c r="BE35" s="721">
        <v>0.40770426081706795</v>
      </c>
    </row>
    <row r="36" spans="1:57" ht="15" x14ac:dyDescent="0.2">
      <c r="A36" s="224"/>
      <c r="B36" s="717"/>
      <c r="C36" s="6"/>
      <c r="D36" s="721"/>
      <c r="E36" s="721"/>
      <c r="F36" s="721"/>
      <c r="G36" s="721"/>
      <c r="H36" s="721"/>
      <c r="I36" s="721"/>
      <c r="J36" s="721"/>
      <c r="K36" s="721"/>
      <c r="L36" s="721"/>
      <c r="M36" s="721"/>
      <c r="N36" s="721"/>
      <c r="O36" s="721"/>
      <c r="P36" s="721"/>
      <c r="Q36" s="721"/>
      <c r="R36" s="721"/>
      <c r="S36" s="721"/>
      <c r="T36" s="721"/>
      <c r="U36" s="721"/>
      <c r="V36" s="721"/>
      <c r="W36" s="721"/>
      <c r="X36" s="721"/>
      <c r="Y36" s="721"/>
      <c r="Z36" s="721"/>
      <c r="AA36" s="721"/>
      <c r="AB36" s="721"/>
      <c r="AC36" s="721"/>
      <c r="AD36" s="721"/>
      <c r="AE36" s="37"/>
      <c r="AF36" s="37"/>
      <c r="AG36" s="721"/>
      <c r="AH36" s="721"/>
      <c r="AI36" s="721"/>
      <c r="AJ36" s="721"/>
      <c r="AK36" s="721"/>
      <c r="AL36" s="721"/>
      <c r="AM36" s="721"/>
      <c r="AN36" s="721"/>
      <c r="AO36" s="721"/>
      <c r="AP36" s="721"/>
      <c r="AQ36" s="721"/>
      <c r="AR36" s="721"/>
      <c r="AS36" s="721"/>
      <c r="AT36" s="721"/>
      <c r="AU36" s="721"/>
      <c r="AV36" s="721"/>
      <c r="AW36" s="721"/>
      <c r="AX36" s="721"/>
      <c r="AY36" s="721"/>
      <c r="AZ36" s="721"/>
      <c r="BA36" s="721"/>
      <c r="BB36" s="721"/>
      <c r="BC36" s="721"/>
      <c r="BD36" s="721"/>
      <c r="BE36" s="721"/>
    </row>
    <row r="37" spans="1:57" x14ac:dyDescent="0.2">
      <c r="A37" s="224"/>
      <c r="B37" s="717"/>
      <c r="C37" s="17" t="s">
        <v>123</v>
      </c>
      <c r="D37" s="721"/>
      <c r="E37" s="721"/>
      <c r="F37" s="721"/>
      <c r="G37" s="721"/>
      <c r="H37" s="721"/>
      <c r="I37" s="721"/>
      <c r="J37" s="721"/>
      <c r="K37" s="721"/>
      <c r="L37" s="721"/>
      <c r="M37" s="721"/>
      <c r="N37" s="721"/>
      <c r="O37" s="721"/>
      <c r="P37" s="721"/>
      <c r="Q37" s="721"/>
      <c r="R37" s="721"/>
      <c r="S37" s="721"/>
      <c r="T37" s="721"/>
      <c r="U37" s="721"/>
      <c r="V37" s="721"/>
      <c r="W37" s="721"/>
      <c r="X37" s="721"/>
      <c r="Y37" s="721"/>
      <c r="Z37" s="721"/>
      <c r="AA37" s="721"/>
      <c r="AB37" s="721"/>
      <c r="AC37" s="721"/>
      <c r="AD37" s="721"/>
      <c r="AE37" s="37"/>
      <c r="AF37" s="37"/>
      <c r="AG37" s="721"/>
      <c r="AH37" s="721"/>
      <c r="AI37" s="721"/>
      <c r="AJ37" s="721"/>
      <c r="AK37" s="721"/>
      <c r="AL37" s="721"/>
      <c r="AM37" s="721"/>
      <c r="AN37" s="721"/>
      <c r="AO37" s="721"/>
      <c r="AP37" s="721"/>
      <c r="AQ37" s="721"/>
      <c r="AR37" s="721"/>
      <c r="AS37" s="721"/>
      <c r="AT37" s="721"/>
      <c r="AU37" s="721"/>
      <c r="AV37" s="721"/>
      <c r="AW37" s="721"/>
      <c r="AX37" s="721"/>
      <c r="AY37" s="721"/>
      <c r="AZ37" s="721"/>
      <c r="BA37" s="721"/>
      <c r="BB37" s="721"/>
      <c r="BC37" s="721"/>
      <c r="BD37" s="721"/>
      <c r="BE37" s="721"/>
    </row>
    <row r="38" spans="1:57" x14ac:dyDescent="0.2">
      <c r="A38" s="224"/>
      <c r="B38" s="717"/>
      <c r="C38" s="112" t="s">
        <v>129</v>
      </c>
      <c r="D38" s="721" t="s">
        <v>13</v>
      </c>
      <c r="E38" s="721" t="s">
        <v>14</v>
      </c>
      <c r="F38" s="721" t="s">
        <v>15</v>
      </c>
      <c r="G38" s="721" t="s">
        <v>16</v>
      </c>
      <c r="H38" s="721" t="s">
        <v>17</v>
      </c>
      <c r="I38" s="721" t="s">
        <v>18</v>
      </c>
      <c r="J38" s="721" t="s">
        <v>19</v>
      </c>
      <c r="K38" s="721" t="s">
        <v>20</v>
      </c>
      <c r="L38" s="721" t="s">
        <v>21</v>
      </c>
      <c r="M38" s="721" t="s">
        <v>22</v>
      </c>
      <c r="N38" s="721" t="s">
        <v>23</v>
      </c>
      <c r="O38" s="721" t="s">
        <v>24</v>
      </c>
      <c r="P38" s="721" t="s">
        <v>25</v>
      </c>
      <c r="Q38" s="721" t="s">
        <v>26</v>
      </c>
      <c r="R38" s="721" t="s">
        <v>27</v>
      </c>
      <c r="S38" s="721" t="s">
        <v>28</v>
      </c>
      <c r="T38" s="721" t="s">
        <v>29</v>
      </c>
      <c r="U38" s="721" t="s">
        <v>30</v>
      </c>
      <c r="V38" s="721" t="s">
        <v>31</v>
      </c>
      <c r="W38" s="721" t="s">
        <v>32</v>
      </c>
      <c r="X38" s="721" t="s">
        <v>33</v>
      </c>
      <c r="Y38" s="721" t="s">
        <v>34</v>
      </c>
      <c r="Z38" s="721" t="s">
        <v>35</v>
      </c>
      <c r="AA38" s="721" t="s">
        <v>36</v>
      </c>
      <c r="AB38" s="721" t="s">
        <v>37</v>
      </c>
      <c r="AC38" s="721" t="s">
        <v>38</v>
      </c>
      <c r="AD38" s="721" t="s">
        <v>39</v>
      </c>
      <c r="AE38" s="37" t="s">
        <v>151</v>
      </c>
      <c r="AF38" s="37" t="s">
        <v>150</v>
      </c>
      <c r="AG38" s="721" t="s">
        <v>40</v>
      </c>
      <c r="AH38" s="721" t="s">
        <v>41</v>
      </c>
      <c r="AI38" s="721" t="s">
        <v>42</v>
      </c>
      <c r="AJ38" s="721" t="s">
        <v>43</v>
      </c>
      <c r="AK38" s="721" t="s">
        <v>44</v>
      </c>
      <c r="AL38" s="721" t="s">
        <v>45</v>
      </c>
      <c r="AM38" s="721" t="s">
        <v>46</v>
      </c>
      <c r="AN38" s="721" t="s">
        <v>47</v>
      </c>
      <c r="AO38" s="721" t="s">
        <v>48</v>
      </c>
      <c r="AP38" s="721" t="s">
        <v>49</v>
      </c>
      <c r="AQ38" s="721" t="s">
        <v>50</v>
      </c>
      <c r="AR38" s="721" t="s">
        <v>51</v>
      </c>
      <c r="AS38" s="721" t="s">
        <v>52</v>
      </c>
      <c r="AT38" s="721" t="s">
        <v>53</v>
      </c>
      <c r="AU38" s="721" t="s">
        <v>54</v>
      </c>
      <c r="AV38" s="721" t="s">
        <v>55</v>
      </c>
      <c r="AW38" s="721" t="s">
        <v>56</v>
      </c>
      <c r="AX38" s="721" t="s">
        <v>489</v>
      </c>
      <c r="AY38" s="721" t="s">
        <v>57</v>
      </c>
      <c r="AZ38" s="721" t="s">
        <v>58</v>
      </c>
      <c r="BA38" s="721" t="s">
        <v>59</v>
      </c>
      <c r="BB38" s="721" t="s">
        <v>60</v>
      </c>
      <c r="BC38" s="721" t="s">
        <v>61</v>
      </c>
      <c r="BD38" s="721" t="s">
        <v>62</v>
      </c>
      <c r="BE38" s="721" t="s">
        <v>12</v>
      </c>
    </row>
    <row r="39" spans="1:57" ht="15" x14ac:dyDescent="0.2">
      <c r="A39" s="224"/>
      <c r="B39" s="717"/>
      <c r="C39" s="6" t="s">
        <v>7</v>
      </c>
      <c r="D39" s="721">
        <v>1.7947073124742314</v>
      </c>
      <c r="E39" s="721">
        <v>1.6491502221769507</v>
      </c>
      <c r="F39" s="721">
        <v>2.02684945634318</v>
      </c>
      <c r="G39" s="721">
        <v>1.6601505521508451</v>
      </c>
      <c r="H39" s="721">
        <v>2.3698010044588287</v>
      </c>
      <c r="I39" s="721">
        <v>1.697127758408109</v>
      </c>
      <c r="J39" s="721">
        <v>1.2502609325197296</v>
      </c>
      <c r="K39" s="721">
        <v>1.0384184678610671</v>
      </c>
      <c r="L39" s="721">
        <v>0.49342820770201729</v>
      </c>
      <c r="M39" s="721">
        <v>2.7813724800440229</v>
      </c>
      <c r="N39" s="721">
        <v>2.7812697993886326</v>
      </c>
      <c r="O39" s="721">
        <v>2.351654959950944</v>
      </c>
      <c r="P39" s="721">
        <v>2.4720465965942053</v>
      </c>
      <c r="Q39" s="721">
        <v>3.2094080419114541</v>
      </c>
      <c r="R39" s="721">
        <v>2.22321986894001</v>
      </c>
      <c r="S39" s="721">
        <v>1.6693300391082351</v>
      </c>
      <c r="T39" s="721">
        <v>1.631726010403872</v>
      </c>
      <c r="U39" s="721">
        <v>1.7397758209011713</v>
      </c>
      <c r="V39" s="721">
        <v>1.9559177823253833</v>
      </c>
      <c r="W39" s="721">
        <v>2.486824429244892</v>
      </c>
      <c r="X39" s="721">
        <v>1.3239496434976994</v>
      </c>
      <c r="Y39" s="721">
        <v>1.9815114470392829</v>
      </c>
      <c r="Z39" s="721">
        <v>1.9281983007758816</v>
      </c>
      <c r="AA39" s="721">
        <v>1.9249339968329031</v>
      </c>
      <c r="AB39" s="721">
        <v>1.9874802203559101</v>
      </c>
      <c r="AC39" s="721">
        <v>1.8448929941541288</v>
      </c>
      <c r="AD39" s="721">
        <v>1.4061278151562475</v>
      </c>
      <c r="AE39" s="37">
        <f>'User Add-in Location'!B44</f>
        <v>0</v>
      </c>
      <c r="AF39" s="37">
        <f>'User Add-in Location'!C44</f>
        <v>0</v>
      </c>
      <c r="AG39" s="721">
        <v>1.7628566731619415</v>
      </c>
      <c r="AH39" s="721">
        <v>0.97457411131129701</v>
      </c>
      <c r="AI39" s="721">
        <v>1.6511368474069887</v>
      </c>
      <c r="AJ39" s="721">
        <v>2.2999859314326181</v>
      </c>
      <c r="AK39" s="721">
        <v>2.1487103263483318</v>
      </c>
      <c r="AL39" s="721">
        <v>1.3860389176499053</v>
      </c>
      <c r="AM39" s="721">
        <v>1.8795810558799155</v>
      </c>
      <c r="AN39" s="721">
        <v>0.91384494675673722</v>
      </c>
      <c r="AO39" s="721">
        <v>1.8597209398736811</v>
      </c>
      <c r="AP39" s="721">
        <v>1.0157849514436013</v>
      </c>
      <c r="AQ39" s="721">
        <v>2.5277993288672502</v>
      </c>
      <c r="AR39" s="721">
        <v>1.4654693590610695</v>
      </c>
      <c r="AS39" s="721">
        <v>1.6927369331313407</v>
      </c>
      <c r="AT39" s="721">
        <v>1.8118807543598427</v>
      </c>
      <c r="AU39" s="721">
        <v>1.9153419463657075</v>
      </c>
      <c r="AV39" s="721">
        <v>1.5337669265447675</v>
      </c>
      <c r="AW39" s="721">
        <v>1.4060796452471949</v>
      </c>
      <c r="AX39" s="721">
        <v>3.6344423423116683</v>
      </c>
      <c r="AY39" s="721">
        <v>1.2551701723803363</v>
      </c>
      <c r="AZ39" s="721">
        <v>1.5894559436302547</v>
      </c>
      <c r="BA39" s="721">
        <v>1.059209868775653</v>
      </c>
      <c r="BB39" s="721">
        <v>2.0604728710344906</v>
      </c>
      <c r="BC39" s="721">
        <v>0.41430570598545513</v>
      </c>
      <c r="BD39" s="721">
        <v>1.9861913940419365</v>
      </c>
      <c r="BE39" s="721">
        <v>0.66903145774614181</v>
      </c>
    </row>
    <row r="40" spans="1:57" ht="15" x14ac:dyDescent="0.2">
      <c r="A40" s="224"/>
      <c r="B40" s="717"/>
      <c r="C40" s="6" t="s">
        <v>77</v>
      </c>
      <c r="D40" s="721">
        <v>1.0996796428293423</v>
      </c>
      <c r="E40" s="721">
        <v>0.68857304255167651</v>
      </c>
      <c r="F40" s="721">
        <v>1.7076393832331118</v>
      </c>
      <c r="G40" s="721">
        <v>1.4410644268644031</v>
      </c>
      <c r="H40" s="721">
        <v>1.5157225857610288</v>
      </c>
      <c r="I40" s="721">
        <v>2.7193033246026523</v>
      </c>
      <c r="J40" s="721">
        <v>1.4962161727573562</v>
      </c>
      <c r="K40" s="721">
        <v>2.4153802567634033</v>
      </c>
      <c r="L40" s="721">
        <v>0.51360191124072974</v>
      </c>
      <c r="M40" s="721">
        <v>1.6920703666797583</v>
      </c>
      <c r="N40" s="721">
        <v>1.992067903712176</v>
      </c>
      <c r="O40" s="721">
        <v>1.2556379014167234</v>
      </c>
      <c r="P40" s="721">
        <v>1.6592180417931599</v>
      </c>
      <c r="Q40" s="721">
        <v>1.5999781705331113</v>
      </c>
      <c r="R40" s="721">
        <v>1.7354963896931082</v>
      </c>
      <c r="S40" s="721">
        <v>1.2912213214929553</v>
      </c>
      <c r="T40" s="721">
        <v>2.1900451079658843</v>
      </c>
      <c r="U40" s="721">
        <v>1.2247926325037861</v>
      </c>
      <c r="V40" s="721">
        <v>1.431481098783189</v>
      </c>
      <c r="W40" s="721">
        <v>1.4599095358364824</v>
      </c>
      <c r="X40" s="721">
        <v>1.3134437920390696</v>
      </c>
      <c r="Y40" s="721">
        <v>2.1135309744572295</v>
      </c>
      <c r="Z40" s="721">
        <v>2.1388470884682476</v>
      </c>
      <c r="AA40" s="721">
        <v>1.8233520811882573</v>
      </c>
      <c r="AB40" s="721">
        <v>1.9010893158290698</v>
      </c>
      <c r="AC40" s="721">
        <v>1.5815147593401482</v>
      </c>
      <c r="AD40" s="721">
        <v>1.9660557111104331</v>
      </c>
      <c r="AE40" s="37">
        <f>'User Add-in Location'!B45</f>
        <v>0</v>
      </c>
      <c r="AF40" s="37">
        <f>'User Add-in Location'!C45</f>
        <v>0</v>
      </c>
      <c r="AG40" s="721">
        <v>1.6118601439655691</v>
      </c>
      <c r="AH40" s="721">
        <v>1.0223827292953713</v>
      </c>
      <c r="AI40" s="721">
        <v>1.4890356962231623</v>
      </c>
      <c r="AJ40" s="721">
        <v>2.5550872830377109</v>
      </c>
      <c r="AK40" s="721">
        <v>1.4709518681401792</v>
      </c>
      <c r="AL40" s="721">
        <v>2.1420602107393569</v>
      </c>
      <c r="AM40" s="721">
        <v>1.1184051555135976</v>
      </c>
      <c r="AN40" s="721">
        <v>1.3933503247689509</v>
      </c>
      <c r="AO40" s="721">
        <v>2.0752735552580459</v>
      </c>
      <c r="AP40" s="721">
        <v>2.4984703063964844</v>
      </c>
      <c r="AQ40" s="721">
        <v>1.700408507084501</v>
      </c>
      <c r="AR40" s="721">
        <v>1.8275771901227427</v>
      </c>
      <c r="AS40" s="721">
        <v>1.8017882125965063</v>
      </c>
      <c r="AT40" s="721">
        <v>1.175511678059896</v>
      </c>
      <c r="AU40" s="721">
        <v>1.2790713724882707</v>
      </c>
      <c r="AV40" s="721">
        <v>1.4423165459563767</v>
      </c>
      <c r="AW40" s="721">
        <v>2.1524512249490488</v>
      </c>
      <c r="AX40" s="721">
        <v>3.4712566431017891</v>
      </c>
      <c r="AY40" s="721">
        <v>2.0673195797464121</v>
      </c>
      <c r="AZ40" s="721">
        <v>1.1956712888634724</v>
      </c>
      <c r="BA40" s="721">
        <v>1.6940641472305078</v>
      </c>
      <c r="BB40" s="721">
        <v>1.014519214630127</v>
      </c>
      <c r="BC40" s="721">
        <v>1.2518468870632891</v>
      </c>
      <c r="BD40" s="721">
        <v>1.551024519878885</v>
      </c>
      <c r="BE40" s="721">
        <v>0.79348066233206493</v>
      </c>
    </row>
    <row r="41" spans="1:57" ht="15" x14ac:dyDescent="0.2">
      <c r="A41" s="224"/>
      <c r="B41" s="717"/>
      <c r="C41" s="6" t="s">
        <v>8</v>
      </c>
      <c r="D41" s="721">
        <v>2.2048804339577495</v>
      </c>
      <c r="E41" s="721">
        <v>1.8046295557321455</v>
      </c>
      <c r="F41" s="721">
        <v>2.8358066793361738</v>
      </c>
      <c r="G41" s="721">
        <v>1.9048106057150558</v>
      </c>
      <c r="H41" s="721">
        <v>2.6419363354048158</v>
      </c>
      <c r="I41" s="721">
        <v>2.8614471728491675</v>
      </c>
      <c r="J41" s="721">
        <v>2.3583991367186132</v>
      </c>
      <c r="K41" s="721">
        <v>2.0671083694998078</v>
      </c>
      <c r="L41" s="721">
        <v>0.61886739214401376</v>
      </c>
      <c r="M41" s="721">
        <v>2.8695018221597346</v>
      </c>
      <c r="N41" s="721">
        <v>2.5988470178472163</v>
      </c>
      <c r="O41" s="721">
        <v>2.2064078792328257</v>
      </c>
      <c r="P41" s="721">
        <v>2.2220004550697405</v>
      </c>
      <c r="Q41" s="721">
        <v>2.7923303877673495</v>
      </c>
      <c r="R41" s="721">
        <v>2.4260598269889631</v>
      </c>
      <c r="S41" s="721">
        <v>2.2481988001373776</v>
      </c>
      <c r="T41" s="721">
        <v>2.2255427556340317</v>
      </c>
      <c r="U41" s="721">
        <v>2.0898346283128824</v>
      </c>
      <c r="V41" s="721">
        <v>2.0664937102512089</v>
      </c>
      <c r="W41" s="721">
        <v>2.5934882344610029</v>
      </c>
      <c r="X41" s="721">
        <v>2.3806282145941893</v>
      </c>
      <c r="Y41" s="721">
        <v>2.5295973027615419</v>
      </c>
      <c r="Z41" s="721">
        <v>2.7353245485752993</v>
      </c>
      <c r="AA41" s="721">
        <v>2.8111339616974069</v>
      </c>
      <c r="AB41" s="721">
        <v>1.8571133888699471</v>
      </c>
      <c r="AC41" s="721">
        <v>2.7539172523453934</v>
      </c>
      <c r="AD41" s="721">
        <v>2.1852724630812816</v>
      </c>
      <c r="AE41" s="37">
        <f>'User Add-in Location'!B46</f>
        <v>0</v>
      </c>
      <c r="AF41" s="37">
        <f>'User Add-in Location'!C46</f>
        <v>0</v>
      </c>
      <c r="AG41" s="721">
        <v>2.3270581047325698</v>
      </c>
      <c r="AH41" s="721">
        <v>1.3857808610439912</v>
      </c>
      <c r="AI41" s="721">
        <v>2.8844033892073746</v>
      </c>
      <c r="AJ41" s="721">
        <v>2.5688839132857582</v>
      </c>
      <c r="AK41" s="721">
        <v>1.8088188959305902</v>
      </c>
      <c r="AL41" s="721">
        <v>1.9202916112410418</v>
      </c>
      <c r="AM41" s="721">
        <v>2.5972575385703403</v>
      </c>
      <c r="AN41" s="721">
        <v>1.8803687545445238</v>
      </c>
      <c r="AO41" s="721">
        <v>2.8968569991070821</v>
      </c>
      <c r="AP41" s="721">
        <v>2.3345703541812495</v>
      </c>
      <c r="AQ41" s="721">
        <v>2.7443796949918111</v>
      </c>
      <c r="AR41" s="721">
        <v>2.9037527714609563</v>
      </c>
      <c r="AS41" s="721">
        <v>2.3651424372219108</v>
      </c>
      <c r="AT41" s="721">
        <v>2.1455647939294673</v>
      </c>
      <c r="AU41" s="721">
        <v>2.0434106991200931</v>
      </c>
      <c r="AV41" s="721">
        <v>2.956966583466087</v>
      </c>
      <c r="AW41" s="721">
        <v>2.6930155415018731</v>
      </c>
      <c r="AX41" s="721">
        <v>4.8574795735180185</v>
      </c>
      <c r="AY41" s="721">
        <v>2.9139170312942562</v>
      </c>
      <c r="AZ41" s="721">
        <v>2.4192474483298154</v>
      </c>
      <c r="BA41" s="721">
        <v>2.2141768994581845</v>
      </c>
      <c r="BB41" s="721">
        <v>2.0591280246529342</v>
      </c>
      <c r="BC41" s="721">
        <v>1.9243731304363589</v>
      </c>
      <c r="BD41" s="721">
        <v>2.6460780707557259</v>
      </c>
      <c r="BE41" s="721">
        <v>1.2087551345243277</v>
      </c>
    </row>
    <row r="42" spans="1:57" ht="15" x14ac:dyDescent="0.2">
      <c r="A42" s="224"/>
      <c r="B42" s="717"/>
      <c r="C42" s="6" t="s">
        <v>78</v>
      </c>
      <c r="D42" s="721">
        <v>1.1088404815041355</v>
      </c>
      <c r="E42" s="721">
        <v>0.76150424895753865</v>
      </c>
      <c r="F42" s="721">
        <v>1.9623782555183102</v>
      </c>
      <c r="G42" s="721">
        <v>1.1091717009364783</v>
      </c>
      <c r="H42" s="721">
        <v>1.7716435052012987</v>
      </c>
      <c r="I42" s="721">
        <v>1.9077254534927746</v>
      </c>
      <c r="J42" s="721">
        <v>1.528411842591294</v>
      </c>
      <c r="K42" s="721">
        <v>0.95629375884289247</v>
      </c>
      <c r="L42" s="721">
        <v>0.378119351709433</v>
      </c>
      <c r="M42" s="721">
        <v>2.0152550557562448</v>
      </c>
      <c r="N42" s="721">
        <v>1.5830523350164534</v>
      </c>
      <c r="O42" s="721">
        <v>1.0273935547043185</v>
      </c>
      <c r="P42" s="721">
        <v>1.2956194049669387</v>
      </c>
      <c r="Q42" s="721">
        <v>1.6813500789311666</v>
      </c>
      <c r="R42" s="721">
        <v>1.2081934317177583</v>
      </c>
      <c r="S42" s="721">
        <v>1.23059667644676</v>
      </c>
      <c r="T42" s="721">
        <v>1.3086447858093888</v>
      </c>
      <c r="U42" s="721">
        <v>1.0525418403171982</v>
      </c>
      <c r="V42" s="721">
        <v>0.75060341395778429</v>
      </c>
      <c r="W42" s="721">
        <v>1.6493957240880974</v>
      </c>
      <c r="X42" s="721">
        <v>1.2946345229590666</v>
      </c>
      <c r="Y42" s="721">
        <v>1.601032443988079</v>
      </c>
      <c r="Z42" s="721">
        <v>1.5835129192305271</v>
      </c>
      <c r="AA42" s="721">
        <v>1.8974720122905797</v>
      </c>
      <c r="AB42" s="721">
        <v>0.97887195946612904</v>
      </c>
      <c r="AC42" s="721">
        <v>1.45923280029967</v>
      </c>
      <c r="AD42" s="721">
        <v>0.92641636411884276</v>
      </c>
      <c r="AE42" s="37">
        <f>'User Add-in Location'!B47</f>
        <v>0</v>
      </c>
      <c r="AF42" s="37">
        <f>'User Add-in Location'!C47</f>
        <v>0</v>
      </c>
      <c r="AG42" s="721">
        <v>1.1913738445149273</v>
      </c>
      <c r="AH42" s="721">
        <v>0.91516972053074408</v>
      </c>
      <c r="AI42" s="721">
        <v>1.7886339450982391</v>
      </c>
      <c r="AJ42" s="721">
        <v>1.4432359047219774</v>
      </c>
      <c r="AK42" s="721">
        <v>0.95484498726529032</v>
      </c>
      <c r="AL42" s="721">
        <v>1.1571221535127716</v>
      </c>
      <c r="AM42" s="721">
        <v>1.3963035016879031</v>
      </c>
      <c r="AN42" s="721">
        <v>0.85309172196721172</v>
      </c>
      <c r="AO42" s="721">
        <v>1.606435104797608</v>
      </c>
      <c r="AP42" s="721">
        <v>1.4023150318049256</v>
      </c>
      <c r="AQ42" s="721">
        <v>1.6836936900694452</v>
      </c>
      <c r="AR42" s="721">
        <v>1.6342970874045188</v>
      </c>
      <c r="AS42" s="721">
        <v>1.6002881690764479</v>
      </c>
      <c r="AT42" s="721">
        <v>1.2051862419369812</v>
      </c>
      <c r="AU42" s="721">
        <v>1.2181175911098916</v>
      </c>
      <c r="AV42" s="721">
        <v>1.4426062914582942</v>
      </c>
      <c r="AW42" s="721">
        <v>1.4478178115286495</v>
      </c>
      <c r="AX42" s="721">
        <v>3.5459857763072837</v>
      </c>
      <c r="AY42" s="721">
        <v>1.6304778059322607</v>
      </c>
      <c r="AZ42" s="721">
        <v>1.4425241134780054</v>
      </c>
      <c r="BA42" s="721">
        <v>1.1930241288097982</v>
      </c>
      <c r="BB42" s="721">
        <v>1.1656871278633731</v>
      </c>
      <c r="BC42" s="721">
        <v>0.89499736291435417</v>
      </c>
      <c r="BD42" s="721">
        <v>1.6643279532110358</v>
      </c>
      <c r="BE42" s="721">
        <v>0.44892631015635548</v>
      </c>
    </row>
    <row r="43" spans="1:57" ht="15" x14ac:dyDescent="0.2">
      <c r="A43" s="224"/>
      <c r="B43" s="717"/>
      <c r="C43" s="6" t="s">
        <v>79</v>
      </c>
      <c r="D43" s="721">
        <v>1.6437198425211559</v>
      </c>
      <c r="E43" s="721">
        <v>1.3288223521738518</v>
      </c>
      <c r="F43" s="721">
        <v>2.4894425200253001</v>
      </c>
      <c r="G43" s="721">
        <v>1.500710110293656</v>
      </c>
      <c r="H43" s="721">
        <v>2.3662379285911235</v>
      </c>
      <c r="I43" s="721">
        <v>2.2368130414951137</v>
      </c>
      <c r="J43" s="721">
        <v>1.9218265343366601</v>
      </c>
      <c r="K43" s="721">
        <v>1.6197452654198903</v>
      </c>
      <c r="L43" s="721">
        <v>0</v>
      </c>
      <c r="M43" s="721">
        <v>2.6262772174143212</v>
      </c>
      <c r="N43" s="721">
        <v>2.1214620710873024</v>
      </c>
      <c r="O43" s="721">
        <v>1.7352446357651454</v>
      </c>
      <c r="P43" s="721">
        <v>1.8352835570893637</v>
      </c>
      <c r="Q43" s="721">
        <v>2.4698655354540522</v>
      </c>
      <c r="R43" s="721">
        <v>1.8387563702900236</v>
      </c>
      <c r="S43" s="721">
        <v>1.709404988623247</v>
      </c>
      <c r="T43" s="721">
        <v>1.6812722036024419</v>
      </c>
      <c r="U43" s="721">
        <v>1.8325310970951871</v>
      </c>
      <c r="V43" s="721">
        <v>1.5936080081070343</v>
      </c>
      <c r="W43" s="721">
        <v>2.1079528150035114</v>
      </c>
      <c r="X43" s="721">
        <v>1.8493391842376896</v>
      </c>
      <c r="Y43" s="721">
        <v>2.1241568843039071</v>
      </c>
      <c r="Z43" s="721">
        <v>2.4403520059294816</v>
      </c>
      <c r="AA43" s="721">
        <v>2.6784836671701293</v>
      </c>
      <c r="AB43" s="721">
        <v>1.5088254569507227</v>
      </c>
      <c r="AC43" s="721">
        <v>2.2156967259034879</v>
      </c>
      <c r="AD43" s="721">
        <v>1.8013796119428263</v>
      </c>
      <c r="AE43" s="37">
        <f>'User Add-in Location'!B48</f>
        <v>0</v>
      </c>
      <c r="AF43" s="37">
        <f>'User Add-in Location'!C48</f>
        <v>0</v>
      </c>
      <c r="AG43" s="721">
        <v>1.7074631719690998</v>
      </c>
      <c r="AH43" s="721">
        <v>1.174136369330127</v>
      </c>
      <c r="AI43" s="721">
        <v>2.130581837601778</v>
      </c>
      <c r="AJ43" s="721">
        <v>2.2007060170900532</v>
      </c>
      <c r="AK43" s="721">
        <v>1.3105100082551562</v>
      </c>
      <c r="AL43" s="721">
        <v>1.6196422420623826</v>
      </c>
      <c r="AM43" s="721">
        <v>2.1131461182745492</v>
      </c>
      <c r="AN43" s="721">
        <v>1.2958810387588129</v>
      </c>
      <c r="AO43" s="721">
        <v>2.4273439758434527</v>
      </c>
      <c r="AP43" s="721">
        <v>1.8502824846200827</v>
      </c>
      <c r="AQ43" s="721">
        <v>2.2360064496354362</v>
      </c>
      <c r="AR43" s="721">
        <v>2.3392265933315928</v>
      </c>
      <c r="AS43" s="721">
        <v>2.1248704078720837</v>
      </c>
      <c r="AT43" s="721">
        <v>1.8966728606965484</v>
      </c>
      <c r="AU43" s="721">
        <v>1.4337668059075752</v>
      </c>
      <c r="AV43" s="721">
        <v>2.357901139593706</v>
      </c>
      <c r="AW43" s="721">
        <v>2.2165510094747312</v>
      </c>
      <c r="AX43" s="721">
        <v>4.5566277191406348</v>
      </c>
      <c r="AY43" s="721">
        <v>2.3333239337293112</v>
      </c>
      <c r="AZ43" s="721">
        <v>2.0383851931589407</v>
      </c>
      <c r="BA43" s="721">
        <v>1.9523266572050932</v>
      </c>
      <c r="BB43" s="721">
        <v>1.6498401244965997</v>
      </c>
      <c r="BC43" s="721">
        <v>1.3764705392645626</v>
      </c>
      <c r="BD43" s="721">
        <v>2.2972185299163912</v>
      </c>
      <c r="BE43" s="721">
        <v>0.87421384490117793</v>
      </c>
    </row>
    <row r="44" spans="1:57" ht="15" x14ac:dyDescent="0.2">
      <c r="A44" s="224"/>
      <c r="B44" s="717"/>
      <c r="C44" s="6" t="s">
        <v>80</v>
      </c>
      <c r="D44" s="721">
        <v>1.1510360953398049</v>
      </c>
      <c r="E44" s="721">
        <v>0.86079482437344268</v>
      </c>
      <c r="F44" s="721">
        <v>1.7713277924340218</v>
      </c>
      <c r="G44" s="721">
        <v>1.1323204406071454</v>
      </c>
      <c r="H44" s="721">
        <v>1.9580052189994603</v>
      </c>
      <c r="I44" s="721">
        <v>1.7370202853344381</v>
      </c>
      <c r="J44" s="721">
        <v>1.588572934968397</v>
      </c>
      <c r="K44" s="721">
        <v>1.4268733921926469</v>
      </c>
      <c r="L44" s="721">
        <v>0.40388319076737389</v>
      </c>
      <c r="M44" s="721">
        <v>2.0795252397656441</v>
      </c>
      <c r="N44" s="721">
        <v>1.5946922866860405</v>
      </c>
      <c r="O44" s="721">
        <v>1.1556519271107391</v>
      </c>
      <c r="P44" s="721">
        <v>1.2284438111819327</v>
      </c>
      <c r="Q44" s="721">
        <v>1.7007534668082371</v>
      </c>
      <c r="R44" s="721">
        <v>1.3153618652140722</v>
      </c>
      <c r="S44" s="721">
        <v>1.1229881477775052</v>
      </c>
      <c r="T44" s="721">
        <v>1.2342653373489156</v>
      </c>
      <c r="U44" s="721">
        <v>1.3156063003698364</v>
      </c>
      <c r="V44" s="721">
        <v>1.1562821659026667</v>
      </c>
      <c r="W44" s="721">
        <v>1.8823842243291438</v>
      </c>
      <c r="X44" s="721">
        <v>1.208707935642451</v>
      </c>
      <c r="Y44" s="721">
        <v>1.907682218356058</v>
      </c>
      <c r="Z44" s="721">
        <v>2.0054597626440227</v>
      </c>
      <c r="AA44" s="721">
        <v>2.0363881220109761</v>
      </c>
      <c r="AB44" s="721">
        <v>0.85538759606424719</v>
      </c>
      <c r="AC44" s="721">
        <v>1.4168194005033001</v>
      </c>
      <c r="AD44" s="721">
        <v>1.0192193887196481</v>
      </c>
      <c r="AE44" s="37">
        <f>'User Add-in Location'!B49</f>
        <v>0</v>
      </c>
      <c r="AF44" s="37">
        <f>'User Add-in Location'!C49</f>
        <v>0</v>
      </c>
      <c r="AG44" s="721">
        <v>1.057085481705144</v>
      </c>
      <c r="AH44" s="721">
        <v>0.91057922039180994</v>
      </c>
      <c r="AI44" s="721">
        <v>2.6936294543556869</v>
      </c>
      <c r="AJ44" s="721">
        <v>1.9467080435715616</v>
      </c>
      <c r="AK44" s="721">
        <v>0.94983363774372265</v>
      </c>
      <c r="AL44" s="721">
        <v>1.2682646890170872</v>
      </c>
      <c r="AM44" s="721">
        <v>1.6297761597670615</v>
      </c>
      <c r="AN44" s="721">
        <v>0.81804646993987262</v>
      </c>
      <c r="AO44" s="721">
        <v>2.006768059451133</v>
      </c>
      <c r="AP44" s="721">
        <v>1.4854310487862676</v>
      </c>
      <c r="AQ44" s="721">
        <v>1.7784703826764598</v>
      </c>
      <c r="AR44" s="721">
        <v>1.8583602876169607</v>
      </c>
      <c r="AS44" s="721">
        <v>1.8785020462237298</v>
      </c>
      <c r="AT44" s="721">
        <v>1.5191380300093442</v>
      </c>
      <c r="AU44" s="721">
        <v>1.0323230165522546</v>
      </c>
      <c r="AV44" s="721">
        <v>1.5468966248445213</v>
      </c>
      <c r="AW44" s="721">
        <v>1.7269914799835533</v>
      </c>
      <c r="AX44" s="721">
        <v>3.8123592538759112</v>
      </c>
      <c r="AY44" s="721">
        <v>1.6853774973424152</v>
      </c>
      <c r="AZ44" s="721">
        <v>2.02433141018264</v>
      </c>
      <c r="BA44" s="721">
        <v>1.5078659248538315</v>
      </c>
      <c r="BB44" s="721">
        <v>1.4073958797380328</v>
      </c>
      <c r="BC44" s="721">
        <v>1.4252929204376414</v>
      </c>
      <c r="BD44" s="721">
        <v>1.5412844818783924</v>
      </c>
      <c r="BE44" s="721">
        <v>0.58963934285566211</v>
      </c>
    </row>
    <row r="45" spans="1:57" ht="15" x14ac:dyDescent="0.2">
      <c r="A45" s="224"/>
      <c r="B45" s="717"/>
      <c r="C45" s="6" t="s">
        <v>81</v>
      </c>
      <c r="D45" s="721">
        <v>1.756674490949159</v>
      </c>
      <c r="E45" s="721">
        <v>0</v>
      </c>
      <c r="F45" s="721">
        <v>2.2296862448415449</v>
      </c>
      <c r="G45" s="721">
        <v>1.4229424243332238</v>
      </c>
      <c r="H45" s="721">
        <v>2.2608492964057514</v>
      </c>
      <c r="I45" s="721">
        <v>1.8897166687955138</v>
      </c>
      <c r="J45" s="721">
        <v>1.6516310015032369</v>
      </c>
      <c r="K45" s="721">
        <v>1.658727256200647</v>
      </c>
      <c r="L45" s="721">
        <v>0.24626022352967211</v>
      </c>
      <c r="M45" s="721">
        <v>2.2981213138949488</v>
      </c>
      <c r="N45" s="721">
        <v>1.7332359475474204</v>
      </c>
      <c r="O45" s="721">
        <v>0.89446088191001649</v>
      </c>
      <c r="P45" s="721">
        <v>1.7480628926266906</v>
      </c>
      <c r="Q45" s="721">
        <v>2.2122596181848997</v>
      </c>
      <c r="R45" s="721">
        <v>1.7919482518267889</v>
      </c>
      <c r="S45" s="721">
        <v>1.5008316232312111</v>
      </c>
      <c r="T45" s="721">
        <v>1.5840467458130212</v>
      </c>
      <c r="U45" s="721">
        <v>1.7172549104177823</v>
      </c>
      <c r="V45" s="721">
        <v>1.4939852235137776</v>
      </c>
      <c r="W45" s="721">
        <v>1.5339036974855649</v>
      </c>
      <c r="X45" s="721">
        <v>1.597986250795344</v>
      </c>
      <c r="Y45" s="721">
        <v>1.773177400712044</v>
      </c>
      <c r="Z45" s="721">
        <v>2.3083224424751858</v>
      </c>
      <c r="AA45" s="721">
        <v>2.2058128464606499</v>
      </c>
      <c r="AB45" s="721">
        <v>1.1370414892832439</v>
      </c>
      <c r="AC45" s="721">
        <v>1.8449779300279514</v>
      </c>
      <c r="AD45" s="721">
        <v>1.1143464452476912</v>
      </c>
      <c r="AE45" s="37">
        <f>'User Add-in Location'!B50</f>
        <v>0</v>
      </c>
      <c r="AF45" s="37">
        <f>'User Add-in Location'!C50</f>
        <v>0</v>
      </c>
      <c r="AG45" s="721">
        <v>1.7993165241774693</v>
      </c>
      <c r="AH45" s="721">
        <v>1.0332094815469557</v>
      </c>
      <c r="AI45" s="721">
        <v>2.097090469893589</v>
      </c>
      <c r="AJ45" s="721">
        <v>1.8640676903468307</v>
      </c>
      <c r="AK45" s="721">
        <v>1.0081573788837721</v>
      </c>
      <c r="AL45" s="721">
        <v>1.3729519485145487</v>
      </c>
      <c r="AM45" s="721">
        <v>1.6310075841924196</v>
      </c>
      <c r="AN45" s="721">
        <v>1.1549539450676212</v>
      </c>
      <c r="AO45" s="721">
        <v>2.0359084272897374</v>
      </c>
      <c r="AP45" s="721">
        <v>1.7048232837389874</v>
      </c>
      <c r="AQ45" s="721">
        <v>0.98681542437563663</v>
      </c>
      <c r="AR45" s="721">
        <v>2.0010987994491414</v>
      </c>
      <c r="AS45" s="721">
        <v>1.4005609238019554</v>
      </c>
      <c r="AT45" s="721">
        <v>1.9476670436961676</v>
      </c>
      <c r="AU45" s="721">
        <v>1.3281408894446589</v>
      </c>
      <c r="AV45" s="721">
        <v>2.0108321789772279</v>
      </c>
      <c r="AW45" s="721">
        <v>1.8048358463471936</v>
      </c>
      <c r="AX45" s="721">
        <v>3.5976256965309061</v>
      </c>
      <c r="AY45" s="721">
        <v>1.8415630120103077</v>
      </c>
      <c r="AZ45" s="721">
        <v>1.6790485612807735</v>
      </c>
      <c r="BA45" s="721">
        <v>1.5494022882112892</v>
      </c>
      <c r="BB45" s="721">
        <v>1.2185199914440032</v>
      </c>
      <c r="BC45" s="721">
        <v>1.0319777034944104</v>
      </c>
      <c r="BD45" s="721">
        <v>2.1060712516948743</v>
      </c>
      <c r="BE45" s="721">
        <v>0.72902288295889417</v>
      </c>
    </row>
    <row r="46" spans="1:57" ht="15" x14ac:dyDescent="0.2">
      <c r="A46" s="224"/>
      <c r="B46" s="717"/>
      <c r="C46" s="6" t="s">
        <v>82</v>
      </c>
      <c r="D46" s="721">
        <v>1.67756099863775</v>
      </c>
      <c r="E46" s="721">
        <v>0.84060138116227223</v>
      </c>
      <c r="F46" s="721">
        <v>2.2971328782339784</v>
      </c>
      <c r="G46" s="721">
        <v>1.775493824961176</v>
      </c>
      <c r="H46" s="721">
        <v>2.3315642655256252</v>
      </c>
      <c r="I46" s="721">
        <v>2.5533948908154116</v>
      </c>
      <c r="J46" s="721">
        <v>1.7296537286825597</v>
      </c>
      <c r="K46" s="721">
        <v>1.6247557121763361</v>
      </c>
      <c r="L46" s="721">
        <v>0.62921016083116499</v>
      </c>
      <c r="M46" s="721">
        <v>2.35161847535591</v>
      </c>
      <c r="N46" s="721">
        <v>2.259518119034416</v>
      </c>
      <c r="O46" s="721">
        <v>1.4673861294444113</v>
      </c>
      <c r="P46" s="721">
        <v>1.9551792695233083</v>
      </c>
      <c r="Q46" s="721">
        <v>2.5697486747502856</v>
      </c>
      <c r="R46" s="721">
        <v>1.9570725320370244</v>
      </c>
      <c r="S46" s="721">
        <v>1.7367337177080515</v>
      </c>
      <c r="T46" s="721">
        <v>1.7460002802903436</v>
      </c>
      <c r="U46" s="721">
        <v>1.7295680887459095</v>
      </c>
      <c r="V46" s="721">
        <v>1.5931463100358032</v>
      </c>
      <c r="W46" s="721">
        <v>2.0503178920155527</v>
      </c>
      <c r="X46" s="721">
        <v>1.6709094388931935</v>
      </c>
      <c r="Y46" s="721">
        <v>1.9768004835563722</v>
      </c>
      <c r="Z46" s="721">
        <v>2.2596689647137165</v>
      </c>
      <c r="AA46" s="721">
        <v>2.4447327350560815</v>
      </c>
      <c r="AB46" s="721">
        <v>1.5040203917285209</v>
      </c>
      <c r="AC46" s="721">
        <v>2.1750195124784595</v>
      </c>
      <c r="AD46" s="721">
        <v>1.9062874756093466</v>
      </c>
      <c r="AE46" s="37">
        <f>'User Add-in Location'!B51</f>
        <v>0</v>
      </c>
      <c r="AF46" s="37">
        <f>'User Add-in Location'!C51</f>
        <v>0</v>
      </c>
      <c r="AG46" s="721">
        <v>1.9640761798321245</v>
      </c>
      <c r="AH46" s="721">
        <v>0</v>
      </c>
      <c r="AI46" s="721">
        <v>1.9034487298271996</v>
      </c>
      <c r="AJ46" s="721">
        <v>2.043650375231862</v>
      </c>
      <c r="AK46" s="721">
        <v>1.5048338563278534</v>
      </c>
      <c r="AL46" s="721">
        <v>1.7490435976101724</v>
      </c>
      <c r="AM46" s="721">
        <v>2.098604351631987</v>
      </c>
      <c r="AN46" s="721">
        <v>1.5309601213447734</v>
      </c>
      <c r="AO46" s="721">
        <v>2.2288989717109651</v>
      </c>
      <c r="AP46" s="721">
        <v>2.2344325055265206</v>
      </c>
      <c r="AQ46" s="721">
        <v>2.0420934733272404</v>
      </c>
      <c r="AR46" s="721">
        <v>2.498420480221287</v>
      </c>
      <c r="AS46" s="721">
        <v>1.9304493028300802</v>
      </c>
      <c r="AT46" s="721">
        <v>1.6429575278809043</v>
      </c>
      <c r="AU46" s="721">
        <v>1.6401682603999583</v>
      </c>
      <c r="AV46" s="721">
        <v>2.3215698782806502</v>
      </c>
      <c r="AW46" s="721">
        <v>2.5009263093596203</v>
      </c>
      <c r="AX46" s="721">
        <v>4.1547579280170668</v>
      </c>
      <c r="AY46" s="721">
        <v>2.6895208329078946</v>
      </c>
      <c r="AZ46" s="721">
        <v>2.0023204958850229</v>
      </c>
      <c r="BA46" s="721">
        <v>1.905419251962049</v>
      </c>
      <c r="BB46" s="721">
        <v>1.5933210338743842</v>
      </c>
      <c r="BC46" s="721">
        <v>1.6203621308687359</v>
      </c>
      <c r="BD46" s="721">
        <v>2.1530568866872226</v>
      </c>
      <c r="BE46" s="721">
        <v>0.97912529888037725</v>
      </c>
    </row>
    <row r="47" spans="1:57" ht="15" x14ac:dyDescent="0.2">
      <c r="A47" s="224"/>
      <c r="B47" s="717"/>
      <c r="C47" s="6" t="s">
        <v>9</v>
      </c>
      <c r="D47" s="721">
        <v>2.0576285079567733</v>
      </c>
      <c r="E47" s="721">
        <v>1.2240348267698002</v>
      </c>
      <c r="F47" s="721">
        <v>2.9906137443588166</v>
      </c>
      <c r="G47" s="721">
        <v>1.7330859661102296</v>
      </c>
      <c r="H47" s="721">
        <v>2.3488607138216855</v>
      </c>
      <c r="I47" s="721">
        <v>2.9266895171411025</v>
      </c>
      <c r="J47" s="721">
        <v>2.072876697243331</v>
      </c>
      <c r="K47" s="721">
        <v>2.0119316412303263</v>
      </c>
      <c r="L47" s="721">
        <v>0.62792103262004739</v>
      </c>
      <c r="M47" s="721">
        <v>3.0513665627576634</v>
      </c>
      <c r="N47" s="721">
        <v>2.6361155050243448</v>
      </c>
      <c r="O47" s="721">
        <v>2.0063843884153996</v>
      </c>
      <c r="P47" s="721">
        <v>2.2548413707824526</v>
      </c>
      <c r="Q47" s="721">
        <v>2.7575533775512331</v>
      </c>
      <c r="R47" s="721">
        <v>2.2406313465027039</v>
      </c>
      <c r="S47" s="721">
        <v>2.1345081991778163</v>
      </c>
      <c r="T47" s="721">
        <v>2.0752246985178511</v>
      </c>
      <c r="U47" s="721">
        <v>1.9185811376857187</v>
      </c>
      <c r="V47" s="721">
        <v>1.8198262799999672</v>
      </c>
      <c r="W47" s="721">
        <v>2.5610674963739819</v>
      </c>
      <c r="X47" s="721">
        <v>2.142257688430969</v>
      </c>
      <c r="Y47" s="721">
        <v>2.547726942964657</v>
      </c>
      <c r="Z47" s="721">
        <v>2.6715158876544702</v>
      </c>
      <c r="AA47" s="721">
        <v>3.0528401797403122</v>
      </c>
      <c r="AB47" s="721">
        <v>1.7291853236581038</v>
      </c>
      <c r="AC47" s="721">
        <v>2.6404872217578088</v>
      </c>
      <c r="AD47" s="721">
        <v>2.144447846041468</v>
      </c>
      <c r="AE47" s="37">
        <f>'User Add-in Location'!B52</f>
        <v>0</v>
      </c>
      <c r="AF47" s="37">
        <f>'User Add-in Location'!C52</f>
        <v>0</v>
      </c>
      <c r="AG47" s="721">
        <v>2.1532406184487716</v>
      </c>
      <c r="AH47" s="721">
        <v>1.4726870152764693</v>
      </c>
      <c r="AI47" s="721">
        <v>2.8268383522947391</v>
      </c>
      <c r="AJ47" s="721">
        <v>2.3262331796977334</v>
      </c>
      <c r="AK47" s="721">
        <v>1.6420476368087495</v>
      </c>
      <c r="AL47" s="721">
        <v>1.8192389214110232</v>
      </c>
      <c r="AM47" s="721">
        <v>2.7076143855820161</v>
      </c>
      <c r="AN47" s="721">
        <v>1.5606054243213403</v>
      </c>
      <c r="AO47" s="721">
        <v>2.7286563176594809</v>
      </c>
      <c r="AP47" s="721">
        <v>1.9661297501204258</v>
      </c>
      <c r="AQ47" s="721">
        <v>2.6172358878358395</v>
      </c>
      <c r="AR47" s="721">
        <v>2.632539557839582</v>
      </c>
      <c r="AS47" s="721">
        <v>2.5359887791250997</v>
      </c>
      <c r="AT47" s="721">
        <v>2.1119111692120218</v>
      </c>
      <c r="AU47" s="721">
        <v>1.9438807541738727</v>
      </c>
      <c r="AV47" s="721">
        <v>2.5426524022382178</v>
      </c>
      <c r="AW47" s="721">
        <v>2.3714604052240977</v>
      </c>
      <c r="AX47" s="721">
        <v>4.0664958120106229</v>
      </c>
      <c r="AY47" s="721">
        <v>2.8186184029379291</v>
      </c>
      <c r="AZ47" s="721">
        <v>2.2871516207734981</v>
      </c>
      <c r="BA47" s="721">
        <v>2.2566429586467631</v>
      </c>
      <c r="BB47" s="721">
        <v>1.8363693605639979</v>
      </c>
      <c r="BC47" s="721">
        <v>1.7123921704149532</v>
      </c>
      <c r="BD47" s="721">
        <v>2.5584654302654153</v>
      </c>
      <c r="BE47" s="721">
        <v>1.1013043149502693</v>
      </c>
    </row>
    <row r="48" spans="1:57" ht="15" x14ac:dyDescent="0.2">
      <c r="A48" s="224"/>
      <c r="B48" s="717"/>
      <c r="C48" s="6" t="s">
        <v>10</v>
      </c>
      <c r="D48" s="721">
        <v>2.4479159566163111</v>
      </c>
      <c r="E48" s="721">
        <v>2.060249313541886</v>
      </c>
      <c r="F48" s="721">
        <v>3.5433871682509155</v>
      </c>
      <c r="G48" s="721">
        <v>2.4234300153634973</v>
      </c>
      <c r="H48" s="721">
        <v>2.8755052180482701</v>
      </c>
      <c r="I48" s="721">
        <v>3.3354338780669703</v>
      </c>
      <c r="J48" s="721">
        <v>2.7275932514295267</v>
      </c>
      <c r="K48" s="721">
        <v>2.5431145826370227</v>
      </c>
      <c r="L48" s="721">
        <v>0.69731982128364112</v>
      </c>
      <c r="M48" s="721">
        <v>3.8255183186498383</v>
      </c>
      <c r="N48" s="721">
        <v>3.249956639777225</v>
      </c>
      <c r="O48" s="721">
        <v>2.3745917963418721</v>
      </c>
      <c r="P48" s="721">
        <v>2.9015539249934408</v>
      </c>
      <c r="Q48" s="721">
        <v>3.2624426450969062</v>
      </c>
      <c r="R48" s="721">
        <v>2.7183489774077882</v>
      </c>
      <c r="S48" s="721">
        <v>2.6139351833166282</v>
      </c>
      <c r="T48" s="721">
        <v>2.4065816996211962</v>
      </c>
      <c r="U48" s="721">
        <v>2.7609558361500888</v>
      </c>
      <c r="V48" s="721">
        <v>2.2569435261990036</v>
      </c>
      <c r="W48" s="721">
        <v>3.241743835890829</v>
      </c>
      <c r="X48" s="721">
        <v>2.6146030529527744</v>
      </c>
      <c r="Y48" s="721">
        <v>3.1266786069790098</v>
      </c>
      <c r="Z48" s="721">
        <v>3.0659790411307806</v>
      </c>
      <c r="AA48" s="721">
        <v>3.3523583170664919</v>
      </c>
      <c r="AB48" s="721">
        <v>2.2901173700200448</v>
      </c>
      <c r="AC48" s="721">
        <v>3.2166128619790348</v>
      </c>
      <c r="AD48" s="721">
        <v>3.1442221071732837</v>
      </c>
      <c r="AE48" s="37">
        <f>'User Add-in Location'!B53</f>
        <v>0</v>
      </c>
      <c r="AF48" s="37">
        <f>'User Add-in Location'!C53</f>
        <v>0</v>
      </c>
      <c r="AG48" s="721">
        <v>2.5808105957208474</v>
      </c>
      <c r="AH48" s="721">
        <v>1.172302639039527</v>
      </c>
      <c r="AI48" s="721">
        <v>3.5353496717480604</v>
      </c>
      <c r="AJ48" s="721">
        <v>2.9312426669853657</v>
      </c>
      <c r="AK48" s="721">
        <v>2.3004298324541383</v>
      </c>
      <c r="AL48" s="721">
        <v>2.3284268470002965</v>
      </c>
      <c r="AM48" s="721">
        <v>3.4661144498460454</v>
      </c>
      <c r="AN48" s="721">
        <v>1.9610687694927253</v>
      </c>
      <c r="AO48" s="721">
        <v>3.2464137738293939</v>
      </c>
      <c r="AP48" s="721">
        <v>2.7275652649379012</v>
      </c>
      <c r="AQ48" s="721">
        <v>3.5552666503240928</v>
      </c>
      <c r="AR48" s="721">
        <v>3.3301477895287821</v>
      </c>
      <c r="AS48" s="721">
        <v>3.1866321649064751</v>
      </c>
      <c r="AT48" s="721">
        <v>2.7220893160405271</v>
      </c>
      <c r="AU48" s="721">
        <v>2.4515047204104072</v>
      </c>
      <c r="AV48" s="721">
        <v>3.292049890425218</v>
      </c>
      <c r="AW48" s="721">
        <v>2.8408510007662167</v>
      </c>
      <c r="AX48" s="721">
        <v>4.9252490743098143</v>
      </c>
      <c r="AY48" s="721">
        <v>3.4725146246428538</v>
      </c>
      <c r="AZ48" s="721">
        <v>3.0393092579634611</v>
      </c>
      <c r="BA48" s="721">
        <v>2.6135021763182014</v>
      </c>
      <c r="BB48" s="721">
        <v>2.1691657982976582</v>
      </c>
      <c r="BC48" s="721">
        <v>2.2514042158845902</v>
      </c>
      <c r="BD48" s="721">
        <v>2.9846189515970178</v>
      </c>
      <c r="BE48" s="721">
        <v>1.4664371956965438</v>
      </c>
    </row>
    <row r="49" spans="3:57" ht="15" x14ac:dyDescent="0.2">
      <c r="C49" s="6" t="s">
        <v>83</v>
      </c>
      <c r="D49" s="721">
        <v>1.8621149505155619</v>
      </c>
      <c r="E49" s="721">
        <v>1.1781465771921333</v>
      </c>
      <c r="F49" s="721">
        <v>2.7196502391581103</v>
      </c>
      <c r="G49" s="721">
        <v>1.509702090149543</v>
      </c>
      <c r="H49" s="721">
        <v>2.0670464974722242</v>
      </c>
      <c r="I49" s="721">
        <v>2.4412476223502395</v>
      </c>
      <c r="J49" s="721">
        <v>2.1965538360396195</v>
      </c>
      <c r="K49" s="721">
        <v>1.3050174747322283</v>
      </c>
      <c r="L49" s="721">
        <v>0.49829344491000049</v>
      </c>
      <c r="M49" s="721">
        <v>2.8160195700674842</v>
      </c>
      <c r="N49" s="721">
        <v>2.2239105263019958</v>
      </c>
      <c r="O49" s="721">
        <v>1.5429361836624329</v>
      </c>
      <c r="P49" s="721">
        <v>1.77054296775583</v>
      </c>
      <c r="Q49" s="721">
        <v>2.391852889891529</v>
      </c>
      <c r="R49" s="721">
        <v>1.7247229934047812</v>
      </c>
      <c r="S49" s="721">
        <v>1.7639738374269038</v>
      </c>
      <c r="T49" s="721">
        <v>1.8368439153019869</v>
      </c>
      <c r="U49" s="721">
        <v>1.8580905014994527</v>
      </c>
      <c r="V49" s="721">
        <v>1.5594144523891569</v>
      </c>
      <c r="W49" s="721">
        <v>2.0970225518919596</v>
      </c>
      <c r="X49" s="721">
        <v>1.7074567978989768</v>
      </c>
      <c r="Y49" s="721">
        <v>2.4177698861720747</v>
      </c>
      <c r="Z49" s="721">
        <v>2.2257140714593704</v>
      </c>
      <c r="AA49" s="721">
        <v>2.8697056060965824</v>
      </c>
      <c r="AB49" s="721">
        <v>1.5250150332714891</v>
      </c>
      <c r="AC49" s="721">
        <v>2.1710660384235925</v>
      </c>
      <c r="AD49" s="721">
        <v>1.6844482202609927</v>
      </c>
      <c r="AE49" s="37">
        <f>'User Add-in Location'!B54</f>
        <v>0</v>
      </c>
      <c r="AF49" s="37">
        <f>'User Add-in Location'!C54</f>
        <v>0</v>
      </c>
      <c r="AG49" s="721">
        <v>1.8112528595457165</v>
      </c>
      <c r="AH49" s="721">
        <v>0</v>
      </c>
      <c r="AI49" s="721">
        <v>2.2210675689942083</v>
      </c>
      <c r="AJ49" s="721">
        <v>2.0370078278627051</v>
      </c>
      <c r="AK49" s="721">
        <v>1.1637868649502969</v>
      </c>
      <c r="AL49" s="721">
        <v>1.8710541227007076</v>
      </c>
      <c r="AM49" s="721">
        <v>2.5544130794588398</v>
      </c>
      <c r="AN49" s="721">
        <v>1.3648556239262921</v>
      </c>
      <c r="AO49" s="721">
        <v>2.1771882101432616</v>
      </c>
      <c r="AP49" s="721">
        <v>1.8264502491810615</v>
      </c>
      <c r="AQ49" s="721">
        <v>1.9048829466707446</v>
      </c>
      <c r="AR49" s="721">
        <v>2.3619171368848551</v>
      </c>
      <c r="AS49" s="721">
        <v>2.2714313568991735</v>
      </c>
      <c r="AT49" s="721">
        <v>2.1423812230630004</v>
      </c>
      <c r="AU49" s="721">
        <v>1.5042785901020626</v>
      </c>
      <c r="AV49" s="721">
        <v>2.3804906237075469</v>
      </c>
      <c r="AW49" s="721">
        <v>2.387698884355467</v>
      </c>
      <c r="AX49" s="721">
        <v>3.7305057645802622</v>
      </c>
      <c r="AY49" s="721">
        <v>2.0964772305118418</v>
      </c>
      <c r="AZ49" s="721">
        <v>1.847419051627486</v>
      </c>
      <c r="BA49" s="721">
        <v>1.7633199071539609</v>
      </c>
      <c r="BB49" s="721">
        <v>1.4226672040415509</v>
      </c>
      <c r="BC49" s="721">
        <v>1.3891182130469477</v>
      </c>
      <c r="BD49" s="721">
        <v>1.9828035657537955</v>
      </c>
      <c r="BE49" s="721">
        <v>0.8558435969832876</v>
      </c>
    </row>
    <row r="50" spans="3:57" ht="15" x14ac:dyDescent="0.2">
      <c r="C50" s="6" t="s">
        <v>84</v>
      </c>
      <c r="D50" s="721">
        <v>2.9555047099566845</v>
      </c>
      <c r="E50" s="721">
        <v>2.2104293572250402</v>
      </c>
      <c r="F50" s="721">
        <v>4.1357597444903682</v>
      </c>
      <c r="G50" s="721">
        <v>2.5691342375808173</v>
      </c>
      <c r="H50" s="721">
        <v>3.5036120439901226</v>
      </c>
      <c r="I50" s="721">
        <v>3.9176570032101599</v>
      </c>
      <c r="J50" s="721">
        <v>3.0016256139471098</v>
      </c>
      <c r="K50" s="721">
        <v>2.6701175890680715</v>
      </c>
      <c r="L50" s="721">
        <v>0.86150156681551948</v>
      </c>
      <c r="M50" s="721">
        <v>4.3548235404839097</v>
      </c>
      <c r="N50" s="721">
        <v>3.7903530398461842</v>
      </c>
      <c r="O50" s="721">
        <v>2.7323037864843083</v>
      </c>
      <c r="P50" s="721">
        <v>2.9285405679006304</v>
      </c>
      <c r="Q50" s="721">
        <v>3.8574100842996271</v>
      </c>
      <c r="R50" s="721">
        <v>2.6421555718641221</v>
      </c>
      <c r="S50" s="721">
        <v>2.7025278457372637</v>
      </c>
      <c r="T50" s="721">
        <v>2.8930396701483745</v>
      </c>
      <c r="U50" s="721">
        <v>2.8849029746793757</v>
      </c>
      <c r="V50" s="721">
        <v>2.7021108232873972</v>
      </c>
      <c r="W50" s="721">
        <v>3.5256918933446642</v>
      </c>
      <c r="X50" s="721">
        <v>2.9761115350723872</v>
      </c>
      <c r="Y50" s="721">
        <v>3.2900595223675109</v>
      </c>
      <c r="Z50" s="721">
        <v>3.8362859113926961</v>
      </c>
      <c r="AA50" s="721">
        <v>3.8969548173060704</v>
      </c>
      <c r="AB50" s="721">
        <v>2.4444192885930964</v>
      </c>
      <c r="AC50" s="721">
        <v>3.5105119451993234</v>
      </c>
      <c r="AD50" s="721">
        <v>2.9631135079593838</v>
      </c>
      <c r="AE50" s="37">
        <f>'User Add-in Location'!B55</f>
        <v>0</v>
      </c>
      <c r="AF50" s="37">
        <f>'User Add-in Location'!C55</f>
        <v>0</v>
      </c>
      <c r="AG50" s="721">
        <v>2.7704021797241505</v>
      </c>
      <c r="AH50" s="721">
        <v>2.1533214837890733</v>
      </c>
      <c r="AI50" s="721">
        <v>3.4041130938422741</v>
      </c>
      <c r="AJ50" s="721">
        <v>3.3034716759411453</v>
      </c>
      <c r="AK50" s="721">
        <v>2.3702774133321487</v>
      </c>
      <c r="AL50" s="721">
        <v>2.6063696260285747</v>
      </c>
      <c r="AM50" s="721">
        <v>3.4179681269125179</v>
      </c>
      <c r="AN50" s="721">
        <v>2.1740253245441545</v>
      </c>
      <c r="AO50" s="721">
        <v>3.7361070243437013</v>
      </c>
      <c r="AP50" s="721">
        <v>2.8663107237894918</v>
      </c>
      <c r="AQ50" s="721">
        <v>3.0452903053533502</v>
      </c>
      <c r="AR50" s="721">
        <v>3.5789764404210658</v>
      </c>
      <c r="AS50" s="721">
        <v>3.3089337184950773</v>
      </c>
      <c r="AT50" s="721">
        <v>3.1317999163559009</v>
      </c>
      <c r="AU50" s="721">
        <v>2.4416852678987082</v>
      </c>
      <c r="AV50" s="721">
        <v>3.6071730327530647</v>
      </c>
      <c r="AW50" s="721">
        <v>3.462260420557298</v>
      </c>
      <c r="AX50" s="721">
        <v>5.6359388469623521</v>
      </c>
      <c r="AY50" s="721">
        <v>3.775688577784706</v>
      </c>
      <c r="AZ50" s="721">
        <v>3.1120800913716606</v>
      </c>
      <c r="BA50" s="721">
        <v>3.2622015539196543</v>
      </c>
      <c r="BB50" s="721">
        <v>2.5384688144258232</v>
      </c>
      <c r="BC50" s="721">
        <v>2.4165815920698863</v>
      </c>
      <c r="BD50" s="721">
        <v>3.3035440756720251</v>
      </c>
      <c r="BE50" s="721">
        <v>1.5988519716904963</v>
      </c>
    </row>
    <row r="51" spans="3:57" ht="15" x14ac:dyDescent="0.2">
      <c r="C51" s="6" t="s">
        <v>85</v>
      </c>
      <c r="D51" s="721">
        <v>2.3601020912469508</v>
      </c>
      <c r="E51" s="721">
        <v>1.7588513226168985</v>
      </c>
      <c r="F51" s="721">
        <v>3.4485602078080575</v>
      </c>
      <c r="G51" s="721">
        <v>2.0632541366437187</v>
      </c>
      <c r="H51" s="721">
        <v>2.891375248080545</v>
      </c>
      <c r="I51" s="721">
        <v>3.1283694899205141</v>
      </c>
      <c r="J51" s="721">
        <v>2.550723208581994</v>
      </c>
      <c r="K51" s="721">
        <v>2.399505293717922</v>
      </c>
      <c r="L51" s="721">
        <v>0.79212144723876232</v>
      </c>
      <c r="M51" s="721">
        <v>3.6067451166405995</v>
      </c>
      <c r="N51" s="721">
        <v>3.0031223897316788</v>
      </c>
      <c r="O51" s="721">
        <v>2.4020862708252766</v>
      </c>
      <c r="P51" s="721">
        <v>2.5922024094820149</v>
      </c>
      <c r="Q51" s="721">
        <v>3.1899498603768555</v>
      </c>
      <c r="R51" s="721">
        <v>2.6116452147757645</v>
      </c>
      <c r="S51" s="721">
        <v>2.3208666894518664</v>
      </c>
      <c r="T51" s="721">
        <v>2.3500642322918615</v>
      </c>
      <c r="U51" s="721">
        <v>2.4868407029468171</v>
      </c>
      <c r="V51" s="721">
        <v>2.1268400067216575</v>
      </c>
      <c r="W51" s="721">
        <v>3.1166777244378645</v>
      </c>
      <c r="X51" s="721">
        <v>2.5088649358195347</v>
      </c>
      <c r="Y51" s="721">
        <v>2.9452656176293637</v>
      </c>
      <c r="Z51" s="721">
        <v>3.1413320358237669</v>
      </c>
      <c r="AA51" s="721">
        <v>3.3590186138539209</v>
      </c>
      <c r="AB51" s="721">
        <v>2.039285443052981</v>
      </c>
      <c r="AC51" s="721">
        <v>2.9887904101245497</v>
      </c>
      <c r="AD51" s="721">
        <v>2.5181881215604136</v>
      </c>
      <c r="AE51" s="37">
        <f>'User Add-in Location'!B56</f>
        <v>0</v>
      </c>
      <c r="AF51" s="37">
        <f>'User Add-in Location'!C56</f>
        <v>0</v>
      </c>
      <c r="AG51" s="721">
        <v>2.5108465604456369</v>
      </c>
      <c r="AH51" s="721">
        <v>1.6709430261140215</v>
      </c>
      <c r="AI51" s="721">
        <v>3.0306315649657107</v>
      </c>
      <c r="AJ51" s="721">
        <v>2.8083069312069022</v>
      </c>
      <c r="AK51" s="721">
        <v>1.9108663470003813</v>
      </c>
      <c r="AL51" s="721">
        <v>2.2469882187216199</v>
      </c>
      <c r="AM51" s="721">
        <v>3.0903113956863111</v>
      </c>
      <c r="AN51" s="721">
        <v>1.7495848962992719</v>
      </c>
      <c r="AO51" s="721">
        <v>3.2431467288772802</v>
      </c>
      <c r="AP51" s="721">
        <v>2.3277780501761165</v>
      </c>
      <c r="AQ51" s="721">
        <v>3.0790223518257887</v>
      </c>
      <c r="AR51" s="721">
        <v>3.2141973958961128</v>
      </c>
      <c r="AS51" s="721">
        <v>2.9676308575132109</v>
      </c>
      <c r="AT51" s="721">
        <v>2.472816395451447</v>
      </c>
      <c r="AU51" s="721">
        <v>2.2776707412342554</v>
      </c>
      <c r="AV51" s="721">
        <v>3.2309098927427593</v>
      </c>
      <c r="AW51" s="721">
        <v>2.7756339998717081</v>
      </c>
      <c r="AX51" s="721">
        <v>4.864449697730147</v>
      </c>
      <c r="AY51" s="721">
        <v>3.0861472360946558</v>
      </c>
      <c r="AZ51" s="721">
        <v>2.7506220140249913</v>
      </c>
      <c r="BA51" s="721">
        <v>2.6358267562037003</v>
      </c>
      <c r="BB51" s="721">
        <v>2.0956817861855703</v>
      </c>
      <c r="BC51" s="721">
        <v>2.1586338427038534</v>
      </c>
      <c r="BD51" s="721">
        <v>2.8641638345827833</v>
      </c>
      <c r="BE51" s="721">
        <v>1.2425691853604237</v>
      </c>
    </row>
    <row r="52" spans="3:57" ht="15" x14ac:dyDescent="0.2">
      <c r="C52" s="6" t="s">
        <v>11</v>
      </c>
      <c r="D52" s="721">
        <v>3.1878123987686191</v>
      </c>
      <c r="E52" s="721">
        <v>2.7832528984868379</v>
      </c>
      <c r="F52" s="721">
        <v>4.2843179518423486</v>
      </c>
      <c r="G52" s="721">
        <v>3.4685033200693165</v>
      </c>
      <c r="H52" s="721">
        <v>3.7169836835214292</v>
      </c>
      <c r="I52" s="721">
        <v>4.3067369867988434</v>
      </c>
      <c r="J52" s="721">
        <v>2.9042487867899309</v>
      </c>
      <c r="K52" s="721">
        <v>2.9235543771697863</v>
      </c>
      <c r="L52" s="721">
        <v>0.75406474740204366</v>
      </c>
      <c r="M52" s="721">
        <v>4.820780668877755</v>
      </c>
      <c r="N52" s="721">
        <v>4.4803295236360761</v>
      </c>
      <c r="O52" s="721">
        <v>3.5229228765402807</v>
      </c>
      <c r="P52" s="721">
        <v>3.8683865698126438</v>
      </c>
      <c r="Q52" s="721">
        <v>4.4886655525775137</v>
      </c>
      <c r="R52" s="721">
        <v>3.9973313260652303</v>
      </c>
      <c r="S52" s="721">
        <v>3.578899055567212</v>
      </c>
      <c r="T52" s="721">
        <v>3.6314436438134079</v>
      </c>
      <c r="U52" s="721">
        <v>3.6933921950303406</v>
      </c>
      <c r="V52" s="721">
        <v>3.3567911175199878</v>
      </c>
      <c r="W52" s="721">
        <v>4.5381308047115843</v>
      </c>
      <c r="X52" s="721">
        <v>2.9283253734430024</v>
      </c>
      <c r="Y52" s="721">
        <v>2.8794060562058665</v>
      </c>
      <c r="Z52" s="721">
        <v>4.4402582612375028</v>
      </c>
      <c r="AA52" s="721">
        <v>4.2252971435619218</v>
      </c>
      <c r="AB52" s="721">
        <v>3.4012298590940424</v>
      </c>
      <c r="AC52" s="721">
        <v>4.2869265512512342</v>
      </c>
      <c r="AD52" s="721">
        <v>3.7990067615550771</v>
      </c>
      <c r="AE52" s="37">
        <f>'User Add-in Location'!B57</f>
        <v>0</v>
      </c>
      <c r="AF52" s="37">
        <f>'User Add-in Location'!C57</f>
        <v>0</v>
      </c>
      <c r="AG52" s="721">
        <v>3.8552538136510757</v>
      </c>
      <c r="AH52" s="721">
        <v>2.4492931325969516</v>
      </c>
      <c r="AI52" s="721">
        <v>3.3154741980401727</v>
      </c>
      <c r="AJ52" s="721">
        <v>3.7763216406824291</v>
      </c>
      <c r="AK52" s="721">
        <v>2.27341512917255</v>
      </c>
      <c r="AL52" s="721">
        <v>2.8129386321025378</v>
      </c>
      <c r="AM52" s="721">
        <v>4.5085210671483988</v>
      </c>
      <c r="AN52" s="721">
        <v>2.648063899651659</v>
      </c>
      <c r="AO52" s="721">
        <v>4.3361117549398189</v>
      </c>
      <c r="AP52" s="721">
        <v>3.2409727345584169</v>
      </c>
      <c r="AQ52" s="721">
        <v>4.1528619349568014</v>
      </c>
      <c r="AR52" s="721">
        <v>4.0872927004190194</v>
      </c>
      <c r="AS52" s="721">
        <v>3.4364764692138183</v>
      </c>
      <c r="AT52" s="721">
        <v>3.8876053930459276</v>
      </c>
      <c r="AU52" s="721">
        <v>3.2626505586720138</v>
      </c>
      <c r="AV52" s="721">
        <v>4.1155995345306948</v>
      </c>
      <c r="AW52" s="721">
        <v>3.7686159202080414</v>
      </c>
      <c r="AX52" s="721">
        <v>5.890527433413471</v>
      </c>
      <c r="AY52" s="721">
        <v>4.3149006782353663</v>
      </c>
      <c r="AZ52" s="721">
        <v>4.1488155939559883</v>
      </c>
      <c r="BA52" s="721">
        <v>3.181387042234102</v>
      </c>
      <c r="BB52" s="721">
        <v>2.8340844838485326</v>
      </c>
      <c r="BC52" s="721">
        <v>3.0344655294647884</v>
      </c>
      <c r="BD52" s="721">
        <v>4.0313616004153641</v>
      </c>
      <c r="BE52" s="721">
        <v>2.1940858219767208</v>
      </c>
    </row>
    <row r="53" spans="3:57" ht="15" x14ac:dyDescent="0.2">
      <c r="C53" s="6"/>
      <c r="D53" s="721"/>
      <c r="E53" s="721"/>
      <c r="F53" s="721"/>
      <c r="G53" s="721"/>
      <c r="H53" s="721"/>
      <c r="I53" s="721"/>
      <c r="J53" s="721"/>
      <c r="K53" s="721"/>
      <c r="L53" s="721"/>
      <c r="M53" s="721"/>
      <c r="N53" s="721"/>
      <c r="O53" s="721"/>
      <c r="P53" s="721"/>
      <c r="Q53" s="721"/>
      <c r="R53" s="721"/>
      <c r="S53" s="721"/>
      <c r="T53" s="721"/>
      <c r="U53" s="721"/>
      <c r="V53" s="721"/>
      <c r="W53" s="721"/>
      <c r="X53" s="721"/>
      <c r="Y53" s="721"/>
      <c r="Z53" s="721"/>
      <c r="AA53" s="721"/>
      <c r="AB53" s="721"/>
      <c r="AC53" s="721"/>
      <c r="AD53" s="721"/>
      <c r="AE53" s="37"/>
      <c r="AF53" s="37"/>
      <c r="AG53" s="721"/>
      <c r="AH53" s="721"/>
      <c r="AI53" s="721"/>
      <c r="AJ53" s="721"/>
      <c r="AK53" s="721"/>
      <c r="AL53" s="721"/>
      <c r="AM53" s="721"/>
      <c r="AN53" s="721"/>
      <c r="AO53" s="721"/>
      <c r="AP53" s="721"/>
      <c r="AQ53" s="721"/>
      <c r="AR53" s="721"/>
      <c r="AS53" s="721"/>
      <c r="AT53" s="721"/>
      <c r="AU53" s="721"/>
      <c r="AV53" s="721"/>
      <c r="AW53" s="721"/>
      <c r="AX53" s="721"/>
      <c r="AY53" s="721"/>
      <c r="AZ53" s="721"/>
      <c r="BA53" s="721"/>
      <c r="BB53" s="721"/>
      <c r="BC53" s="721"/>
      <c r="BD53" s="721"/>
      <c r="BE53" s="721"/>
    </row>
    <row r="54" spans="3:57" ht="12.75" customHeight="1" x14ac:dyDescent="0.2">
      <c r="C54" s="17" t="s">
        <v>124</v>
      </c>
      <c r="D54" s="721"/>
      <c r="E54" s="721"/>
      <c r="F54" s="721"/>
      <c r="G54" s="721"/>
      <c r="H54" s="721"/>
      <c r="I54" s="721"/>
      <c r="J54" s="721"/>
      <c r="K54" s="721"/>
      <c r="L54" s="721"/>
      <c r="M54" s="721"/>
      <c r="N54" s="721"/>
      <c r="O54" s="721"/>
      <c r="P54" s="721"/>
      <c r="Q54" s="721"/>
      <c r="R54" s="721"/>
      <c r="S54" s="721"/>
      <c r="T54" s="721"/>
      <c r="U54" s="721"/>
      <c r="V54" s="721"/>
      <c r="W54" s="721"/>
      <c r="X54" s="721"/>
      <c r="Y54" s="721"/>
      <c r="Z54" s="721"/>
      <c r="AA54" s="721"/>
      <c r="AB54" s="721"/>
      <c r="AC54" s="721"/>
      <c r="AD54" s="721"/>
      <c r="AE54" s="37"/>
      <c r="AF54" s="37"/>
      <c r="AG54" s="721"/>
      <c r="AH54" s="721"/>
      <c r="AI54" s="721"/>
      <c r="AJ54" s="721"/>
      <c r="AK54" s="721"/>
      <c r="AL54" s="721"/>
      <c r="AM54" s="721"/>
      <c r="AN54" s="721"/>
      <c r="AO54" s="721"/>
      <c r="AP54" s="721"/>
      <c r="AQ54" s="721"/>
      <c r="AR54" s="721"/>
      <c r="AS54" s="721"/>
      <c r="AT54" s="721"/>
      <c r="AU54" s="721"/>
      <c r="AV54" s="721"/>
      <c r="AW54" s="721"/>
      <c r="AX54" s="721"/>
      <c r="AY54" s="721"/>
      <c r="AZ54" s="721"/>
      <c r="BA54" s="721"/>
      <c r="BB54" s="721"/>
      <c r="BC54" s="721"/>
      <c r="BD54" s="721"/>
      <c r="BE54" s="721"/>
    </row>
    <row r="55" spans="3:57" x14ac:dyDescent="0.2">
      <c r="C55" s="111" t="s">
        <v>99</v>
      </c>
      <c r="D55" s="721" t="s">
        <v>13</v>
      </c>
      <c r="E55" s="721" t="s">
        <v>14</v>
      </c>
      <c r="F55" s="721" t="s">
        <v>15</v>
      </c>
      <c r="G55" s="721" t="s">
        <v>16</v>
      </c>
      <c r="H55" s="721" t="s">
        <v>17</v>
      </c>
      <c r="I55" s="721" t="s">
        <v>18</v>
      </c>
      <c r="J55" s="721" t="s">
        <v>19</v>
      </c>
      <c r="K55" s="721" t="s">
        <v>20</v>
      </c>
      <c r="L55" s="721" t="s">
        <v>21</v>
      </c>
      <c r="M55" s="721" t="s">
        <v>22</v>
      </c>
      <c r="N55" s="721" t="s">
        <v>23</v>
      </c>
      <c r="O55" s="721" t="s">
        <v>24</v>
      </c>
      <c r="P55" s="721" t="s">
        <v>25</v>
      </c>
      <c r="Q55" s="721" t="s">
        <v>26</v>
      </c>
      <c r="R55" s="721" t="s">
        <v>27</v>
      </c>
      <c r="S55" s="721" t="s">
        <v>28</v>
      </c>
      <c r="T55" s="721" t="s">
        <v>29</v>
      </c>
      <c r="U55" s="721" t="s">
        <v>30</v>
      </c>
      <c r="V55" s="721" t="s">
        <v>31</v>
      </c>
      <c r="W55" s="721" t="s">
        <v>32</v>
      </c>
      <c r="X55" s="721" t="s">
        <v>33</v>
      </c>
      <c r="Y55" s="721" t="s">
        <v>34</v>
      </c>
      <c r="Z55" s="721" t="s">
        <v>35</v>
      </c>
      <c r="AA55" s="721" t="s">
        <v>36</v>
      </c>
      <c r="AB55" s="721" t="s">
        <v>37</v>
      </c>
      <c r="AC55" s="721" t="s">
        <v>38</v>
      </c>
      <c r="AD55" s="721" t="s">
        <v>39</v>
      </c>
      <c r="AE55" s="37" t="s">
        <v>151</v>
      </c>
      <c r="AF55" s="37" t="s">
        <v>150</v>
      </c>
      <c r="AG55" s="721" t="s">
        <v>40</v>
      </c>
      <c r="AH55" s="721" t="s">
        <v>41</v>
      </c>
      <c r="AI55" s="721" t="s">
        <v>42</v>
      </c>
      <c r="AJ55" s="721" t="s">
        <v>43</v>
      </c>
      <c r="AK55" s="721" t="s">
        <v>44</v>
      </c>
      <c r="AL55" s="721" t="s">
        <v>45</v>
      </c>
      <c r="AM55" s="721" t="s">
        <v>46</v>
      </c>
      <c r="AN55" s="721" t="s">
        <v>47</v>
      </c>
      <c r="AO55" s="721" t="s">
        <v>48</v>
      </c>
      <c r="AP55" s="721" t="s">
        <v>49</v>
      </c>
      <c r="AQ55" s="721" t="s">
        <v>50</v>
      </c>
      <c r="AR55" s="721" t="s">
        <v>51</v>
      </c>
      <c r="AS55" s="721" t="s">
        <v>52</v>
      </c>
      <c r="AT55" s="721" t="s">
        <v>53</v>
      </c>
      <c r="AU55" s="721" t="s">
        <v>54</v>
      </c>
      <c r="AV55" s="721" t="s">
        <v>55</v>
      </c>
      <c r="AW55" s="721" t="s">
        <v>56</v>
      </c>
      <c r="AX55" s="721" t="s">
        <v>489</v>
      </c>
      <c r="AY55" s="721" t="s">
        <v>57</v>
      </c>
      <c r="AZ55" s="721" t="s">
        <v>58</v>
      </c>
      <c r="BA55" s="721" t="s">
        <v>59</v>
      </c>
      <c r="BB55" s="721" t="s">
        <v>60</v>
      </c>
      <c r="BC55" s="721" t="s">
        <v>61</v>
      </c>
      <c r="BD55" s="721" t="s">
        <v>62</v>
      </c>
      <c r="BE55" s="721" t="s">
        <v>12</v>
      </c>
    </row>
    <row r="56" spans="3:57" ht="15" x14ac:dyDescent="0.2">
      <c r="C56" s="6" t="s">
        <v>7</v>
      </c>
      <c r="D56" s="721">
        <v>0.31032046675682068</v>
      </c>
      <c r="E56" s="721">
        <v>0.45057016611099243</v>
      </c>
      <c r="F56" s="721">
        <v>0.27041628956794739</v>
      </c>
      <c r="G56" s="721">
        <v>0.26651883125305176</v>
      </c>
      <c r="H56" s="721">
        <v>0.43417537212371826</v>
      </c>
      <c r="I56" s="721">
        <v>0.20264269411563873</v>
      </c>
      <c r="J56" s="721">
        <v>0.26130279898643494</v>
      </c>
      <c r="K56" s="721">
        <v>0.1723911315202713</v>
      </c>
      <c r="L56" s="721">
        <v>0.19533370435237885</v>
      </c>
      <c r="M56" s="721">
        <v>0.38660275936126709</v>
      </c>
      <c r="N56" s="721">
        <v>0.40934967994689941</v>
      </c>
      <c r="O56" s="721">
        <v>0.47207099199295044</v>
      </c>
      <c r="P56" s="721">
        <v>0.36470335721969604</v>
      </c>
      <c r="Q56" s="721">
        <v>0.50389683246612549</v>
      </c>
      <c r="R56" s="721">
        <v>0.38238194584846497</v>
      </c>
      <c r="S56" s="721">
        <v>0.2701869010925293</v>
      </c>
      <c r="T56" s="721">
        <v>0.24202048778533936</v>
      </c>
      <c r="U56" s="721">
        <v>0.30583181977272034</v>
      </c>
      <c r="V56" s="721">
        <v>0.42874276638031006</v>
      </c>
      <c r="W56" s="721">
        <v>0.3682408332824707</v>
      </c>
      <c r="X56" s="721">
        <v>0.24517486989498138</v>
      </c>
      <c r="Y56" s="721">
        <v>0.40936082601547241</v>
      </c>
      <c r="Z56" s="721">
        <v>0.28662571310997009</v>
      </c>
      <c r="AA56" s="721">
        <v>0.24508363008499146</v>
      </c>
      <c r="AB56" s="721">
        <v>0.36351531744003296</v>
      </c>
      <c r="AC56" s="721">
        <v>0.26675727963447571</v>
      </c>
      <c r="AD56" s="721">
        <v>0.2006334513425827</v>
      </c>
      <c r="AE56" s="37">
        <f>'User Add-in Location'!B61</f>
        <v>0</v>
      </c>
      <c r="AF56" s="37">
        <f>'User Add-in Location'!C61</f>
        <v>0</v>
      </c>
      <c r="AG56" s="721">
        <v>0.2579934298992157</v>
      </c>
      <c r="AH56" s="721">
        <v>0.26385286450386047</v>
      </c>
      <c r="AI56" s="721">
        <v>0.27641800045967102</v>
      </c>
      <c r="AJ56" s="721">
        <v>0.47454649209976196</v>
      </c>
      <c r="AK56" s="721">
        <v>0.41970589756965637</v>
      </c>
      <c r="AL56" s="721">
        <v>0.30550473928451538</v>
      </c>
      <c r="AM56" s="721">
        <v>0.27077579498291016</v>
      </c>
      <c r="AN56" s="721">
        <v>0.18508340418338776</v>
      </c>
      <c r="AO56" s="721">
        <v>0.26801368594169617</v>
      </c>
      <c r="AP56" s="721">
        <v>0.15793138742446899</v>
      </c>
      <c r="AQ56" s="721">
        <v>0.38706052303314209</v>
      </c>
      <c r="AR56" s="721">
        <v>0.21677544713020325</v>
      </c>
      <c r="AS56" s="721">
        <v>0.30154457688331604</v>
      </c>
      <c r="AT56" s="721">
        <v>0.31018808484077454</v>
      </c>
      <c r="AU56" s="721">
        <v>0.31343108415603638</v>
      </c>
      <c r="AV56" s="721">
        <v>0.22844129800796509</v>
      </c>
      <c r="AW56" s="721">
        <v>0.20893400907516479</v>
      </c>
      <c r="AX56" s="721">
        <v>0.3127923309803009</v>
      </c>
      <c r="AY56" s="721">
        <v>0.16026535630226135</v>
      </c>
      <c r="AZ56" s="721">
        <v>0.23238518834114075</v>
      </c>
      <c r="BA56" s="721">
        <v>0.1767638623714447</v>
      </c>
      <c r="BB56" s="721">
        <v>0.46234482526779175</v>
      </c>
      <c r="BC56" s="721">
        <v>6.5075986087322235E-2</v>
      </c>
      <c r="BD56" s="721">
        <v>0.27112287282943726</v>
      </c>
      <c r="BE56" s="721">
        <v>0.19510716199874878</v>
      </c>
    </row>
    <row r="57" spans="3:57" ht="15" x14ac:dyDescent="0.2">
      <c r="C57" s="6" t="s">
        <v>77</v>
      </c>
      <c r="D57" s="721">
        <v>0.13383303582668304</v>
      </c>
      <c r="E57" s="721">
        <v>0.15009030699729919</v>
      </c>
      <c r="F57" s="721">
        <v>0.14707055687904358</v>
      </c>
      <c r="G57" s="721">
        <v>0.20257328450679779</v>
      </c>
      <c r="H57" s="721">
        <v>0.19753266870975494</v>
      </c>
      <c r="I57" s="721">
        <v>0.33065205812454224</v>
      </c>
      <c r="J57" s="721">
        <v>0.20116519927978516</v>
      </c>
      <c r="K57" s="721">
        <v>0.39228817820549011</v>
      </c>
      <c r="L57" s="721">
        <v>0.14347924292087555</v>
      </c>
      <c r="M57" s="721">
        <v>9.5506131649017334E-2</v>
      </c>
      <c r="N57" s="721">
        <v>0.22085162997245789</v>
      </c>
      <c r="O57" s="721">
        <v>0.14957243204116821</v>
      </c>
      <c r="P57" s="721">
        <v>0.1952044665813446</v>
      </c>
      <c r="Q57" s="721">
        <v>0.14429479837417603</v>
      </c>
      <c r="R57" s="721">
        <v>0.2131534218788147</v>
      </c>
      <c r="S57" s="721">
        <v>0.16391342878341675</v>
      </c>
      <c r="T57" s="721">
        <v>0.2662663459777832</v>
      </c>
      <c r="U57" s="721">
        <v>0.14395907521247864</v>
      </c>
      <c r="V57" s="721">
        <v>0.23087531328201294</v>
      </c>
      <c r="W57" s="721">
        <v>9.4611369073390961E-2</v>
      </c>
      <c r="X57" s="721">
        <v>0.12728747725486755</v>
      </c>
      <c r="Y57" s="721">
        <v>0.25049674510955811</v>
      </c>
      <c r="Z57" s="721">
        <v>0.20748674869537354</v>
      </c>
      <c r="AA57" s="721">
        <v>0.18858632445335388</v>
      </c>
      <c r="AB57" s="721">
        <v>0.2901008129119873</v>
      </c>
      <c r="AC57" s="721">
        <v>0.1536700427532196</v>
      </c>
      <c r="AD57" s="721">
        <v>0.2437688410282135</v>
      </c>
      <c r="AE57" s="37">
        <f>'User Add-in Location'!B62</f>
        <v>0</v>
      </c>
      <c r="AF57" s="37">
        <f>'User Add-in Location'!C62</f>
        <v>0</v>
      </c>
      <c r="AG57" s="721">
        <v>0.21380917727947235</v>
      </c>
      <c r="AH57" s="721">
        <v>0.20507539808750153</v>
      </c>
      <c r="AI57" s="721">
        <v>0.1477106511592865</v>
      </c>
      <c r="AJ57" s="721">
        <v>0.36051160097122192</v>
      </c>
      <c r="AK57" s="721">
        <v>0.21677447855472565</v>
      </c>
      <c r="AL57" s="721">
        <v>0.35822781920433044</v>
      </c>
      <c r="AM57" s="721">
        <v>9.0057864785194397E-2</v>
      </c>
      <c r="AN57" s="721">
        <v>0.28356510400772095</v>
      </c>
      <c r="AO57" s="721">
        <v>0.20844560861587524</v>
      </c>
      <c r="AP57" s="721">
        <v>0.34159326553344727</v>
      </c>
      <c r="AQ57" s="721">
        <v>0.15522894263267517</v>
      </c>
      <c r="AR57" s="721">
        <v>0.21459084749221802</v>
      </c>
      <c r="AS57" s="721">
        <v>0.19740894436836243</v>
      </c>
      <c r="AT57" s="721">
        <v>0.12003126740455627</v>
      </c>
      <c r="AU57" s="721">
        <v>0.16040363907814026</v>
      </c>
      <c r="AV57" s="721">
        <v>0.13667060434818268</v>
      </c>
      <c r="AW57" s="721">
        <v>0.29566863179206848</v>
      </c>
      <c r="AX57" s="721">
        <v>0.25342559814453125</v>
      </c>
      <c r="AY57" s="721">
        <v>0.21589186787605286</v>
      </c>
      <c r="AZ57" s="721">
        <v>0.13078249990940094</v>
      </c>
      <c r="BA57" s="721">
        <v>0.22198532521724701</v>
      </c>
      <c r="BB57" s="721">
        <v>0.11458542943000793</v>
      </c>
      <c r="BC57" s="721">
        <v>0.16743282973766327</v>
      </c>
      <c r="BD57" s="721">
        <v>0.1791878342628479</v>
      </c>
      <c r="BE57" s="721">
        <v>0.18649187684059143</v>
      </c>
    </row>
    <row r="58" spans="3:57" ht="15" x14ac:dyDescent="0.2">
      <c r="C58" s="6" t="s">
        <v>8</v>
      </c>
      <c r="D58" s="721">
        <v>0.29887735843658447</v>
      </c>
      <c r="E58" s="721">
        <v>0.38731285929679871</v>
      </c>
      <c r="F58" s="721">
        <v>0.27832630276679993</v>
      </c>
      <c r="G58" s="721">
        <v>0.25795885920524597</v>
      </c>
      <c r="H58" s="721">
        <v>0.31438863277435303</v>
      </c>
      <c r="I58" s="721">
        <v>0.30604159832000732</v>
      </c>
      <c r="J58" s="721">
        <v>0.35746568441390991</v>
      </c>
      <c r="K58" s="721">
        <v>0.31822109222412109</v>
      </c>
      <c r="L58" s="721">
        <v>0.3712247908115387</v>
      </c>
      <c r="M58" s="721">
        <v>0.2458796352148056</v>
      </c>
      <c r="N58" s="721">
        <v>0.26645529270172119</v>
      </c>
      <c r="O58" s="721">
        <v>0.33890807628631592</v>
      </c>
      <c r="P58" s="721">
        <v>0.25086641311645508</v>
      </c>
      <c r="Q58" s="721">
        <v>0.31914177536964417</v>
      </c>
      <c r="R58" s="721">
        <v>0.30834564566612244</v>
      </c>
      <c r="S58" s="721">
        <v>0.31963843107223511</v>
      </c>
      <c r="T58" s="721">
        <v>0.30468523502349854</v>
      </c>
      <c r="U58" s="721">
        <v>0.27313140034675598</v>
      </c>
      <c r="V58" s="721">
        <v>0.33333873748779297</v>
      </c>
      <c r="W58" s="721">
        <v>0.25475150346755981</v>
      </c>
      <c r="X58" s="721">
        <v>0.36102104187011719</v>
      </c>
      <c r="Y58" s="721">
        <v>0.34734481573104858</v>
      </c>
      <c r="Z58" s="721">
        <v>0.28968995809555054</v>
      </c>
      <c r="AA58" s="721">
        <v>0.29822328686714172</v>
      </c>
      <c r="AB58" s="721">
        <v>0.26657211780548096</v>
      </c>
      <c r="AC58" s="721">
        <v>0.30688920617103577</v>
      </c>
      <c r="AD58" s="721">
        <v>0.26475456357002258</v>
      </c>
      <c r="AE58" s="37">
        <f>'User Add-in Location'!B63</f>
        <v>0</v>
      </c>
      <c r="AF58" s="37">
        <f>'User Add-in Location'!C63</f>
        <v>0</v>
      </c>
      <c r="AG58" s="721">
        <v>0.32548287510871887</v>
      </c>
      <c r="AH58" s="721">
        <v>0.31882080435752869</v>
      </c>
      <c r="AI58" s="721">
        <v>0.33588981628417969</v>
      </c>
      <c r="AJ58" s="721">
        <v>0.36014914512634277</v>
      </c>
      <c r="AK58" s="721">
        <v>0.27193677425384521</v>
      </c>
      <c r="AL58" s="721">
        <v>0.33293142914772034</v>
      </c>
      <c r="AM58" s="721">
        <v>0.261900395154953</v>
      </c>
      <c r="AN58" s="721">
        <v>0.37644654512405396</v>
      </c>
      <c r="AO58" s="721">
        <v>0.30417507886886597</v>
      </c>
      <c r="AP58" s="721">
        <v>0.31410190463066101</v>
      </c>
      <c r="AQ58" s="721">
        <v>0.31040656566619873</v>
      </c>
      <c r="AR58" s="721">
        <v>0.33943110704421997</v>
      </c>
      <c r="AS58" s="721">
        <v>0.29367804527282715</v>
      </c>
      <c r="AT58" s="721">
        <v>0.2588304877281189</v>
      </c>
      <c r="AU58" s="721">
        <v>0.28879168629646301</v>
      </c>
      <c r="AV58" s="721">
        <v>0.33215844631195068</v>
      </c>
      <c r="AW58" s="721">
        <v>0.33882597088813782</v>
      </c>
      <c r="AX58" s="721">
        <v>0.31146121025085449</v>
      </c>
      <c r="AY58" s="721">
        <v>0.30499798059463501</v>
      </c>
      <c r="AZ58" s="721">
        <v>0.28526967763900757</v>
      </c>
      <c r="BA58" s="721">
        <v>0.29956281185150146</v>
      </c>
      <c r="BB58" s="721">
        <v>0.33280614018440247</v>
      </c>
      <c r="BC58" s="721">
        <v>0.31056240200996399</v>
      </c>
      <c r="BD58" s="721">
        <v>0.30652129650115967</v>
      </c>
      <c r="BE58" s="721">
        <v>0.3057226836681366</v>
      </c>
    </row>
    <row r="59" spans="3:57" ht="15" x14ac:dyDescent="0.2">
      <c r="C59" s="6" t="s">
        <v>78</v>
      </c>
      <c r="D59" s="721">
        <v>0.12141793966293335</v>
      </c>
      <c r="E59" s="721">
        <v>0.10937891900539398</v>
      </c>
      <c r="F59" s="721">
        <v>0.18053582310676575</v>
      </c>
      <c r="G59" s="721">
        <v>0.12119415402412415</v>
      </c>
      <c r="H59" s="721">
        <v>0.17018918693065643</v>
      </c>
      <c r="I59" s="721">
        <v>0.16759763658046722</v>
      </c>
      <c r="J59" s="721">
        <v>0.23083196580410004</v>
      </c>
      <c r="K59" s="721">
        <v>0.11795216798782349</v>
      </c>
      <c r="L59" s="721">
        <v>0.23142236471176147</v>
      </c>
      <c r="M59" s="721">
        <v>0.16458460688591003</v>
      </c>
      <c r="N59" s="721">
        <v>0.14315502345561981</v>
      </c>
      <c r="O59" s="721">
        <v>9.9472008645534515E-2</v>
      </c>
      <c r="P59" s="721">
        <v>0.11277534067630768</v>
      </c>
      <c r="Q59" s="721">
        <v>0.15231293439865112</v>
      </c>
      <c r="R59" s="721">
        <v>0.12832170724868774</v>
      </c>
      <c r="S59" s="721">
        <v>0.1415296196937561</v>
      </c>
      <c r="T59" s="721">
        <v>0.1311449408531189</v>
      </c>
      <c r="U59" s="721">
        <v>0.11370889842510223</v>
      </c>
      <c r="V59" s="721">
        <v>6.1380598694086075E-2</v>
      </c>
      <c r="W59" s="721">
        <v>0.15788930654525757</v>
      </c>
      <c r="X59" s="721">
        <v>0.18075554072856903</v>
      </c>
      <c r="Y59" s="721">
        <v>0.21350954473018646</v>
      </c>
      <c r="Z59" s="721">
        <v>0.14570987224578857</v>
      </c>
      <c r="AA59" s="721">
        <v>0.17007237672805786</v>
      </c>
      <c r="AB59" s="721">
        <v>0.10618958622217178</v>
      </c>
      <c r="AC59" s="721">
        <v>0.1353948712348938</v>
      </c>
      <c r="AD59" s="721">
        <v>6.1702501028776169E-2</v>
      </c>
      <c r="AE59" s="37">
        <f>'User Add-in Location'!B64</f>
        <v>0</v>
      </c>
      <c r="AF59" s="37">
        <f>'User Add-in Location'!C64</f>
        <v>0</v>
      </c>
      <c r="AG59" s="721">
        <v>0.12089530378580093</v>
      </c>
      <c r="AH59" s="721">
        <v>0.18090462684631348</v>
      </c>
      <c r="AI59" s="721">
        <v>0.21938811242580414</v>
      </c>
      <c r="AJ59" s="721">
        <v>0.16959403455257416</v>
      </c>
      <c r="AK59" s="721">
        <v>8.9492373168468475E-2</v>
      </c>
      <c r="AL59" s="721">
        <v>0.17488150298595428</v>
      </c>
      <c r="AM59" s="721">
        <v>0.12764163315296173</v>
      </c>
      <c r="AN59" s="721">
        <v>0.10456264764070511</v>
      </c>
      <c r="AO59" s="721">
        <v>0.13859961926937103</v>
      </c>
      <c r="AP59" s="721">
        <v>0.13776746392250061</v>
      </c>
      <c r="AQ59" s="721">
        <v>0.16418533027172089</v>
      </c>
      <c r="AR59" s="721">
        <v>0.15446008741855621</v>
      </c>
      <c r="AS59" s="721">
        <v>0.19302208721637726</v>
      </c>
      <c r="AT59" s="721">
        <v>0.13496607542037964</v>
      </c>
      <c r="AU59" s="721">
        <v>0.14339008927345276</v>
      </c>
      <c r="AV59" s="721">
        <v>0.13714981079101563</v>
      </c>
      <c r="AW59" s="721">
        <v>9.8327822983264923E-2</v>
      </c>
      <c r="AX59" s="721">
        <v>0.14086690545082092</v>
      </c>
      <c r="AY59" s="721">
        <v>0.13038751482963562</v>
      </c>
      <c r="AZ59" s="721">
        <v>0.15487231314182281</v>
      </c>
      <c r="BA59" s="721">
        <v>0.14748799800872803</v>
      </c>
      <c r="BB59" s="721">
        <v>0.15162737667560577</v>
      </c>
      <c r="BC59" s="721">
        <v>0.11161415278911591</v>
      </c>
      <c r="BD59" s="721">
        <v>0.16830222308635712</v>
      </c>
      <c r="BE59" s="721">
        <v>5.2208516746759415E-2</v>
      </c>
    </row>
    <row r="60" spans="3:57" ht="15" x14ac:dyDescent="0.2">
      <c r="C60" s="6" t="s">
        <v>79</v>
      </c>
      <c r="D60" s="721">
        <v>0.22857089340686798</v>
      </c>
      <c r="E60" s="721">
        <v>0.26860252022743225</v>
      </c>
      <c r="F60" s="721">
        <v>0.25054216384887695</v>
      </c>
      <c r="G60" s="721">
        <v>0.22339411079883575</v>
      </c>
      <c r="H60" s="721">
        <v>0.26940628886222839</v>
      </c>
      <c r="I60" s="721">
        <v>0.23841705918312073</v>
      </c>
      <c r="J60" s="721">
        <v>0.30066516995429993</v>
      </c>
      <c r="K60" s="721">
        <v>0.27229538559913635</v>
      </c>
      <c r="L60" s="721">
        <v>0</v>
      </c>
      <c r="M60" s="721">
        <v>0.24520599842071533</v>
      </c>
      <c r="N60" s="721">
        <v>0.23155659437179565</v>
      </c>
      <c r="O60" s="721">
        <v>0.24878846108913422</v>
      </c>
      <c r="P60" s="721">
        <v>0.22860912978649139</v>
      </c>
      <c r="Q60" s="721">
        <v>0.28470349311828613</v>
      </c>
      <c r="R60" s="721">
        <v>0.23789939284324646</v>
      </c>
      <c r="S60" s="721">
        <v>0.24674992263317108</v>
      </c>
      <c r="T60" s="721">
        <v>0.23504690825939178</v>
      </c>
      <c r="U60" s="721">
        <v>0.26390531659126282</v>
      </c>
      <c r="V60" s="721">
        <v>0.26002040505409241</v>
      </c>
      <c r="W60" s="721">
        <v>0.23564253747463226</v>
      </c>
      <c r="X60" s="721">
        <v>0.2778027355670929</v>
      </c>
      <c r="Y60" s="721">
        <v>0.3058469295501709</v>
      </c>
      <c r="Z60" s="721">
        <v>0.2780953049659729</v>
      </c>
      <c r="AA60" s="721">
        <v>0.29868057370185852</v>
      </c>
      <c r="AB60" s="721">
        <v>0.23041102290153503</v>
      </c>
      <c r="AC60" s="721">
        <v>0.26329627633094788</v>
      </c>
      <c r="AD60" s="721">
        <v>0.24119752645492554</v>
      </c>
      <c r="AE60" s="37">
        <f>'User Add-in Location'!B65</f>
        <v>0</v>
      </c>
      <c r="AF60" s="37">
        <f>'User Add-in Location'!C65</f>
        <v>0</v>
      </c>
      <c r="AG60" s="721">
        <v>0.23932714760303497</v>
      </c>
      <c r="AH60" s="721">
        <v>0.24612338840961456</v>
      </c>
      <c r="AI60" s="721">
        <v>0.27144956588745117</v>
      </c>
      <c r="AJ60" s="721">
        <v>0.3142554759979248</v>
      </c>
      <c r="AK60" s="721">
        <v>0.19625486433506012</v>
      </c>
      <c r="AL60" s="721">
        <v>0.28260201215744019</v>
      </c>
      <c r="AM60" s="721">
        <v>0.22652335464954376</v>
      </c>
      <c r="AN60" s="721">
        <v>0.25303912162780762</v>
      </c>
      <c r="AO60" s="721">
        <v>0.26805374026298523</v>
      </c>
      <c r="AP60" s="721">
        <v>0.26722967624664307</v>
      </c>
      <c r="AQ60" s="721">
        <v>0.26116475462913513</v>
      </c>
      <c r="AR60" s="721">
        <v>0.27413663268089294</v>
      </c>
      <c r="AS60" s="721">
        <v>0.26779976487159729</v>
      </c>
      <c r="AT60" s="721">
        <v>0.25739759206771851</v>
      </c>
      <c r="AU60" s="721">
        <v>0.2104467898607254</v>
      </c>
      <c r="AV60" s="721">
        <v>0.28488034009933472</v>
      </c>
      <c r="AW60" s="721">
        <v>0.26669672131538391</v>
      </c>
      <c r="AX60" s="721">
        <v>0.26399978995323181</v>
      </c>
      <c r="AY60" s="721">
        <v>0.23884277045726776</v>
      </c>
      <c r="AZ60" s="721">
        <v>0.27195316553115845</v>
      </c>
      <c r="BA60" s="721">
        <v>0.28885412216186523</v>
      </c>
      <c r="BB60" s="721">
        <v>0.25979405641555786</v>
      </c>
      <c r="BC60" s="721">
        <v>0.21789389848709106</v>
      </c>
      <c r="BD60" s="721">
        <v>0.28101184964179993</v>
      </c>
      <c r="BE60" s="721">
        <v>0.21732021868228912</v>
      </c>
    </row>
    <row r="61" spans="3:57" ht="15" x14ac:dyDescent="0.2">
      <c r="C61" s="6" t="s">
        <v>80</v>
      </c>
      <c r="D61" s="721">
        <v>0.1224844679236412</v>
      </c>
      <c r="E61" s="721">
        <v>0.1463325172662735</v>
      </c>
      <c r="F61" s="721">
        <v>0.1503881961107254</v>
      </c>
      <c r="G61" s="721">
        <v>0.13356387615203857</v>
      </c>
      <c r="H61" s="721">
        <v>0.19695518910884857</v>
      </c>
      <c r="I61" s="721">
        <v>0.13693612813949585</v>
      </c>
      <c r="J61" s="721">
        <v>0.22152166068553925</v>
      </c>
      <c r="K61" s="721">
        <v>0.23028689622879028</v>
      </c>
      <c r="L61" s="721">
        <v>0.23828785121440887</v>
      </c>
      <c r="M61" s="721">
        <v>0.15605390071868896</v>
      </c>
      <c r="N61" s="721">
        <v>0.14117145538330078</v>
      </c>
      <c r="O61" s="721">
        <v>0.11619918048381805</v>
      </c>
      <c r="P61" s="721">
        <v>0.11316985636949539</v>
      </c>
      <c r="Q61" s="721">
        <v>0.15898142755031586</v>
      </c>
      <c r="R61" s="721">
        <v>0.13374185562133789</v>
      </c>
      <c r="S61" s="721">
        <v>0.13246311247348785</v>
      </c>
      <c r="T61" s="721">
        <v>0.13206146657466888</v>
      </c>
      <c r="U61" s="721">
        <v>0.15609352290630341</v>
      </c>
      <c r="V61" s="721">
        <v>0.15743634104728699</v>
      </c>
      <c r="W61" s="721">
        <v>0.19218486547470093</v>
      </c>
      <c r="X61" s="721">
        <v>0.13344083726406097</v>
      </c>
      <c r="Y61" s="721">
        <v>0.25277942419052124</v>
      </c>
      <c r="Z61" s="721">
        <v>0.20460909605026245</v>
      </c>
      <c r="AA61" s="721">
        <v>0.17483216524124146</v>
      </c>
      <c r="AB61" s="721">
        <v>9.4050146639347076E-2</v>
      </c>
      <c r="AC61" s="721">
        <v>0.10728654265403748</v>
      </c>
      <c r="AD61" s="721">
        <v>8.3291441202163696E-2</v>
      </c>
      <c r="AE61" s="37">
        <f>'User Add-in Location'!B66</f>
        <v>0</v>
      </c>
      <c r="AF61" s="37">
        <f>'User Add-in Location'!C66</f>
        <v>0</v>
      </c>
      <c r="AG61" s="721">
        <v>0.11121872812509537</v>
      </c>
      <c r="AH61" s="721">
        <v>0.16919682919979095</v>
      </c>
      <c r="AI61" s="721">
        <v>0.38091203570365906</v>
      </c>
      <c r="AJ61" s="721">
        <v>0.26239997148513794</v>
      </c>
      <c r="AK61" s="721">
        <v>0.11636293679475784</v>
      </c>
      <c r="AL61" s="721">
        <v>0.19314700365066528</v>
      </c>
      <c r="AM61" s="721">
        <v>0.15694910287857056</v>
      </c>
      <c r="AN61" s="721">
        <v>0.1144535094499588</v>
      </c>
      <c r="AO61" s="721">
        <v>0.19367006421089172</v>
      </c>
      <c r="AP61" s="721">
        <v>0.193722203373909</v>
      </c>
      <c r="AQ61" s="721">
        <v>0.17569735646247864</v>
      </c>
      <c r="AR61" s="721">
        <v>0.18821409344673157</v>
      </c>
      <c r="AS61" s="721">
        <v>0.23757345974445343</v>
      </c>
      <c r="AT61" s="721">
        <v>0.18502353131771088</v>
      </c>
      <c r="AU61" s="721">
        <v>0.11364121735095978</v>
      </c>
      <c r="AV61" s="721">
        <v>0.14249758422374725</v>
      </c>
      <c r="AW61" s="721">
        <v>0.17607462406158447</v>
      </c>
      <c r="AX61" s="721">
        <v>0.16091690957546234</v>
      </c>
      <c r="AY61" s="721">
        <v>0.13620190322399139</v>
      </c>
      <c r="AZ61" s="721">
        <v>0.27467292547225952</v>
      </c>
      <c r="BA61" s="721">
        <v>0.19270995259284973</v>
      </c>
      <c r="BB61" s="721">
        <v>0.1940343827009201</v>
      </c>
      <c r="BC61" s="721">
        <v>0.22955283522605896</v>
      </c>
      <c r="BD61" s="721">
        <v>0.1418120265007019</v>
      </c>
      <c r="BE61" s="721">
        <v>0.11252248287200928</v>
      </c>
    </row>
    <row r="62" spans="3:57" ht="15" x14ac:dyDescent="0.2">
      <c r="C62" s="6" t="s">
        <v>81</v>
      </c>
      <c r="D62" s="721">
        <v>0.22420395910739899</v>
      </c>
      <c r="E62" s="721">
        <v>0</v>
      </c>
      <c r="F62" s="721">
        <v>0.17434805631637573</v>
      </c>
      <c r="G62" s="721">
        <v>0.18022027611732483</v>
      </c>
      <c r="H62" s="721">
        <v>0.21880748867988586</v>
      </c>
      <c r="I62" s="721">
        <v>0.14553667604923248</v>
      </c>
      <c r="J62" s="721">
        <v>0.21224196255207062</v>
      </c>
      <c r="K62" s="721">
        <v>0.26271429657936096</v>
      </c>
      <c r="L62" s="721">
        <v>0.14159795641899109</v>
      </c>
      <c r="M62" s="721">
        <v>0.16420318186283112</v>
      </c>
      <c r="N62" s="721">
        <v>0.14199367165565491</v>
      </c>
      <c r="O62" s="721">
        <v>7.1117490530014038E-2</v>
      </c>
      <c r="P62" s="721">
        <v>0.18280212581157684</v>
      </c>
      <c r="Q62" s="721">
        <v>0.2226409912109375</v>
      </c>
      <c r="R62" s="721">
        <v>0.21950729191303253</v>
      </c>
      <c r="S62" s="721">
        <v>0.18800307810306549</v>
      </c>
      <c r="T62" s="721">
        <v>0.20522738993167877</v>
      </c>
      <c r="U62" s="721">
        <v>0.21593540906906128</v>
      </c>
      <c r="V62" s="721">
        <v>0.22374297678470612</v>
      </c>
      <c r="W62" s="721">
        <v>0.13140697777271271</v>
      </c>
      <c r="X62" s="721">
        <v>0.19986888766288757</v>
      </c>
      <c r="Y62" s="721">
        <v>0.18131053447723389</v>
      </c>
      <c r="Z62" s="721">
        <v>0.22550582885742188</v>
      </c>
      <c r="AA62" s="721">
        <v>0.17253698408603668</v>
      </c>
      <c r="AB62" s="721">
        <v>0.13318224251270294</v>
      </c>
      <c r="AC62" s="721">
        <v>0.20079287886619568</v>
      </c>
      <c r="AD62" s="721">
        <v>8.4557108581066132E-2</v>
      </c>
      <c r="AE62" s="37">
        <f>'User Add-in Location'!B67</f>
        <v>0</v>
      </c>
      <c r="AF62" s="37">
        <f>'User Add-in Location'!C67</f>
        <v>0</v>
      </c>
      <c r="AG62" s="721">
        <v>0.23483291268348694</v>
      </c>
      <c r="AH62" s="721">
        <v>0.21154497563838959</v>
      </c>
      <c r="AI62" s="721">
        <v>0.22557713091373444</v>
      </c>
      <c r="AJ62" s="721">
        <v>0.21263109147548676</v>
      </c>
      <c r="AK62" s="721">
        <v>0.13398599624633789</v>
      </c>
      <c r="AL62" s="721">
        <v>0.17705990374088287</v>
      </c>
      <c r="AM62" s="721">
        <v>0.12872648239135742</v>
      </c>
      <c r="AN62" s="721">
        <v>0.17491608858108521</v>
      </c>
      <c r="AO62" s="721">
        <v>0.17991152405738831</v>
      </c>
      <c r="AP62" s="721">
        <v>0.21250474452972412</v>
      </c>
      <c r="AQ62" s="721">
        <v>9.4808466732501984E-2</v>
      </c>
      <c r="AR62" s="721">
        <v>0.19842013716697693</v>
      </c>
      <c r="AS62" s="721">
        <v>0.11130846291780472</v>
      </c>
      <c r="AT62" s="721">
        <v>0.25532019138336182</v>
      </c>
      <c r="AU62" s="721">
        <v>0.15517546236515045</v>
      </c>
      <c r="AV62" s="721">
        <v>0.21109552681446075</v>
      </c>
      <c r="AW62" s="721">
        <v>0.16998089849948883</v>
      </c>
      <c r="AX62" s="721">
        <v>0.16918809711933136</v>
      </c>
      <c r="AY62" s="721">
        <v>0.1307377815246582</v>
      </c>
      <c r="AZ62" s="721">
        <v>0.1557445228099823</v>
      </c>
      <c r="BA62" s="721">
        <v>0.16821108758449554</v>
      </c>
      <c r="BB62" s="721">
        <v>0.13916634023189545</v>
      </c>
      <c r="BC62" s="721">
        <v>0.12027114629745483</v>
      </c>
      <c r="BD62" s="721">
        <v>0.21979556977748871</v>
      </c>
      <c r="BE62" s="721">
        <v>0.14448109269142151</v>
      </c>
    </row>
    <row r="63" spans="3:57" ht="15" x14ac:dyDescent="0.2">
      <c r="C63" s="6" t="s">
        <v>82</v>
      </c>
      <c r="D63" s="721">
        <v>0.1874801367521286</v>
      </c>
      <c r="E63" s="721">
        <v>0.14063429832458496</v>
      </c>
      <c r="F63" s="721">
        <v>0.19784347712993622</v>
      </c>
      <c r="G63" s="721">
        <v>0.22897033393383026</v>
      </c>
      <c r="H63" s="721">
        <v>0.26693859696388245</v>
      </c>
      <c r="I63" s="721">
        <v>0.24854268133640289</v>
      </c>
      <c r="J63" s="721">
        <v>0.23382778465747833</v>
      </c>
      <c r="K63" s="721">
        <v>0.22597356140613556</v>
      </c>
      <c r="L63" s="721">
        <v>0.40799301862716675</v>
      </c>
      <c r="M63" s="721">
        <v>0.18348942697048187</v>
      </c>
      <c r="N63" s="721">
        <v>0.21699698269367218</v>
      </c>
      <c r="O63" s="721">
        <v>0.176984503865242</v>
      </c>
      <c r="P63" s="721">
        <v>0.21687650680541992</v>
      </c>
      <c r="Q63" s="721">
        <v>0.26058167219161987</v>
      </c>
      <c r="R63" s="721">
        <v>0.21917217969894409</v>
      </c>
      <c r="S63" s="721">
        <v>0.21783080697059631</v>
      </c>
      <c r="T63" s="721">
        <v>0.21201843023300171</v>
      </c>
      <c r="U63" s="721">
        <v>0.2018236368894577</v>
      </c>
      <c r="V63" s="721">
        <v>0.20148399472236633</v>
      </c>
      <c r="W63" s="721">
        <v>0.20032788813114166</v>
      </c>
      <c r="X63" s="721">
        <v>0.20874010026454926</v>
      </c>
      <c r="Y63" s="721">
        <v>0.24061532318592072</v>
      </c>
      <c r="Z63" s="721">
        <v>0.21784885227680206</v>
      </c>
      <c r="AA63" s="721">
        <v>0.21906717121601105</v>
      </c>
      <c r="AB63" s="721">
        <v>0.18341492116451263</v>
      </c>
      <c r="AC63" s="721">
        <v>0.21896794438362122</v>
      </c>
      <c r="AD63" s="721">
        <v>0.21107512712478638</v>
      </c>
      <c r="AE63" s="37">
        <f>'User Add-in Location'!B68</f>
        <v>0</v>
      </c>
      <c r="AF63" s="37">
        <f>'User Add-in Location'!C68</f>
        <v>0</v>
      </c>
      <c r="AG63" s="721">
        <v>0.27945861220359802</v>
      </c>
      <c r="AH63" s="721">
        <v>0</v>
      </c>
      <c r="AI63" s="721">
        <v>0.20471429824829102</v>
      </c>
      <c r="AJ63" s="721">
        <v>0.26290154457092285</v>
      </c>
      <c r="AK63" s="721">
        <v>0.19684125483036041</v>
      </c>
      <c r="AL63" s="721">
        <v>0.26212731003761292</v>
      </c>
      <c r="AM63" s="721">
        <v>0.20517422258853912</v>
      </c>
      <c r="AN63" s="721">
        <v>0.25909033417701721</v>
      </c>
      <c r="AO63" s="721">
        <v>0.21643264591693878</v>
      </c>
      <c r="AP63" s="721">
        <v>0.27717852592468262</v>
      </c>
      <c r="AQ63" s="721">
        <v>0.21019773185253143</v>
      </c>
      <c r="AR63" s="721">
        <v>0.27050328254699707</v>
      </c>
      <c r="AS63" s="721">
        <v>0.21665641665458679</v>
      </c>
      <c r="AT63" s="721">
        <v>0.17655658721923828</v>
      </c>
      <c r="AU63" s="721">
        <v>0.2080770879983902</v>
      </c>
      <c r="AV63" s="721">
        <v>0.23025767505168915</v>
      </c>
      <c r="AW63" s="721">
        <v>0.27950417995452881</v>
      </c>
      <c r="AX63" s="721">
        <v>0.23601624369621277</v>
      </c>
      <c r="AY63" s="721">
        <v>0.25521314144134521</v>
      </c>
      <c r="AZ63" s="721">
        <v>0.21444277465343475</v>
      </c>
      <c r="BA63" s="721">
        <v>0.23812630772590637</v>
      </c>
      <c r="BB63" s="721">
        <v>0.22945369780063629</v>
      </c>
      <c r="BC63" s="721">
        <v>0.21495343744754791</v>
      </c>
      <c r="BD63" s="721">
        <v>0.22982357442378998</v>
      </c>
      <c r="BE63" s="721">
        <v>0.20618286728858948</v>
      </c>
    </row>
    <row r="64" spans="3:57" ht="15" x14ac:dyDescent="0.2">
      <c r="C64" s="6" t="s">
        <v>9</v>
      </c>
      <c r="D64" s="721">
        <v>0.3224702775478363</v>
      </c>
      <c r="E64" s="721">
        <v>0.26406127214431763</v>
      </c>
      <c r="F64" s="721">
        <v>0.34569883346557617</v>
      </c>
      <c r="G64" s="721">
        <v>0.2906990647315979</v>
      </c>
      <c r="H64" s="721">
        <v>0.33129799365997314</v>
      </c>
      <c r="I64" s="721">
        <v>0.38002398610115051</v>
      </c>
      <c r="J64" s="721">
        <v>0.36164253950119019</v>
      </c>
      <c r="K64" s="721">
        <v>0.37827348709106445</v>
      </c>
      <c r="L64" s="721">
        <v>0.45635443925857544</v>
      </c>
      <c r="M64" s="721">
        <v>0.32845714688301086</v>
      </c>
      <c r="N64" s="721">
        <v>0.34146007895469666</v>
      </c>
      <c r="O64" s="721">
        <v>0.30526614189147949</v>
      </c>
      <c r="P64" s="721">
        <v>0.31574463844299316</v>
      </c>
      <c r="Q64" s="721">
        <v>0.36682388186454773</v>
      </c>
      <c r="R64" s="721">
        <v>0.32941713929176331</v>
      </c>
      <c r="S64" s="721">
        <v>0.34679678082466125</v>
      </c>
      <c r="T64" s="721">
        <v>0.33372014760971069</v>
      </c>
      <c r="U64" s="721">
        <v>0.29570505023002625</v>
      </c>
      <c r="V64" s="721">
        <v>0.3241221010684967</v>
      </c>
      <c r="W64" s="721">
        <v>0.31389516592025757</v>
      </c>
      <c r="X64" s="721">
        <v>0.35238823294639587</v>
      </c>
      <c r="Y64" s="721">
        <v>0.41025626659393311</v>
      </c>
      <c r="Z64" s="721">
        <v>0.34875506162643433</v>
      </c>
      <c r="AA64" s="721">
        <v>0.39022019505500793</v>
      </c>
      <c r="AB64" s="721">
        <v>0.2890285849571228</v>
      </c>
      <c r="AC64" s="721">
        <v>0.34349259734153748</v>
      </c>
      <c r="AD64" s="721">
        <v>0.31589311361312866</v>
      </c>
      <c r="AE64" s="37">
        <f>'User Add-in Location'!B69</f>
        <v>0</v>
      </c>
      <c r="AF64" s="37">
        <f>'User Add-in Location'!C69</f>
        <v>0</v>
      </c>
      <c r="AG64" s="721">
        <v>0.32845783233642578</v>
      </c>
      <c r="AH64" s="721">
        <v>0.33913284540176392</v>
      </c>
      <c r="AI64" s="721">
        <v>0.40898126363754272</v>
      </c>
      <c r="AJ64" s="721">
        <v>0.37289732694625854</v>
      </c>
      <c r="AK64" s="721">
        <v>0.27737811207771301</v>
      </c>
      <c r="AL64" s="721">
        <v>0.35600283741950989</v>
      </c>
      <c r="AM64" s="721">
        <v>0.34059831500053406</v>
      </c>
      <c r="AN64" s="721">
        <v>0.34932065010070801</v>
      </c>
      <c r="AO64" s="721">
        <v>0.33928829431533813</v>
      </c>
      <c r="AP64" s="721">
        <v>0.30673494935035706</v>
      </c>
      <c r="AQ64" s="721">
        <v>0.34465056657791138</v>
      </c>
      <c r="AR64" s="721">
        <v>0.35922211408615112</v>
      </c>
      <c r="AS64" s="721">
        <v>0.35186243057250977</v>
      </c>
      <c r="AT64" s="721">
        <v>0.30814066529273987</v>
      </c>
      <c r="AU64" s="721">
        <v>0.32482093572616577</v>
      </c>
      <c r="AV64" s="721">
        <v>0.3274993896484375</v>
      </c>
      <c r="AW64" s="721">
        <v>0.35475760698318481</v>
      </c>
      <c r="AX64" s="721">
        <v>0.34587255120277405</v>
      </c>
      <c r="AY64" s="721">
        <v>0.3382551372051239</v>
      </c>
      <c r="AZ64" s="721">
        <v>0.31449887156486511</v>
      </c>
      <c r="BA64" s="721">
        <v>0.3585369884967804</v>
      </c>
      <c r="BB64" s="721">
        <v>0.33852019906044006</v>
      </c>
      <c r="BC64" s="721">
        <v>0.30008983612060547</v>
      </c>
      <c r="BD64" s="721">
        <v>0.34521922469139099</v>
      </c>
      <c r="BE64" s="721">
        <v>0.31460079550743103</v>
      </c>
    </row>
    <row r="65" spans="3:57" ht="15" x14ac:dyDescent="0.2">
      <c r="C65" s="6" t="s">
        <v>10</v>
      </c>
      <c r="D65" s="721">
        <v>0.37944304943084717</v>
      </c>
      <c r="E65" s="721">
        <v>0.46526563167572021</v>
      </c>
      <c r="F65" s="721">
        <v>0.40752050280570984</v>
      </c>
      <c r="G65" s="721">
        <v>0.39769983291625977</v>
      </c>
      <c r="H65" s="721">
        <v>0.41805332899093628</v>
      </c>
      <c r="I65" s="721">
        <v>0.41608908772468567</v>
      </c>
      <c r="J65" s="721">
        <v>0.46118521690368652</v>
      </c>
      <c r="K65" s="721">
        <v>0.4470197856426239</v>
      </c>
      <c r="L65" s="721">
        <v>0.45631298422813416</v>
      </c>
      <c r="M65" s="721">
        <v>0.40913689136505127</v>
      </c>
      <c r="N65" s="721">
        <v>0.40394529700279236</v>
      </c>
      <c r="O65" s="721">
        <v>0.38391238451004028</v>
      </c>
      <c r="P65" s="721">
        <v>0.41140064597129822</v>
      </c>
      <c r="Q65" s="721">
        <v>0.41250461339950562</v>
      </c>
      <c r="R65" s="721">
        <v>0.38771769404411316</v>
      </c>
      <c r="S65" s="721">
        <v>0.40387466549873352</v>
      </c>
      <c r="T65" s="721">
        <v>0.37072217464447021</v>
      </c>
      <c r="U65" s="721">
        <v>0.42007178068161011</v>
      </c>
      <c r="V65" s="721">
        <v>0.39543461799621582</v>
      </c>
      <c r="W65" s="721">
        <v>0.39584654569625854</v>
      </c>
      <c r="X65" s="721">
        <v>0.42065641283988953</v>
      </c>
      <c r="Y65" s="721">
        <v>0.47962033748626709</v>
      </c>
      <c r="Z65" s="721">
        <v>0.38560748100280762</v>
      </c>
      <c r="AA65" s="721">
        <v>0.39991405606269836</v>
      </c>
      <c r="AB65" s="721">
        <v>0.38243976235389709</v>
      </c>
      <c r="AC65" s="721">
        <v>0.40752106904983521</v>
      </c>
      <c r="AD65" s="721">
        <v>0.46421024203300476</v>
      </c>
      <c r="AE65" s="37">
        <f>'User Add-in Location'!B70</f>
        <v>0</v>
      </c>
      <c r="AF65" s="37">
        <f>'User Add-in Location'!C70</f>
        <v>0</v>
      </c>
      <c r="AG65" s="721">
        <v>0.37981215119361877</v>
      </c>
      <c r="AH65" s="721">
        <v>0.23894608020782471</v>
      </c>
      <c r="AI65" s="721">
        <v>0.49700558185577393</v>
      </c>
      <c r="AJ65" s="721">
        <v>0.45951876044273376</v>
      </c>
      <c r="AK65" s="721">
        <v>0.40629827976226807</v>
      </c>
      <c r="AL65" s="721">
        <v>0.44881659746170044</v>
      </c>
      <c r="AM65" s="721">
        <v>0.42640289664268494</v>
      </c>
      <c r="AN65" s="721">
        <v>0.41749531030654907</v>
      </c>
      <c r="AO65" s="721">
        <v>0.3954983651638031</v>
      </c>
      <c r="AP65" s="721">
        <v>0.43050599098205566</v>
      </c>
      <c r="AQ65" s="721">
        <v>0.4636196494102478</v>
      </c>
      <c r="AR65" s="721">
        <v>0.43357387185096741</v>
      </c>
      <c r="AS65" s="721">
        <v>0.4425281286239624</v>
      </c>
      <c r="AT65" s="721">
        <v>0.39063075184822083</v>
      </c>
      <c r="AU65" s="721">
        <v>0.40028199553489685</v>
      </c>
      <c r="AV65" s="721">
        <v>0.42910000681877136</v>
      </c>
      <c r="AW65" s="721">
        <v>0.40749001502990723</v>
      </c>
      <c r="AX65" s="721">
        <v>0.41573271155357361</v>
      </c>
      <c r="AY65" s="721">
        <v>0.42181551456451416</v>
      </c>
      <c r="AZ65" s="721">
        <v>0.4338243305683136</v>
      </c>
      <c r="BA65" s="721">
        <v>0.39674454927444458</v>
      </c>
      <c r="BB65" s="721">
        <v>0.40379858016967773</v>
      </c>
      <c r="BC65" s="721">
        <v>0.39174652099609375</v>
      </c>
      <c r="BD65" s="721">
        <v>0.38853001594543457</v>
      </c>
      <c r="BE65" s="721">
        <v>0.39975175261497498</v>
      </c>
    </row>
    <row r="66" spans="3:57" ht="15" x14ac:dyDescent="0.2">
      <c r="C66" s="6" t="s">
        <v>83</v>
      </c>
      <c r="D66" s="721">
        <v>0.2322181910276413</v>
      </c>
      <c r="E66" s="721">
        <v>0.22575655579566956</v>
      </c>
      <c r="F66" s="721">
        <v>0.23608078062534332</v>
      </c>
      <c r="G66" s="721">
        <v>0.19704622030258179</v>
      </c>
      <c r="H66" s="721">
        <v>0.24990385770797729</v>
      </c>
      <c r="I66" s="721">
        <v>0.22576451301574707</v>
      </c>
      <c r="J66" s="721">
        <v>0.32256314158439636</v>
      </c>
      <c r="K66" s="721">
        <v>0.21032735705375671</v>
      </c>
      <c r="L66" s="721">
        <v>0.30168464779853821</v>
      </c>
      <c r="M66" s="721">
        <v>0.21979019045829773</v>
      </c>
      <c r="N66" s="721">
        <v>0.22719098627567291</v>
      </c>
      <c r="O66" s="721">
        <v>0.20921501517295837</v>
      </c>
      <c r="P66" s="721">
        <v>0.17657671868801117</v>
      </c>
      <c r="Q66" s="721">
        <v>0.25487881898880005</v>
      </c>
      <c r="R66" s="721">
        <v>0.20100900530815125</v>
      </c>
      <c r="S66" s="721">
        <v>0.23126329481601715</v>
      </c>
      <c r="T66" s="721">
        <v>0.22884531319141388</v>
      </c>
      <c r="U66" s="721">
        <v>0.23255693912506104</v>
      </c>
      <c r="V66" s="721">
        <v>0.21932804584503174</v>
      </c>
      <c r="W66" s="721">
        <v>0.2095508873462677</v>
      </c>
      <c r="X66" s="721">
        <v>0.22995549440383911</v>
      </c>
      <c r="Y66" s="721">
        <v>0.33427801728248596</v>
      </c>
      <c r="Z66" s="721">
        <v>0.2235332727432251</v>
      </c>
      <c r="AA66" s="721">
        <v>0.29283174872398376</v>
      </c>
      <c r="AB66" s="721">
        <v>0.20007571578025818</v>
      </c>
      <c r="AC66" s="721">
        <v>0.22566471993923187</v>
      </c>
      <c r="AD66" s="721">
        <v>0.19251000881195068</v>
      </c>
      <c r="AE66" s="37">
        <f>'User Add-in Location'!B71</f>
        <v>0</v>
      </c>
      <c r="AF66" s="37">
        <f>'User Add-in Location'!C71</f>
        <v>0</v>
      </c>
      <c r="AG66" s="721">
        <v>0.21877670288085938</v>
      </c>
      <c r="AH66" s="721">
        <v>0</v>
      </c>
      <c r="AI66" s="721">
        <v>0.25474107265472412</v>
      </c>
      <c r="AJ66" s="721">
        <v>0.25402712821960449</v>
      </c>
      <c r="AK66" s="721">
        <v>0.15965108573436737</v>
      </c>
      <c r="AL66" s="721">
        <v>0.35466206073760986</v>
      </c>
      <c r="AM66" s="721">
        <v>0.29138064384460449</v>
      </c>
      <c r="AN66" s="721">
        <v>0.2387787252664566</v>
      </c>
      <c r="AO66" s="721">
        <v>0.22205232083797455</v>
      </c>
      <c r="AP66" s="721">
        <v>0.21785077452659607</v>
      </c>
      <c r="AQ66" s="721">
        <v>0.19258037209510803</v>
      </c>
      <c r="AR66" s="721">
        <v>0.2538430392742157</v>
      </c>
      <c r="AS66" s="721">
        <v>0.2676013708114624</v>
      </c>
      <c r="AT66" s="721">
        <v>0.25637000799179077</v>
      </c>
      <c r="AU66" s="721">
        <v>0.21915221214294434</v>
      </c>
      <c r="AV66" s="721">
        <v>0.25662708282470703</v>
      </c>
      <c r="AW66" s="721">
        <v>0.25891312956809998</v>
      </c>
      <c r="AX66" s="721">
        <v>0.25747516751289368</v>
      </c>
      <c r="AY66" s="721">
        <v>0.18352746963500977</v>
      </c>
      <c r="AZ66" s="721">
        <v>0.21256974339485168</v>
      </c>
      <c r="BA66" s="721">
        <v>0.22655779123306274</v>
      </c>
      <c r="BB66" s="721">
        <v>0.20886503159999847</v>
      </c>
      <c r="BC66" s="721">
        <v>0.20460915565490723</v>
      </c>
      <c r="BD66" s="721">
        <v>0.20950505137443542</v>
      </c>
      <c r="BE66" s="721">
        <v>0.17991143465042114</v>
      </c>
    </row>
    <row r="67" spans="3:57" ht="15" x14ac:dyDescent="0.2">
      <c r="C67" s="6" t="s">
        <v>84</v>
      </c>
      <c r="D67" s="721">
        <v>0.48457735776901245</v>
      </c>
      <c r="E67" s="721">
        <v>0.53140950202941895</v>
      </c>
      <c r="F67" s="721">
        <v>0.50042271614074707</v>
      </c>
      <c r="G67" s="721">
        <v>0.44019806385040283</v>
      </c>
      <c r="H67" s="721">
        <v>0.54672825336456299</v>
      </c>
      <c r="I67" s="721">
        <v>0.52916699647903442</v>
      </c>
      <c r="J67" s="721">
        <v>0.5375397801399231</v>
      </c>
      <c r="K67" s="721">
        <v>0.52072644233703613</v>
      </c>
      <c r="L67" s="721">
        <v>0.59385061264038086</v>
      </c>
      <c r="M67" s="721">
        <v>0.50060200691223145</v>
      </c>
      <c r="N67" s="721">
        <v>0.52079415321350098</v>
      </c>
      <c r="O67" s="721">
        <v>0.46675455570220947</v>
      </c>
      <c r="P67" s="721">
        <v>0.42362824082374573</v>
      </c>
      <c r="Q67" s="721">
        <v>0.55443489551544189</v>
      </c>
      <c r="R67" s="721">
        <v>0.40206480026245117</v>
      </c>
      <c r="S67" s="721">
        <v>0.4488164484500885</v>
      </c>
      <c r="T67" s="721">
        <v>0.47570061683654785</v>
      </c>
      <c r="U67" s="721">
        <v>0.46718162298202515</v>
      </c>
      <c r="V67" s="721">
        <v>0.51445901393890381</v>
      </c>
      <c r="W67" s="721">
        <v>0.44743168354034424</v>
      </c>
      <c r="X67" s="721">
        <v>0.51174962520599365</v>
      </c>
      <c r="Y67" s="721">
        <v>0.54390037059783936</v>
      </c>
      <c r="Z67" s="721">
        <v>0.51481425762176514</v>
      </c>
      <c r="AA67" s="721">
        <v>0.51240211725234985</v>
      </c>
      <c r="AB67" s="721">
        <v>0.42664092779159546</v>
      </c>
      <c r="AC67" s="721">
        <v>0.48356983065605164</v>
      </c>
      <c r="AD67" s="721">
        <v>0.45594486594200134</v>
      </c>
      <c r="AE67" s="37">
        <f>'User Add-in Location'!B72</f>
        <v>0</v>
      </c>
      <c r="AF67" s="37">
        <f>'User Add-in Location'!C72</f>
        <v>0</v>
      </c>
      <c r="AG67" s="721">
        <v>0.44301453232765198</v>
      </c>
      <c r="AH67" s="721">
        <v>0.52798914909362793</v>
      </c>
      <c r="AI67" s="721">
        <v>0.49147605895996094</v>
      </c>
      <c r="AJ67" s="721">
        <v>0.55664396286010742</v>
      </c>
      <c r="AK67" s="721">
        <v>0.42717307806015015</v>
      </c>
      <c r="AL67" s="721">
        <v>0.55382430553436279</v>
      </c>
      <c r="AM67" s="721">
        <v>0.44600144028663635</v>
      </c>
      <c r="AN67" s="721">
        <v>0.50632303953170776</v>
      </c>
      <c r="AO67" s="721">
        <v>0.48860406875610352</v>
      </c>
      <c r="AP67" s="721">
        <v>0.47800159454345703</v>
      </c>
      <c r="AQ67" s="721">
        <v>0.422707200050354</v>
      </c>
      <c r="AR67" s="721">
        <v>0.50964123010635376</v>
      </c>
      <c r="AS67" s="721">
        <v>0.47090771794319153</v>
      </c>
      <c r="AT67" s="721">
        <v>0.47564902901649475</v>
      </c>
      <c r="AU67" s="721">
        <v>0.40908858180046082</v>
      </c>
      <c r="AV67" s="721">
        <v>0.50465905666351318</v>
      </c>
      <c r="AW67" s="721">
        <v>0.54846107959747314</v>
      </c>
      <c r="AX67" s="721">
        <v>0.52073925733566284</v>
      </c>
      <c r="AY67" s="721">
        <v>0.46831628680229187</v>
      </c>
      <c r="AZ67" s="721">
        <v>0.44835430383682251</v>
      </c>
      <c r="BA67" s="721">
        <v>0.56426495313644409</v>
      </c>
      <c r="BB67" s="721">
        <v>0.48456203937530518</v>
      </c>
      <c r="BC67" s="721">
        <v>0.44500210881233215</v>
      </c>
      <c r="BD67" s="721">
        <v>0.46265462040901184</v>
      </c>
      <c r="BE67" s="721">
        <v>0.46769946813583374</v>
      </c>
    </row>
    <row r="68" spans="3:57" ht="15" x14ac:dyDescent="0.2">
      <c r="C68" s="6" t="s">
        <v>85</v>
      </c>
      <c r="D68" s="721">
        <v>0.34884911775588989</v>
      </c>
      <c r="E68" s="721">
        <v>0.37580659985542297</v>
      </c>
      <c r="F68" s="721">
        <v>0.36924928426742554</v>
      </c>
      <c r="G68" s="721">
        <v>0.3238660991191864</v>
      </c>
      <c r="H68" s="721">
        <v>0.39246702194213867</v>
      </c>
      <c r="I68" s="721">
        <v>0.37408500909805298</v>
      </c>
      <c r="J68" s="721">
        <v>0.41532045602798462</v>
      </c>
      <c r="K68" s="721">
        <v>0.42001637816429138</v>
      </c>
      <c r="L68" s="721">
        <v>0.51547634601593018</v>
      </c>
      <c r="M68" s="721">
        <v>0.36311072111129761</v>
      </c>
      <c r="N68" s="721">
        <v>0.34852632880210876</v>
      </c>
      <c r="O68" s="721">
        <v>0.3729102611541748</v>
      </c>
      <c r="P68" s="721">
        <v>0.34283560514450073</v>
      </c>
      <c r="Q68" s="721">
        <v>0.39119225740432739</v>
      </c>
      <c r="R68" s="721">
        <v>0.36346358060836792</v>
      </c>
      <c r="S68" s="721">
        <v>0.34891137480735779</v>
      </c>
      <c r="T68" s="721">
        <v>0.34938055276870728</v>
      </c>
      <c r="U68" s="721">
        <v>0.3651278018951416</v>
      </c>
      <c r="V68" s="721">
        <v>0.35610795021057129</v>
      </c>
      <c r="W68" s="721">
        <v>0.36709079146385193</v>
      </c>
      <c r="X68" s="721">
        <v>0.38978970050811768</v>
      </c>
      <c r="Y68" s="721">
        <v>0.44276914000511169</v>
      </c>
      <c r="Z68" s="721">
        <v>0.37963777780532837</v>
      </c>
      <c r="AA68" s="721">
        <v>0.39642995595932007</v>
      </c>
      <c r="AB68" s="721">
        <v>0.31934157013893127</v>
      </c>
      <c r="AC68" s="721">
        <v>0.36273297667503357</v>
      </c>
      <c r="AD68" s="721">
        <v>0.34770816564559937</v>
      </c>
      <c r="AE68" s="37">
        <f>'User Add-in Location'!B73</f>
        <v>0</v>
      </c>
      <c r="AF68" s="37">
        <f>'User Add-in Location'!C73</f>
        <v>0</v>
      </c>
      <c r="AG68" s="721">
        <v>0.36375501751899719</v>
      </c>
      <c r="AH68" s="721">
        <v>0.37149909138679504</v>
      </c>
      <c r="AI68" s="721">
        <v>0.40884390473365784</v>
      </c>
      <c r="AJ68" s="721">
        <v>0.42154374718666077</v>
      </c>
      <c r="AK68" s="721">
        <v>0.30356350541114807</v>
      </c>
      <c r="AL68" s="721">
        <v>0.41591024398803711</v>
      </c>
      <c r="AM68" s="721">
        <v>0.36339178681373596</v>
      </c>
      <c r="AN68" s="721">
        <v>0.36247563362121582</v>
      </c>
      <c r="AO68" s="721">
        <v>0.38620597124099731</v>
      </c>
      <c r="AP68" s="721">
        <v>0.34286326169967651</v>
      </c>
      <c r="AQ68" s="721">
        <v>0.38614818453788757</v>
      </c>
      <c r="AR68" s="721">
        <v>0.42016333341598511</v>
      </c>
      <c r="AS68" s="721">
        <v>0.3947855532169342</v>
      </c>
      <c r="AT68" s="721">
        <v>0.33197855949401855</v>
      </c>
      <c r="AU68" s="721">
        <v>0.35905203223228455</v>
      </c>
      <c r="AV68" s="721">
        <v>0.40854665637016296</v>
      </c>
      <c r="AW68" s="721">
        <v>0.37428101897239685</v>
      </c>
      <c r="AX68" s="721">
        <v>0.38455450534820557</v>
      </c>
      <c r="AY68" s="721">
        <v>0.34547340869903564</v>
      </c>
      <c r="AZ68" s="721">
        <v>0.36940035223960876</v>
      </c>
      <c r="BA68" s="721">
        <v>0.39925998449325562</v>
      </c>
      <c r="BB68" s="721">
        <v>0.35994070768356323</v>
      </c>
      <c r="BC68" s="721">
        <v>0.36661419272422791</v>
      </c>
      <c r="BD68" s="721">
        <v>0.36908605694770813</v>
      </c>
      <c r="BE68" s="721">
        <v>0.32473477721214294</v>
      </c>
    </row>
    <row r="69" spans="3:57" ht="15" x14ac:dyDescent="0.2">
      <c r="C69" s="6" t="s">
        <v>11</v>
      </c>
      <c r="D69" s="721">
        <v>0.65951740741729736</v>
      </c>
      <c r="E69" s="721">
        <v>0.84008699655532837</v>
      </c>
      <c r="F69" s="721">
        <v>0.66445237398147583</v>
      </c>
      <c r="G69" s="721">
        <v>0.76184660196304321</v>
      </c>
      <c r="H69" s="721">
        <v>0.74246829748153687</v>
      </c>
      <c r="I69" s="721">
        <v>0.77465736865997314</v>
      </c>
      <c r="J69" s="721">
        <v>0.6432267427444458</v>
      </c>
      <c r="K69" s="721">
        <v>0.73890697956085205</v>
      </c>
      <c r="L69" s="721">
        <v>0.74078977108001709</v>
      </c>
      <c r="M69" s="721">
        <v>0.73332470655441284</v>
      </c>
      <c r="N69" s="721">
        <v>0.80894267559051514</v>
      </c>
      <c r="O69" s="721">
        <v>0.77255445718765259</v>
      </c>
      <c r="P69" s="721">
        <v>0.73272198438644409</v>
      </c>
      <c r="Q69" s="721">
        <v>0.83481884002685547</v>
      </c>
      <c r="R69" s="721">
        <v>0.79214948415756226</v>
      </c>
      <c r="S69" s="721">
        <v>0.76589369773864746</v>
      </c>
      <c r="T69" s="721">
        <v>0.77444332838058472</v>
      </c>
      <c r="U69" s="721">
        <v>0.76782339811325073</v>
      </c>
      <c r="V69" s="721">
        <v>0.76607662439346313</v>
      </c>
      <c r="W69" s="721">
        <v>0.77143138647079468</v>
      </c>
      <c r="X69" s="721">
        <v>0.66403418779373169</v>
      </c>
      <c r="Y69" s="721">
        <v>0.64978581666946411</v>
      </c>
      <c r="Z69" s="721">
        <v>0.78698962926864624</v>
      </c>
      <c r="AA69" s="721">
        <v>0.72022783756256104</v>
      </c>
      <c r="AB69" s="721">
        <v>0.75427591800689697</v>
      </c>
      <c r="AC69" s="721">
        <v>0.77256596088409424</v>
      </c>
      <c r="AD69" s="721">
        <v>0.74814766645431519</v>
      </c>
      <c r="AE69" s="37">
        <f>'User Add-in Location'!B74</f>
        <v>0</v>
      </c>
      <c r="AF69" s="37">
        <f>'User Add-in Location'!C74</f>
        <v>0</v>
      </c>
      <c r="AG69" s="721">
        <v>0.80871880054473877</v>
      </c>
      <c r="AH69" s="721">
        <v>0.69892603158950806</v>
      </c>
      <c r="AI69" s="721">
        <v>0.63836967945098877</v>
      </c>
      <c r="AJ69" s="721">
        <v>0.82544100284576416</v>
      </c>
      <c r="AK69" s="721">
        <v>0.51014268398284912</v>
      </c>
      <c r="AL69" s="721">
        <v>0.7576025128364563</v>
      </c>
      <c r="AM69" s="721">
        <v>0.80182784795761108</v>
      </c>
      <c r="AN69" s="721">
        <v>0.71987134218215942</v>
      </c>
      <c r="AO69" s="721">
        <v>0.75696814060211182</v>
      </c>
      <c r="AP69" s="721">
        <v>0.64443153142929077</v>
      </c>
      <c r="AQ69" s="721">
        <v>0.74260950088500977</v>
      </c>
      <c r="AR69" s="721">
        <v>0.76290231943130493</v>
      </c>
      <c r="AS69" s="721">
        <v>0.67770671844482422</v>
      </c>
      <c r="AT69" s="721">
        <v>0.75965934991836548</v>
      </c>
      <c r="AU69" s="721">
        <v>0.68482935428619385</v>
      </c>
      <c r="AV69" s="721">
        <v>0.72967088222503662</v>
      </c>
      <c r="AW69" s="721">
        <v>0.75318366289138794</v>
      </c>
      <c r="AX69" s="721">
        <v>0.73905831575393677</v>
      </c>
      <c r="AY69" s="721">
        <v>0.7371143102645874</v>
      </c>
      <c r="AZ69" s="721">
        <v>0.8133816123008728</v>
      </c>
      <c r="BA69" s="721">
        <v>0.6822015643119812</v>
      </c>
      <c r="BB69" s="721">
        <v>0.67520207166671753</v>
      </c>
      <c r="BC69" s="721">
        <v>0.69752919673919678</v>
      </c>
      <c r="BD69" s="721">
        <v>0.7372550368309021</v>
      </c>
      <c r="BE69" s="721">
        <v>0.76997506618499756</v>
      </c>
    </row>
    <row r="70" spans="3:57" ht="15" x14ac:dyDescent="0.2">
      <c r="C70" s="5"/>
      <c r="D70" s="721"/>
      <c r="E70" s="721"/>
      <c r="F70" s="721"/>
      <c r="G70" s="721"/>
      <c r="H70" s="721"/>
      <c r="I70" s="721"/>
      <c r="J70" s="721"/>
      <c r="K70" s="721"/>
      <c r="L70" s="721"/>
      <c r="M70" s="721"/>
      <c r="N70" s="721"/>
      <c r="O70" s="721"/>
      <c r="P70" s="721"/>
      <c r="Q70" s="721"/>
      <c r="R70" s="721"/>
      <c r="S70" s="721"/>
      <c r="T70" s="721"/>
      <c r="U70" s="721"/>
      <c r="V70" s="721"/>
      <c r="W70" s="721"/>
      <c r="X70" s="721"/>
      <c r="Y70" s="721"/>
      <c r="Z70" s="721"/>
      <c r="AA70" s="721"/>
      <c r="AB70" s="721"/>
      <c r="AC70" s="721"/>
      <c r="AD70" s="721"/>
      <c r="AE70" s="37"/>
      <c r="AF70" s="37"/>
      <c r="AG70" s="721"/>
      <c r="AH70" s="721"/>
      <c r="AI70" s="721"/>
      <c r="AJ70" s="721"/>
      <c r="AK70" s="721"/>
      <c r="AL70" s="721"/>
      <c r="AM70" s="721"/>
      <c r="AN70" s="721"/>
      <c r="AO70" s="721"/>
      <c r="AP70" s="721"/>
      <c r="AQ70" s="721"/>
      <c r="AR70" s="721"/>
      <c r="AS70" s="721"/>
      <c r="AT70" s="721"/>
      <c r="AU70" s="721"/>
      <c r="AV70" s="721"/>
      <c r="AW70" s="721"/>
      <c r="AX70" s="721"/>
      <c r="AY70" s="721"/>
      <c r="AZ70" s="721"/>
      <c r="BA70" s="721"/>
      <c r="BB70" s="721"/>
      <c r="BC70" s="721"/>
      <c r="BD70" s="721"/>
      <c r="BE70" s="721"/>
    </row>
    <row r="71" spans="3:57" ht="13.5" customHeight="1" x14ac:dyDescent="0.2">
      <c r="C71" s="17" t="s">
        <v>124</v>
      </c>
      <c r="D71" s="721"/>
      <c r="E71" s="721"/>
      <c r="F71" s="721"/>
      <c r="G71" s="721"/>
      <c r="H71" s="721"/>
      <c r="I71" s="721"/>
      <c r="J71" s="721"/>
      <c r="K71" s="721"/>
      <c r="L71" s="721"/>
      <c r="M71" s="721"/>
      <c r="N71" s="721"/>
      <c r="O71" s="721"/>
      <c r="P71" s="721"/>
      <c r="Q71" s="721"/>
      <c r="R71" s="721"/>
      <c r="S71" s="721"/>
      <c r="T71" s="721"/>
      <c r="U71" s="721"/>
      <c r="V71" s="721"/>
      <c r="W71" s="721"/>
      <c r="X71" s="721"/>
      <c r="Y71" s="721"/>
      <c r="Z71" s="721"/>
      <c r="AA71" s="721"/>
      <c r="AB71" s="721"/>
      <c r="AC71" s="721"/>
      <c r="AD71" s="721"/>
      <c r="AE71" s="37"/>
      <c r="AF71" s="37"/>
      <c r="AG71" s="721"/>
      <c r="AH71" s="721"/>
      <c r="AI71" s="721"/>
      <c r="AJ71" s="721"/>
      <c r="AK71" s="721"/>
      <c r="AL71" s="721"/>
      <c r="AM71" s="721"/>
      <c r="AN71" s="721"/>
      <c r="AO71" s="721"/>
      <c r="AP71" s="721"/>
      <c r="AQ71" s="721"/>
      <c r="AR71" s="721"/>
      <c r="AS71" s="721"/>
      <c r="AT71" s="721"/>
      <c r="AU71" s="721"/>
      <c r="AV71" s="721"/>
      <c r="AW71" s="721"/>
      <c r="AX71" s="721"/>
      <c r="AY71" s="721"/>
      <c r="AZ71" s="721"/>
      <c r="BA71" s="721"/>
      <c r="BB71" s="721"/>
      <c r="BC71" s="721"/>
      <c r="BD71" s="721"/>
      <c r="BE71" s="721"/>
    </row>
    <row r="72" spans="3:57" ht="12.75" customHeight="1" x14ac:dyDescent="0.2">
      <c r="C72" s="110" t="s">
        <v>130</v>
      </c>
      <c r="D72" s="721" t="s">
        <v>13</v>
      </c>
      <c r="E72" s="721" t="s">
        <v>14</v>
      </c>
      <c r="F72" s="721" t="s">
        <v>15</v>
      </c>
      <c r="G72" s="721" t="s">
        <v>16</v>
      </c>
      <c r="H72" s="721" t="s">
        <v>17</v>
      </c>
      <c r="I72" s="721" t="s">
        <v>18</v>
      </c>
      <c r="J72" s="721" t="s">
        <v>19</v>
      </c>
      <c r="K72" s="721" t="s">
        <v>20</v>
      </c>
      <c r="L72" s="721" t="s">
        <v>21</v>
      </c>
      <c r="M72" s="721" t="s">
        <v>22</v>
      </c>
      <c r="N72" s="721" t="s">
        <v>23</v>
      </c>
      <c r="O72" s="721" t="s">
        <v>24</v>
      </c>
      <c r="P72" s="721" t="s">
        <v>25</v>
      </c>
      <c r="Q72" s="721" t="s">
        <v>26</v>
      </c>
      <c r="R72" s="721" t="s">
        <v>27</v>
      </c>
      <c r="S72" s="721" t="s">
        <v>28</v>
      </c>
      <c r="T72" s="721" t="s">
        <v>29</v>
      </c>
      <c r="U72" s="721" t="s">
        <v>30</v>
      </c>
      <c r="V72" s="721" t="s">
        <v>31</v>
      </c>
      <c r="W72" s="721" t="s">
        <v>32</v>
      </c>
      <c r="X72" s="721" t="s">
        <v>33</v>
      </c>
      <c r="Y72" s="721" t="s">
        <v>34</v>
      </c>
      <c r="Z72" s="721" t="s">
        <v>35</v>
      </c>
      <c r="AA72" s="721" t="s">
        <v>36</v>
      </c>
      <c r="AB72" s="721" t="s">
        <v>37</v>
      </c>
      <c r="AC72" s="721" t="s">
        <v>38</v>
      </c>
      <c r="AD72" s="721" t="s">
        <v>39</v>
      </c>
      <c r="AE72" s="37" t="s">
        <v>151</v>
      </c>
      <c r="AF72" s="37" t="s">
        <v>150</v>
      </c>
      <c r="AG72" s="721" t="s">
        <v>40</v>
      </c>
      <c r="AH72" s="721" t="s">
        <v>41</v>
      </c>
      <c r="AI72" s="721" t="s">
        <v>42</v>
      </c>
      <c r="AJ72" s="721" t="s">
        <v>43</v>
      </c>
      <c r="AK72" s="721" t="s">
        <v>44</v>
      </c>
      <c r="AL72" s="721" t="s">
        <v>45</v>
      </c>
      <c r="AM72" s="721" t="s">
        <v>46</v>
      </c>
      <c r="AN72" s="721" t="s">
        <v>47</v>
      </c>
      <c r="AO72" s="721" t="s">
        <v>48</v>
      </c>
      <c r="AP72" s="721" t="s">
        <v>49</v>
      </c>
      <c r="AQ72" s="721" t="s">
        <v>50</v>
      </c>
      <c r="AR72" s="721" t="s">
        <v>51</v>
      </c>
      <c r="AS72" s="721" t="s">
        <v>52</v>
      </c>
      <c r="AT72" s="721" t="s">
        <v>53</v>
      </c>
      <c r="AU72" s="721" t="s">
        <v>54</v>
      </c>
      <c r="AV72" s="721" t="s">
        <v>55</v>
      </c>
      <c r="AW72" s="721" t="s">
        <v>56</v>
      </c>
      <c r="AX72" s="721" t="s">
        <v>489</v>
      </c>
      <c r="AY72" s="721" t="s">
        <v>57</v>
      </c>
      <c r="AZ72" s="721" t="s">
        <v>58</v>
      </c>
      <c r="BA72" s="721" t="s">
        <v>59</v>
      </c>
      <c r="BB72" s="721" t="s">
        <v>60</v>
      </c>
      <c r="BC72" s="721" t="s">
        <v>61</v>
      </c>
      <c r="BD72" s="721" t="s">
        <v>62</v>
      </c>
      <c r="BE72" s="721" t="s">
        <v>12</v>
      </c>
    </row>
    <row r="73" spans="3:57" ht="15" x14ac:dyDescent="0.2">
      <c r="C73" s="6" t="s">
        <v>7</v>
      </c>
      <c r="D73" s="721">
        <v>7.1475125849246979E-2</v>
      </c>
      <c r="E73" s="721">
        <v>2.9256105422973633E-2</v>
      </c>
      <c r="F73" s="721">
        <v>5.9685982763767242E-2</v>
      </c>
      <c r="G73" s="721">
        <v>0.10290594398975372</v>
      </c>
      <c r="H73" s="721">
        <v>5.9046462178230286E-2</v>
      </c>
      <c r="I73" s="721">
        <v>0.10989853739738464</v>
      </c>
      <c r="J73" s="721">
        <v>3.6577768623828888E-2</v>
      </c>
      <c r="K73" s="721">
        <v>7.3237016797065735E-2</v>
      </c>
      <c r="L73" s="721">
        <v>5.4880071431398392E-2</v>
      </c>
      <c r="M73" s="721">
        <v>4.7513276338577271E-2</v>
      </c>
      <c r="N73" s="721">
        <v>9.3869201838970184E-2</v>
      </c>
      <c r="O73" s="721">
        <v>4.5586034655570984E-2</v>
      </c>
      <c r="P73" s="721">
        <v>0.1140865758061409</v>
      </c>
      <c r="Q73" s="721">
        <v>0.10706116259098053</v>
      </c>
      <c r="R73" s="721">
        <v>6.0020998120307922E-2</v>
      </c>
      <c r="S73" s="721">
        <v>9.551490843296051E-2</v>
      </c>
      <c r="T73" s="721">
        <v>0.11804729700088501</v>
      </c>
      <c r="U73" s="721">
        <v>5.2609808743000031E-2</v>
      </c>
      <c r="V73" s="721">
        <v>4.3605498969554901E-2</v>
      </c>
      <c r="W73" s="721">
        <v>5.9952333569526672E-2</v>
      </c>
      <c r="X73" s="721">
        <v>5.4205253720283508E-2</v>
      </c>
      <c r="Y73" s="721">
        <v>3.4785941243171692E-2</v>
      </c>
      <c r="Z73" s="721">
        <v>5.7785026729106903E-2</v>
      </c>
      <c r="AA73" s="721">
        <v>0.10003787279129028</v>
      </c>
      <c r="AB73" s="721">
        <v>7.790866494178772E-2</v>
      </c>
      <c r="AC73" s="721">
        <v>7.1644321084022522E-2</v>
      </c>
      <c r="AD73" s="721">
        <v>7.9692885279655457E-2</v>
      </c>
      <c r="AE73" s="37">
        <f>'User Add-in Location'!B78</f>
        <v>8.7303593754768372E-2</v>
      </c>
      <c r="AF73" s="37">
        <f>'User Add-in Location'!C78</f>
        <v>0</v>
      </c>
      <c r="AG73" s="721">
        <v>0.12404529750347137</v>
      </c>
      <c r="AH73" s="721">
        <v>3.0273757874965668E-2</v>
      </c>
      <c r="AI73" s="721">
        <v>4.6808250248432159E-2</v>
      </c>
      <c r="AJ73" s="721">
        <v>3.1531915068626404E-2</v>
      </c>
      <c r="AK73" s="721">
        <v>8.3876818418502808E-2</v>
      </c>
      <c r="AL73" s="721">
        <v>6.7235067486763E-2</v>
      </c>
      <c r="AM73" s="721">
        <v>6.481584906578064E-2</v>
      </c>
      <c r="AN73" s="721">
        <v>7.9523906111717224E-2</v>
      </c>
      <c r="AO73" s="721">
        <v>6.2163323163986206E-2</v>
      </c>
      <c r="AP73" s="721">
        <v>6.3348725438117981E-2</v>
      </c>
      <c r="AQ73" s="721">
        <v>7.3605090379714966E-2</v>
      </c>
      <c r="AR73" s="721">
        <v>6.5034136176109314E-2</v>
      </c>
      <c r="AS73" s="721">
        <v>3.133026510477066E-2</v>
      </c>
      <c r="AT73" s="721">
        <v>4.7288194298744202E-2</v>
      </c>
      <c r="AU73" s="721">
        <v>0.12592822313308716</v>
      </c>
      <c r="AV73" s="721">
        <v>5.4912187159061432E-2</v>
      </c>
      <c r="AW73" s="721">
        <v>8.2019716501235962E-2</v>
      </c>
      <c r="AX73" s="721">
        <v>0.16572409868240356</v>
      </c>
      <c r="AY73" s="721">
        <v>5.6010287255048752E-2</v>
      </c>
      <c r="AZ73" s="721">
        <v>7.7543504536151886E-2</v>
      </c>
      <c r="BA73" s="721">
        <v>5.3974252194166183E-2</v>
      </c>
      <c r="BB73" s="721">
        <v>5.7410672307014465E-2</v>
      </c>
      <c r="BC73" s="721">
        <v>3.1250335276126862E-2</v>
      </c>
      <c r="BD73" s="721">
        <v>0.10315808653831482</v>
      </c>
      <c r="BE73" s="721">
        <v>4.2834348976612091E-2</v>
      </c>
    </row>
    <row r="74" spans="3:57" ht="15" x14ac:dyDescent="0.2">
      <c r="C74" s="6" t="s">
        <v>77</v>
      </c>
      <c r="D74" s="721">
        <v>6.8435132503509521E-2</v>
      </c>
      <c r="E74" s="721">
        <v>2.8919186443090439E-2</v>
      </c>
      <c r="F74" s="721">
        <v>9.4760596752166748E-2</v>
      </c>
      <c r="G74" s="721">
        <v>7.5667232275009155E-2</v>
      </c>
      <c r="H74" s="721">
        <v>7.5320951640605927E-2</v>
      </c>
      <c r="I74" s="721">
        <v>0.10453084111213684</v>
      </c>
      <c r="J74" s="721">
        <v>0.11509822309017181</v>
      </c>
      <c r="K74" s="721">
        <v>9.8009772598743439E-2</v>
      </c>
      <c r="L74" s="721">
        <v>0.11222494393587112</v>
      </c>
      <c r="M74" s="721">
        <v>0.13341248035430908</v>
      </c>
      <c r="N74" s="721">
        <v>8.9229747653007507E-2</v>
      </c>
      <c r="O74" s="721">
        <v>9.0254127979278564E-2</v>
      </c>
      <c r="P74" s="721">
        <v>8.3986923098564148E-2</v>
      </c>
      <c r="Q74" s="721">
        <v>0.11576959490776062</v>
      </c>
      <c r="R74" s="721">
        <v>8.6441926658153534E-2</v>
      </c>
      <c r="S74" s="721">
        <v>7.9151064157485962E-2</v>
      </c>
      <c r="T74" s="721">
        <v>0.15168082714080811</v>
      </c>
      <c r="U74" s="721">
        <v>7.8394785523414612E-2</v>
      </c>
      <c r="V74" s="721">
        <v>6.3943371176719666E-2</v>
      </c>
      <c r="W74" s="721">
        <v>0.12410250306129456</v>
      </c>
      <c r="X74" s="721">
        <v>0.13044579327106476</v>
      </c>
      <c r="Y74" s="721">
        <v>0.15937015414237976</v>
      </c>
      <c r="Z74" s="721">
        <v>0.12461639195680618</v>
      </c>
      <c r="AA74" s="721">
        <v>9.5216765999794006E-2</v>
      </c>
      <c r="AB74" s="721">
        <v>7.7338047325611115E-2</v>
      </c>
      <c r="AC74" s="721">
        <v>9.7779318690299988E-2</v>
      </c>
      <c r="AD74" s="721">
        <v>9.7569778561592102E-2</v>
      </c>
      <c r="AE74" s="37">
        <f>'User Add-in Location'!B79</f>
        <v>4.3994605541229248E-2</v>
      </c>
      <c r="AF74" s="37">
        <f>'User Add-in Location'!C79</f>
        <v>0</v>
      </c>
      <c r="AG74" s="721">
        <v>8.7245747447013855E-2</v>
      </c>
      <c r="AH74" s="721">
        <v>6.0665234923362732E-2</v>
      </c>
      <c r="AI74" s="721">
        <v>0.10547582805156708</v>
      </c>
      <c r="AJ74" s="721">
        <v>0.13210685551166534</v>
      </c>
      <c r="AK74" s="721">
        <v>8.1110775470733643E-2</v>
      </c>
      <c r="AL74" s="721">
        <v>0.14236852526664734</v>
      </c>
      <c r="AM74" s="721">
        <v>8.2671821117401123E-2</v>
      </c>
      <c r="AN74" s="721">
        <v>7.0508770644664764E-2</v>
      </c>
      <c r="AO74" s="721">
        <v>0.1106661856174469</v>
      </c>
      <c r="AP74" s="721">
        <v>0.13182620704174042</v>
      </c>
      <c r="AQ74" s="721">
        <v>0.11433820426464081</v>
      </c>
      <c r="AR74" s="721">
        <v>9.0128049254417419E-2</v>
      </c>
      <c r="AS74" s="721">
        <v>0.11111602932214737</v>
      </c>
      <c r="AT74" s="721">
        <v>8.1748455762863159E-2</v>
      </c>
      <c r="AU74" s="721">
        <v>9.1595686972141266E-2</v>
      </c>
      <c r="AV74" s="721">
        <v>9.3861103057861328E-2</v>
      </c>
      <c r="AW74" s="721">
        <v>9.1027304530143738E-2</v>
      </c>
      <c r="AX74" s="721">
        <v>0.14197559654712677</v>
      </c>
      <c r="AY74" s="721">
        <v>9.3604668974876404E-2</v>
      </c>
      <c r="AZ74" s="721">
        <v>7.1563765406608582E-2</v>
      </c>
      <c r="BA74" s="721">
        <v>0.1000417172908783</v>
      </c>
      <c r="BB74" s="721">
        <v>0.1070806011557579</v>
      </c>
      <c r="BC74" s="721">
        <v>8.5700333118438721E-2</v>
      </c>
      <c r="BD74" s="721">
        <v>7.3906496167182922E-2</v>
      </c>
      <c r="BE74" s="721">
        <v>5.7955686002969742E-2</v>
      </c>
    </row>
    <row r="75" spans="3:57" ht="15" x14ac:dyDescent="0.2">
      <c r="C75" s="6" t="s">
        <v>8</v>
      </c>
      <c r="D75" s="721">
        <v>0.12155184149742126</v>
      </c>
      <c r="E75" s="721">
        <v>9.3869648873806E-2</v>
      </c>
      <c r="F75" s="721">
        <v>0.13714815676212311</v>
      </c>
      <c r="G75" s="721">
        <v>0.12220568954944611</v>
      </c>
      <c r="H75" s="721">
        <v>0.17574077844619751</v>
      </c>
      <c r="I75" s="721">
        <v>0.16414204239845276</v>
      </c>
      <c r="J75" s="721">
        <v>0.15497986972332001</v>
      </c>
      <c r="K75" s="721">
        <v>0.13608837127685547</v>
      </c>
      <c r="L75" s="721">
        <v>8.731483668088913E-2</v>
      </c>
      <c r="M75" s="721">
        <v>0.15383884310722351</v>
      </c>
      <c r="N75" s="721">
        <v>0.15120598673820496</v>
      </c>
      <c r="O75" s="721">
        <v>9.7113050520420074E-2</v>
      </c>
      <c r="P75" s="721">
        <v>0.13584995269775391</v>
      </c>
      <c r="Q75" s="721">
        <v>0.14951097965240479</v>
      </c>
      <c r="R75" s="721">
        <v>0.12412342429161072</v>
      </c>
      <c r="S75" s="721">
        <v>0.11916922777891159</v>
      </c>
      <c r="T75" s="721">
        <v>0.13089054822921753</v>
      </c>
      <c r="U75" s="721">
        <v>0.11853006482124329</v>
      </c>
      <c r="V75" s="721">
        <v>0.10615894198417664</v>
      </c>
      <c r="W75" s="721">
        <v>0.14712733030319214</v>
      </c>
      <c r="X75" s="721">
        <v>0.12162084877490997</v>
      </c>
      <c r="Y75" s="721">
        <v>0.16212105751037598</v>
      </c>
      <c r="Z75" s="721">
        <v>0.14914636313915253</v>
      </c>
      <c r="AA75" s="721">
        <v>0.15415588021278381</v>
      </c>
      <c r="AB75" s="721">
        <v>0.10449788719415665</v>
      </c>
      <c r="AC75" s="721">
        <v>0.14591744542121887</v>
      </c>
      <c r="AD75" s="721">
        <v>0.12755966186523438</v>
      </c>
      <c r="AE75" s="37">
        <f>'User Add-in Location'!B80</f>
        <v>7.391008734703064E-2</v>
      </c>
      <c r="AF75" s="37">
        <f>'User Add-in Location'!C80</f>
        <v>0</v>
      </c>
      <c r="AG75" s="721">
        <v>0.12196582555770874</v>
      </c>
      <c r="AH75" s="721">
        <v>5.4499223828315735E-2</v>
      </c>
      <c r="AI75" s="721">
        <v>0.17345553636550903</v>
      </c>
      <c r="AJ75" s="721">
        <v>0.14860253036022186</v>
      </c>
      <c r="AK75" s="721">
        <v>0.10702479630708694</v>
      </c>
      <c r="AL75" s="721">
        <v>0.13915446400642395</v>
      </c>
      <c r="AM75" s="721">
        <v>0.15317812561988831</v>
      </c>
      <c r="AN75" s="721">
        <v>0.11687559634447098</v>
      </c>
      <c r="AO75" s="721">
        <v>0.15512549877166748</v>
      </c>
      <c r="AP75" s="721">
        <v>0.1412825882434845</v>
      </c>
      <c r="AQ75" s="721">
        <v>0.13977663218975067</v>
      </c>
      <c r="AR75" s="721">
        <v>0.16091740131378174</v>
      </c>
      <c r="AS75" s="721">
        <v>0.12556728720664978</v>
      </c>
      <c r="AT75" s="721">
        <v>0.12206400185823441</v>
      </c>
      <c r="AU75" s="721">
        <v>0.12745127081871033</v>
      </c>
      <c r="AV75" s="721">
        <v>0.15787053108215332</v>
      </c>
      <c r="AW75" s="721">
        <v>0.1588500440120697</v>
      </c>
      <c r="AX75" s="721">
        <v>0.25871437788009644</v>
      </c>
      <c r="AY75" s="721">
        <v>0.14666247367858887</v>
      </c>
      <c r="AZ75" s="721">
        <v>0.13884064555168152</v>
      </c>
      <c r="BA75" s="721">
        <v>0.13415935635566711</v>
      </c>
      <c r="BB75" s="721">
        <v>0.13278046250343323</v>
      </c>
      <c r="BC75" s="721">
        <v>9.1787509620189667E-2</v>
      </c>
      <c r="BD75" s="721">
        <v>0.14014655351638794</v>
      </c>
      <c r="BE75" s="721">
        <v>7.9310253262519836E-2</v>
      </c>
    </row>
    <row r="76" spans="3:57" ht="15" x14ac:dyDescent="0.2">
      <c r="C76" s="6" t="s">
        <v>78</v>
      </c>
      <c r="D76" s="721">
        <v>8.8650085031986237E-2</v>
      </c>
      <c r="E76" s="721">
        <v>9.4196833670139313E-2</v>
      </c>
      <c r="F76" s="721">
        <v>0.10553905367851257</v>
      </c>
      <c r="G76" s="721">
        <v>9.8887175321578979E-2</v>
      </c>
      <c r="H76" s="721">
        <v>0.15556126832962036</v>
      </c>
      <c r="I76" s="721">
        <v>0.14359860122203827</v>
      </c>
      <c r="J76" s="721">
        <v>9.5079600811004639E-2</v>
      </c>
      <c r="K76" s="721">
        <v>9.3742504715919495E-2</v>
      </c>
      <c r="L76" s="721">
        <v>6.1569318175315857E-2</v>
      </c>
      <c r="M76" s="721">
        <v>0.114292211830616</v>
      </c>
      <c r="N76" s="721">
        <v>0.10924142599105835</v>
      </c>
      <c r="O76" s="721">
        <v>0.10245998203754425</v>
      </c>
      <c r="P76" s="721">
        <v>0.11180654168128967</v>
      </c>
      <c r="Q76" s="721">
        <v>0.12775731086730957</v>
      </c>
      <c r="R76" s="721">
        <v>8.6024090647697449E-2</v>
      </c>
      <c r="S76" s="721">
        <v>9.7358763217926025E-2</v>
      </c>
      <c r="T76" s="721">
        <v>0.12365885078907013</v>
      </c>
      <c r="U76" s="721">
        <v>8.3864584565162659E-2</v>
      </c>
      <c r="V76" s="721">
        <v>9.6944011747837067E-2</v>
      </c>
      <c r="W76" s="721">
        <v>9.6773058176040649E-2</v>
      </c>
      <c r="X76" s="721">
        <v>7.9777412116527557E-2</v>
      </c>
      <c r="Y76" s="721">
        <v>0.10921596735715866</v>
      </c>
      <c r="Z76" s="721">
        <v>0.10713927447795868</v>
      </c>
      <c r="AA76" s="721">
        <v>0.1340128630399704</v>
      </c>
      <c r="AB76" s="721">
        <v>8.8676288723945618E-2</v>
      </c>
      <c r="AC76" s="721">
        <v>0.10335975140333176</v>
      </c>
      <c r="AD76" s="721">
        <v>0.10407392680644989</v>
      </c>
      <c r="AE76" s="37">
        <f>'User Add-in Location'!B81</f>
        <v>5.0878465175628662E-2</v>
      </c>
      <c r="AF76" s="37">
        <f>'User Add-in Location'!C81</f>
        <v>0</v>
      </c>
      <c r="AG76" s="721">
        <v>0.10640329867601395</v>
      </c>
      <c r="AH76" s="721">
        <v>6.3594870269298553E-2</v>
      </c>
      <c r="AI76" s="721">
        <v>9.2588678002357483E-2</v>
      </c>
      <c r="AJ76" s="721">
        <v>0.11363387107849121</v>
      </c>
      <c r="AK76" s="721">
        <v>0.10967233031988144</v>
      </c>
      <c r="AL76" s="721">
        <v>0.11077801883220673</v>
      </c>
      <c r="AM76" s="721">
        <v>9.4135850667953491E-2</v>
      </c>
      <c r="AN76" s="721">
        <v>0.118796207010746</v>
      </c>
      <c r="AO76" s="721">
        <v>0.11425000429153442</v>
      </c>
      <c r="AP76" s="721">
        <v>0.13345849514007568</v>
      </c>
      <c r="AQ76" s="721">
        <v>0.11126573383808136</v>
      </c>
      <c r="AR76" s="721">
        <v>0.12469983845949173</v>
      </c>
      <c r="AS76" s="721">
        <v>8.9070901274681091E-2</v>
      </c>
      <c r="AT76" s="721">
        <v>7.8198768198490143E-2</v>
      </c>
      <c r="AU76" s="721">
        <v>0.10316871851682663</v>
      </c>
      <c r="AV76" s="721">
        <v>9.974256157875061E-2</v>
      </c>
      <c r="AW76" s="721">
        <v>0.16708973050117493</v>
      </c>
      <c r="AX76" s="721">
        <v>0.27259361743927002</v>
      </c>
      <c r="AY76" s="721">
        <v>0.12053241580724716</v>
      </c>
      <c r="AZ76" s="721">
        <v>9.6678897738456726E-2</v>
      </c>
      <c r="BA76" s="721">
        <v>8.456120640039444E-2</v>
      </c>
      <c r="BB76" s="721">
        <v>0.1100388765335083</v>
      </c>
      <c r="BC76" s="721">
        <v>7.491651177406311E-2</v>
      </c>
      <c r="BD76" s="721">
        <v>0.11115989834070206</v>
      </c>
      <c r="BE76" s="721">
        <v>9.0059615671634674E-2</v>
      </c>
    </row>
    <row r="77" spans="3:57" ht="15" x14ac:dyDescent="0.2">
      <c r="C77" s="6" t="s">
        <v>79</v>
      </c>
      <c r="D77" s="721">
        <v>7.7903188765048981E-2</v>
      </c>
      <c r="E77" s="721">
        <v>7.9276613891124725E-2</v>
      </c>
      <c r="F77" s="721">
        <v>0.10682260990142822</v>
      </c>
      <c r="G77" s="721">
        <v>6.9658324122428894E-2</v>
      </c>
      <c r="H77" s="721">
        <v>0.15849040448665619</v>
      </c>
      <c r="I77" s="721">
        <v>0.12005691230297089</v>
      </c>
      <c r="J77" s="721">
        <v>0.10252566635608673</v>
      </c>
      <c r="K77" s="721">
        <v>8.2358211278915405E-2</v>
      </c>
      <c r="L77" s="721">
        <v>0</v>
      </c>
      <c r="M77" s="721">
        <v>0.11235198378562927</v>
      </c>
      <c r="N77" s="721">
        <v>0.1009477898478508</v>
      </c>
      <c r="O77" s="721">
        <v>8.67934450507164E-2</v>
      </c>
      <c r="P77" s="721">
        <v>8.4558106958866119E-2</v>
      </c>
      <c r="Q77" s="721">
        <v>0.11974798142910004</v>
      </c>
      <c r="R77" s="721">
        <v>8.3313815295696259E-2</v>
      </c>
      <c r="S77" s="721">
        <v>7.9005330801010132E-2</v>
      </c>
      <c r="T77" s="721">
        <v>8.5858084261417389E-2</v>
      </c>
      <c r="U77" s="721">
        <v>7.4793800711631775E-2</v>
      </c>
      <c r="V77" s="721">
        <v>6.9478981196880341E-2</v>
      </c>
      <c r="W77" s="721">
        <v>8.4860518574714661E-2</v>
      </c>
      <c r="X77" s="721">
        <v>8.8795319199562073E-2</v>
      </c>
      <c r="Y77" s="721">
        <v>0.1158885657787323</v>
      </c>
      <c r="Z77" s="721">
        <v>0.10559935867786407</v>
      </c>
      <c r="AA77" s="721">
        <v>0.1238543689250946</v>
      </c>
      <c r="AB77" s="721">
        <v>6.537078320980072E-2</v>
      </c>
      <c r="AC77" s="721">
        <v>9.3535766005516052E-2</v>
      </c>
      <c r="AD77" s="721">
        <v>7.6311282813549042E-2</v>
      </c>
      <c r="AE77" s="37">
        <f>'User Add-in Location'!B82</f>
        <v>4.215984046459198E-2</v>
      </c>
      <c r="AF77" s="37">
        <f>'User Add-in Location'!C82</f>
        <v>0</v>
      </c>
      <c r="AG77" s="721">
        <v>7.9512029886245728E-2</v>
      </c>
      <c r="AH77" s="721">
        <v>6.2572486698627472E-2</v>
      </c>
      <c r="AI77" s="721">
        <v>9.447769820690155E-2</v>
      </c>
      <c r="AJ77" s="721">
        <v>0.11068589240312576</v>
      </c>
      <c r="AK77" s="721">
        <v>7.265743613243103E-2</v>
      </c>
      <c r="AL77" s="721">
        <v>0.11207485198974609</v>
      </c>
      <c r="AM77" s="721">
        <v>0.1037939190864563</v>
      </c>
      <c r="AN77" s="721">
        <v>8.1302300095558167E-2</v>
      </c>
      <c r="AO77" s="721">
        <v>0.10805267095565796</v>
      </c>
      <c r="AP77" s="721">
        <v>8.3406761288642883E-2</v>
      </c>
      <c r="AQ77" s="721">
        <v>9.915720671415329E-2</v>
      </c>
      <c r="AR77" s="721">
        <v>0.11902008205652237</v>
      </c>
      <c r="AS77" s="721">
        <v>0.10118520259857178</v>
      </c>
      <c r="AT77" s="721">
        <v>7.2985053062438965E-2</v>
      </c>
      <c r="AU77" s="721">
        <v>7.4248418211936951E-2</v>
      </c>
      <c r="AV77" s="721">
        <v>9.6330761909484863E-2</v>
      </c>
      <c r="AW77" s="721">
        <v>0.13167208433151245</v>
      </c>
      <c r="AX77" s="721">
        <v>0.25825643539428711</v>
      </c>
      <c r="AY77" s="721">
        <v>0.11451167613267899</v>
      </c>
      <c r="AZ77" s="721">
        <v>7.809671014547348E-2</v>
      </c>
      <c r="BA77" s="721">
        <v>8.4882661700248718E-2</v>
      </c>
      <c r="BB77" s="721">
        <v>0.1046898141503334</v>
      </c>
      <c r="BC77" s="721">
        <v>6.4693666994571686E-2</v>
      </c>
      <c r="BD77" s="721">
        <v>9.8614536225795746E-2</v>
      </c>
      <c r="BE77" s="721">
        <v>5.51154725253582E-2</v>
      </c>
    </row>
    <row r="78" spans="3:57" ht="15" x14ac:dyDescent="0.2">
      <c r="C78" s="6" t="s">
        <v>80</v>
      </c>
      <c r="D78" s="721">
        <v>9.1563522815704346E-2</v>
      </c>
      <c r="E78" s="721">
        <v>7.9801343381404877E-2</v>
      </c>
      <c r="F78" s="721">
        <v>0.10321354120969772</v>
      </c>
      <c r="G78" s="721">
        <v>8.6965121328830719E-2</v>
      </c>
      <c r="H78" s="721">
        <v>0.15607982873916626</v>
      </c>
      <c r="I78" s="721">
        <v>0.14072944223880768</v>
      </c>
      <c r="J78" s="721">
        <v>0.11067423969507217</v>
      </c>
      <c r="K78" s="721">
        <v>8.1310831010341644E-2</v>
      </c>
      <c r="L78" s="721">
        <v>9.6530504524707794E-2</v>
      </c>
      <c r="M78" s="721">
        <v>0.12643055617809296</v>
      </c>
      <c r="N78" s="721">
        <v>0.10826064646244049</v>
      </c>
      <c r="O78" s="721">
        <v>0.10664207488298416</v>
      </c>
      <c r="P78" s="721">
        <v>9.5895290374755859E-2</v>
      </c>
      <c r="Q78" s="721">
        <v>0.11868971586227417</v>
      </c>
      <c r="R78" s="721">
        <v>9.5345579087734222E-2</v>
      </c>
      <c r="S78" s="721">
        <v>8.0984979867935181E-2</v>
      </c>
      <c r="T78" s="721">
        <v>0.10293855518102646</v>
      </c>
      <c r="U78" s="721">
        <v>8.6717233061790466E-2</v>
      </c>
      <c r="V78" s="721">
        <v>8.1272155046463013E-2</v>
      </c>
      <c r="W78" s="721">
        <v>9.3245342373847961E-2</v>
      </c>
      <c r="X78" s="721">
        <v>0.10539355874061584</v>
      </c>
      <c r="Y78" s="721">
        <v>0.12495527416467667</v>
      </c>
      <c r="Z78" s="721">
        <v>0.10982595384120941</v>
      </c>
      <c r="AA78" s="721">
        <v>0.14555691182613373</v>
      </c>
      <c r="AB78" s="721">
        <v>7.3171183466911316E-2</v>
      </c>
      <c r="AC78" s="721">
        <v>0.12028893083333969</v>
      </c>
      <c r="AD78" s="721">
        <v>9.5842510461807251E-2</v>
      </c>
      <c r="AE78" s="37">
        <f>'User Add-in Location'!B83</f>
        <v>8.1251397728919983E-2</v>
      </c>
      <c r="AF78" s="37">
        <f>'User Add-in Location'!C83</f>
        <v>0</v>
      </c>
      <c r="AG78" s="721">
        <v>8.5779234766960144E-2</v>
      </c>
      <c r="AH78" s="721">
        <v>6.9658964872360229E-2</v>
      </c>
      <c r="AI78" s="721">
        <v>8.0226629972457886E-2</v>
      </c>
      <c r="AJ78" s="721">
        <v>0.11237877607345581</v>
      </c>
      <c r="AK78" s="721">
        <v>7.7934913337230682E-2</v>
      </c>
      <c r="AL78" s="721">
        <v>0.11515666544437408</v>
      </c>
      <c r="AM78" s="721">
        <v>9.7123026847839355E-2</v>
      </c>
      <c r="AN78" s="721">
        <v>9.5949538052082062E-2</v>
      </c>
      <c r="AO78" s="721">
        <v>0.116291344165802</v>
      </c>
      <c r="AP78" s="721">
        <v>8.697684109210968E-2</v>
      </c>
      <c r="AQ78" s="721">
        <v>0.11011114716529846</v>
      </c>
      <c r="AR78" s="721">
        <v>0.12323678284883499</v>
      </c>
      <c r="AS78" s="721">
        <v>8.7618239223957062E-2</v>
      </c>
      <c r="AT78" s="721">
        <v>7.8876607120037079E-2</v>
      </c>
      <c r="AU78" s="721">
        <v>9.1022670269012451E-2</v>
      </c>
      <c r="AV78" s="721">
        <v>0.10688409954309464</v>
      </c>
      <c r="AW78" s="721">
        <v>0.13355334103107452</v>
      </c>
      <c r="AX78" s="721">
        <v>0.27491024136543274</v>
      </c>
      <c r="AY78" s="721">
        <v>0.11835538595914841</v>
      </c>
      <c r="AZ78" s="721">
        <v>7.188965380191803E-2</v>
      </c>
      <c r="BA78" s="721">
        <v>9.5186337828636169E-2</v>
      </c>
      <c r="BB78" s="721">
        <v>0.11607250571250916</v>
      </c>
      <c r="BC78" s="721">
        <v>6.2296554446220398E-2</v>
      </c>
      <c r="BD78" s="721">
        <v>0.11218935996294022</v>
      </c>
      <c r="BE78" s="721">
        <v>7.0825651288032532E-2</v>
      </c>
    </row>
    <row r="79" spans="3:57" ht="15" x14ac:dyDescent="0.2">
      <c r="C79" s="6" t="s">
        <v>81</v>
      </c>
      <c r="D79" s="721">
        <v>0.10079137980937958</v>
      </c>
      <c r="E79" s="721">
        <v>0</v>
      </c>
      <c r="F79" s="721">
        <v>0.14319026470184326</v>
      </c>
      <c r="G79" s="721">
        <v>9.5496527850627899E-2</v>
      </c>
      <c r="H79" s="721">
        <v>0.18668937683105469</v>
      </c>
      <c r="I79" s="721">
        <v>0.15501230955123901</v>
      </c>
      <c r="J79" s="721">
        <v>0.13150760531425476</v>
      </c>
      <c r="K79" s="721">
        <v>9.7824215888977051E-2</v>
      </c>
      <c r="L79" s="721">
        <v>6.0731519013643265E-2</v>
      </c>
      <c r="M79" s="721">
        <v>0.14623446762561798</v>
      </c>
      <c r="N79" s="721">
        <v>0.12767399847507477</v>
      </c>
      <c r="O79" s="721">
        <v>0.10051543265581131</v>
      </c>
      <c r="P79" s="721">
        <v>0.1131548210978508</v>
      </c>
      <c r="Q79" s="721">
        <v>0.13667087256908417</v>
      </c>
      <c r="R79" s="721">
        <v>9.1000139713287354E-2</v>
      </c>
      <c r="S79" s="721">
        <v>9.5797903835773468E-2</v>
      </c>
      <c r="T79" s="721">
        <v>9.469711035490036E-2</v>
      </c>
      <c r="U79" s="721">
        <v>9.9468186497688293E-2</v>
      </c>
      <c r="V79" s="721">
        <v>8.2757167518138885E-2</v>
      </c>
      <c r="W79" s="721">
        <v>9.999578446149826E-2</v>
      </c>
      <c r="X79" s="721">
        <v>0.11426862329244614</v>
      </c>
      <c r="Y79" s="721">
        <v>0.16792561113834381</v>
      </c>
      <c r="Z79" s="721">
        <v>0.13457515835762024</v>
      </c>
      <c r="AA79" s="721">
        <v>0.17274360358715057</v>
      </c>
      <c r="AB79" s="721">
        <v>8.7973669171333313E-2</v>
      </c>
      <c r="AC79" s="721">
        <v>9.402158111333847E-2</v>
      </c>
      <c r="AD79" s="721">
        <v>0.11030490696430206</v>
      </c>
      <c r="AE79" s="37">
        <f>'User Add-in Location'!B84</f>
        <v>0</v>
      </c>
      <c r="AF79" s="37">
        <f>'User Add-in Location'!C84</f>
        <v>0</v>
      </c>
      <c r="AG79" s="721">
        <v>9.863927960395813E-2</v>
      </c>
      <c r="AH79" s="721">
        <v>5.8487296104431152E-2</v>
      </c>
      <c r="AI79" s="721">
        <v>0.13179592788219452</v>
      </c>
      <c r="AJ79" s="721">
        <v>0.14450488984584808</v>
      </c>
      <c r="AK79" s="721">
        <v>7.1172356605529785E-2</v>
      </c>
      <c r="AL79" s="721">
        <v>0.15476050972938538</v>
      </c>
      <c r="AM79" s="721">
        <v>0.12427230179309845</v>
      </c>
      <c r="AN79" s="721">
        <v>0.12072880566120148</v>
      </c>
      <c r="AO79" s="721">
        <v>0.13298231363296509</v>
      </c>
      <c r="AP79" s="721">
        <v>0.10800883173942566</v>
      </c>
      <c r="AQ79" s="721">
        <v>6.2976017594337463E-2</v>
      </c>
      <c r="AR79" s="721">
        <v>0.13528718054294586</v>
      </c>
      <c r="AS79" s="721">
        <v>0.12992596626281738</v>
      </c>
      <c r="AT79" s="721">
        <v>8.132423460483551E-2</v>
      </c>
      <c r="AU79" s="721">
        <v>0.10659033805131912</v>
      </c>
      <c r="AV79" s="721">
        <v>0.1113918125629425</v>
      </c>
      <c r="AW79" s="721">
        <v>0.15188482403755188</v>
      </c>
      <c r="AX79" s="721">
        <v>0.23988394439220428</v>
      </c>
      <c r="AY79" s="721">
        <v>0.1460379958152771</v>
      </c>
      <c r="AZ79" s="721">
        <v>0.13028723001480103</v>
      </c>
      <c r="BA79" s="721">
        <v>0.12617930769920349</v>
      </c>
      <c r="BB79" s="721">
        <v>0.12800335884094238</v>
      </c>
      <c r="BC79" s="721">
        <v>8.9926429092884064E-2</v>
      </c>
      <c r="BD79" s="721">
        <v>0.12549513578414917</v>
      </c>
      <c r="BE79" s="721">
        <v>8.0993145704269409E-2</v>
      </c>
    </row>
    <row r="80" spans="3:57" ht="15" x14ac:dyDescent="0.2">
      <c r="C80" s="6" t="s">
        <v>82</v>
      </c>
      <c r="D80" s="721">
        <v>0.12827518582344055</v>
      </c>
      <c r="E80" s="721">
        <v>8.2434341311454773E-2</v>
      </c>
      <c r="F80" s="721">
        <v>0.13471275568008423</v>
      </c>
      <c r="G80" s="721">
        <v>0.12086257338523865</v>
      </c>
      <c r="H80" s="721">
        <v>0.16031894087791443</v>
      </c>
      <c r="I80" s="721">
        <v>0.16642020642757416</v>
      </c>
      <c r="J80" s="721">
        <v>0.13360138237476349</v>
      </c>
      <c r="K80" s="721">
        <v>0.12985116243362427</v>
      </c>
      <c r="L80" s="721">
        <v>0.11569172143936157</v>
      </c>
      <c r="M80" s="721">
        <v>0.13988804817199707</v>
      </c>
      <c r="N80" s="721">
        <v>0.14058580994606018</v>
      </c>
      <c r="O80" s="721">
        <v>0.10918384790420532</v>
      </c>
      <c r="P80" s="721">
        <v>0.11965075880289078</v>
      </c>
      <c r="Q80" s="721">
        <v>0.16447374224662781</v>
      </c>
      <c r="R80" s="721">
        <v>0.12558209896087646</v>
      </c>
      <c r="S80" s="721">
        <v>0.11648903787136078</v>
      </c>
      <c r="T80" s="721">
        <v>0.12519086897373199</v>
      </c>
      <c r="U80" s="721">
        <v>0.12026705592870712</v>
      </c>
      <c r="V80" s="721">
        <v>0.13244558870792389</v>
      </c>
      <c r="W80" s="721">
        <v>0.11396555602550507</v>
      </c>
      <c r="X80" s="721">
        <v>0.12549519538879395</v>
      </c>
      <c r="Y80" s="721">
        <v>0.15439207851886749</v>
      </c>
      <c r="Z80" s="721">
        <v>0.14049398899078369</v>
      </c>
      <c r="AA80" s="721">
        <v>0.1698901355266571</v>
      </c>
      <c r="AB80" s="721">
        <v>0.11384116113185883</v>
      </c>
      <c r="AC80" s="721">
        <v>0.13443396985530853</v>
      </c>
      <c r="AD80" s="721">
        <v>0.12761697173118591</v>
      </c>
      <c r="AE80" s="37">
        <f>'User Add-in Location'!B85</f>
        <v>7.9643756151199341E-2</v>
      </c>
      <c r="AF80" s="37">
        <f>'User Add-in Location'!C85</f>
        <v>0</v>
      </c>
      <c r="AG80" s="721">
        <v>9.2955082654953003E-2</v>
      </c>
      <c r="AH80" s="721">
        <v>0</v>
      </c>
      <c r="AI80" s="721">
        <v>0.12560957670211792</v>
      </c>
      <c r="AJ80" s="721">
        <v>0.13591885566711426</v>
      </c>
      <c r="AK80" s="721">
        <v>0.11467255651950836</v>
      </c>
      <c r="AL80" s="721">
        <v>0.16554474830627441</v>
      </c>
      <c r="AM80" s="721">
        <v>0.12600119411945343</v>
      </c>
      <c r="AN80" s="721">
        <v>0.13878814876079559</v>
      </c>
      <c r="AO80" s="721">
        <v>0.13224172592163086</v>
      </c>
      <c r="AP80" s="721">
        <v>0.15369461476802826</v>
      </c>
      <c r="AQ80" s="721">
        <v>0.12136144936084747</v>
      </c>
      <c r="AR80" s="721">
        <v>0.15405112504959106</v>
      </c>
      <c r="AS80" s="721">
        <v>0.12133406102657318</v>
      </c>
      <c r="AT80" s="721">
        <v>0.111933633685112</v>
      </c>
      <c r="AU80" s="721">
        <v>0.12163866311311722</v>
      </c>
      <c r="AV80" s="721">
        <v>0.1485515832901001</v>
      </c>
      <c r="AW80" s="721">
        <v>0.17746029794216156</v>
      </c>
      <c r="AX80" s="721">
        <v>0.24537524580955505</v>
      </c>
      <c r="AY80" s="721">
        <v>0.15591536462306976</v>
      </c>
      <c r="AZ80" s="721">
        <v>0.13232314586639404</v>
      </c>
      <c r="BA80" s="721">
        <v>0.13013797998428345</v>
      </c>
      <c r="BB80" s="721">
        <v>0.12593762576580048</v>
      </c>
      <c r="BC80" s="721">
        <v>0.12033390253782272</v>
      </c>
      <c r="BD80" s="721">
        <v>0.12930016219615936</v>
      </c>
      <c r="BE80" s="721">
        <v>0.1020248606801033</v>
      </c>
    </row>
    <row r="81" spans="3:57" ht="15" x14ac:dyDescent="0.2">
      <c r="C81" s="6" t="s">
        <v>9</v>
      </c>
      <c r="D81" s="721">
        <v>0.11166476458311081</v>
      </c>
      <c r="E81" s="721">
        <v>0.10028589516878128</v>
      </c>
      <c r="F81" s="721">
        <v>0.1399729996919632</v>
      </c>
      <c r="G81" s="721">
        <v>9.2180497944355011E-2</v>
      </c>
      <c r="H81" s="721">
        <v>0.14982107281684875</v>
      </c>
      <c r="I81" s="721">
        <v>0.15098834037780762</v>
      </c>
      <c r="J81" s="721">
        <v>0.13124832510948181</v>
      </c>
      <c r="K81" s="721">
        <v>0.11739148199558258</v>
      </c>
      <c r="L81" s="721">
        <v>0.12332293391227722</v>
      </c>
      <c r="M81" s="721">
        <v>0.14211134612560272</v>
      </c>
      <c r="N81" s="721">
        <v>0.1264350563287735</v>
      </c>
      <c r="O81" s="721">
        <v>0.13368478417396545</v>
      </c>
      <c r="P81" s="721">
        <v>0.11949293315410614</v>
      </c>
      <c r="Q81" s="721">
        <v>0.14436843991279602</v>
      </c>
      <c r="R81" s="721">
        <v>0.11323650181293488</v>
      </c>
      <c r="S81" s="721">
        <v>0.11388175189495087</v>
      </c>
      <c r="T81" s="721">
        <v>0.1148410364985466</v>
      </c>
      <c r="U81" s="721">
        <v>0.1054169237613678</v>
      </c>
      <c r="V81" s="721">
        <v>0.10283297300338745</v>
      </c>
      <c r="W81" s="721">
        <v>0.12648563086986542</v>
      </c>
      <c r="X81" s="721">
        <v>0.12776303291320801</v>
      </c>
      <c r="Y81" s="721">
        <v>0.16123943030834198</v>
      </c>
      <c r="Z81" s="721">
        <v>0.12642979621887207</v>
      </c>
      <c r="AA81" s="721">
        <v>0.15456253290176392</v>
      </c>
      <c r="AB81" s="721">
        <v>9.4344809651374817E-2</v>
      </c>
      <c r="AC81" s="721">
        <v>0.13762500882148743</v>
      </c>
      <c r="AD81" s="721">
        <v>0.11149919033050537</v>
      </c>
      <c r="AE81" s="37">
        <f>'User Add-in Location'!B86</f>
        <v>4.4560521841049194E-2</v>
      </c>
      <c r="AF81" s="37">
        <f>'User Add-in Location'!C86</f>
        <v>0</v>
      </c>
      <c r="AG81" s="721">
        <v>0.12715846300125122</v>
      </c>
      <c r="AH81" s="721">
        <v>9.9406741559505463E-2</v>
      </c>
      <c r="AI81" s="721">
        <v>0.14050388336181641</v>
      </c>
      <c r="AJ81" s="721">
        <v>0.13565295934677124</v>
      </c>
      <c r="AK81" s="721">
        <v>0.1036418229341507</v>
      </c>
      <c r="AL81" s="721">
        <v>0.14366075396537781</v>
      </c>
      <c r="AM81" s="721">
        <v>0.13833326101303101</v>
      </c>
      <c r="AN81" s="721">
        <v>0.10558784008026123</v>
      </c>
      <c r="AO81" s="721">
        <v>0.13905173540115356</v>
      </c>
      <c r="AP81" s="721">
        <v>0.11534467339515686</v>
      </c>
      <c r="AQ81" s="721">
        <v>0.13215044140815735</v>
      </c>
      <c r="AR81" s="721">
        <v>0.14153480529785156</v>
      </c>
      <c r="AS81" s="721">
        <v>0.14614541828632355</v>
      </c>
      <c r="AT81" s="721">
        <v>0.10789800435304642</v>
      </c>
      <c r="AU81" s="721">
        <v>0.11268718540668488</v>
      </c>
      <c r="AV81" s="721">
        <v>0.13767923414707184</v>
      </c>
      <c r="AW81" s="721">
        <v>0.12818044424057007</v>
      </c>
      <c r="AX81" s="721">
        <v>0.18162813782691956</v>
      </c>
      <c r="AY81" s="721">
        <v>0.14496718347072601</v>
      </c>
      <c r="AZ81" s="721">
        <v>0.12965719401836395</v>
      </c>
      <c r="BA81" s="721">
        <v>0.13037389516830444</v>
      </c>
      <c r="BB81" s="721">
        <v>0.12081979215145111</v>
      </c>
      <c r="BC81" s="721">
        <v>9.7458697855472565E-2</v>
      </c>
      <c r="BD81" s="721">
        <v>0.133180171251297</v>
      </c>
      <c r="BE81" s="721">
        <v>7.397635281085968E-2</v>
      </c>
    </row>
    <row r="82" spans="3:57" ht="15" x14ac:dyDescent="0.2">
      <c r="C82" s="6" t="s">
        <v>10</v>
      </c>
      <c r="D82" s="721">
        <v>9.3119144439697266E-2</v>
      </c>
      <c r="E82" s="721">
        <v>9.5111101865768433E-2</v>
      </c>
      <c r="F82" s="721">
        <v>0.1189127117395401</v>
      </c>
      <c r="G82" s="721">
        <v>9.2304140329360962E-2</v>
      </c>
      <c r="H82" s="721">
        <v>0.12177841365337372</v>
      </c>
      <c r="I82" s="721">
        <v>0.13820217549800873</v>
      </c>
      <c r="J82" s="721">
        <v>0.13346719741821289</v>
      </c>
      <c r="K82" s="721">
        <v>0.12489917874336243</v>
      </c>
      <c r="L82" s="721">
        <v>0.12007161974906921</v>
      </c>
      <c r="M82" s="721">
        <v>0.13023604452610016</v>
      </c>
      <c r="N82" s="721">
        <v>0.12387368828058243</v>
      </c>
      <c r="O82" s="721">
        <v>9.1361813247203827E-2</v>
      </c>
      <c r="P82" s="721">
        <v>0.1008361428976059</v>
      </c>
      <c r="Q82" s="721">
        <v>0.14068745076656342</v>
      </c>
      <c r="R82" s="721">
        <v>0.10353030264377594</v>
      </c>
      <c r="S82" s="721">
        <v>0.11211446672677994</v>
      </c>
      <c r="T82" s="721">
        <v>0.10555128753185272</v>
      </c>
      <c r="U82" s="721">
        <v>0.10707594454288483</v>
      </c>
      <c r="V82" s="721">
        <v>8.9543245732784271E-2</v>
      </c>
      <c r="W82" s="721">
        <v>0.11388467252254486</v>
      </c>
      <c r="X82" s="721">
        <v>0.11576870083808899</v>
      </c>
      <c r="Y82" s="721">
        <v>0.16142274439334869</v>
      </c>
      <c r="Z82" s="721">
        <v>0.11310205608606339</v>
      </c>
      <c r="AA82" s="721">
        <v>0.14721772074699402</v>
      </c>
      <c r="AB82" s="721">
        <v>8.1887990236282349E-2</v>
      </c>
      <c r="AC82" s="721">
        <v>0.1285540908575058</v>
      </c>
      <c r="AD82" s="721">
        <v>0.1087879091501236</v>
      </c>
      <c r="AE82" s="37">
        <f>'User Add-in Location'!B87</f>
        <v>4.4064939022064209E-2</v>
      </c>
      <c r="AF82" s="37">
        <f>'User Add-in Location'!C87</f>
        <v>0</v>
      </c>
      <c r="AG82" s="721">
        <v>0.11985912919044495</v>
      </c>
      <c r="AH82" s="721">
        <v>8.0730073153972626E-2</v>
      </c>
      <c r="AI82" s="721">
        <v>0.13268056511878967</v>
      </c>
      <c r="AJ82" s="721">
        <v>0.12726649641990662</v>
      </c>
      <c r="AK82" s="721">
        <v>8.2080818712711334E-2</v>
      </c>
      <c r="AL82" s="721">
        <v>0.1357397735118866</v>
      </c>
      <c r="AM82" s="721">
        <v>0.13467055559158325</v>
      </c>
      <c r="AN82" s="721">
        <v>0.10515595972537994</v>
      </c>
      <c r="AO82" s="721">
        <v>0.1253974437713623</v>
      </c>
      <c r="AP82" s="721">
        <v>0.10646405071020126</v>
      </c>
      <c r="AQ82" s="721">
        <v>0.1285955011844635</v>
      </c>
      <c r="AR82" s="721">
        <v>0.14656990766525269</v>
      </c>
      <c r="AS82" s="721">
        <v>0.12989789247512817</v>
      </c>
      <c r="AT82" s="721">
        <v>9.975026547908783E-2</v>
      </c>
      <c r="AU82" s="721">
        <v>0.10470087081193924</v>
      </c>
      <c r="AV82" s="721">
        <v>0.12239081412553787</v>
      </c>
      <c r="AW82" s="721">
        <v>0.12232407927513123</v>
      </c>
      <c r="AX82" s="721">
        <v>0.1690814346075058</v>
      </c>
      <c r="AY82" s="721">
        <v>0.12325340509414673</v>
      </c>
      <c r="AZ82" s="721">
        <v>0.10607906430959702</v>
      </c>
      <c r="BA82" s="721">
        <v>0.12129335105419159</v>
      </c>
      <c r="BB82" s="721">
        <v>9.2421069741249084E-2</v>
      </c>
      <c r="BC82" s="721">
        <v>8.6135149002075195E-2</v>
      </c>
      <c r="BD82" s="721">
        <v>0.12198145687580109</v>
      </c>
      <c r="BE82" s="721">
        <v>7.3654584586620331E-2</v>
      </c>
    </row>
    <row r="83" spans="3:57" ht="15" x14ac:dyDescent="0.2">
      <c r="C83" s="6" t="s">
        <v>83</v>
      </c>
      <c r="D83" s="721">
        <v>0.1212228536605835</v>
      </c>
      <c r="E83" s="721">
        <v>8.7370581924915314E-2</v>
      </c>
      <c r="F83" s="721">
        <v>0.16134850680828094</v>
      </c>
      <c r="G83" s="721">
        <v>0.1030617356300354</v>
      </c>
      <c r="H83" s="721">
        <v>0.13312092423439026</v>
      </c>
      <c r="I83" s="721">
        <v>0.17303526401519775</v>
      </c>
      <c r="J83" s="721">
        <v>0.14823374152183533</v>
      </c>
      <c r="K83" s="721">
        <v>7.8486517071723938E-2</v>
      </c>
      <c r="L83" s="721">
        <v>9.4597257673740387E-2</v>
      </c>
      <c r="M83" s="721">
        <v>0.17084799706935883</v>
      </c>
      <c r="N83" s="721">
        <v>0.12836536765098572</v>
      </c>
      <c r="O83" s="721">
        <v>9.5793403685092926E-2</v>
      </c>
      <c r="P83" s="721">
        <v>0.13083672523498535</v>
      </c>
      <c r="Q83" s="721">
        <v>0.14385113120079041</v>
      </c>
      <c r="R83" s="721">
        <v>0.10545159876346588</v>
      </c>
      <c r="S83" s="721">
        <v>0.11123842000961304</v>
      </c>
      <c r="T83" s="721">
        <v>0.12853929400444031</v>
      </c>
      <c r="U83" s="721">
        <v>0.11624178290367126</v>
      </c>
      <c r="V83" s="721">
        <v>0.11114140599966049</v>
      </c>
      <c r="W83" s="721">
        <v>0.11467360705137253</v>
      </c>
      <c r="X83" s="721">
        <v>0.1146174743771553</v>
      </c>
      <c r="Y83" s="721">
        <v>0.15253040194511414</v>
      </c>
      <c r="Z83" s="721">
        <v>0.13255152106285095</v>
      </c>
      <c r="AA83" s="721">
        <v>0.16770584881305695</v>
      </c>
      <c r="AB83" s="721">
        <v>0.10396099090576172</v>
      </c>
      <c r="AC83" s="721">
        <v>0.13008168339729309</v>
      </c>
      <c r="AD83" s="721">
        <v>0.10930600017309189</v>
      </c>
      <c r="AE83" s="37">
        <f>'User Add-in Location'!B88</f>
        <v>6.0611814260482788E-2</v>
      </c>
      <c r="AF83" s="37">
        <f>'User Add-in Location'!C88</f>
        <v>0</v>
      </c>
      <c r="AG83" s="721">
        <v>0.12629730999469757</v>
      </c>
      <c r="AH83" s="721">
        <v>0</v>
      </c>
      <c r="AI83" s="721">
        <v>0.13429024815559387</v>
      </c>
      <c r="AJ83" s="721">
        <v>0.14660905301570892</v>
      </c>
      <c r="AK83" s="721">
        <v>8.3259120583534241E-2</v>
      </c>
      <c r="AL83" s="721">
        <v>0.10734497010707855</v>
      </c>
      <c r="AM83" s="721">
        <v>0.11650374531745911</v>
      </c>
      <c r="AN83" s="721">
        <v>0.11834735423326492</v>
      </c>
      <c r="AO83" s="721">
        <v>0.12204188108444214</v>
      </c>
      <c r="AP83" s="721">
        <v>0.13605980575084686</v>
      </c>
      <c r="AQ83" s="721">
        <v>0.1194038987159729</v>
      </c>
      <c r="AR83" s="721">
        <v>0.15069004893302917</v>
      </c>
      <c r="AS83" s="721">
        <v>0.13361991941928864</v>
      </c>
      <c r="AT83" s="721">
        <v>0.12318538874387741</v>
      </c>
      <c r="AU83" s="721">
        <v>8.6799673736095428E-2</v>
      </c>
      <c r="AV83" s="721">
        <v>0.13582116365432739</v>
      </c>
      <c r="AW83" s="721">
        <v>0.17883886396884918</v>
      </c>
      <c r="AX83" s="721">
        <v>0.1784515380859375</v>
      </c>
      <c r="AY83" s="721">
        <v>0.14015594124794006</v>
      </c>
      <c r="AZ83" s="721">
        <v>0.11031421273946762</v>
      </c>
      <c r="BA83" s="721">
        <v>0.11745287477970123</v>
      </c>
      <c r="BB83" s="721">
        <v>0.11155520379543304</v>
      </c>
      <c r="BC83" s="721">
        <v>8.5201986134052277E-2</v>
      </c>
      <c r="BD83" s="721">
        <v>0.12391854822635651</v>
      </c>
      <c r="BE83" s="721">
        <v>9.2471078038215637E-2</v>
      </c>
    </row>
    <row r="84" spans="3:57" ht="15" x14ac:dyDescent="0.2">
      <c r="C84" s="6" t="s">
        <v>84</v>
      </c>
      <c r="D84" s="721">
        <v>0.13294753432273865</v>
      </c>
      <c r="E84" s="721">
        <v>0.11684668064117432</v>
      </c>
      <c r="F84" s="721">
        <v>0.16460400819778442</v>
      </c>
      <c r="G84" s="721">
        <v>0.12205473333597183</v>
      </c>
      <c r="H84" s="721">
        <v>0.16490788757801056</v>
      </c>
      <c r="I84" s="721">
        <v>0.17533794045448303</v>
      </c>
      <c r="J84" s="721">
        <v>0.17225322127342224</v>
      </c>
      <c r="K84" s="721">
        <v>0.13065977394580841</v>
      </c>
      <c r="L84" s="721">
        <v>0.10560835897922516</v>
      </c>
      <c r="M84" s="721">
        <v>0.16435229778289795</v>
      </c>
      <c r="N84" s="721">
        <v>0.14623983204364777</v>
      </c>
      <c r="O84" s="721">
        <v>0.12569120526313782</v>
      </c>
      <c r="P84" s="721">
        <v>0.13589277863502502</v>
      </c>
      <c r="Q84" s="721">
        <v>0.15474283695220947</v>
      </c>
      <c r="R84" s="721">
        <v>0.11497385799884796</v>
      </c>
      <c r="S84" s="721">
        <v>0.12907625734806061</v>
      </c>
      <c r="T84" s="721">
        <v>0.14362156391143799</v>
      </c>
      <c r="U84" s="721">
        <v>0.12865158915519714</v>
      </c>
      <c r="V84" s="721">
        <v>0.11516796797513962</v>
      </c>
      <c r="W84" s="721">
        <v>0.15263557434082031</v>
      </c>
      <c r="X84" s="721">
        <v>0.14916887879371643</v>
      </c>
      <c r="Y84" s="721">
        <v>0.18570937216281891</v>
      </c>
      <c r="Z84" s="721">
        <v>0.16055971384048462</v>
      </c>
      <c r="AA84" s="721">
        <v>0.17605225741863251</v>
      </c>
      <c r="AB84" s="721">
        <v>0.10979850590229034</v>
      </c>
      <c r="AC84" s="721">
        <v>0.14981094002723694</v>
      </c>
      <c r="AD84" s="721">
        <v>0.12853869795799255</v>
      </c>
      <c r="AE84" s="37">
        <f>'User Add-in Location'!B89</f>
        <v>7.365792989730835E-2</v>
      </c>
      <c r="AF84" s="37">
        <f>'User Add-in Location'!C89</f>
        <v>0</v>
      </c>
      <c r="AG84" s="721">
        <v>0.13792066276073456</v>
      </c>
      <c r="AH84" s="721">
        <v>0.10840293020009995</v>
      </c>
      <c r="AI84" s="721">
        <v>0.16480706632137299</v>
      </c>
      <c r="AJ84" s="721">
        <v>0.15885010361671448</v>
      </c>
      <c r="AK84" s="721">
        <v>0.11719346046447754</v>
      </c>
      <c r="AL84" s="721">
        <v>0.15187200903892517</v>
      </c>
      <c r="AM84" s="721">
        <v>0.1527077853679657</v>
      </c>
      <c r="AN84" s="721">
        <v>0.12100984156131744</v>
      </c>
      <c r="AO84" s="721">
        <v>0.16075560450553894</v>
      </c>
      <c r="AP84" s="721">
        <v>0.13161039352416992</v>
      </c>
      <c r="AQ84" s="721">
        <v>0.12627805769443512</v>
      </c>
      <c r="AR84" s="721">
        <v>0.16527003049850464</v>
      </c>
      <c r="AS84" s="721">
        <v>0.17271314561367035</v>
      </c>
      <c r="AT84" s="721">
        <v>0.13503038883209229</v>
      </c>
      <c r="AU84" s="721">
        <v>0.135196253657341</v>
      </c>
      <c r="AV84" s="721">
        <v>0.14964015781879425</v>
      </c>
      <c r="AW84" s="721">
        <v>0.15060654282569885</v>
      </c>
      <c r="AX84" s="721">
        <v>0.20391257107257843</v>
      </c>
      <c r="AY84" s="721">
        <v>0.17252928018569946</v>
      </c>
      <c r="AZ84" s="721">
        <v>0.15011647343635559</v>
      </c>
      <c r="BA84" s="721">
        <v>0.13599684834480286</v>
      </c>
      <c r="BB84" s="721">
        <v>0.14473418891429901</v>
      </c>
      <c r="BC84" s="721">
        <v>0.11006361991167068</v>
      </c>
      <c r="BD84" s="721">
        <v>0.14908924698829651</v>
      </c>
      <c r="BE84" s="721">
        <v>9.1100290417671204E-2</v>
      </c>
    </row>
    <row r="85" spans="3:57" ht="15" x14ac:dyDescent="0.2">
      <c r="C85" s="6" t="s">
        <v>85</v>
      </c>
      <c r="D85" s="721">
        <v>0.104117751121521</v>
      </c>
      <c r="E85" s="721">
        <v>9.8827287554740906E-2</v>
      </c>
      <c r="F85" s="721">
        <v>0.13996531069278717</v>
      </c>
      <c r="G85" s="721">
        <v>9.0614117681980133E-2</v>
      </c>
      <c r="H85" s="721">
        <v>0.14683559536933899</v>
      </c>
      <c r="I85" s="721">
        <v>0.14268884062767029</v>
      </c>
      <c r="J85" s="721">
        <v>0.13705037534236908</v>
      </c>
      <c r="K85" s="721">
        <v>0.11443687975406647</v>
      </c>
      <c r="L85" s="721">
        <v>0.11486014723777771</v>
      </c>
      <c r="M85" s="721">
        <v>0.14281739294528961</v>
      </c>
      <c r="N85" s="721">
        <v>0.13639524579048157</v>
      </c>
      <c r="O85" s="721">
        <v>0.10503537207841873</v>
      </c>
      <c r="P85" s="721">
        <v>0.11203065514564514</v>
      </c>
      <c r="Q85" s="721">
        <v>0.14681880176067352</v>
      </c>
      <c r="R85" s="721">
        <v>0.10567130893468857</v>
      </c>
      <c r="S85" s="721">
        <v>0.10642609000205994</v>
      </c>
      <c r="T85" s="721">
        <v>0.11278153955936432</v>
      </c>
      <c r="U85" s="721">
        <v>0.10687348246574402</v>
      </c>
      <c r="V85" s="721">
        <v>9.8583467304706573E-2</v>
      </c>
      <c r="W85" s="721">
        <v>0.12001891434192657</v>
      </c>
      <c r="X85" s="721">
        <v>0.12207952886819839</v>
      </c>
      <c r="Y85" s="721">
        <v>0.15742072463035583</v>
      </c>
      <c r="Z85" s="721">
        <v>0.12826637923717499</v>
      </c>
      <c r="AA85" s="721">
        <v>0.14842784404754639</v>
      </c>
      <c r="AB85" s="721">
        <v>9.162449836730957E-2</v>
      </c>
      <c r="AC85" s="721">
        <v>0.13235506415367126</v>
      </c>
      <c r="AD85" s="721">
        <v>0.10844896733760834</v>
      </c>
      <c r="AE85" s="37">
        <f>'User Add-in Location'!B90</f>
        <v>5.7048916816711426E-2</v>
      </c>
      <c r="AF85" s="37">
        <f>'User Add-in Location'!C90</f>
        <v>0</v>
      </c>
      <c r="AG85" s="721">
        <v>0.11947659403085709</v>
      </c>
      <c r="AH85" s="721">
        <v>8.12673419713974E-2</v>
      </c>
      <c r="AI85" s="721">
        <v>0.12736451625823975</v>
      </c>
      <c r="AJ85" s="721">
        <v>0.13701529800891876</v>
      </c>
      <c r="AK85" s="721">
        <v>9.9753141403198242E-2</v>
      </c>
      <c r="AL85" s="721">
        <v>0.14418499171733856</v>
      </c>
      <c r="AM85" s="721">
        <v>0.13375160098075867</v>
      </c>
      <c r="AN85" s="721">
        <v>0.10097779333591461</v>
      </c>
      <c r="AO85" s="721">
        <v>0.13090091943740845</v>
      </c>
      <c r="AP85" s="721">
        <v>0.112030029296875</v>
      </c>
      <c r="AQ85" s="721">
        <v>0.12364454567432404</v>
      </c>
      <c r="AR85" s="721">
        <v>0.13658267259597778</v>
      </c>
      <c r="AS85" s="721">
        <v>0.13505890965461731</v>
      </c>
      <c r="AT85" s="721">
        <v>0.11080875247716904</v>
      </c>
      <c r="AU85" s="721">
        <v>0.10714558511972427</v>
      </c>
      <c r="AV85" s="721">
        <v>0.12989471852779388</v>
      </c>
      <c r="AW85" s="721">
        <v>0.14027239382266998</v>
      </c>
      <c r="AX85" s="721">
        <v>0.18960437178611755</v>
      </c>
      <c r="AY85" s="721">
        <v>0.13569225370883942</v>
      </c>
      <c r="AZ85" s="721">
        <v>0.11627743393182755</v>
      </c>
      <c r="BA85" s="721">
        <v>0.12026838958263397</v>
      </c>
      <c r="BB85" s="721">
        <v>0.11677148938179016</v>
      </c>
      <c r="BC85" s="721">
        <v>8.8794678449630737E-2</v>
      </c>
      <c r="BD85" s="721">
        <v>0.11776135861873627</v>
      </c>
      <c r="BE85" s="721">
        <v>7.4153073132038116E-2</v>
      </c>
    </row>
    <row r="86" spans="3:57" ht="15" x14ac:dyDescent="0.2">
      <c r="C86" s="6" t="s">
        <v>11</v>
      </c>
      <c r="D86" s="721">
        <v>3.0096344649791718E-2</v>
      </c>
      <c r="E86" s="721">
        <v>1.3247617520391941E-2</v>
      </c>
      <c r="F86" s="721">
        <v>4.9050662666559219E-2</v>
      </c>
      <c r="G86" s="721">
        <v>2.4140562862157822E-2</v>
      </c>
      <c r="H86" s="721">
        <v>3.6047250032424927E-2</v>
      </c>
      <c r="I86" s="721">
        <v>2.4891838431358337E-2</v>
      </c>
      <c r="J86" s="721">
        <v>6.2673158943653107E-2</v>
      </c>
      <c r="K86" s="721">
        <v>6.703048013150692E-3</v>
      </c>
      <c r="L86" s="721">
        <v>3.579186275601387E-3</v>
      </c>
      <c r="M86" s="721">
        <v>2.7407893911004066E-2</v>
      </c>
      <c r="N86" s="721">
        <v>5.3729335777461529E-3</v>
      </c>
      <c r="O86" s="721">
        <v>1.7382422462105751E-2</v>
      </c>
      <c r="P86" s="721">
        <v>3.3285051584243774E-2</v>
      </c>
      <c r="Q86" s="721">
        <v>1.6908090561628342E-2</v>
      </c>
      <c r="R86" s="721">
        <v>1.7933908849954605E-2</v>
      </c>
      <c r="S86" s="721">
        <v>2.5150233879685402E-2</v>
      </c>
      <c r="T86" s="721">
        <v>2.9020193964242935E-2</v>
      </c>
      <c r="U86" s="721">
        <v>2.6450889185070992E-2</v>
      </c>
      <c r="V86" s="721">
        <v>3.8226228207349777E-2</v>
      </c>
      <c r="W86" s="721">
        <v>2.9472479596734047E-2</v>
      </c>
      <c r="X86" s="721">
        <v>8.7959356606006622E-3</v>
      </c>
      <c r="Y86" s="721">
        <v>1.4215687289834023E-2</v>
      </c>
      <c r="Z86" s="721">
        <v>2.3091617971658707E-2</v>
      </c>
      <c r="AA86" s="721">
        <v>5.3328033536672592E-2</v>
      </c>
      <c r="AB86" s="721">
        <v>1.9650779664516449E-2</v>
      </c>
      <c r="AC86" s="721">
        <v>2.8532272204756737E-2</v>
      </c>
      <c r="AD86" s="721">
        <v>2.9148992151021957E-2</v>
      </c>
      <c r="AE86" s="37">
        <f>'User Add-in Location'!B91</f>
        <v>1.8258035182952881E-2</v>
      </c>
      <c r="AF86" s="37">
        <f>'User Add-in Location'!C91</f>
        <v>0</v>
      </c>
      <c r="AG86" s="721">
        <v>2.6093777269124985E-2</v>
      </c>
      <c r="AH86" s="721">
        <v>4.8106711357831955E-2</v>
      </c>
      <c r="AI86" s="721">
        <v>2.1946821361780167E-2</v>
      </c>
      <c r="AJ86" s="721">
        <v>1.9946228712797165E-2</v>
      </c>
      <c r="AK86" s="721">
        <v>3.084859810769558E-2</v>
      </c>
      <c r="AL86" s="721">
        <v>4.0065314620733261E-2</v>
      </c>
      <c r="AM86" s="721">
        <v>1.5712590888142586E-2</v>
      </c>
      <c r="AN86" s="721">
        <v>7.3388442397117615E-2</v>
      </c>
      <c r="AO86" s="721">
        <v>2.1912354975938797E-2</v>
      </c>
      <c r="AP86" s="721">
        <v>6.7427642643451691E-2</v>
      </c>
      <c r="AQ86" s="721">
        <v>3.4338794648647308E-2</v>
      </c>
      <c r="AR86" s="721">
        <v>3.3518053591251373E-2</v>
      </c>
      <c r="AS86" s="721">
        <v>1.4442667365074158E-2</v>
      </c>
      <c r="AT86" s="721">
        <v>2.6376184076070786E-2</v>
      </c>
      <c r="AU86" s="721">
        <v>6.6480755805969238E-2</v>
      </c>
      <c r="AV86" s="721">
        <v>4.1728653013706207E-2</v>
      </c>
      <c r="AW86" s="721">
        <v>3.0939433723688126E-2</v>
      </c>
      <c r="AX86" s="721">
        <v>4.2973577976226807E-2</v>
      </c>
      <c r="AY86" s="721">
        <v>2.0629595965147018E-2</v>
      </c>
      <c r="AZ86" s="721">
        <v>1.3139591552317142E-2</v>
      </c>
      <c r="BA86" s="721">
        <v>2.4390570819377899E-2</v>
      </c>
      <c r="BB86" s="721">
        <v>5.1088262349367142E-2</v>
      </c>
      <c r="BC86" s="721">
        <v>2.5697717443108559E-2</v>
      </c>
      <c r="BD86" s="721">
        <v>3.5628277808427811E-2</v>
      </c>
      <c r="BE86" s="721">
        <v>2.3165300488471985E-2</v>
      </c>
    </row>
    <row r="87" spans="3:57" ht="15" x14ac:dyDescent="0.2">
      <c r="C87" s="5"/>
      <c r="D87" s="721"/>
      <c r="E87" s="721"/>
      <c r="F87" s="721"/>
      <c r="G87" s="721"/>
      <c r="H87" s="721"/>
      <c r="I87" s="721"/>
      <c r="J87" s="721"/>
      <c r="K87" s="721"/>
      <c r="L87" s="721"/>
      <c r="M87" s="721"/>
      <c r="N87" s="721"/>
      <c r="O87" s="721"/>
      <c r="P87" s="721"/>
      <c r="Q87" s="721"/>
      <c r="R87" s="721"/>
      <c r="S87" s="721"/>
      <c r="T87" s="721"/>
      <c r="U87" s="721"/>
      <c r="V87" s="721"/>
      <c r="W87" s="721"/>
      <c r="X87" s="721"/>
      <c r="Y87" s="721"/>
      <c r="Z87" s="721"/>
      <c r="AA87" s="721"/>
      <c r="AB87" s="721"/>
      <c r="AC87" s="721"/>
      <c r="AD87" s="721"/>
      <c r="AE87" s="37"/>
      <c r="AF87" s="37"/>
      <c r="AG87" s="721"/>
      <c r="AH87" s="721"/>
      <c r="AI87" s="721"/>
      <c r="AJ87" s="721"/>
      <c r="AK87" s="721"/>
      <c r="AL87" s="721"/>
      <c r="AM87" s="721"/>
      <c r="AN87" s="721"/>
      <c r="AO87" s="721"/>
      <c r="AP87" s="721"/>
      <c r="AQ87" s="721"/>
      <c r="AR87" s="721"/>
      <c r="AS87" s="721"/>
      <c r="AT87" s="721"/>
      <c r="AU87" s="721"/>
      <c r="AV87" s="721"/>
      <c r="AW87" s="721"/>
      <c r="AX87" s="721"/>
      <c r="AY87" s="721"/>
      <c r="AZ87" s="721"/>
      <c r="BA87" s="721"/>
      <c r="BB87" s="721"/>
      <c r="BC87" s="721"/>
      <c r="BD87" s="721"/>
      <c r="BE87" s="721"/>
    </row>
    <row r="88" spans="3:57" ht="14.25" customHeight="1" x14ac:dyDescent="0.2">
      <c r="C88" s="17" t="s">
        <v>124</v>
      </c>
      <c r="D88" s="721"/>
      <c r="E88" s="721"/>
      <c r="F88" s="721"/>
      <c r="G88" s="721"/>
      <c r="H88" s="721"/>
      <c r="I88" s="721"/>
      <c r="J88" s="721"/>
      <c r="K88" s="721"/>
      <c r="L88" s="721"/>
      <c r="M88" s="721"/>
      <c r="N88" s="721"/>
      <c r="O88" s="721"/>
      <c r="P88" s="721"/>
      <c r="Q88" s="721"/>
      <c r="R88" s="721"/>
      <c r="S88" s="721"/>
      <c r="T88" s="721"/>
      <c r="U88" s="721"/>
      <c r="V88" s="721"/>
      <c r="W88" s="721"/>
      <c r="X88" s="721"/>
      <c r="Y88" s="721"/>
      <c r="Z88" s="721"/>
      <c r="AA88" s="721"/>
      <c r="AB88" s="721"/>
      <c r="AC88" s="721"/>
      <c r="AD88" s="721"/>
      <c r="AE88" s="37"/>
      <c r="AF88" s="37"/>
      <c r="AG88" s="721"/>
      <c r="AH88" s="721"/>
      <c r="AI88" s="721"/>
      <c r="AJ88" s="721"/>
      <c r="AK88" s="721"/>
      <c r="AL88" s="721"/>
      <c r="AM88" s="721"/>
      <c r="AN88" s="721"/>
      <c r="AO88" s="721"/>
      <c r="AP88" s="721"/>
      <c r="AQ88" s="721"/>
      <c r="AR88" s="721"/>
      <c r="AS88" s="721"/>
      <c r="AT88" s="721"/>
      <c r="AU88" s="721"/>
      <c r="AV88" s="721"/>
      <c r="AW88" s="721"/>
      <c r="AX88" s="721"/>
      <c r="AY88" s="721"/>
      <c r="AZ88" s="721"/>
      <c r="BA88" s="721"/>
      <c r="BB88" s="721"/>
      <c r="BC88" s="721"/>
      <c r="BD88" s="721"/>
      <c r="BE88" s="721"/>
    </row>
    <row r="89" spans="3:57" x14ac:dyDescent="0.2">
      <c r="C89" s="110" t="s">
        <v>131</v>
      </c>
      <c r="D89" s="721" t="s">
        <v>13</v>
      </c>
      <c r="E89" s="721" t="s">
        <v>14</v>
      </c>
      <c r="F89" s="721" t="s">
        <v>15</v>
      </c>
      <c r="G89" s="721" t="s">
        <v>16</v>
      </c>
      <c r="H89" s="721" t="s">
        <v>17</v>
      </c>
      <c r="I89" s="721" t="s">
        <v>18</v>
      </c>
      <c r="J89" s="721" t="s">
        <v>19</v>
      </c>
      <c r="K89" s="721" t="s">
        <v>20</v>
      </c>
      <c r="L89" s="721" t="s">
        <v>21</v>
      </c>
      <c r="M89" s="721" t="s">
        <v>22</v>
      </c>
      <c r="N89" s="721" t="s">
        <v>23</v>
      </c>
      <c r="O89" s="721" t="s">
        <v>24</v>
      </c>
      <c r="P89" s="721" t="s">
        <v>25</v>
      </c>
      <c r="Q89" s="721" t="s">
        <v>26</v>
      </c>
      <c r="R89" s="721" t="s">
        <v>27</v>
      </c>
      <c r="S89" s="721" t="s">
        <v>28</v>
      </c>
      <c r="T89" s="721" t="s">
        <v>29</v>
      </c>
      <c r="U89" s="721" t="s">
        <v>30</v>
      </c>
      <c r="V89" s="721" t="s">
        <v>31</v>
      </c>
      <c r="W89" s="721" t="s">
        <v>32</v>
      </c>
      <c r="X89" s="721" t="s">
        <v>33</v>
      </c>
      <c r="Y89" s="721" t="s">
        <v>34</v>
      </c>
      <c r="Z89" s="721" t="s">
        <v>35</v>
      </c>
      <c r="AA89" s="721" t="s">
        <v>36</v>
      </c>
      <c r="AB89" s="721" t="s">
        <v>37</v>
      </c>
      <c r="AC89" s="721" t="s">
        <v>38</v>
      </c>
      <c r="AD89" s="721" t="s">
        <v>39</v>
      </c>
      <c r="AE89" s="37" t="s">
        <v>151</v>
      </c>
      <c r="AF89" s="37" t="s">
        <v>150</v>
      </c>
      <c r="AG89" s="721" t="s">
        <v>40</v>
      </c>
      <c r="AH89" s="721" t="s">
        <v>41</v>
      </c>
      <c r="AI89" s="721" t="s">
        <v>42</v>
      </c>
      <c r="AJ89" s="721" t="s">
        <v>43</v>
      </c>
      <c r="AK89" s="721" t="s">
        <v>44</v>
      </c>
      <c r="AL89" s="721" t="s">
        <v>45</v>
      </c>
      <c r="AM89" s="721" t="s">
        <v>46</v>
      </c>
      <c r="AN89" s="721" t="s">
        <v>47</v>
      </c>
      <c r="AO89" s="721" t="s">
        <v>48</v>
      </c>
      <c r="AP89" s="721" t="s">
        <v>49</v>
      </c>
      <c r="AQ89" s="721" t="s">
        <v>50</v>
      </c>
      <c r="AR89" s="721" t="s">
        <v>51</v>
      </c>
      <c r="AS89" s="721" t="s">
        <v>52</v>
      </c>
      <c r="AT89" s="721" t="s">
        <v>53</v>
      </c>
      <c r="AU89" s="721" t="s">
        <v>54</v>
      </c>
      <c r="AV89" s="721" t="s">
        <v>55</v>
      </c>
      <c r="AW89" s="721" t="s">
        <v>56</v>
      </c>
      <c r="AX89" s="721" t="s">
        <v>489</v>
      </c>
      <c r="AY89" s="721" t="s">
        <v>57</v>
      </c>
      <c r="AZ89" s="721" t="s">
        <v>58</v>
      </c>
      <c r="BA89" s="721" t="s">
        <v>59</v>
      </c>
      <c r="BB89" s="721" t="s">
        <v>60</v>
      </c>
      <c r="BC89" s="721" t="s">
        <v>61</v>
      </c>
      <c r="BD89" s="721" t="s">
        <v>62</v>
      </c>
      <c r="BE89" s="721" t="s">
        <v>12</v>
      </c>
    </row>
    <row r="90" spans="3:57" ht="15" x14ac:dyDescent="0.2">
      <c r="C90" s="6" t="s">
        <v>7</v>
      </c>
      <c r="D90" s="721">
        <v>8.3892978727817535E-2</v>
      </c>
      <c r="E90" s="721">
        <v>9.62686687707901E-2</v>
      </c>
      <c r="F90" s="721">
        <v>0.10661719739437103</v>
      </c>
      <c r="G90" s="721">
        <v>7.6751045882701874E-2</v>
      </c>
      <c r="H90" s="721">
        <v>0.15616044402122498</v>
      </c>
      <c r="I90" s="721">
        <v>9.8296791315078735E-2</v>
      </c>
      <c r="J90" s="721">
        <v>9.0038023889064789E-2</v>
      </c>
      <c r="K90" s="721">
        <v>6.4138822257518768E-2</v>
      </c>
      <c r="L90" s="721">
        <v>4.4611047953367233E-2</v>
      </c>
      <c r="M90" s="721">
        <v>0.13741646707057953</v>
      </c>
      <c r="N90" s="721">
        <v>0.14855280518531799</v>
      </c>
      <c r="O90" s="721">
        <v>0.12125083059072495</v>
      </c>
      <c r="P90" s="721">
        <v>0.10600273311138153</v>
      </c>
      <c r="Q90" s="721">
        <v>0.1958870142698288</v>
      </c>
      <c r="R90" s="721">
        <v>0.10601475089788437</v>
      </c>
      <c r="S90" s="721">
        <v>7.924063503742218E-2</v>
      </c>
      <c r="T90" s="721">
        <v>8.1539712846279144E-2</v>
      </c>
      <c r="U90" s="721">
        <v>8.3630830049514771E-2</v>
      </c>
      <c r="V90" s="721">
        <v>9.5777988433837891E-2</v>
      </c>
      <c r="W90" s="721">
        <v>0.11782822012901306</v>
      </c>
      <c r="X90" s="721">
        <v>8.0300197005271912E-2</v>
      </c>
      <c r="Y90" s="721">
        <v>0.14542645215988159</v>
      </c>
      <c r="Z90" s="721">
        <v>0.10039496421813965</v>
      </c>
      <c r="AA90" s="721">
        <v>0.11544457823038101</v>
      </c>
      <c r="AB90" s="721">
        <v>8.2040153443813324E-2</v>
      </c>
      <c r="AC90" s="721">
        <v>9.7378179430961609E-2</v>
      </c>
      <c r="AD90" s="721">
        <v>6.0367252677679062E-2</v>
      </c>
      <c r="AE90" s="37">
        <f>'User Add-in Location'!B95</f>
        <v>0</v>
      </c>
      <c r="AF90" s="37">
        <f>'User Add-in Location'!C95</f>
        <v>0</v>
      </c>
      <c r="AG90" s="721">
        <v>8.811042457818985E-2</v>
      </c>
      <c r="AH90" s="721">
        <v>5.1456384360790253E-2</v>
      </c>
      <c r="AI90" s="721">
        <v>9.9828854203224182E-2</v>
      </c>
      <c r="AJ90" s="721">
        <v>0.15892493724822998</v>
      </c>
      <c r="AK90" s="721">
        <v>9.3780331313610077E-2</v>
      </c>
      <c r="AL90" s="721">
        <v>0.10416501015424728</v>
      </c>
      <c r="AM90" s="721">
        <v>9.8764501512050629E-2</v>
      </c>
      <c r="AN90" s="721">
        <v>4.8734560608863831E-2</v>
      </c>
      <c r="AO90" s="721">
        <v>0.10106243938207626</v>
      </c>
      <c r="AP90" s="721">
        <v>4.974750429391861E-2</v>
      </c>
      <c r="AQ90" s="721">
        <v>0.13022449612617493</v>
      </c>
      <c r="AR90" s="721">
        <v>9.0720333158969879E-2</v>
      </c>
      <c r="AS90" s="721">
        <v>0.10118097811937332</v>
      </c>
      <c r="AT90" s="721">
        <v>8.2979187369346619E-2</v>
      </c>
      <c r="AU90" s="721">
        <v>9.2940472066402435E-2</v>
      </c>
      <c r="AV90" s="721">
        <v>8.5900619626045227E-2</v>
      </c>
      <c r="AW90" s="721">
        <v>8.1432349979877472E-2</v>
      </c>
      <c r="AX90" s="721">
        <v>0.22233742475509644</v>
      </c>
      <c r="AY90" s="721">
        <v>6.1473764479160309E-2</v>
      </c>
      <c r="AZ90" s="721">
        <v>7.6689191162586212E-2</v>
      </c>
      <c r="BA90" s="721">
        <v>6.3676603138446808E-2</v>
      </c>
      <c r="BB90" s="721">
        <v>0.13360850512981415</v>
      </c>
      <c r="BC90" s="721">
        <v>1.9523279741406441E-2</v>
      </c>
      <c r="BD90" s="721">
        <v>0.10209265351295471</v>
      </c>
      <c r="BE90" s="721">
        <v>2.9974052682518959E-2</v>
      </c>
    </row>
    <row r="91" spans="3:57" ht="15" x14ac:dyDescent="0.2">
      <c r="C91" s="6" t="s">
        <v>77</v>
      </c>
      <c r="D91" s="721">
        <v>4.4755861163139343E-2</v>
      </c>
      <c r="E91" s="721">
        <v>3.50041463971138E-2</v>
      </c>
      <c r="F91" s="721">
        <v>7.8195624053478241E-2</v>
      </c>
      <c r="G91" s="721">
        <v>5.7996105402708054E-2</v>
      </c>
      <c r="H91" s="721">
        <v>8.6955055594444275E-2</v>
      </c>
      <c r="I91" s="721">
        <v>0.13710924983024597</v>
      </c>
      <c r="J91" s="721">
        <v>9.3757420778274536E-2</v>
      </c>
      <c r="K91" s="721">
        <v>0.1298501193523407</v>
      </c>
      <c r="L91" s="721">
        <v>4.0428776293992996E-2</v>
      </c>
      <c r="M91" s="721">
        <v>7.2773553431034088E-2</v>
      </c>
      <c r="N91" s="721">
        <v>9.2639632523059845E-2</v>
      </c>
      <c r="O91" s="721">
        <v>5.6360609829425812E-2</v>
      </c>
      <c r="P91" s="721">
        <v>6.1931557953357697E-2</v>
      </c>
      <c r="Q91" s="721">
        <v>8.5046350955963135E-2</v>
      </c>
      <c r="R91" s="721">
        <v>7.2052724659442902E-2</v>
      </c>
      <c r="S91" s="721">
        <v>5.3391110152006149E-2</v>
      </c>
      <c r="T91" s="721">
        <v>9.5279909670352936E-2</v>
      </c>
      <c r="U91" s="721">
        <v>5.1262006163597107E-2</v>
      </c>
      <c r="V91" s="721">
        <v>6.1023060232400894E-2</v>
      </c>
      <c r="W91" s="721">
        <v>6.022363156080246E-2</v>
      </c>
      <c r="X91" s="721">
        <v>6.9353707134723663E-2</v>
      </c>
      <c r="Y91" s="721">
        <v>0.1349848210811615</v>
      </c>
      <c r="Z91" s="721">
        <v>9.6948757767677307E-2</v>
      </c>
      <c r="AA91" s="721">
        <v>9.5228970050811768E-2</v>
      </c>
      <c r="AB91" s="721">
        <v>6.8318605422973633E-2</v>
      </c>
      <c r="AC91" s="721">
        <v>7.2678081691265106E-2</v>
      </c>
      <c r="AD91" s="721">
        <v>7.3473773896694183E-2</v>
      </c>
      <c r="AE91" s="37">
        <f>'User Add-in Location'!B96</f>
        <v>0</v>
      </c>
      <c r="AF91" s="37">
        <f>'User Add-in Location'!C96</f>
        <v>0</v>
      </c>
      <c r="AG91" s="721">
        <v>7.0147149264812469E-2</v>
      </c>
      <c r="AH91" s="721">
        <v>4.6980421990156174E-2</v>
      </c>
      <c r="AI91" s="721">
        <v>7.8375205397605896E-2</v>
      </c>
      <c r="AJ91" s="721">
        <v>0.15368044376373291</v>
      </c>
      <c r="AK91" s="721">
        <v>5.5886808782815933E-2</v>
      </c>
      <c r="AL91" s="721">
        <v>0.14013269543647766</v>
      </c>
      <c r="AM91" s="721">
        <v>5.1182683557271957E-2</v>
      </c>
      <c r="AN91" s="721">
        <v>6.4697407186031342E-2</v>
      </c>
      <c r="AO91" s="721">
        <v>9.8188869655132294E-2</v>
      </c>
      <c r="AP91" s="721">
        <v>0.1065194308757782</v>
      </c>
      <c r="AQ91" s="721">
        <v>7.6259300112724304E-2</v>
      </c>
      <c r="AR91" s="721">
        <v>9.8497442901134491E-2</v>
      </c>
      <c r="AS91" s="721">
        <v>9.3752816319465637E-2</v>
      </c>
      <c r="AT91" s="721">
        <v>4.6873390674591064E-2</v>
      </c>
      <c r="AU91" s="721">
        <v>5.4051369428634644E-2</v>
      </c>
      <c r="AV91" s="721">
        <v>7.03272745013237E-2</v>
      </c>
      <c r="AW91" s="721">
        <v>0.10852031409740448</v>
      </c>
      <c r="AX91" s="721">
        <v>0.18488441407680511</v>
      </c>
      <c r="AY91" s="721">
        <v>8.8139727711677551E-2</v>
      </c>
      <c r="AZ91" s="721">
        <v>5.0224408507347107E-2</v>
      </c>
      <c r="BA91" s="721">
        <v>8.8652357459068298E-2</v>
      </c>
      <c r="BB91" s="721">
        <v>5.7268839329481125E-2</v>
      </c>
      <c r="BC91" s="721">
        <v>5.1350880414247513E-2</v>
      </c>
      <c r="BD91" s="721">
        <v>6.9416292011737823E-2</v>
      </c>
      <c r="BE91" s="721">
        <v>3.09439767152071E-2</v>
      </c>
    </row>
    <row r="92" spans="3:57" ht="15" x14ac:dyDescent="0.2">
      <c r="C92" s="6" t="s">
        <v>8</v>
      </c>
      <c r="D92" s="721">
        <v>9.2784799635410309E-2</v>
      </c>
      <c r="E92" s="721">
        <v>9.4850577414035797E-2</v>
      </c>
      <c r="F92" s="721">
        <v>0.13427571952342987</v>
      </c>
      <c r="G92" s="721">
        <v>7.9268254339694977E-2</v>
      </c>
      <c r="H92" s="721">
        <v>0.15672792494297028</v>
      </c>
      <c r="I92" s="721">
        <v>0.14918476343154907</v>
      </c>
      <c r="J92" s="721">
        <v>0.15283538401126862</v>
      </c>
      <c r="K92" s="721">
        <v>0.11497493088245392</v>
      </c>
      <c r="L92" s="721">
        <v>5.0399500876665115E-2</v>
      </c>
      <c r="M92" s="721">
        <v>0.12760995328426361</v>
      </c>
      <c r="N92" s="721">
        <v>0.12497276067733765</v>
      </c>
      <c r="O92" s="721">
        <v>0.10240647941827774</v>
      </c>
      <c r="P92" s="721">
        <v>8.5760995745658875E-2</v>
      </c>
      <c r="Q92" s="721">
        <v>0.15348105132579803</v>
      </c>
      <c r="R92" s="721">
        <v>0.10415621101856232</v>
      </c>
      <c r="S92" s="721">
        <v>9.6112310886383057E-2</v>
      </c>
      <c r="T92" s="721">
        <v>0.1001310721039772</v>
      </c>
      <c r="U92" s="721">
        <v>9.0441331267356873E-2</v>
      </c>
      <c r="V92" s="721">
        <v>9.109111875295639E-2</v>
      </c>
      <c r="W92" s="721">
        <v>0.11062056571245193</v>
      </c>
      <c r="X92" s="721">
        <v>0.12998422980308533</v>
      </c>
      <c r="Y92" s="721">
        <v>0.16709764301776886</v>
      </c>
      <c r="Z92" s="721">
        <v>0.1282079815864563</v>
      </c>
      <c r="AA92" s="721">
        <v>0.15181812644004822</v>
      </c>
      <c r="AB92" s="721">
        <v>6.9012656807899475E-2</v>
      </c>
      <c r="AC92" s="721">
        <v>0.13086193799972534</v>
      </c>
      <c r="AD92" s="721">
        <v>8.4445223212242126E-2</v>
      </c>
      <c r="AE92" s="37">
        <f>'User Add-in Location'!B97</f>
        <v>0</v>
      </c>
      <c r="AF92" s="37">
        <f>'User Add-in Location'!C97</f>
        <v>0</v>
      </c>
      <c r="AG92" s="721">
        <v>0.10472764074802399</v>
      </c>
      <c r="AH92" s="721">
        <v>6.5849654376506805E-2</v>
      </c>
      <c r="AI92" s="721">
        <v>0.15697520971298218</v>
      </c>
      <c r="AJ92" s="721">
        <v>0.15978263318538666</v>
      </c>
      <c r="AK92" s="721">
        <v>7.1062296628952026E-2</v>
      </c>
      <c r="AL92" s="721">
        <v>0.12997220456600189</v>
      </c>
      <c r="AM92" s="721">
        <v>0.12290008366107941</v>
      </c>
      <c r="AN92" s="721">
        <v>9.0279094874858856E-2</v>
      </c>
      <c r="AO92" s="721">
        <v>0.14173625409603119</v>
      </c>
      <c r="AP92" s="721">
        <v>0.10291878879070282</v>
      </c>
      <c r="AQ92" s="721">
        <v>0.12726591527462006</v>
      </c>
      <c r="AR92" s="721">
        <v>0.16182556748390198</v>
      </c>
      <c r="AS92" s="721">
        <v>0.12724226713180542</v>
      </c>
      <c r="AT92" s="721">
        <v>8.8463254272937775E-2</v>
      </c>
      <c r="AU92" s="721">
        <v>8.9289940893650055E-2</v>
      </c>
      <c r="AV92" s="721">
        <v>0.14908179640769958</v>
      </c>
      <c r="AW92" s="721">
        <v>0.14039786159992218</v>
      </c>
      <c r="AX92" s="721">
        <v>0.26753887534141541</v>
      </c>
      <c r="AY92" s="721">
        <v>0.12846337258815765</v>
      </c>
      <c r="AZ92" s="721">
        <v>0.1050744503736496</v>
      </c>
      <c r="BA92" s="721">
        <v>0.11982244998216629</v>
      </c>
      <c r="BB92" s="721">
        <v>0.12019139528274536</v>
      </c>
      <c r="BC92" s="721">
        <v>8.1623777747154236E-2</v>
      </c>
      <c r="BD92" s="721">
        <v>0.12245377153158188</v>
      </c>
      <c r="BE92" s="721">
        <v>4.8742812126874924E-2</v>
      </c>
    </row>
    <row r="93" spans="3:57" ht="15" x14ac:dyDescent="0.2">
      <c r="C93" s="6" t="s">
        <v>78</v>
      </c>
      <c r="D93" s="721">
        <v>4.6516589820384979E-2</v>
      </c>
      <c r="E93" s="721">
        <v>3.9900500327348709E-2</v>
      </c>
      <c r="F93" s="721">
        <v>9.2621862888336182E-2</v>
      </c>
      <c r="G93" s="721">
        <v>4.6010673046112061E-2</v>
      </c>
      <c r="H93" s="721">
        <v>0.10477171093225479</v>
      </c>
      <c r="I93" s="721">
        <v>9.9144786596298218E-2</v>
      </c>
      <c r="J93" s="721">
        <v>9.8769955337047577E-2</v>
      </c>
      <c r="K93" s="721">
        <v>5.3028371185064316E-2</v>
      </c>
      <c r="L93" s="721">
        <v>3.0698131769895554E-2</v>
      </c>
      <c r="M93" s="721">
        <v>8.9334174990653992E-2</v>
      </c>
      <c r="N93" s="721">
        <v>7.588813453912735E-2</v>
      </c>
      <c r="O93" s="721">
        <v>4.7534074634313583E-2</v>
      </c>
      <c r="P93" s="721">
        <v>4.9845762550830841E-2</v>
      </c>
      <c r="Q93" s="721">
        <v>9.2129886150360107E-2</v>
      </c>
      <c r="R93" s="721">
        <v>5.1708217710256577E-2</v>
      </c>
      <c r="S93" s="721">
        <v>5.2446924149990082E-2</v>
      </c>
      <c r="T93" s="721">
        <v>5.8692503720521927E-2</v>
      </c>
      <c r="U93" s="721">
        <v>4.5409068465232849E-2</v>
      </c>
      <c r="V93" s="721">
        <v>3.2981563359498978E-2</v>
      </c>
      <c r="W93" s="721">
        <v>7.0134282112121582E-2</v>
      </c>
      <c r="X93" s="721">
        <v>7.046934962272644E-2</v>
      </c>
      <c r="Y93" s="721">
        <v>0.10544927418231964</v>
      </c>
      <c r="Z93" s="721">
        <v>7.3988087475299835E-2</v>
      </c>
      <c r="AA93" s="721">
        <v>0.1021595373749733</v>
      </c>
      <c r="AB93" s="721">
        <v>3.626222163438797E-2</v>
      </c>
      <c r="AC93" s="721">
        <v>6.9123134016990662E-2</v>
      </c>
      <c r="AD93" s="721">
        <v>3.5684484988451004E-2</v>
      </c>
      <c r="AE93" s="37">
        <f>'User Add-in Location'!B98</f>
        <v>0</v>
      </c>
      <c r="AF93" s="37">
        <f>'User Add-in Location'!C98</f>
        <v>0</v>
      </c>
      <c r="AG93" s="721">
        <v>5.3451154381036758E-2</v>
      </c>
      <c r="AH93" s="721">
        <v>4.3343976140022278E-2</v>
      </c>
      <c r="AI93" s="721">
        <v>9.70463827252388E-2</v>
      </c>
      <c r="AJ93" s="721">
        <v>8.948969841003418E-2</v>
      </c>
      <c r="AK93" s="721">
        <v>3.7393219769001007E-2</v>
      </c>
      <c r="AL93" s="721">
        <v>7.8088678419589996E-2</v>
      </c>
      <c r="AM93" s="721">
        <v>6.587519496679306E-2</v>
      </c>
      <c r="AN93" s="721">
        <v>4.0829084813594818E-2</v>
      </c>
      <c r="AO93" s="721">
        <v>7.8357353806495667E-2</v>
      </c>
      <c r="AP93" s="721">
        <v>6.1624087393283844E-2</v>
      </c>
      <c r="AQ93" s="721">
        <v>7.7829182147979736E-2</v>
      </c>
      <c r="AR93" s="721">
        <v>9.0799681842327118E-2</v>
      </c>
      <c r="AS93" s="721">
        <v>8.5836246609687805E-2</v>
      </c>
      <c r="AT93" s="721">
        <v>4.953736811876297E-2</v>
      </c>
      <c r="AU93" s="721">
        <v>5.3062833845615387E-2</v>
      </c>
      <c r="AV93" s="721">
        <v>7.2507306933403015E-2</v>
      </c>
      <c r="AW93" s="721">
        <v>7.5242385268211365E-2</v>
      </c>
      <c r="AX93" s="721">
        <v>0.19469669461250305</v>
      </c>
      <c r="AY93" s="721">
        <v>7.1650281548500061E-2</v>
      </c>
      <c r="AZ93" s="721">
        <v>6.2456518411636353E-2</v>
      </c>
      <c r="BA93" s="721">
        <v>6.4361624419689178E-2</v>
      </c>
      <c r="BB93" s="721">
        <v>6.7825600504875183E-2</v>
      </c>
      <c r="BC93" s="721">
        <v>3.7841841578483582E-2</v>
      </c>
      <c r="BD93" s="721">
        <v>7.6781377196311951E-2</v>
      </c>
      <c r="BE93" s="721">
        <v>1.804468035697937E-2</v>
      </c>
    </row>
    <row r="94" spans="3:57" ht="15" x14ac:dyDescent="0.2">
      <c r="C94" s="6" t="s">
        <v>79</v>
      </c>
      <c r="D94" s="721">
        <v>6.7896567285060883E-2</v>
      </c>
      <c r="E94" s="721">
        <v>6.8550817668437958E-2</v>
      </c>
      <c r="F94" s="721">
        <v>0.11569300293922424</v>
      </c>
      <c r="G94" s="721">
        <v>6.1295654624700546E-2</v>
      </c>
      <c r="H94" s="721">
        <v>0.13778650760650635</v>
      </c>
      <c r="I94" s="721">
        <v>0.11446092277765274</v>
      </c>
      <c r="J94" s="721">
        <v>0.1222875714302063</v>
      </c>
      <c r="K94" s="721">
        <v>8.8442690670490265E-2</v>
      </c>
      <c r="L94" s="721">
        <v>0</v>
      </c>
      <c r="M94" s="721">
        <v>0.11463059484958649</v>
      </c>
      <c r="N94" s="721">
        <v>0.10013797879219055</v>
      </c>
      <c r="O94" s="721">
        <v>7.905106246471405E-2</v>
      </c>
      <c r="P94" s="721">
        <v>6.9521725177764893E-2</v>
      </c>
      <c r="Q94" s="721">
        <v>0.13326191902160645</v>
      </c>
      <c r="R94" s="721">
        <v>7.7486306428909302E-2</v>
      </c>
      <c r="S94" s="721">
        <v>7.1745075285434723E-2</v>
      </c>
      <c r="T94" s="721">
        <v>7.4250966310501099E-2</v>
      </c>
      <c r="U94" s="721">
        <v>7.7844396233558655E-2</v>
      </c>
      <c r="V94" s="721">
        <v>6.8947523832321167E-2</v>
      </c>
      <c r="W94" s="721">
        <v>8.8256746530532837E-2</v>
      </c>
      <c r="X94" s="721">
        <v>9.9115386605262756E-2</v>
      </c>
      <c r="Y94" s="721">
        <v>0.13775575160980225</v>
      </c>
      <c r="Z94" s="721">
        <v>0.11227146536111832</v>
      </c>
      <c r="AA94" s="721">
        <v>0.14200146496295929</v>
      </c>
      <c r="AB94" s="721">
        <v>5.5036850273609161E-2</v>
      </c>
      <c r="AC94" s="721">
        <v>0.10334532707929611</v>
      </c>
      <c r="AD94" s="721">
        <v>6.8319648504257202E-2</v>
      </c>
      <c r="AE94" s="37">
        <f>'User Add-in Location'!B99</f>
        <v>0</v>
      </c>
      <c r="AF94" s="37">
        <f>'User Add-in Location'!C99</f>
        <v>0</v>
      </c>
      <c r="AG94" s="721">
        <v>7.5437605381011963E-2</v>
      </c>
      <c r="AH94" s="721">
        <v>5.4753676056861877E-2</v>
      </c>
      <c r="AI94" s="721">
        <v>0.1138233095407486</v>
      </c>
      <c r="AJ94" s="721">
        <v>0.13436232507228851</v>
      </c>
      <c r="AK94" s="721">
        <v>5.0532840192317963E-2</v>
      </c>
      <c r="AL94" s="721">
        <v>0.10763059556484222</v>
      </c>
      <c r="AM94" s="721">
        <v>9.8167389631271362E-2</v>
      </c>
      <c r="AN94" s="721">
        <v>6.1068836599588394E-2</v>
      </c>
      <c r="AO94" s="721">
        <v>0.11658091098070145</v>
      </c>
      <c r="AP94" s="721">
        <v>8.0060377717018127E-2</v>
      </c>
      <c r="AQ94" s="721">
        <v>0.10177133232355118</v>
      </c>
      <c r="AR94" s="721">
        <v>0.12797001004219055</v>
      </c>
      <c r="AS94" s="721">
        <v>0.11221928894519806</v>
      </c>
      <c r="AT94" s="721">
        <v>7.6763391494750977E-2</v>
      </c>
      <c r="AU94" s="721">
        <v>6.1503779143095016E-2</v>
      </c>
      <c r="AV94" s="721">
        <v>0.11669067293405533</v>
      </c>
      <c r="AW94" s="721">
        <v>0.11342543363571167</v>
      </c>
      <c r="AX94" s="721">
        <v>0.24635151028633118</v>
      </c>
      <c r="AY94" s="721">
        <v>0.10096005350351334</v>
      </c>
      <c r="AZ94" s="721">
        <v>8.6899161338806152E-2</v>
      </c>
      <c r="BA94" s="721">
        <v>0.10370751470327377</v>
      </c>
      <c r="BB94" s="721">
        <v>9.4521112740039825E-2</v>
      </c>
      <c r="BC94" s="721">
        <v>5.7305384427309036E-2</v>
      </c>
      <c r="BD94" s="721">
        <v>0.10435286909341812</v>
      </c>
      <c r="BE94" s="721">
        <v>3.4598171710968018E-2</v>
      </c>
    </row>
    <row r="95" spans="3:57" ht="15" x14ac:dyDescent="0.2">
      <c r="C95" s="6" t="s">
        <v>80</v>
      </c>
      <c r="D95" s="721">
        <v>4.7418523579835892E-2</v>
      </c>
      <c r="E95" s="721">
        <v>4.4291868805885315E-2</v>
      </c>
      <c r="F95" s="721">
        <v>8.2100264728069305E-2</v>
      </c>
      <c r="G95" s="721">
        <v>4.6125687658786774E-2</v>
      </c>
      <c r="H95" s="721">
        <v>0.11371129751205444</v>
      </c>
      <c r="I95" s="721">
        <v>8.8648810982704163E-2</v>
      </c>
      <c r="J95" s="721">
        <v>0.1008140817284584</v>
      </c>
      <c r="K95" s="721">
        <v>7.7703632414340973E-2</v>
      </c>
      <c r="L95" s="721">
        <v>3.2205134630203247E-2</v>
      </c>
      <c r="M95" s="721">
        <v>9.0524405241012573E-2</v>
      </c>
      <c r="N95" s="721">
        <v>7.5071796774864197E-2</v>
      </c>
      <c r="O95" s="721">
        <v>5.2506759762763977E-2</v>
      </c>
      <c r="P95" s="721">
        <v>4.6410400420427322E-2</v>
      </c>
      <c r="Q95" s="721">
        <v>9.1520197689533234E-2</v>
      </c>
      <c r="R95" s="721">
        <v>5.5282894521951675E-2</v>
      </c>
      <c r="S95" s="721">
        <v>4.7006674110889435E-2</v>
      </c>
      <c r="T95" s="721">
        <v>5.4363980889320374E-2</v>
      </c>
      <c r="U95" s="721">
        <v>5.5737897753715515E-2</v>
      </c>
      <c r="V95" s="721">
        <v>4.9893148243427277E-2</v>
      </c>
      <c r="W95" s="721">
        <v>7.8602440655231476E-2</v>
      </c>
      <c r="X95" s="721">
        <v>6.4608655869960785E-2</v>
      </c>
      <c r="Y95" s="721">
        <v>0.12338709831237793</v>
      </c>
      <c r="Z95" s="721">
        <v>9.2017874121665955E-2</v>
      </c>
      <c r="AA95" s="721">
        <v>0.1076713502407074</v>
      </c>
      <c r="AB95" s="721">
        <v>3.1118249520659447E-2</v>
      </c>
      <c r="AC95" s="721">
        <v>6.5907254815101624E-2</v>
      </c>
      <c r="AD95" s="721">
        <v>3.8552518934011459E-2</v>
      </c>
      <c r="AE95" s="37">
        <f>'User Add-in Location'!B100</f>
        <v>0</v>
      </c>
      <c r="AF95" s="37">
        <f>'User Add-in Location'!C100</f>
        <v>0</v>
      </c>
      <c r="AG95" s="721">
        <v>4.6577975153923035E-2</v>
      </c>
      <c r="AH95" s="721">
        <v>4.2350370436906815E-2</v>
      </c>
      <c r="AI95" s="721">
        <v>0.1435210257768631</v>
      </c>
      <c r="AJ95" s="721">
        <v>0.11853820085525513</v>
      </c>
      <c r="AK95" s="721">
        <v>3.6527581512928009E-2</v>
      </c>
      <c r="AL95" s="721">
        <v>8.4056459367275238E-2</v>
      </c>
      <c r="AM95" s="721">
        <v>7.5510188937187195E-2</v>
      </c>
      <c r="AN95" s="721">
        <v>3.8447603583335876E-2</v>
      </c>
      <c r="AO95" s="721">
        <v>9.6125535666942596E-2</v>
      </c>
      <c r="AP95" s="721">
        <v>6.4102143049240112E-2</v>
      </c>
      <c r="AQ95" s="721">
        <v>8.0730848014354706E-2</v>
      </c>
      <c r="AR95" s="721">
        <v>0.10139284282922745</v>
      </c>
      <c r="AS95" s="721">
        <v>9.8947018384933472E-2</v>
      </c>
      <c r="AT95" s="721">
        <v>6.1319403350353241E-2</v>
      </c>
      <c r="AU95" s="721">
        <v>4.4163614511489868E-2</v>
      </c>
      <c r="AV95" s="721">
        <v>7.6350666582584381E-2</v>
      </c>
      <c r="AW95" s="721">
        <v>8.8137894868850708E-2</v>
      </c>
      <c r="AX95" s="721">
        <v>0.20556285977363586</v>
      </c>
      <c r="AY95" s="721">
        <v>7.2729811072349548E-2</v>
      </c>
      <c r="AZ95" s="721">
        <v>8.6070813238620758E-2</v>
      </c>
      <c r="BA95" s="721">
        <v>7.9884029924869537E-2</v>
      </c>
      <c r="BB95" s="721">
        <v>8.0416180193424225E-2</v>
      </c>
      <c r="BC95" s="721">
        <v>5.9179950505495071E-2</v>
      </c>
      <c r="BD95" s="721">
        <v>6.9827280938625336E-2</v>
      </c>
      <c r="BE95" s="721">
        <v>2.3273779079318047E-2</v>
      </c>
    </row>
    <row r="96" spans="3:57" ht="15" x14ac:dyDescent="0.2">
      <c r="C96" s="6" t="s">
        <v>81</v>
      </c>
      <c r="D96" s="721">
        <v>7.200930267572403E-2</v>
      </c>
      <c r="E96" s="721">
        <v>0</v>
      </c>
      <c r="F96" s="721">
        <v>0.10283124446868896</v>
      </c>
      <c r="G96" s="721">
        <v>5.7676307857036591E-2</v>
      </c>
      <c r="H96" s="721">
        <v>0.13064694404602051</v>
      </c>
      <c r="I96" s="721">
        <v>9.5962464809417725E-2</v>
      </c>
      <c r="J96" s="721">
        <v>0.10429424792528152</v>
      </c>
      <c r="K96" s="721">
        <v>8.9881390333175659E-2</v>
      </c>
      <c r="L96" s="721">
        <v>1.9538760185241699E-2</v>
      </c>
      <c r="M96" s="721">
        <v>9.9542848765850067E-2</v>
      </c>
      <c r="N96" s="721">
        <v>8.1188693642616272E-2</v>
      </c>
      <c r="O96" s="721">
        <v>4.0437594056129456E-2</v>
      </c>
      <c r="P96" s="721">
        <v>6.5712854266166687E-2</v>
      </c>
      <c r="Q96" s="721">
        <v>0.11845402419567108</v>
      </c>
      <c r="R96" s="721">
        <v>7.4939228594303131E-2</v>
      </c>
      <c r="S96" s="721">
        <v>6.2510795891284943E-2</v>
      </c>
      <c r="T96" s="721">
        <v>6.9424204528331757E-2</v>
      </c>
      <c r="U96" s="721">
        <v>7.2393126785755157E-2</v>
      </c>
      <c r="V96" s="721">
        <v>6.4144663512706757E-2</v>
      </c>
      <c r="W96" s="721">
        <v>6.3732437789440155E-2</v>
      </c>
      <c r="X96" s="721">
        <v>8.4992431104183197E-2</v>
      </c>
      <c r="Y96" s="721">
        <v>0.11411610990762711</v>
      </c>
      <c r="Z96" s="721">
        <v>0.10538811236619949</v>
      </c>
      <c r="AA96" s="721">
        <v>0.11605006456375122</v>
      </c>
      <c r="AB96" s="721">
        <v>4.1159048676490784E-2</v>
      </c>
      <c r="AC96" s="721">
        <v>8.5398361086845398E-2</v>
      </c>
      <c r="AD96" s="721">
        <v>4.1941165924072266E-2</v>
      </c>
      <c r="AE96" s="37">
        <f>'User Add-in Location'!B101</f>
        <v>0</v>
      </c>
      <c r="AF96" s="37">
        <f>'User Add-in Location'!C101</f>
        <v>0</v>
      </c>
      <c r="AG96" s="721">
        <v>7.8889533877372742E-2</v>
      </c>
      <c r="AH96" s="721">
        <v>4.7816663980484009E-2</v>
      </c>
      <c r="AI96" s="721">
        <v>0.11118020117282867</v>
      </c>
      <c r="AJ96" s="721">
        <v>0.11294171959161758</v>
      </c>
      <c r="AK96" s="721">
        <v>3.8577862083911896E-2</v>
      </c>
      <c r="AL96" s="721">
        <v>9.0540610253810883E-2</v>
      </c>
      <c r="AM96" s="721">
        <v>7.5191020965576172E-2</v>
      </c>
      <c r="AN96" s="721">
        <v>5.401262640953064E-2</v>
      </c>
      <c r="AO96" s="721">
        <v>9.7036577761173248E-2</v>
      </c>
      <c r="AP96" s="721">
        <v>7.3204226791858673E-2</v>
      </c>
      <c r="AQ96" s="721">
        <v>4.4572331011295319E-2</v>
      </c>
      <c r="AR96" s="721">
        <v>0.10863802582025528</v>
      </c>
      <c r="AS96" s="721">
        <v>7.3404543101787567E-2</v>
      </c>
      <c r="AT96" s="721">
        <v>7.8226484358310699E-2</v>
      </c>
      <c r="AU96" s="721">
        <v>5.6537963449954987E-2</v>
      </c>
      <c r="AV96" s="721">
        <v>9.8756425082683563E-2</v>
      </c>
      <c r="AW96" s="721">
        <v>9.1653198003768921E-2</v>
      </c>
      <c r="AX96" s="721">
        <v>0.19302189350128174</v>
      </c>
      <c r="AY96" s="721">
        <v>7.9075001180171967E-2</v>
      </c>
      <c r="AZ96" s="721">
        <v>7.1034952998161316E-2</v>
      </c>
      <c r="BA96" s="721">
        <v>8.1676334142684937E-2</v>
      </c>
      <c r="BB96" s="721">
        <v>6.9278158247470856E-2</v>
      </c>
      <c r="BC96" s="721">
        <v>4.2635954916477203E-2</v>
      </c>
      <c r="BD96" s="721">
        <v>9.4941072165966034E-2</v>
      </c>
      <c r="BE96" s="721">
        <v>2.8632242232561111E-2</v>
      </c>
    </row>
    <row r="97" spans="3:57" ht="15" x14ac:dyDescent="0.2">
      <c r="C97" s="6" t="s">
        <v>82</v>
      </c>
      <c r="D97" s="721">
        <v>6.9870226085186005E-2</v>
      </c>
      <c r="E97" s="721">
        <v>4.3729815632104874E-2</v>
      </c>
      <c r="F97" s="721">
        <v>0.10764679312705994</v>
      </c>
      <c r="G97" s="721">
        <v>7.3124341666698456E-2</v>
      </c>
      <c r="H97" s="721">
        <v>0.1368924081325531</v>
      </c>
      <c r="I97" s="721">
        <v>0.13175167143344879</v>
      </c>
      <c r="J97" s="721">
        <v>0.11096601933240891</v>
      </c>
      <c r="K97" s="721">
        <v>8.9447416365146637E-2</v>
      </c>
      <c r="L97" s="721">
        <v>5.0725556910037994E-2</v>
      </c>
      <c r="M97" s="721">
        <v>0.10349979251623154</v>
      </c>
      <c r="N97" s="721">
        <v>0.10754202306270599</v>
      </c>
      <c r="O97" s="721">
        <v>6.7405954003334045E-2</v>
      </c>
      <c r="P97" s="721">
        <v>7.4683241546154022E-2</v>
      </c>
      <c r="Q97" s="721">
        <v>0.13980218768119812</v>
      </c>
      <c r="R97" s="721">
        <v>8.3159118890762329E-2</v>
      </c>
      <c r="S97" s="721">
        <v>7.3492825031280518E-2</v>
      </c>
      <c r="T97" s="721">
        <v>7.7748760581016541E-2</v>
      </c>
      <c r="U97" s="721">
        <v>7.4083134531974792E-2</v>
      </c>
      <c r="V97" s="721">
        <v>6.9502241909503937E-2</v>
      </c>
      <c r="W97" s="721">
        <v>8.6556389927864075E-2</v>
      </c>
      <c r="X97" s="721">
        <v>9.0297892689704895E-2</v>
      </c>
      <c r="Y97" s="721">
        <v>0.12925657629966736</v>
      </c>
      <c r="Z97" s="721">
        <v>0.10482442378997803</v>
      </c>
      <c r="AA97" s="721">
        <v>0.13068179786205292</v>
      </c>
      <c r="AB97" s="721">
        <v>5.531754344701767E-2</v>
      </c>
      <c r="AC97" s="721">
        <v>0.10229189693927765</v>
      </c>
      <c r="AD97" s="721">
        <v>7.2903141379356384E-2</v>
      </c>
      <c r="AE97" s="37">
        <f>'User Add-in Location'!B102</f>
        <v>0</v>
      </c>
      <c r="AF97" s="37">
        <f>'User Add-in Location'!C102</f>
        <v>0</v>
      </c>
      <c r="AG97" s="721">
        <v>8.7486661970615387E-2</v>
      </c>
      <c r="AH97" s="721">
        <v>0</v>
      </c>
      <c r="AI97" s="721">
        <v>0.10253333300352097</v>
      </c>
      <c r="AJ97" s="721">
        <v>0.12581008672714233</v>
      </c>
      <c r="AK97" s="721">
        <v>5.8510094881057739E-2</v>
      </c>
      <c r="AL97" s="721">
        <v>0.11718147248029709</v>
      </c>
      <c r="AM97" s="721">
        <v>9.8294727504253387E-2</v>
      </c>
      <c r="AN97" s="721">
        <v>7.2747461497783661E-2</v>
      </c>
      <c r="AO97" s="721">
        <v>0.10793863236904144</v>
      </c>
      <c r="AP97" s="721">
        <v>9.7488783299922943E-2</v>
      </c>
      <c r="AQ97" s="721">
        <v>9.3721657991409302E-2</v>
      </c>
      <c r="AR97" s="721">
        <v>0.13781072199344635</v>
      </c>
      <c r="AS97" s="721">
        <v>0.10280030220746994</v>
      </c>
      <c r="AT97" s="721">
        <v>6.7046776413917542E-2</v>
      </c>
      <c r="AU97" s="721">
        <v>7.0936106145381927E-2</v>
      </c>
      <c r="AV97" s="721">
        <v>0.11584902554750443</v>
      </c>
      <c r="AW97" s="721">
        <v>0.12903986871242523</v>
      </c>
      <c r="AX97" s="721">
        <v>0.22648639976978302</v>
      </c>
      <c r="AY97" s="721">
        <v>0.11734446138143539</v>
      </c>
      <c r="AZ97" s="721">
        <v>8.6073048412799835E-2</v>
      </c>
      <c r="BA97" s="721">
        <v>0.10205701738595963</v>
      </c>
      <c r="BB97" s="721">
        <v>9.204421192407608E-2</v>
      </c>
      <c r="BC97" s="721">
        <v>6.8021401762962341E-2</v>
      </c>
      <c r="BD97" s="721">
        <v>9.8615512251853943E-2</v>
      </c>
      <c r="BE97" s="721">
        <v>3.9074938744306564E-2</v>
      </c>
    </row>
    <row r="98" spans="3:57" ht="15" x14ac:dyDescent="0.2">
      <c r="C98" s="6" t="s">
        <v>9</v>
      </c>
      <c r="D98" s="721">
        <v>9.6113309264183044E-2</v>
      </c>
      <c r="E98" s="721">
        <v>7.1412771940231323E-2</v>
      </c>
      <c r="F98" s="721">
        <v>0.15717005729675293</v>
      </c>
      <c r="G98" s="721">
        <v>8.004915714263916E-2</v>
      </c>
      <c r="H98" s="721">
        <v>0.15466809272766113</v>
      </c>
      <c r="I98" s="721">
        <v>0.1693587601184845</v>
      </c>
      <c r="J98" s="721">
        <v>0.14914938807487488</v>
      </c>
      <c r="K98" s="721">
        <v>0.1242232471704483</v>
      </c>
      <c r="L98" s="721">
        <v>5.6770317256450653E-2</v>
      </c>
      <c r="M98" s="721">
        <v>0.15061250329017639</v>
      </c>
      <c r="N98" s="721">
        <v>0.14070925116539001</v>
      </c>
      <c r="O98" s="721">
        <v>0.1033623069524765</v>
      </c>
      <c r="P98" s="721">
        <v>9.6592143177986145E-2</v>
      </c>
      <c r="Q98" s="721">
        <v>0.16824810206890106</v>
      </c>
      <c r="R98" s="721">
        <v>0.10677599906921387</v>
      </c>
      <c r="S98" s="721">
        <v>0.10130161792039871</v>
      </c>
      <c r="T98" s="721">
        <v>0.10363905131816864</v>
      </c>
      <c r="U98" s="721">
        <v>9.2163905501365662E-2</v>
      </c>
      <c r="V98" s="721">
        <v>8.9036591351032257E-2</v>
      </c>
      <c r="W98" s="721">
        <v>0.12125540524721146</v>
      </c>
      <c r="X98" s="721">
        <v>0.12983763217926025</v>
      </c>
      <c r="Y98" s="721">
        <v>0.18683366477489471</v>
      </c>
      <c r="Z98" s="721">
        <v>0.13898655772209167</v>
      </c>
      <c r="AA98" s="721">
        <v>0.18301759660243988</v>
      </c>
      <c r="AB98" s="721">
        <v>7.1326516568660736E-2</v>
      </c>
      <c r="AC98" s="721">
        <v>0.13927119970321655</v>
      </c>
      <c r="AD98" s="721">
        <v>9.1974146664142609E-2</v>
      </c>
      <c r="AE98" s="37">
        <f>'User Add-in Location'!B103</f>
        <v>0</v>
      </c>
      <c r="AF98" s="37">
        <f>'User Add-in Location'!C103</f>
        <v>0</v>
      </c>
      <c r="AG98" s="721">
        <v>0.10757581889629364</v>
      </c>
      <c r="AH98" s="721">
        <v>7.7664688229560852E-2</v>
      </c>
      <c r="AI98" s="721">
        <v>0.17077760398387909</v>
      </c>
      <c r="AJ98" s="721">
        <v>0.16060715913772583</v>
      </c>
      <c r="AK98" s="721">
        <v>7.160148024559021E-2</v>
      </c>
      <c r="AL98" s="721">
        <v>0.13669773936271667</v>
      </c>
      <c r="AM98" s="721">
        <v>0.1422354131937027</v>
      </c>
      <c r="AN98" s="721">
        <v>8.3165243268013E-2</v>
      </c>
      <c r="AO98" s="721">
        <v>0.14819803833961487</v>
      </c>
      <c r="AP98" s="721">
        <v>9.6204325556755066E-2</v>
      </c>
      <c r="AQ98" s="721">
        <v>0.13471022248268127</v>
      </c>
      <c r="AR98" s="721">
        <v>0.16285702586174011</v>
      </c>
      <c r="AS98" s="721">
        <v>0.15145552158355713</v>
      </c>
      <c r="AT98" s="721">
        <v>9.6656039357185364E-2</v>
      </c>
      <c r="AU98" s="721">
        <v>9.4290345907211304E-2</v>
      </c>
      <c r="AV98" s="721">
        <v>0.14229705929756165</v>
      </c>
      <c r="AW98" s="721">
        <v>0.13722944259643555</v>
      </c>
      <c r="AX98" s="721">
        <v>0.24861553311347961</v>
      </c>
      <c r="AY98" s="721">
        <v>0.13791711628437042</v>
      </c>
      <c r="AZ98" s="721">
        <v>0.11026239395141602</v>
      </c>
      <c r="BA98" s="721">
        <v>0.13555516302585602</v>
      </c>
      <c r="BB98" s="721">
        <v>0.1189730316400528</v>
      </c>
      <c r="BC98" s="721">
        <v>8.0618396401405334E-2</v>
      </c>
      <c r="BD98" s="721">
        <v>0.13142415881156921</v>
      </c>
      <c r="BE98" s="721">
        <v>4.9289684742689133E-2</v>
      </c>
    </row>
    <row r="99" spans="3:57" ht="15" x14ac:dyDescent="0.2">
      <c r="C99" s="6" t="s">
        <v>10</v>
      </c>
      <c r="D99" s="721">
        <v>0.10455426573753357</v>
      </c>
      <c r="E99" s="721">
        <v>0.10990859568119049</v>
      </c>
      <c r="F99" s="721">
        <v>0.17028030753135681</v>
      </c>
      <c r="G99" s="721">
        <v>0.10235363245010376</v>
      </c>
      <c r="H99" s="721">
        <v>0.17313344776630402</v>
      </c>
      <c r="I99" s="721">
        <v>0.17648924887180328</v>
      </c>
      <c r="J99" s="721">
        <v>0.17944620549678802</v>
      </c>
      <c r="K99" s="721">
        <v>0.14357545971870422</v>
      </c>
      <c r="L99" s="721">
        <v>5.7645343244075775E-2</v>
      </c>
      <c r="M99" s="721">
        <v>0.17265963554382324</v>
      </c>
      <c r="N99" s="721">
        <v>0.1586230993270874</v>
      </c>
      <c r="O99" s="721">
        <v>0.1118585467338562</v>
      </c>
      <c r="P99" s="721">
        <v>0.11365650594234467</v>
      </c>
      <c r="Q99" s="721">
        <v>0.18201228976249695</v>
      </c>
      <c r="R99" s="721">
        <v>0.11845048516988754</v>
      </c>
      <c r="S99" s="721">
        <v>0.11343388259410858</v>
      </c>
      <c r="T99" s="721">
        <v>0.10989685356616974</v>
      </c>
      <c r="U99" s="721">
        <v>0.12127362191677094</v>
      </c>
      <c r="V99" s="721">
        <v>0.10097016394138336</v>
      </c>
      <c r="W99" s="721">
        <v>0.14034298062324524</v>
      </c>
      <c r="X99" s="721">
        <v>0.14489711821079254</v>
      </c>
      <c r="Y99" s="721">
        <v>0.20965638756752014</v>
      </c>
      <c r="Z99" s="721">
        <v>0.14585377275943756</v>
      </c>
      <c r="AA99" s="721">
        <v>0.18376505374908447</v>
      </c>
      <c r="AB99" s="721">
        <v>8.6376287043094635E-2</v>
      </c>
      <c r="AC99" s="721">
        <v>0.15513399243354797</v>
      </c>
      <c r="AD99" s="721">
        <v>0.12331060320138931</v>
      </c>
      <c r="AE99" s="37">
        <f>'User Add-in Location'!B104</f>
        <v>0</v>
      </c>
      <c r="AF99" s="37">
        <f>'User Add-in Location'!C104</f>
        <v>0</v>
      </c>
      <c r="AG99" s="721">
        <v>0.11789817363023758</v>
      </c>
      <c r="AH99" s="721">
        <v>5.6533001363277435E-2</v>
      </c>
      <c r="AI99" s="721">
        <v>0.19529081881046295</v>
      </c>
      <c r="AJ99" s="721">
        <v>0.18505021929740906</v>
      </c>
      <c r="AK99" s="721">
        <v>9.1723404824733734E-2</v>
      </c>
      <c r="AL99" s="721">
        <v>0.1599789559841156</v>
      </c>
      <c r="AM99" s="721">
        <v>0.16648422181606293</v>
      </c>
      <c r="AN99" s="721">
        <v>9.5559701323509216E-2</v>
      </c>
      <c r="AO99" s="721">
        <v>0.16122065484523773</v>
      </c>
      <c r="AP99" s="721">
        <v>0.12203708291053772</v>
      </c>
      <c r="AQ99" s="721">
        <v>0.16732653975486755</v>
      </c>
      <c r="AR99" s="721">
        <v>0.18837149441242218</v>
      </c>
      <c r="AS99" s="721">
        <v>0.17401677370071411</v>
      </c>
      <c r="AT99" s="721">
        <v>0.11391493678092957</v>
      </c>
      <c r="AU99" s="721">
        <v>0.10873106122016907</v>
      </c>
      <c r="AV99" s="721">
        <v>0.1684613972902298</v>
      </c>
      <c r="AW99" s="721">
        <v>0.15031802654266357</v>
      </c>
      <c r="AX99" s="721">
        <v>0.2753351628780365</v>
      </c>
      <c r="AY99" s="721">
        <v>0.15536946058273315</v>
      </c>
      <c r="AZ99" s="721">
        <v>0.13397930562496185</v>
      </c>
      <c r="BA99" s="721">
        <v>0.14355073869228363</v>
      </c>
      <c r="BB99" s="721">
        <v>0.12850359082221985</v>
      </c>
      <c r="BC99" s="721">
        <v>9.6920415759086609E-2</v>
      </c>
      <c r="BD99" s="721">
        <v>0.14018870890140533</v>
      </c>
      <c r="BE99" s="721">
        <v>6.0013893991708755E-2</v>
      </c>
    </row>
    <row r="100" spans="3:57" ht="15" x14ac:dyDescent="0.2">
      <c r="C100" s="6" t="s">
        <v>83</v>
      </c>
      <c r="D100" s="721">
        <v>7.8206546604633331E-2</v>
      </c>
      <c r="E100" s="721">
        <v>6.1796572059392929E-2</v>
      </c>
      <c r="F100" s="721">
        <v>0.12851446866989136</v>
      </c>
      <c r="G100" s="721">
        <v>6.2698222696781158E-2</v>
      </c>
      <c r="H100" s="721">
        <v>0.1223742663860321</v>
      </c>
      <c r="I100" s="721">
        <v>0.12701913714408875</v>
      </c>
      <c r="J100" s="721">
        <v>0.14209847152233124</v>
      </c>
      <c r="K100" s="721">
        <v>7.2448059916496277E-2</v>
      </c>
      <c r="L100" s="721">
        <v>4.0503397583961487E-2</v>
      </c>
      <c r="M100" s="721">
        <v>0.124976746737957</v>
      </c>
      <c r="N100" s="721">
        <v>0.10673096030950546</v>
      </c>
      <c r="O100" s="721">
        <v>7.1465767920017242E-2</v>
      </c>
      <c r="P100" s="721">
        <v>6.8197377026081085E-2</v>
      </c>
      <c r="Q100" s="721">
        <v>0.1312154233455658</v>
      </c>
      <c r="R100" s="721">
        <v>7.3899537324905396E-2</v>
      </c>
      <c r="S100" s="721">
        <v>7.5270257890224457E-2</v>
      </c>
      <c r="T100" s="721">
        <v>8.2480072975158691E-2</v>
      </c>
      <c r="U100" s="721">
        <v>8.025369793176651E-2</v>
      </c>
      <c r="V100" s="721">
        <v>6.8600006401538849E-2</v>
      </c>
      <c r="W100" s="721">
        <v>8.9268207550048828E-2</v>
      </c>
      <c r="X100" s="721">
        <v>9.3044735491275787E-2</v>
      </c>
      <c r="Y100" s="721">
        <v>0.1594042032957077</v>
      </c>
      <c r="Z100" s="721">
        <v>0.1041128933429718</v>
      </c>
      <c r="AA100" s="721">
        <v>0.15468142926692963</v>
      </c>
      <c r="AB100" s="721">
        <v>5.6557916104793549E-2</v>
      </c>
      <c r="AC100" s="721">
        <v>0.10296107828617096</v>
      </c>
      <c r="AD100" s="721">
        <v>6.4958781003952026E-2</v>
      </c>
      <c r="AE100" s="37">
        <f>'User Add-in Location'!B105</f>
        <v>0</v>
      </c>
      <c r="AF100" s="37">
        <f>'User Add-in Location'!C105</f>
        <v>0</v>
      </c>
      <c r="AG100" s="721">
        <v>8.1360697746276855E-2</v>
      </c>
      <c r="AH100" s="721">
        <v>0</v>
      </c>
      <c r="AI100" s="721">
        <v>0.12064278125762939</v>
      </c>
      <c r="AJ100" s="721">
        <v>0.12645217776298523</v>
      </c>
      <c r="AK100" s="721">
        <v>4.562847688794136E-2</v>
      </c>
      <c r="AL100" s="721">
        <v>0.12641012668609619</v>
      </c>
      <c r="AM100" s="721">
        <v>0.12061743438243866</v>
      </c>
      <c r="AN100" s="721">
        <v>6.5395168960094452E-2</v>
      </c>
      <c r="AO100" s="721">
        <v>0.10631218552589417</v>
      </c>
      <c r="AP100" s="721">
        <v>8.0355554819107056E-2</v>
      </c>
      <c r="AQ100" s="721">
        <v>8.8156037032604218E-2</v>
      </c>
      <c r="AR100" s="721">
        <v>0.13137373328208923</v>
      </c>
      <c r="AS100" s="721">
        <v>0.12196839600801468</v>
      </c>
      <c r="AT100" s="721">
        <v>8.8150948286056519E-2</v>
      </c>
      <c r="AU100" s="721">
        <v>6.5597698092460632E-2</v>
      </c>
      <c r="AV100" s="721">
        <v>0.11978045105934143</v>
      </c>
      <c r="AW100" s="721">
        <v>0.12423213571310043</v>
      </c>
      <c r="AX100" s="721">
        <v>0.20506180822849274</v>
      </c>
      <c r="AY100" s="721">
        <v>9.2236913740634918E-2</v>
      </c>
      <c r="AZ100" s="721">
        <v>8.0077908933162689E-2</v>
      </c>
      <c r="BA100" s="721">
        <v>9.5234796404838562E-2</v>
      </c>
      <c r="BB100" s="721">
        <v>8.287348598241806E-2</v>
      </c>
      <c r="BC100" s="721">
        <v>5.8801136910915375E-2</v>
      </c>
      <c r="BD100" s="721">
        <v>9.1579228639602661E-2</v>
      </c>
      <c r="BE100" s="721">
        <v>3.4442733973264694E-2</v>
      </c>
    </row>
    <row r="101" spans="3:57" ht="15" x14ac:dyDescent="0.2">
      <c r="C101" s="6" t="s">
        <v>84</v>
      </c>
      <c r="D101" s="721">
        <v>0.13663017749786377</v>
      </c>
      <c r="E101" s="721">
        <v>0.12762466073036194</v>
      </c>
      <c r="F101" s="721">
        <v>0.21511486172676086</v>
      </c>
      <c r="G101" s="721">
        <v>0.11744352430105209</v>
      </c>
      <c r="H101" s="721">
        <v>0.22832545638084412</v>
      </c>
      <c r="I101" s="721">
        <v>0.22436848282814026</v>
      </c>
      <c r="J101" s="721">
        <v>0.2137267142534256</v>
      </c>
      <c r="K101" s="721">
        <v>0.16316482424736023</v>
      </c>
      <c r="L101" s="721">
        <v>7.7069252729415894E-2</v>
      </c>
      <c r="M101" s="721">
        <v>0.21273645758628845</v>
      </c>
      <c r="N101" s="721">
        <v>0.20023106038570404</v>
      </c>
      <c r="O101" s="721">
        <v>0.13930746912956238</v>
      </c>
      <c r="P101" s="721">
        <v>0.12416022270917892</v>
      </c>
      <c r="Q101" s="721">
        <v>0.23292049765586853</v>
      </c>
      <c r="R101" s="721">
        <v>0.12460972368717194</v>
      </c>
      <c r="S101" s="721">
        <v>0.12693169713020325</v>
      </c>
      <c r="T101" s="721">
        <v>0.14299222826957703</v>
      </c>
      <c r="U101" s="721">
        <v>0.13715261220932007</v>
      </c>
      <c r="V101" s="721">
        <v>0.13084115087985992</v>
      </c>
      <c r="W101" s="721">
        <v>0.16520318388938904</v>
      </c>
      <c r="X101" s="721">
        <v>0.17851395905017853</v>
      </c>
      <c r="Y101" s="721">
        <v>0.23877060413360596</v>
      </c>
      <c r="Z101" s="721">
        <v>0.1975284218788147</v>
      </c>
      <c r="AA101" s="721">
        <v>0.23120814561843872</v>
      </c>
      <c r="AB101" s="721">
        <v>9.9788494408130646E-2</v>
      </c>
      <c r="AC101" s="721">
        <v>0.18325063586235046</v>
      </c>
      <c r="AD101" s="721">
        <v>0.12577755749225616</v>
      </c>
      <c r="AE101" s="37">
        <f>'User Add-in Location'!B106</f>
        <v>0</v>
      </c>
      <c r="AF101" s="37">
        <f>'User Add-in Location'!C106</f>
        <v>0</v>
      </c>
      <c r="AG101" s="721">
        <v>0.13698017597198486</v>
      </c>
      <c r="AH101" s="721">
        <v>0.11239653080701828</v>
      </c>
      <c r="AI101" s="721">
        <v>0.20352724194526672</v>
      </c>
      <c r="AJ101" s="721">
        <v>0.22572524845600128</v>
      </c>
      <c r="AK101" s="721">
        <v>0.10229144245386124</v>
      </c>
      <c r="AL101" s="721">
        <v>0.19380025565624237</v>
      </c>
      <c r="AM101" s="721">
        <v>0.17769505083560944</v>
      </c>
      <c r="AN101" s="721">
        <v>0.11466191709041595</v>
      </c>
      <c r="AO101" s="721">
        <v>0.20081508159637451</v>
      </c>
      <c r="AP101" s="721">
        <v>0.13880643248558044</v>
      </c>
      <c r="AQ101" s="721">
        <v>0.15512855350971222</v>
      </c>
      <c r="AR101" s="721">
        <v>0.21911859512329102</v>
      </c>
      <c r="AS101" s="721">
        <v>0.19556951522827148</v>
      </c>
      <c r="AT101" s="721">
        <v>0.14185231924057007</v>
      </c>
      <c r="AU101" s="721">
        <v>0.11721476167440414</v>
      </c>
      <c r="AV101" s="721">
        <v>0.19978737831115723</v>
      </c>
      <c r="AW101" s="721">
        <v>0.19828565418720245</v>
      </c>
      <c r="AX101" s="721">
        <v>0.34100866317749023</v>
      </c>
      <c r="AY101" s="721">
        <v>0.18284508585929871</v>
      </c>
      <c r="AZ101" s="721">
        <v>0.14848455786705017</v>
      </c>
      <c r="BA101" s="721">
        <v>0.19393572211265564</v>
      </c>
      <c r="BB101" s="721">
        <v>0.16276556253433228</v>
      </c>
      <c r="BC101" s="721">
        <v>0.11259737610816956</v>
      </c>
      <c r="BD101" s="721">
        <v>0.16794618964195251</v>
      </c>
      <c r="BE101" s="721">
        <v>7.0822000503540039E-2</v>
      </c>
    </row>
    <row r="102" spans="3:57" ht="15" x14ac:dyDescent="0.2">
      <c r="C102" s="6" t="s">
        <v>85</v>
      </c>
      <c r="D102" s="721">
        <v>0.10020158439874649</v>
      </c>
      <c r="E102" s="721">
        <v>9.3267567455768585E-2</v>
      </c>
      <c r="F102" s="721">
        <v>0.16473440825939178</v>
      </c>
      <c r="G102" s="721">
        <v>8.6621470749378204E-2</v>
      </c>
      <c r="H102" s="721">
        <v>0.1730511337518692</v>
      </c>
      <c r="I102" s="721">
        <v>0.16454513370990753</v>
      </c>
      <c r="J102" s="721">
        <v>0.1668114960193634</v>
      </c>
      <c r="K102" s="721">
        <v>0.13465327024459839</v>
      </c>
      <c r="L102" s="721">
        <v>6.5087750554084778E-2</v>
      </c>
      <c r="M102" s="721">
        <v>0.16181512176990509</v>
      </c>
      <c r="N102" s="721">
        <v>0.14570055902004242</v>
      </c>
      <c r="O102" s="721">
        <v>0.11247842758893967</v>
      </c>
      <c r="P102" s="721">
        <v>0.10093313455581665</v>
      </c>
      <c r="Q102" s="721">
        <v>0.17690357565879822</v>
      </c>
      <c r="R102" s="721">
        <v>0.11312173306941986</v>
      </c>
      <c r="S102" s="721">
        <v>0.10011539608240128</v>
      </c>
      <c r="T102" s="721">
        <v>0.10667608678340912</v>
      </c>
      <c r="U102" s="721">
        <v>0.10858170688152313</v>
      </c>
      <c r="V102" s="721">
        <v>9.4581872224807739E-2</v>
      </c>
      <c r="W102" s="721">
        <v>0.1341235339641571</v>
      </c>
      <c r="X102" s="721">
        <v>0.13820642232894897</v>
      </c>
      <c r="Y102" s="721">
        <v>0.19631309807300568</v>
      </c>
      <c r="Z102" s="721">
        <v>0.14854660630226135</v>
      </c>
      <c r="AA102" s="721">
        <v>0.18303413689136505</v>
      </c>
      <c r="AB102" s="721">
        <v>7.6456882059574127E-2</v>
      </c>
      <c r="AC102" s="721">
        <v>0.14328640699386597</v>
      </c>
      <c r="AD102" s="721">
        <v>9.8169103264808655E-2</v>
      </c>
      <c r="AE102" s="37">
        <f>'User Add-in Location'!B107</f>
        <v>0</v>
      </c>
      <c r="AF102" s="37">
        <f>'User Add-in Location'!C107</f>
        <v>0</v>
      </c>
      <c r="AG102" s="721">
        <v>0.11401751637458801</v>
      </c>
      <c r="AH102" s="721">
        <v>8.0097906291484833E-2</v>
      </c>
      <c r="AI102" s="721">
        <v>0.16641329228878021</v>
      </c>
      <c r="AJ102" s="721">
        <v>0.17623239755630493</v>
      </c>
      <c r="AK102" s="721">
        <v>7.5736060738563538E-2</v>
      </c>
      <c r="AL102" s="721">
        <v>0.15345685184001923</v>
      </c>
      <c r="AM102" s="721">
        <v>0.14754973351955414</v>
      </c>
      <c r="AN102" s="721">
        <v>8.4745608270168304E-2</v>
      </c>
      <c r="AO102" s="721">
        <v>0.16009850800037384</v>
      </c>
      <c r="AP102" s="721">
        <v>0.10352835059165955</v>
      </c>
      <c r="AQ102" s="721">
        <v>0.14404773712158203</v>
      </c>
      <c r="AR102" s="721">
        <v>0.18072670698165894</v>
      </c>
      <c r="AS102" s="721">
        <v>0.16109126806259155</v>
      </c>
      <c r="AT102" s="721">
        <v>0.10286487638950348</v>
      </c>
      <c r="AU102" s="721">
        <v>0.10041923820972443</v>
      </c>
      <c r="AV102" s="721">
        <v>0.16434414684772491</v>
      </c>
      <c r="AW102" s="721">
        <v>0.14599087834358215</v>
      </c>
      <c r="AX102" s="721">
        <v>0.27031335234642029</v>
      </c>
      <c r="AY102" s="721">
        <v>0.13725756108760834</v>
      </c>
      <c r="AZ102" s="721">
        <v>0.1205299124121666</v>
      </c>
      <c r="BA102" s="721">
        <v>0.14391189813613892</v>
      </c>
      <c r="BB102" s="721">
        <v>0.12340943515300751</v>
      </c>
      <c r="BC102" s="721">
        <v>9.2372149229049683E-2</v>
      </c>
      <c r="BD102" s="721">
        <v>0.13372926414012909</v>
      </c>
      <c r="BE102" s="721">
        <v>5.0549108535051346E-2</v>
      </c>
    </row>
    <row r="103" spans="3:57" ht="15" x14ac:dyDescent="0.2">
      <c r="C103" s="6" t="s">
        <v>11</v>
      </c>
      <c r="D103" s="721">
        <v>0.15283650159835815</v>
      </c>
      <c r="E103" s="721">
        <v>0.16667214035987854</v>
      </c>
      <c r="F103" s="721">
        <v>0.2310967743396759</v>
      </c>
      <c r="G103" s="721">
        <v>0.1644311398267746</v>
      </c>
      <c r="H103" s="721">
        <v>0.25122275948524475</v>
      </c>
      <c r="I103" s="721">
        <v>0.25579068064689636</v>
      </c>
      <c r="J103" s="721">
        <v>0.21450182795524597</v>
      </c>
      <c r="K103" s="721">
        <v>0.18529145419597626</v>
      </c>
      <c r="L103" s="721">
        <v>6.9978967308998108E-2</v>
      </c>
      <c r="M103" s="721">
        <v>0.24422141909599304</v>
      </c>
      <c r="N103" s="721">
        <v>0.24546471238136292</v>
      </c>
      <c r="O103" s="721">
        <v>0.1862795352935791</v>
      </c>
      <c r="P103" s="721">
        <v>0.17007939517498016</v>
      </c>
      <c r="Q103" s="721">
        <v>0.28110933303833008</v>
      </c>
      <c r="R103" s="721">
        <v>0.19551986455917358</v>
      </c>
      <c r="S103" s="721">
        <v>0.17435047030448914</v>
      </c>
      <c r="T103" s="721">
        <v>0.18614935874938965</v>
      </c>
      <c r="U103" s="721">
        <v>0.18210659921169281</v>
      </c>
      <c r="V103" s="721">
        <v>0.16856668889522552</v>
      </c>
      <c r="W103" s="721">
        <v>0.22053593397140503</v>
      </c>
      <c r="X103" s="721">
        <v>0.18216545879840851</v>
      </c>
      <c r="Y103" s="721">
        <v>0.21674627065658569</v>
      </c>
      <c r="Z103" s="721">
        <v>0.23710443079471588</v>
      </c>
      <c r="AA103" s="721">
        <v>0.26000472903251648</v>
      </c>
      <c r="AB103" s="721">
        <v>0.14400050044059753</v>
      </c>
      <c r="AC103" s="721">
        <v>0.23208171129226685</v>
      </c>
      <c r="AD103" s="721">
        <v>0.16723074018955231</v>
      </c>
      <c r="AE103" s="37">
        <f>'User Add-in Location'!B108</f>
        <v>0</v>
      </c>
      <c r="AF103" s="37">
        <f>'User Add-in Location'!C108</f>
        <v>0</v>
      </c>
      <c r="AG103" s="721">
        <v>0.19770041108131409</v>
      </c>
      <c r="AH103" s="721">
        <v>0.13256825506687164</v>
      </c>
      <c r="AI103" s="721">
        <v>0.20558694005012512</v>
      </c>
      <c r="AJ103" s="721">
        <v>0.26760929822921753</v>
      </c>
      <c r="AK103" s="721">
        <v>0.10174676775932312</v>
      </c>
      <c r="AL103" s="721">
        <v>0.21698160469532013</v>
      </c>
      <c r="AM103" s="721">
        <v>0.24310961365699768</v>
      </c>
      <c r="AN103" s="721">
        <v>0.14484240114688873</v>
      </c>
      <c r="AO103" s="721">
        <v>0.24172484874725342</v>
      </c>
      <c r="AP103" s="721">
        <v>0.16276641190052032</v>
      </c>
      <c r="AQ103" s="721">
        <v>0.21938565373420715</v>
      </c>
      <c r="AR103" s="721">
        <v>0.25953295826911926</v>
      </c>
      <c r="AS103" s="721">
        <v>0.21066252887248993</v>
      </c>
      <c r="AT103" s="721">
        <v>0.18262436985969543</v>
      </c>
      <c r="AU103" s="721">
        <v>0.16244806349277496</v>
      </c>
      <c r="AV103" s="721">
        <v>0.23640771210193634</v>
      </c>
      <c r="AW103" s="721">
        <v>0.22383598983287811</v>
      </c>
      <c r="AX103" s="721">
        <v>0.36965274810791016</v>
      </c>
      <c r="AY103" s="721">
        <v>0.21669599413871765</v>
      </c>
      <c r="AZ103" s="721">
        <v>0.20529082417488098</v>
      </c>
      <c r="BA103" s="721">
        <v>0.19614987075328827</v>
      </c>
      <c r="BB103" s="721">
        <v>0.18845605850219727</v>
      </c>
      <c r="BC103" s="721">
        <v>0.14663015305995941</v>
      </c>
      <c r="BD103" s="721">
        <v>0.2125554084777832</v>
      </c>
      <c r="BE103" s="721">
        <v>0.10078434646129608</v>
      </c>
    </row>
    <row r="104" spans="3:57" ht="15" x14ac:dyDescent="0.2">
      <c r="C104" s="6"/>
      <c r="D104" s="721"/>
      <c r="E104" s="721"/>
      <c r="F104" s="721"/>
      <c r="G104" s="721"/>
      <c r="H104" s="721"/>
      <c r="I104" s="721"/>
      <c r="J104" s="721"/>
      <c r="K104" s="721"/>
      <c r="L104" s="721"/>
      <c r="M104" s="721"/>
      <c r="N104" s="721"/>
      <c r="O104" s="721"/>
      <c r="P104" s="721"/>
      <c r="Q104" s="721"/>
      <c r="R104" s="721"/>
      <c r="S104" s="721"/>
      <c r="T104" s="721"/>
      <c r="U104" s="721"/>
      <c r="V104" s="721"/>
      <c r="W104" s="721"/>
      <c r="X104" s="721"/>
      <c r="Y104" s="721"/>
      <c r="Z104" s="721"/>
      <c r="AA104" s="721"/>
      <c r="AB104" s="721"/>
      <c r="AC104" s="721"/>
      <c r="AD104" s="721"/>
      <c r="AE104" s="37"/>
      <c r="AF104" s="37"/>
      <c r="AG104" s="721"/>
      <c r="AH104" s="721"/>
      <c r="AI104" s="721"/>
      <c r="AJ104" s="721"/>
      <c r="AK104" s="721"/>
      <c r="AL104" s="721"/>
      <c r="AM104" s="721"/>
      <c r="AN104" s="721"/>
      <c r="AO104" s="721"/>
      <c r="AP104" s="721"/>
      <c r="AQ104" s="721"/>
      <c r="AR104" s="721"/>
      <c r="AS104" s="721"/>
      <c r="AT104" s="721"/>
      <c r="AU104" s="721"/>
      <c r="AV104" s="721"/>
      <c r="AW104" s="721"/>
      <c r="AX104" s="721"/>
      <c r="AY104" s="721"/>
      <c r="AZ104" s="721"/>
      <c r="BA104" s="721"/>
      <c r="BB104" s="721"/>
      <c r="BC104" s="721"/>
      <c r="BD104" s="721"/>
      <c r="BE104" s="721"/>
    </row>
    <row r="105" spans="3:57" ht="12" customHeight="1" x14ac:dyDescent="0.2">
      <c r="C105" s="109" t="s">
        <v>125</v>
      </c>
      <c r="D105" s="721"/>
      <c r="E105" s="721"/>
      <c r="F105" s="721"/>
      <c r="G105" s="721"/>
      <c r="H105" s="721"/>
      <c r="I105" s="721"/>
      <c r="J105" s="721"/>
      <c r="K105" s="721"/>
      <c r="L105" s="721"/>
      <c r="M105" s="721"/>
      <c r="N105" s="721"/>
      <c r="O105" s="721"/>
      <c r="P105" s="721"/>
      <c r="Q105" s="721"/>
      <c r="R105" s="721"/>
      <c r="S105" s="721"/>
      <c r="T105" s="721"/>
      <c r="U105" s="721"/>
      <c r="V105" s="721"/>
      <c r="W105" s="721"/>
      <c r="X105" s="721"/>
      <c r="Y105" s="721"/>
      <c r="Z105" s="721"/>
      <c r="AA105" s="721"/>
      <c r="AB105" s="721"/>
      <c r="AC105" s="721"/>
      <c r="AD105" s="721"/>
      <c r="AE105" s="37"/>
      <c r="AF105" s="37"/>
      <c r="AG105" s="721"/>
      <c r="AH105" s="721"/>
      <c r="AI105" s="721"/>
      <c r="AJ105" s="721"/>
      <c r="AK105" s="721"/>
      <c r="AL105" s="721"/>
      <c r="AM105" s="721"/>
      <c r="AN105" s="721"/>
      <c r="AO105" s="721"/>
      <c r="AP105" s="721"/>
      <c r="AQ105" s="721"/>
      <c r="AR105" s="721"/>
      <c r="AS105" s="721"/>
      <c r="AT105" s="721"/>
      <c r="AU105" s="721"/>
      <c r="AV105" s="721"/>
      <c r="AW105" s="721"/>
      <c r="AX105" s="721"/>
      <c r="AY105" s="721"/>
      <c r="AZ105" s="721"/>
      <c r="BA105" s="721"/>
      <c r="BB105" s="721"/>
      <c r="BC105" s="721"/>
      <c r="BD105" s="721"/>
      <c r="BE105" s="721"/>
    </row>
    <row r="106" spans="3:57" x14ac:dyDescent="0.2">
      <c r="C106" s="110" t="s">
        <v>132</v>
      </c>
      <c r="D106" s="721" t="s">
        <v>13</v>
      </c>
      <c r="E106" s="721" t="s">
        <v>14</v>
      </c>
      <c r="F106" s="721" t="s">
        <v>15</v>
      </c>
      <c r="G106" s="721" t="s">
        <v>16</v>
      </c>
      <c r="H106" s="721" t="s">
        <v>17</v>
      </c>
      <c r="I106" s="721" t="s">
        <v>18</v>
      </c>
      <c r="J106" s="721" t="s">
        <v>19</v>
      </c>
      <c r="K106" s="721" t="s">
        <v>20</v>
      </c>
      <c r="L106" s="721" t="s">
        <v>21</v>
      </c>
      <c r="M106" s="721" t="s">
        <v>22</v>
      </c>
      <c r="N106" s="721" t="s">
        <v>23</v>
      </c>
      <c r="O106" s="721" t="s">
        <v>24</v>
      </c>
      <c r="P106" s="721" t="s">
        <v>25</v>
      </c>
      <c r="Q106" s="721" t="s">
        <v>26</v>
      </c>
      <c r="R106" s="721" t="s">
        <v>27</v>
      </c>
      <c r="S106" s="721" t="s">
        <v>28</v>
      </c>
      <c r="T106" s="721" t="s">
        <v>29</v>
      </c>
      <c r="U106" s="721" t="s">
        <v>30</v>
      </c>
      <c r="V106" s="721" t="s">
        <v>31</v>
      </c>
      <c r="W106" s="721" t="s">
        <v>32</v>
      </c>
      <c r="X106" s="721" t="s">
        <v>33</v>
      </c>
      <c r="Y106" s="721" t="s">
        <v>34</v>
      </c>
      <c r="Z106" s="721" t="s">
        <v>35</v>
      </c>
      <c r="AA106" s="721" t="s">
        <v>36</v>
      </c>
      <c r="AB106" s="721" t="s">
        <v>37</v>
      </c>
      <c r="AC106" s="721" t="s">
        <v>38</v>
      </c>
      <c r="AD106" s="721" t="s">
        <v>39</v>
      </c>
      <c r="AE106" s="37" t="s">
        <v>151</v>
      </c>
      <c r="AF106" s="37" t="s">
        <v>150</v>
      </c>
      <c r="AG106" s="721" t="s">
        <v>40</v>
      </c>
      <c r="AH106" s="721" t="s">
        <v>41</v>
      </c>
      <c r="AI106" s="721" t="s">
        <v>42</v>
      </c>
      <c r="AJ106" s="721" t="s">
        <v>43</v>
      </c>
      <c r="AK106" s="721" t="s">
        <v>44</v>
      </c>
      <c r="AL106" s="721" t="s">
        <v>45</v>
      </c>
      <c r="AM106" s="721" t="s">
        <v>46</v>
      </c>
      <c r="AN106" s="721" t="s">
        <v>47</v>
      </c>
      <c r="AO106" s="721" t="s">
        <v>48</v>
      </c>
      <c r="AP106" s="721" t="s">
        <v>49</v>
      </c>
      <c r="AQ106" s="721" t="s">
        <v>50</v>
      </c>
      <c r="AR106" s="721" t="s">
        <v>51</v>
      </c>
      <c r="AS106" s="721" t="s">
        <v>52</v>
      </c>
      <c r="AT106" s="721" t="s">
        <v>53</v>
      </c>
      <c r="AU106" s="721" t="s">
        <v>54</v>
      </c>
      <c r="AV106" s="721" t="s">
        <v>55</v>
      </c>
      <c r="AW106" s="721" t="s">
        <v>56</v>
      </c>
      <c r="AX106" s="721" t="s">
        <v>489</v>
      </c>
      <c r="AY106" s="721" t="s">
        <v>57</v>
      </c>
      <c r="AZ106" s="721" t="s">
        <v>58</v>
      </c>
      <c r="BA106" s="721" t="s">
        <v>59</v>
      </c>
      <c r="BB106" s="721" t="s">
        <v>60</v>
      </c>
      <c r="BC106" s="721" t="s">
        <v>61</v>
      </c>
      <c r="BD106" s="721" t="s">
        <v>62</v>
      </c>
      <c r="BE106" s="721" t="s">
        <v>12</v>
      </c>
    </row>
    <row r="107" spans="3:57" ht="15" x14ac:dyDescent="0.2">
      <c r="C107" s="6" t="s">
        <v>7</v>
      </c>
      <c r="D107" s="721">
        <v>1</v>
      </c>
      <c r="E107" s="721">
        <v>1</v>
      </c>
      <c r="F107" s="721">
        <v>1</v>
      </c>
      <c r="G107" s="721">
        <v>1</v>
      </c>
      <c r="H107" s="721">
        <v>1</v>
      </c>
      <c r="I107" s="721">
        <v>1</v>
      </c>
      <c r="J107" s="721">
        <v>1</v>
      </c>
      <c r="K107" s="721">
        <v>1</v>
      </c>
      <c r="L107" s="721">
        <v>1</v>
      </c>
      <c r="M107" s="721">
        <v>1</v>
      </c>
      <c r="N107" s="721">
        <v>1</v>
      </c>
      <c r="O107" s="721">
        <v>1</v>
      </c>
      <c r="P107" s="721">
        <v>1</v>
      </c>
      <c r="Q107" s="721">
        <v>1</v>
      </c>
      <c r="R107" s="721">
        <v>1</v>
      </c>
      <c r="S107" s="721">
        <v>1</v>
      </c>
      <c r="T107" s="721">
        <v>1</v>
      </c>
      <c r="U107" s="721">
        <v>1</v>
      </c>
      <c r="V107" s="721">
        <v>1</v>
      </c>
      <c r="W107" s="721">
        <v>1</v>
      </c>
      <c r="X107" s="721">
        <v>1</v>
      </c>
      <c r="Y107" s="721">
        <v>1</v>
      </c>
      <c r="Z107" s="721">
        <v>1</v>
      </c>
      <c r="AA107" s="721">
        <v>1</v>
      </c>
      <c r="AB107" s="721">
        <v>1</v>
      </c>
      <c r="AC107" s="721">
        <v>1</v>
      </c>
      <c r="AD107" s="721">
        <v>1</v>
      </c>
      <c r="AE107" s="37">
        <f>'User Add-in Location'!B112</f>
        <v>0</v>
      </c>
      <c r="AF107" s="37">
        <f>'User Add-in Location'!C112</f>
        <v>0</v>
      </c>
      <c r="AG107" s="721">
        <v>1</v>
      </c>
      <c r="AH107" s="721">
        <v>1</v>
      </c>
      <c r="AI107" s="721">
        <v>1</v>
      </c>
      <c r="AJ107" s="721">
        <v>1</v>
      </c>
      <c r="AK107" s="721">
        <v>1</v>
      </c>
      <c r="AL107" s="721">
        <v>1</v>
      </c>
      <c r="AM107" s="721">
        <v>1</v>
      </c>
      <c r="AN107" s="721">
        <v>1</v>
      </c>
      <c r="AO107" s="721">
        <v>1</v>
      </c>
      <c r="AP107" s="721">
        <v>1</v>
      </c>
      <c r="AQ107" s="721">
        <v>1</v>
      </c>
      <c r="AR107" s="721">
        <v>1</v>
      </c>
      <c r="AS107" s="721">
        <v>1</v>
      </c>
      <c r="AT107" s="721">
        <v>1</v>
      </c>
      <c r="AU107" s="721">
        <v>1</v>
      </c>
      <c r="AV107" s="721">
        <v>1</v>
      </c>
      <c r="AW107" s="721">
        <v>1</v>
      </c>
      <c r="AX107" s="721">
        <v>1</v>
      </c>
      <c r="AY107" s="721">
        <v>1</v>
      </c>
      <c r="AZ107" s="721">
        <v>1</v>
      </c>
      <c r="BA107" s="721">
        <v>1</v>
      </c>
      <c r="BB107" s="721">
        <v>1</v>
      </c>
      <c r="BC107" s="721">
        <v>1</v>
      </c>
      <c r="BD107" s="721">
        <v>1</v>
      </c>
      <c r="BE107" s="721">
        <v>1</v>
      </c>
    </row>
    <row r="108" spans="3:57" ht="15" x14ac:dyDescent="0.2">
      <c r="C108" s="6" t="s">
        <v>77</v>
      </c>
      <c r="D108" s="721">
        <v>1</v>
      </c>
      <c r="E108" s="721">
        <v>1</v>
      </c>
      <c r="F108" s="721">
        <v>1</v>
      </c>
      <c r="G108" s="721">
        <v>1</v>
      </c>
      <c r="H108" s="721">
        <v>1</v>
      </c>
      <c r="I108" s="721">
        <v>1</v>
      </c>
      <c r="J108" s="721">
        <v>1</v>
      </c>
      <c r="K108" s="721">
        <v>1</v>
      </c>
      <c r="L108" s="721">
        <v>1</v>
      </c>
      <c r="M108" s="721">
        <v>1</v>
      </c>
      <c r="N108" s="721">
        <v>1</v>
      </c>
      <c r="O108" s="721">
        <v>1</v>
      </c>
      <c r="P108" s="721">
        <v>1</v>
      </c>
      <c r="Q108" s="721">
        <v>1</v>
      </c>
      <c r="R108" s="721">
        <v>1</v>
      </c>
      <c r="S108" s="721">
        <v>1</v>
      </c>
      <c r="T108" s="721">
        <v>1</v>
      </c>
      <c r="U108" s="721">
        <v>1</v>
      </c>
      <c r="V108" s="721">
        <v>1</v>
      </c>
      <c r="W108" s="721">
        <v>1</v>
      </c>
      <c r="X108" s="721">
        <v>1</v>
      </c>
      <c r="Y108" s="721">
        <v>1</v>
      </c>
      <c r="Z108" s="721">
        <v>1</v>
      </c>
      <c r="AA108" s="721">
        <v>1</v>
      </c>
      <c r="AB108" s="721">
        <v>1</v>
      </c>
      <c r="AC108" s="721">
        <v>1</v>
      </c>
      <c r="AD108" s="721">
        <v>1</v>
      </c>
      <c r="AE108" s="37">
        <f>'User Add-in Location'!B113</f>
        <v>0</v>
      </c>
      <c r="AF108" s="37">
        <f>'User Add-in Location'!C113</f>
        <v>0</v>
      </c>
      <c r="AG108" s="721">
        <v>1</v>
      </c>
      <c r="AH108" s="721">
        <v>1</v>
      </c>
      <c r="AI108" s="721">
        <v>1</v>
      </c>
      <c r="AJ108" s="721">
        <v>1</v>
      </c>
      <c r="AK108" s="721">
        <v>1</v>
      </c>
      <c r="AL108" s="721">
        <v>1</v>
      </c>
      <c r="AM108" s="721">
        <v>1</v>
      </c>
      <c r="AN108" s="721">
        <v>1</v>
      </c>
      <c r="AO108" s="721">
        <v>1</v>
      </c>
      <c r="AP108" s="721">
        <v>1</v>
      </c>
      <c r="AQ108" s="721">
        <v>1</v>
      </c>
      <c r="AR108" s="721">
        <v>1</v>
      </c>
      <c r="AS108" s="721">
        <v>1</v>
      </c>
      <c r="AT108" s="721">
        <v>1</v>
      </c>
      <c r="AU108" s="721">
        <v>1</v>
      </c>
      <c r="AV108" s="721">
        <v>1</v>
      </c>
      <c r="AW108" s="721">
        <v>1</v>
      </c>
      <c r="AX108" s="721">
        <v>1</v>
      </c>
      <c r="AY108" s="721">
        <v>1</v>
      </c>
      <c r="AZ108" s="721">
        <v>1</v>
      </c>
      <c r="BA108" s="721">
        <v>1</v>
      </c>
      <c r="BB108" s="721">
        <v>1</v>
      </c>
      <c r="BC108" s="721">
        <v>1</v>
      </c>
      <c r="BD108" s="721">
        <v>1</v>
      </c>
      <c r="BE108" s="721">
        <v>1</v>
      </c>
    </row>
    <row r="109" spans="3:57" ht="15" x14ac:dyDescent="0.2">
      <c r="C109" s="6" t="s">
        <v>8</v>
      </c>
      <c r="D109" s="721">
        <v>1</v>
      </c>
      <c r="E109" s="721">
        <v>1</v>
      </c>
      <c r="F109" s="721">
        <v>1</v>
      </c>
      <c r="G109" s="721">
        <v>1</v>
      </c>
      <c r="H109" s="721">
        <v>1</v>
      </c>
      <c r="I109" s="721">
        <v>1</v>
      </c>
      <c r="J109" s="721">
        <v>1</v>
      </c>
      <c r="K109" s="721">
        <v>1</v>
      </c>
      <c r="L109" s="721">
        <v>1</v>
      </c>
      <c r="M109" s="721">
        <v>1</v>
      </c>
      <c r="N109" s="721">
        <v>1</v>
      </c>
      <c r="O109" s="721">
        <v>1</v>
      </c>
      <c r="P109" s="721">
        <v>1</v>
      </c>
      <c r="Q109" s="721">
        <v>1</v>
      </c>
      <c r="R109" s="721">
        <v>1</v>
      </c>
      <c r="S109" s="721">
        <v>1</v>
      </c>
      <c r="T109" s="721">
        <v>1</v>
      </c>
      <c r="U109" s="721">
        <v>1</v>
      </c>
      <c r="V109" s="721">
        <v>1</v>
      </c>
      <c r="W109" s="721">
        <v>1</v>
      </c>
      <c r="X109" s="721">
        <v>1</v>
      </c>
      <c r="Y109" s="721">
        <v>1</v>
      </c>
      <c r="Z109" s="721">
        <v>1</v>
      </c>
      <c r="AA109" s="721">
        <v>1</v>
      </c>
      <c r="AB109" s="721">
        <v>1</v>
      </c>
      <c r="AC109" s="721">
        <v>1</v>
      </c>
      <c r="AD109" s="721">
        <v>1</v>
      </c>
      <c r="AE109" s="37">
        <f>'User Add-in Location'!B114</f>
        <v>0</v>
      </c>
      <c r="AF109" s="37">
        <f>'User Add-in Location'!C114</f>
        <v>0</v>
      </c>
      <c r="AG109" s="721">
        <v>1</v>
      </c>
      <c r="AH109" s="721">
        <v>1</v>
      </c>
      <c r="AI109" s="721">
        <v>1</v>
      </c>
      <c r="AJ109" s="721">
        <v>1</v>
      </c>
      <c r="AK109" s="721">
        <v>1</v>
      </c>
      <c r="AL109" s="721">
        <v>1</v>
      </c>
      <c r="AM109" s="721">
        <v>1</v>
      </c>
      <c r="AN109" s="721">
        <v>1</v>
      </c>
      <c r="AO109" s="721">
        <v>1</v>
      </c>
      <c r="AP109" s="721">
        <v>1</v>
      </c>
      <c r="AQ109" s="721">
        <v>1</v>
      </c>
      <c r="AR109" s="721">
        <v>1</v>
      </c>
      <c r="AS109" s="721">
        <v>1</v>
      </c>
      <c r="AT109" s="721">
        <v>1</v>
      </c>
      <c r="AU109" s="721">
        <v>1</v>
      </c>
      <c r="AV109" s="721">
        <v>1</v>
      </c>
      <c r="AW109" s="721">
        <v>1</v>
      </c>
      <c r="AX109" s="721">
        <v>1</v>
      </c>
      <c r="AY109" s="721">
        <v>1</v>
      </c>
      <c r="AZ109" s="721">
        <v>1</v>
      </c>
      <c r="BA109" s="721">
        <v>1</v>
      </c>
      <c r="BB109" s="721">
        <v>1</v>
      </c>
      <c r="BC109" s="721">
        <v>1</v>
      </c>
      <c r="BD109" s="721">
        <v>1</v>
      </c>
      <c r="BE109" s="721">
        <v>1</v>
      </c>
    </row>
    <row r="110" spans="3:57" ht="15" x14ac:dyDescent="0.2">
      <c r="C110" s="6" t="s">
        <v>78</v>
      </c>
      <c r="D110" s="721">
        <v>1</v>
      </c>
      <c r="E110" s="721">
        <v>1</v>
      </c>
      <c r="F110" s="721">
        <v>1</v>
      </c>
      <c r="G110" s="721">
        <v>1</v>
      </c>
      <c r="H110" s="721">
        <v>1</v>
      </c>
      <c r="I110" s="721">
        <v>1</v>
      </c>
      <c r="J110" s="721">
        <v>1</v>
      </c>
      <c r="K110" s="721">
        <v>1</v>
      </c>
      <c r="L110" s="721">
        <v>1</v>
      </c>
      <c r="M110" s="721">
        <v>1</v>
      </c>
      <c r="N110" s="721">
        <v>1</v>
      </c>
      <c r="O110" s="721">
        <v>1</v>
      </c>
      <c r="P110" s="721">
        <v>1</v>
      </c>
      <c r="Q110" s="721">
        <v>1</v>
      </c>
      <c r="R110" s="721">
        <v>1</v>
      </c>
      <c r="S110" s="721">
        <v>1</v>
      </c>
      <c r="T110" s="721">
        <v>1</v>
      </c>
      <c r="U110" s="721">
        <v>1</v>
      </c>
      <c r="V110" s="721">
        <v>1</v>
      </c>
      <c r="W110" s="721">
        <v>1</v>
      </c>
      <c r="X110" s="721">
        <v>1</v>
      </c>
      <c r="Y110" s="721">
        <v>1</v>
      </c>
      <c r="Z110" s="721">
        <v>1</v>
      </c>
      <c r="AA110" s="721">
        <v>1</v>
      </c>
      <c r="AB110" s="721">
        <v>1</v>
      </c>
      <c r="AC110" s="721">
        <v>1</v>
      </c>
      <c r="AD110" s="721">
        <v>1</v>
      </c>
      <c r="AE110" s="37">
        <f>'User Add-in Location'!B115</f>
        <v>0</v>
      </c>
      <c r="AF110" s="37">
        <f>'User Add-in Location'!C115</f>
        <v>0</v>
      </c>
      <c r="AG110" s="721">
        <v>1</v>
      </c>
      <c r="AH110" s="721">
        <v>1</v>
      </c>
      <c r="AI110" s="721">
        <v>1</v>
      </c>
      <c r="AJ110" s="721">
        <v>1</v>
      </c>
      <c r="AK110" s="721">
        <v>1</v>
      </c>
      <c r="AL110" s="721">
        <v>1</v>
      </c>
      <c r="AM110" s="721">
        <v>1</v>
      </c>
      <c r="AN110" s="721">
        <v>1</v>
      </c>
      <c r="AO110" s="721">
        <v>1</v>
      </c>
      <c r="AP110" s="721">
        <v>1</v>
      </c>
      <c r="AQ110" s="721">
        <v>1</v>
      </c>
      <c r="AR110" s="721">
        <v>1</v>
      </c>
      <c r="AS110" s="721">
        <v>1</v>
      </c>
      <c r="AT110" s="721">
        <v>1</v>
      </c>
      <c r="AU110" s="721">
        <v>1</v>
      </c>
      <c r="AV110" s="721">
        <v>1</v>
      </c>
      <c r="AW110" s="721">
        <v>1</v>
      </c>
      <c r="AX110" s="721">
        <v>1</v>
      </c>
      <c r="AY110" s="721">
        <v>1</v>
      </c>
      <c r="AZ110" s="721">
        <v>1</v>
      </c>
      <c r="BA110" s="721">
        <v>1</v>
      </c>
      <c r="BB110" s="721">
        <v>1</v>
      </c>
      <c r="BC110" s="721">
        <v>1</v>
      </c>
      <c r="BD110" s="721">
        <v>1</v>
      </c>
      <c r="BE110" s="721">
        <v>1</v>
      </c>
    </row>
    <row r="111" spans="3:57" ht="15" x14ac:dyDescent="0.2">
      <c r="C111" s="6" t="s">
        <v>79</v>
      </c>
      <c r="D111" s="721">
        <v>1</v>
      </c>
      <c r="E111" s="721">
        <v>1</v>
      </c>
      <c r="F111" s="721">
        <v>1</v>
      </c>
      <c r="G111" s="721">
        <v>1</v>
      </c>
      <c r="H111" s="721">
        <v>1</v>
      </c>
      <c r="I111" s="721">
        <v>1</v>
      </c>
      <c r="J111" s="721">
        <v>1</v>
      </c>
      <c r="K111" s="721">
        <v>1</v>
      </c>
      <c r="L111" s="721">
        <v>1</v>
      </c>
      <c r="M111" s="721">
        <v>1</v>
      </c>
      <c r="N111" s="721">
        <v>1</v>
      </c>
      <c r="O111" s="721">
        <v>1</v>
      </c>
      <c r="P111" s="721">
        <v>1</v>
      </c>
      <c r="Q111" s="721">
        <v>1</v>
      </c>
      <c r="R111" s="721">
        <v>1</v>
      </c>
      <c r="S111" s="721">
        <v>1</v>
      </c>
      <c r="T111" s="721">
        <v>1</v>
      </c>
      <c r="U111" s="721">
        <v>1</v>
      </c>
      <c r="V111" s="721">
        <v>1</v>
      </c>
      <c r="W111" s="721">
        <v>1</v>
      </c>
      <c r="X111" s="721">
        <v>1</v>
      </c>
      <c r="Y111" s="721">
        <v>1</v>
      </c>
      <c r="Z111" s="721">
        <v>1</v>
      </c>
      <c r="AA111" s="721">
        <v>1</v>
      </c>
      <c r="AB111" s="721">
        <v>1</v>
      </c>
      <c r="AC111" s="721">
        <v>1</v>
      </c>
      <c r="AD111" s="721">
        <v>1</v>
      </c>
      <c r="AE111" s="37">
        <f>'User Add-in Location'!B116</f>
        <v>0</v>
      </c>
      <c r="AF111" s="37">
        <f>'User Add-in Location'!C116</f>
        <v>0</v>
      </c>
      <c r="AG111" s="721">
        <v>1</v>
      </c>
      <c r="AH111" s="721">
        <v>1</v>
      </c>
      <c r="AI111" s="721">
        <v>1</v>
      </c>
      <c r="AJ111" s="721">
        <v>1</v>
      </c>
      <c r="AK111" s="721">
        <v>1</v>
      </c>
      <c r="AL111" s="721">
        <v>1</v>
      </c>
      <c r="AM111" s="721">
        <v>1</v>
      </c>
      <c r="AN111" s="721">
        <v>1</v>
      </c>
      <c r="AO111" s="721">
        <v>1</v>
      </c>
      <c r="AP111" s="721">
        <v>1</v>
      </c>
      <c r="AQ111" s="721">
        <v>1</v>
      </c>
      <c r="AR111" s="721">
        <v>1</v>
      </c>
      <c r="AS111" s="721">
        <v>1</v>
      </c>
      <c r="AT111" s="721">
        <v>1</v>
      </c>
      <c r="AU111" s="721">
        <v>1</v>
      </c>
      <c r="AV111" s="721">
        <v>1</v>
      </c>
      <c r="AW111" s="721">
        <v>1</v>
      </c>
      <c r="AX111" s="721">
        <v>1</v>
      </c>
      <c r="AY111" s="721">
        <v>1</v>
      </c>
      <c r="AZ111" s="721">
        <v>1</v>
      </c>
      <c r="BA111" s="721">
        <v>1</v>
      </c>
      <c r="BB111" s="721">
        <v>1</v>
      </c>
      <c r="BC111" s="721">
        <v>1</v>
      </c>
      <c r="BD111" s="721">
        <v>1</v>
      </c>
      <c r="BE111" s="721">
        <v>1</v>
      </c>
    </row>
    <row r="112" spans="3:57" ht="15" x14ac:dyDescent="0.2">
      <c r="C112" s="6" t="s">
        <v>80</v>
      </c>
      <c r="D112" s="721">
        <v>1</v>
      </c>
      <c r="E112" s="721">
        <v>1</v>
      </c>
      <c r="F112" s="721">
        <v>1</v>
      </c>
      <c r="G112" s="721">
        <v>1</v>
      </c>
      <c r="H112" s="721">
        <v>1</v>
      </c>
      <c r="I112" s="721">
        <v>1</v>
      </c>
      <c r="J112" s="721">
        <v>1</v>
      </c>
      <c r="K112" s="721">
        <v>1</v>
      </c>
      <c r="L112" s="721">
        <v>1</v>
      </c>
      <c r="M112" s="721">
        <v>1</v>
      </c>
      <c r="N112" s="721">
        <v>1</v>
      </c>
      <c r="O112" s="721">
        <v>1</v>
      </c>
      <c r="P112" s="721">
        <v>1</v>
      </c>
      <c r="Q112" s="721">
        <v>1</v>
      </c>
      <c r="R112" s="721">
        <v>1</v>
      </c>
      <c r="S112" s="721">
        <v>1</v>
      </c>
      <c r="T112" s="721">
        <v>1</v>
      </c>
      <c r="U112" s="721">
        <v>1</v>
      </c>
      <c r="V112" s="721">
        <v>1</v>
      </c>
      <c r="W112" s="721">
        <v>1</v>
      </c>
      <c r="X112" s="721">
        <v>1</v>
      </c>
      <c r="Y112" s="721">
        <v>1</v>
      </c>
      <c r="Z112" s="721">
        <v>1</v>
      </c>
      <c r="AA112" s="721">
        <v>1</v>
      </c>
      <c r="AB112" s="721">
        <v>1</v>
      </c>
      <c r="AC112" s="721">
        <v>1</v>
      </c>
      <c r="AD112" s="721">
        <v>1</v>
      </c>
      <c r="AE112" s="37">
        <f>'User Add-in Location'!B117</f>
        <v>0</v>
      </c>
      <c r="AF112" s="37">
        <f>'User Add-in Location'!C117</f>
        <v>0</v>
      </c>
      <c r="AG112" s="721">
        <v>1</v>
      </c>
      <c r="AH112" s="721">
        <v>1</v>
      </c>
      <c r="AI112" s="721">
        <v>1</v>
      </c>
      <c r="AJ112" s="721">
        <v>1</v>
      </c>
      <c r="AK112" s="721">
        <v>1</v>
      </c>
      <c r="AL112" s="721">
        <v>1</v>
      </c>
      <c r="AM112" s="721">
        <v>1</v>
      </c>
      <c r="AN112" s="721">
        <v>1</v>
      </c>
      <c r="AO112" s="721">
        <v>1</v>
      </c>
      <c r="AP112" s="721">
        <v>1</v>
      </c>
      <c r="AQ112" s="721">
        <v>1</v>
      </c>
      <c r="AR112" s="721">
        <v>1</v>
      </c>
      <c r="AS112" s="721">
        <v>1</v>
      </c>
      <c r="AT112" s="721">
        <v>1</v>
      </c>
      <c r="AU112" s="721">
        <v>1</v>
      </c>
      <c r="AV112" s="721">
        <v>1</v>
      </c>
      <c r="AW112" s="721">
        <v>1</v>
      </c>
      <c r="AX112" s="721">
        <v>1</v>
      </c>
      <c r="AY112" s="721">
        <v>1</v>
      </c>
      <c r="AZ112" s="721">
        <v>1</v>
      </c>
      <c r="BA112" s="721">
        <v>1</v>
      </c>
      <c r="BB112" s="721">
        <v>1</v>
      </c>
      <c r="BC112" s="721">
        <v>1</v>
      </c>
      <c r="BD112" s="721">
        <v>1</v>
      </c>
      <c r="BE112" s="721">
        <v>1</v>
      </c>
    </row>
    <row r="113" spans="3:57" ht="15" x14ac:dyDescent="0.2">
      <c r="C113" s="6" t="s">
        <v>81</v>
      </c>
      <c r="D113" s="721">
        <v>1</v>
      </c>
      <c r="E113" s="721">
        <v>1</v>
      </c>
      <c r="F113" s="721">
        <v>1</v>
      </c>
      <c r="G113" s="721">
        <v>1</v>
      </c>
      <c r="H113" s="721">
        <v>1</v>
      </c>
      <c r="I113" s="721">
        <v>1</v>
      </c>
      <c r="J113" s="721">
        <v>1</v>
      </c>
      <c r="K113" s="721">
        <v>1</v>
      </c>
      <c r="L113" s="721">
        <v>1</v>
      </c>
      <c r="M113" s="721">
        <v>1</v>
      </c>
      <c r="N113" s="721">
        <v>1</v>
      </c>
      <c r="O113" s="721">
        <v>1</v>
      </c>
      <c r="P113" s="721">
        <v>1</v>
      </c>
      <c r="Q113" s="721">
        <v>1</v>
      </c>
      <c r="R113" s="721">
        <v>1</v>
      </c>
      <c r="S113" s="721">
        <v>1</v>
      </c>
      <c r="T113" s="721">
        <v>1</v>
      </c>
      <c r="U113" s="721">
        <v>1</v>
      </c>
      <c r="V113" s="721">
        <v>1</v>
      </c>
      <c r="W113" s="721">
        <v>1</v>
      </c>
      <c r="X113" s="721">
        <v>1</v>
      </c>
      <c r="Y113" s="721">
        <v>1</v>
      </c>
      <c r="Z113" s="721">
        <v>1</v>
      </c>
      <c r="AA113" s="721">
        <v>1</v>
      </c>
      <c r="AB113" s="721">
        <v>1</v>
      </c>
      <c r="AC113" s="721">
        <v>1</v>
      </c>
      <c r="AD113" s="721">
        <v>1</v>
      </c>
      <c r="AE113" s="37">
        <f>'User Add-in Location'!B118</f>
        <v>0</v>
      </c>
      <c r="AF113" s="37">
        <f>'User Add-in Location'!C118</f>
        <v>0</v>
      </c>
      <c r="AG113" s="721">
        <v>1</v>
      </c>
      <c r="AH113" s="721">
        <v>1</v>
      </c>
      <c r="AI113" s="721">
        <v>1</v>
      </c>
      <c r="AJ113" s="721">
        <v>1</v>
      </c>
      <c r="AK113" s="721">
        <v>1</v>
      </c>
      <c r="AL113" s="721">
        <v>1</v>
      </c>
      <c r="AM113" s="721">
        <v>1</v>
      </c>
      <c r="AN113" s="721">
        <v>1</v>
      </c>
      <c r="AO113" s="721">
        <v>1</v>
      </c>
      <c r="AP113" s="721">
        <v>1</v>
      </c>
      <c r="AQ113" s="721">
        <v>1</v>
      </c>
      <c r="AR113" s="721">
        <v>1</v>
      </c>
      <c r="AS113" s="721">
        <v>1</v>
      </c>
      <c r="AT113" s="721">
        <v>1</v>
      </c>
      <c r="AU113" s="721">
        <v>1</v>
      </c>
      <c r="AV113" s="721">
        <v>1</v>
      </c>
      <c r="AW113" s="721">
        <v>1</v>
      </c>
      <c r="AX113" s="721">
        <v>1</v>
      </c>
      <c r="AY113" s="721">
        <v>1</v>
      </c>
      <c r="AZ113" s="721">
        <v>1</v>
      </c>
      <c r="BA113" s="721">
        <v>1</v>
      </c>
      <c r="BB113" s="721">
        <v>1</v>
      </c>
      <c r="BC113" s="721">
        <v>1</v>
      </c>
      <c r="BD113" s="721">
        <v>1</v>
      </c>
      <c r="BE113" s="721">
        <v>1</v>
      </c>
    </row>
    <row r="114" spans="3:57" ht="15" x14ac:dyDescent="0.2">
      <c r="C114" s="6" t="s">
        <v>82</v>
      </c>
      <c r="D114" s="721">
        <v>1</v>
      </c>
      <c r="E114" s="721">
        <v>1</v>
      </c>
      <c r="F114" s="721">
        <v>1</v>
      </c>
      <c r="G114" s="721">
        <v>1</v>
      </c>
      <c r="H114" s="721">
        <v>1</v>
      </c>
      <c r="I114" s="721">
        <v>1</v>
      </c>
      <c r="J114" s="721">
        <v>1</v>
      </c>
      <c r="K114" s="721">
        <v>1</v>
      </c>
      <c r="L114" s="721">
        <v>1</v>
      </c>
      <c r="M114" s="721">
        <v>1</v>
      </c>
      <c r="N114" s="721">
        <v>1</v>
      </c>
      <c r="O114" s="721">
        <v>1</v>
      </c>
      <c r="P114" s="721">
        <v>1</v>
      </c>
      <c r="Q114" s="721">
        <v>1</v>
      </c>
      <c r="R114" s="721">
        <v>1</v>
      </c>
      <c r="S114" s="721">
        <v>1</v>
      </c>
      <c r="T114" s="721">
        <v>1</v>
      </c>
      <c r="U114" s="721">
        <v>1</v>
      </c>
      <c r="V114" s="721">
        <v>1</v>
      </c>
      <c r="W114" s="721">
        <v>1</v>
      </c>
      <c r="X114" s="721">
        <v>1</v>
      </c>
      <c r="Y114" s="721">
        <v>1</v>
      </c>
      <c r="Z114" s="721">
        <v>1</v>
      </c>
      <c r="AA114" s="721">
        <v>1</v>
      </c>
      <c r="AB114" s="721">
        <v>1</v>
      </c>
      <c r="AC114" s="721">
        <v>1</v>
      </c>
      <c r="AD114" s="721">
        <v>1</v>
      </c>
      <c r="AE114" s="37">
        <f>'User Add-in Location'!B119</f>
        <v>0</v>
      </c>
      <c r="AF114" s="37">
        <f>'User Add-in Location'!C119</f>
        <v>0</v>
      </c>
      <c r="AG114" s="721">
        <v>1</v>
      </c>
      <c r="AH114" s="721">
        <v>1</v>
      </c>
      <c r="AI114" s="721">
        <v>1</v>
      </c>
      <c r="AJ114" s="721">
        <v>1</v>
      </c>
      <c r="AK114" s="721">
        <v>1</v>
      </c>
      <c r="AL114" s="721">
        <v>1</v>
      </c>
      <c r="AM114" s="721">
        <v>1</v>
      </c>
      <c r="AN114" s="721">
        <v>1</v>
      </c>
      <c r="AO114" s="721">
        <v>1</v>
      </c>
      <c r="AP114" s="721">
        <v>1</v>
      </c>
      <c r="AQ114" s="721">
        <v>1</v>
      </c>
      <c r="AR114" s="721">
        <v>1</v>
      </c>
      <c r="AS114" s="721">
        <v>1</v>
      </c>
      <c r="AT114" s="721">
        <v>1</v>
      </c>
      <c r="AU114" s="721">
        <v>1</v>
      </c>
      <c r="AV114" s="721">
        <v>1</v>
      </c>
      <c r="AW114" s="721">
        <v>1</v>
      </c>
      <c r="AX114" s="721">
        <v>1</v>
      </c>
      <c r="AY114" s="721">
        <v>1</v>
      </c>
      <c r="AZ114" s="721">
        <v>1</v>
      </c>
      <c r="BA114" s="721">
        <v>1</v>
      </c>
      <c r="BB114" s="721">
        <v>1</v>
      </c>
      <c r="BC114" s="721">
        <v>1</v>
      </c>
      <c r="BD114" s="721">
        <v>1</v>
      </c>
      <c r="BE114" s="721">
        <v>1</v>
      </c>
    </row>
    <row r="115" spans="3:57" ht="15" x14ac:dyDescent="0.2">
      <c r="C115" s="6" t="s">
        <v>9</v>
      </c>
      <c r="D115" s="721">
        <v>1</v>
      </c>
      <c r="E115" s="721">
        <v>1</v>
      </c>
      <c r="F115" s="721">
        <v>1</v>
      </c>
      <c r="G115" s="721">
        <v>1</v>
      </c>
      <c r="H115" s="721">
        <v>1</v>
      </c>
      <c r="I115" s="721">
        <v>1</v>
      </c>
      <c r="J115" s="721">
        <v>1</v>
      </c>
      <c r="K115" s="721">
        <v>1</v>
      </c>
      <c r="L115" s="721">
        <v>1</v>
      </c>
      <c r="M115" s="721">
        <v>1</v>
      </c>
      <c r="N115" s="721">
        <v>1</v>
      </c>
      <c r="O115" s="721">
        <v>1</v>
      </c>
      <c r="P115" s="721">
        <v>1</v>
      </c>
      <c r="Q115" s="721">
        <v>1</v>
      </c>
      <c r="R115" s="721">
        <v>1</v>
      </c>
      <c r="S115" s="721">
        <v>1</v>
      </c>
      <c r="T115" s="721">
        <v>1</v>
      </c>
      <c r="U115" s="721">
        <v>1</v>
      </c>
      <c r="V115" s="721">
        <v>1</v>
      </c>
      <c r="W115" s="721">
        <v>1</v>
      </c>
      <c r="X115" s="721">
        <v>1</v>
      </c>
      <c r="Y115" s="721">
        <v>1</v>
      </c>
      <c r="Z115" s="721">
        <v>1</v>
      </c>
      <c r="AA115" s="721">
        <v>1</v>
      </c>
      <c r="AB115" s="721">
        <v>1</v>
      </c>
      <c r="AC115" s="721">
        <v>1</v>
      </c>
      <c r="AD115" s="721">
        <v>1</v>
      </c>
      <c r="AE115" s="37">
        <f>'User Add-in Location'!B120</f>
        <v>0</v>
      </c>
      <c r="AF115" s="37">
        <f>'User Add-in Location'!C120</f>
        <v>0</v>
      </c>
      <c r="AG115" s="721">
        <v>1</v>
      </c>
      <c r="AH115" s="721">
        <v>1</v>
      </c>
      <c r="AI115" s="721">
        <v>1</v>
      </c>
      <c r="AJ115" s="721">
        <v>1</v>
      </c>
      <c r="AK115" s="721">
        <v>1</v>
      </c>
      <c r="AL115" s="721">
        <v>1</v>
      </c>
      <c r="AM115" s="721">
        <v>1</v>
      </c>
      <c r="AN115" s="721">
        <v>1</v>
      </c>
      <c r="AO115" s="721">
        <v>1</v>
      </c>
      <c r="AP115" s="721">
        <v>1</v>
      </c>
      <c r="AQ115" s="721">
        <v>1</v>
      </c>
      <c r="AR115" s="721">
        <v>1</v>
      </c>
      <c r="AS115" s="721">
        <v>1</v>
      </c>
      <c r="AT115" s="721">
        <v>1</v>
      </c>
      <c r="AU115" s="721">
        <v>1</v>
      </c>
      <c r="AV115" s="721">
        <v>1</v>
      </c>
      <c r="AW115" s="721">
        <v>1</v>
      </c>
      <c r="AX115" s="721">
        <v>1</v>
      </c>
      <c r="AY115" s="721">
        <v>1</v>
      </c>
      <c r="AZ115" s="721">
        <v>1</v>
      </c>
      <c r="BA115" s="721">
        <v>1</v>
      </c>
      <c r="BB115" s="721">
        <v>1</v>
      </c>
      <c r="BC115" s="721">
        <v>1</v>
      </c>
      <c r="BD115" s="721">
        <v>1</v>
      </c>
      <c r="BE115" s="721">
        <v>1</v>
      </c>
    </row>
    <row r="116" spans="3:57" ht="15" x14ac:dyDescent="0.2">
      <c r="C116" s="6" t="s">
        <v>10</v>
      </c>
      <c r="D116" s="721">
        <v>1</v>
      </c>
      <c r="E116" s="721">
        <v>1</v>
      </c>
      <c r="F116" s="721">
        <v>1</v>
      </c>
      <c r="G116" s="721">
        <v>1</v>
      </c>
      <c r="H116" s="721">
        <v>1</v>
      </c>
      <c r="I116" s="721">
        <v>1</v>
      </c>
      <c r="J116" s="721">
        <v>1</v>
      </c>
      <c r="K116" s="721">
        <v>1</v>
      </c>
      <c r="L116" s="721">
        <v>1</v>
      </c>
      <c r="M116" s="721">
        <v>1</v>
      </c>
      <c r="N116" s="721">
        <v>1</v>
      </c>
      <c r="O116" s="721">
        <v>1</v>
      </c>
      <c r="P116" s="721">
        <v>1</v>
      </c>
      <c r="Q116" s="721">
        <v>1</v>
      </c>
      <c r="R116" s="721">
        <v>1</v>
      </c>
      <c r="S116" s="721">
        <v>1</v>
      </c>
      <c r="T116" s="721">
        <v>1</v>
      </c>
      <c r="U116" s="721">
        <v>1</v>
      </c>
      <c r="V116" s="721">
        <v>1</v>
      </c>
      <c r="W116" s="721">
        <v>1</v>
      </c>
      <c r="X116" s="721">
        <v>1</v>
      </c>
      <c r="Y116" s="721">
        <v>1</v>
      </c>
      <c r="Z116" s="721">
        <v>1</v>
      </c>
      <c r="AA116" s="721">
        <v>1</v>
      </c>
      <c r="AB116" s="721">
        <v>1</v>
      </c>
      <c r="AC116" s="721">
        <v>1</v>
      </c>
      <c r="AD116" s="721">
        <v>1</v>
      </c>
      <c r="AE116" s="37">
        <f>'User Add-in Location'!B121</f>
        <v>0</v>
      </c>
      <c r="AF116" s="37">
        <f>'User Add-in Location'!C121</f>
        <v>0</v>
      </c>
      <c r="AG116" s="721">
        <v>1</v>
      </c>
      <c r="AH116" s="721">
        <v>1</v>
      </c>
      <c r="AI116" s="721">
        <v>1</v>
      </c>
      <c r="AJ116" s="721">
        <v>1</v>
      </c>
      <c r="AK116" s="721">
        <v>1</v>
      </c>
      <c r="AL116" s="721">
        <v>1</v>
      </c>
      <c r="AM116" s="721">
        <v>1</v>
      </c>
      <c r="AN116" s="721">
        <v>1</v>
      </c>
      <c r="AO116" s="721">
        <v>1</v>
      </c>
      <c r="AP116" s="721">
        <v>1</v>
      </c>
      <c r="AQ116" s="721">
        <v>1</v>
      </c>
      <c r="AR116" s="721">
        <v>1</v>
      </c>
      <c r="AS116" s="721">
        <v>1</v>
      </c>
      <c r="AT116" s="721">
        <v>1</v>
      </c>
      <c r="AU116" s="721">
        <v>1</v>
      </c>
      <c r="AV116" s="721">
        <v>1</v>
      </c>
      <c r="AW116" s="721">
        <v>1</v>
      </c>
      <c r="AX116" s="721">
        <v>1</v>
      </c>
      <c r="AY116" s="721">
        <v>1</v>
      </c>
      <c r="AZ116" s="721">
        <v>1</v>
      </c>
      <c r="BA116" s="721">
        <v>1</v>
      </c>
      <c r="BB116" s="721">
        <v>1</v>
      </c>
      <c r="BC116" s="721">
        <v>1</v>
      </c>
      <c r="BD116" s="721">
        <v>1</v>
      </c>
      <c r="BE116" s="721">
        <v>1</v>
      </c>
    </row>
    <row r="117" spans="3:57" ht="15" x14ac:dyDescent="0.2">
      <c r="C117" s="6" t="s">
        <v>83</v>
      </c>
      <c r="D117" s="721">
        <v>1</v>
      </c>
      <c r="E117" s="721">
        <v>1</v>
      </c>
      <c r="F117" s="721">
        <v>1</v>
      </c>
      <c r="G117" s="721">
        <v>1</v>
      </c>
      <c r="H117" s="721">
        <v>1</v>
      </c>
      <c r="I117" s="721">
        <v>1</v>
      </c>
      <c r="J117" s="721">
        <v>1</v>
      </c>
      <c r="K117" s="721">
        <v>1</v>
      </c>
      <c r="L117" s="721">
        <v>1</v>
      </c>
      <c r="M117" s="721">
        <v>1</v>
      </c>
      <c r="N117" s="721">
        <v>1</v>
      </c>
      <c r="O117" s="721">
        <v>1</v>
      </c>
      <c r="P117" s="721">
        <v>1</v>
      </c>
      <c r="Q117" s="721">
        <v>1</v>
      </c>
      <c r="R117" s="721">
        <v>1</v>
      </c>
      <c r="S117" s="721">
        <v>1</v>
      </c>
      <c r="T117" s="721">
        <v>1</v>
      </c>
      <c r="U117" s="721">
        <v>1</v>
      </c>
      <c r="V117" s="721">
        <v>1</v>
      </c>
      <c r="W117" s="721">
        <v>1</v>
      </c>
      <c r="X117" s="721">
        <v>1</v>
      </c>
      <c r="Y117" s="721">
        <v>1</v>
      </c>
      <c r="Z117" s="721">
        <v>1</v>
      </c>
      <c r="AA117" s="721">
        <v>1</v>
      </c>
      <c r="AB117" s="721">
        <v>1</v>
      </c>
      <c r="AC117" s="721">
        <v>1</v>
      </c>
      <c r="AD117" s="721">
        <v>1</v>
      </c>
      <c r="AE117" s="37">
        <f>'User Add-in Location'!B122</f>
        <v>0</v>
      </c>
      <c r="AF117" s="37">
        <f>'User Add-in Location'!C122</f>
        <v>0</v>
      </c>
      <c r="AG117" s="721">
        <v>1</v>
      </c>
      <c r="AH117" s="721">
        <v>1</v>
      </c>
      <c r="AI117" s="721">
        <v>1</v>
      </c>
      <c r="AJ117" s="721">
        <v>1</v>
      </c>
      <c r="AK117" s="721">
        <v>1</v>
      </c>
      <c r="AL117" s="721">
        <v>1</v>
      </c>
      <c r="AM117" s="721">
        <v>1</v>
      </c>
      <c r="AN117" s="721">
        <v>1</v>
      </c>
      <c r="AO117" s="721">
        <v>1</v>
      </c>
      <c r="AP117" s="721">
        <v>1</v>
      </c>
      <c r="AQ117" s="721">
        <v>1</v>
      </c>
      <c r="AR117" s="721">
        <v>1</v>
      </c>
      <c r="AS117" s="721">
        <v>1</v>
      </c>
      <c r="AT117" s="721">
        <v>1</v>
      </c>
      <c r="AU117" s="721">
        <v>1</v>
      </c>
      <c r="AV117" s="721">
        <v>1</v>
      </c>
      <c r="AW117" s="721">
        <v>1</v>
      </c>
      <c r="AX117" s="721">
        <v>1</v>
      </c>
      <c r="AY117" s="721">
        <v>1</v>
      </c>
      <c r="AZ117" s="721">
        <v>1</v>
      </c>
      <c r="BA117" s="721">
        <v>1</v>
      </c>
      <c r="BB117" s="721">
        <v>1</v>
      </c>
      <c r="BC117" s="721">
        <v>1</v>
      </c>
      <c r="BD117" s="721">
        <v>1</v>
      </c>
      <c r="BE117" s="721">
        <v>1</v>
      </c>
    </row>
    <row r="118" spans="3:57" ht="15" x14ac:dyDescent="0.2">
      <c r="C118" s="6" t="s">
        <v>84</v>
      </c>
      <c r="D118" s="721">
        <v>1</v>
      </c>
      <c r="E118" s="721">
        <v>1</v>
      </c>
      <c r="F118" s="721">
        <v>1</v>
      </c>
      <c r="G118" s="721">
        <v>1</v>
      </c>
      <c r="H118" s="721">
        <v>1</v>
      </c>
      <c r="I118" s="721">
        <v>1</v>
      </c>
      <c r="J118" s="721">
        <v>1</v>
      </c>
      <c r="K118" s="721">
        <v>1</v>
      </c>
      <c r="L118" s="721">
        <v>1</v>
      </c>
      <c r="M118" s="721">
        <v>1</v>
      </c>
      <c r="N118" s="721">
        <v>1</v>
      </c>
      <c r="O118" s="721">
        <v>1</v>
      </c>
      <c r="P118" s="721">
        <v>1</v>
      </c>
      <c r="Q118" s="721">
        <v>1</v>
      </c>
      <c r="R118" s="721">
        <v>1</v>
      </c>
      <c r="S118" s="721">
        <v>1</v>
      </c>
      <c r="T118" s="721">
        <v>1</v>
      </c>
      <c r="U118" s="721">
        <v>1</v>
      </c>
      <c r="V118" s="721">
        <v>1</v>
      </c>
      <c r="W118" s="721">
        <v>1</v>
      </c>
      <c r="X118" s="721">
        <v>1</v>
      </c>
      <c r="Y118" s="721">
        <v>1</v>
      </c>
      <c r="Z118" s="721">
        <v>1</v>
      </c>
      <c r="AA118" s="721">
        <v>1</v>
      </c>
      <c r="AB118" s="721">
        <v>1</v>
      </c>
      <c r="AC118" s="721">
        <v>1</v>
      </c>
      <c r="AD118" s="721">
        <v>1</v>
      </c>
      <c r="AE118" s="37">
        <f>'User Add-in Location'!B123</f>
        <v>0</v>
      </c>
      <c r="AF118" s="37">
        <f>'User Add-in Location'!C123</f>
        <v>0</v>
      </c>
      <c r="AG118" s="721">
        <v>1</v>
      </c>
      <c r="AH118" s="721">
        <v>1</v>
      </c>
      <c r="AI118" s="721">
        <v>1</v>
      </c>
      <c r="AJ118" s="721">
        <v>1</v>
      </c>
      <c r="AK118" s="721">
        <v>1</v>
      </c>
      <c r="AL118" s="721">
        <v>1</v>
      </c>
      <c r="AM118" s="721">
        <v>1</v>
      </c>
      <c r="AN118" s="721">
        <v>1</v>
      </c>
      <c r="AO118" s="721">
        <v>1</v>
      </c>
      <c r="AP118" s="721">
        <v>1</v>
      </c>
      <c r="AQ118" s="721">
        <v>1</v>
      </c>
      <c r="AR118" s="721">
        <v>1</v>
      </c>
      <c r="AS118" s="721">
        <v>1</v>
      </c>
      <c r="AT118" s="721">
        <v>1</v>
      </c>
      <c r="AU118" s="721">
        <v>1</v>
      </c>
      <c r="AV118" s="721">
        <v>1</v>
      </c>
      <c r="AW118" s="721">
        <v>1</v>
      </c>
      <c r="AX118" s="721">
        <v>1</v>
      </c>
      <c r="AY118" s="721">
        <v>1</v>
      </c>
      <c r="AZ118" s="721">
        <v>1</v>
      </c>
      <c r="BA118" s="721">
        <v>1</v>
      </c>
      <c r="BB118" s="721">
        <v>1</v>
      </c>
      <c r="BC118" s="721">
        <v>1</v>
      </c>
      <c r="BD118" s="721">
        <v>1</v>
      </c>
      <c r="BE118" s="721">
        <v>1</v>
      </c>
    </row>
    <row r="119" spans="3:57" ht="15" x14ac:dyDescent="0.2">
      <c r="C119" s="6" t="s">
        <v>85</v>
      </c>
      <c r="D119" s="721">
        <v>1</v>
      </c>
      <c r="E119" s="721">
        <v>1</v>
      </c>
      <c r="F119" s="721">
        <v>1</v>
      </c>
      <c r="G119" s="721">
        <v>1</v>
      </c>
      <c r="H119" s="721">
        <v>1</v>
      </c>
      <c r="I119" s="721">
        <v>1</v>
      </c>
      <c r="J119" s="721">
        <v>1</v>
      </c>
      <c r="K119" s="721">
        <v>1</v>
      </c>
      <c r="L119" s="721">
        <v>1</v>
      </c>
      <c r="M119" s="721">
        <v>1</v>
      </c>
      <c r="N119" s="721">
        <v>1</v>
      </c>
      <c r="O119" s="721">
        <v>1</v>
      </c>
      <c r="P119" s="721">
        <v>1</v>
      </c>
      <c r="Q119" s="721">
        <v>1</v>
      </c>
      <c r="R119" s="721">
        <v>1</v>
      </c>
      <c r="S119" s="721">
        <v>1</v>
      </c>
      <c r="T119" s="721">
        <v>1</v>
      </c>
      <c r="U119" s="721">
        <v>1</v>
      </c>
      <c r="V119" s="721">
        <v>1</v>
      </c>
      <c r="W119" s="721">
        <v>1</v>
      </c>
      <c r="X119" s="721">
        <v>1</v>
      </c>
      <c r="Y119" s="721">
        <v>1</v>
      </c>
      <c r="Z119" s="721">
        <v>1</v>
      </c>
      <c r="AA119" s="721">
        <v>1</v>
      </c>
      <c r="AB119" s="721">
        <v>1</v>
      </c>
      <c r="AC119" s="721">
        <v>1</v>
      </c>
      <c r="AD119" s="721">
        <v>1</v>
      </c>
      <c r="AE119" s="37">
        <f>'User Add-in Location'!B124</f>
        <v>0</v>
      </c>
      <c r="AF119" s="37">
        <f>'User Add-in Location'!C124</f>
        <v>0</v>
      </c>
      <c r="AG119" s="721">
        <v>1</v>
      </c>
      <c r="AH119" s="721">
        <v>1</v>
      </c>
      <c r="AI119" s="721">
        <v>1</v>
      </c>
      <c r="AJ119" s="721">
        <v>1</v>
      </c>
      <c r="AK119" s="721">
        <v>1</v>
      </c>
      <c r="AL119" s="721">
        <v>1</v>
      </c>
      <c r="AM119" s="721">
        <v>1</v>
      </c>
      <c r="AN119" s="721">
        <v>1</v>
      </c>
      <c r="AO119" s="721">
        <v>1</v>
      </c>
      <c r="AP119" s="721">
        <v>1</v>
      </c>
      <c r="AQ119" s="721">
        <v>1</v>
      </c>
      <c r="AR119" s="721">
        <v>1</v>
      </c>
      <c r="AS119" s="721">
        <v>1</v>
      </c>
      <c r="AT119" s="721">
        <v>1</v>
      </c>
      <c r="AU119" s="721">
        <v>1</v>
      </c>
      <c r="AV119" s="721">
        <v>1</v>
      </c>
      <c r="AW119" s="721">
        <v>1</v>
      </c>
      <c r="AX119" s="721">
        <v>1</v>
      </c>
      <c r="AY119" s="721">
        <v>1</v>
      </c>
      <c r="AZ119" s="721">
        <v>1</v>
      </c>
      <c r="BA119" s="721">
        <v>1</v>
      </c>
      <c r="BB119" s="721">
        <v>1</v>
      </c>
      <c r="BC119" s="721">
        <v>1</v>
      </c>
      <c r="BD119" s="721">
        <v>1</v>
      </c>
      <c r="BE119" s="721">
        <v>1</v>
      </c>
    </row>
    <row r="120" spans="3:57" ht="15" x14ac:dyDescent="0.2">
      <c r="C120" s="6" t="s">
        <v>11</v>
      </c>
      <c r="D120" s="721">
        <v>1</v>
      </c>
      <c r="E120" s="721">
        <v>1</v>
      </c>
      <c r="F120" s="721">
        <v>1</v>
      </c>
      <c r="G120" s="721">
        <v>1</v>
      </c>
      <c r="H120" s="721">
        <v>1</v>
      </c>
      <c r="I120" s="721">
        <v>1</v>
      </c>
      <c r="J120" s="721">
        <v>1</v>
      </c>
      <c r="K120" s="721">
        <v>1</v>
      </c>
      <c r="L120" s="721">
        <v>1</v>
      </c>
      <c r="M120" s="721">
        <v>1</v>
      </c>
      <c r="N120" s="721">
        <v>1</v>
      </c>
      <c r="O120" s="721">
        <v>1</v>
      </c>
      <c r="P120" s="721">
        <v>1</v>
      </c>
      <c r="Q120" s="721">
        <v>1</v>
      </c>
      <c r="R120" s="721">
        <v>1</v>
      </c>
      <c r="S120" s="721">
        <v>1</v>
      </c>
      <c r="T120" s="721">
        <v>1</v>
      </c>
      <c r="U120" s="721">
        <v>1</v>
      </c>
      <c r="V120" s="721">
        <v>1</v>
      </c>
      <c r="W120" s="721">
        <v>1</v>
      </c>
      <c r="X120" s="721">
        <v>1</v>
      </c>
      <c r="Y120" s="721">
        <v>1</v>
      </c>
      <c r="Z120" s="721">
        <v>1</v>
      </c>
      <c r="AA120" s="721">
        <v>1</v>
      </c>
      <c r="AB120" s="721">
        <v>1</v>
      </c>
      <c r="AC120" s="721">
        <v>1</v>
      </c>
      <c r="AD120" s="721">
        <v>1</v>
      </c>
      <c r="AE120" s="37">
        <f>'User Add-in Location'!B125</f>
        <v>0</v>
      </c>
      <c r="AF120" s="37">
        <f>'User Add-in Location'!C125</f>
        <v>0</v>
      </c>
      <c r="AG120" s="721">
        <v>1</v>
      </c>
      <c r="AH120" s="721">
        <v>1</v>
      </c>
      <c r="AI120" s="721">
        <v>1</v>
      </c>
      <c r="AJ120" s="721">
        <v>1</v>
      </c>
      <c r="AK120" s="721">
        <v>1</v>
      </c>
      <c r="AL120" s="721">
        <v>1</v>
      </c>
      <c r="AM120" s="721">
        <v>1</v>
      </c>
      <c r="AN120" s="721">
        <v>1</v>
      </c>
      <c r="AO120" s="721">
        <v>1</v>
      </c>
      <c r="AP120" s="721">
        <v>1</v>
      </c>
      <c r="AQ120" s="721">
        <v>1</v>
      </c>
      <c r="AR120" s="721">
        <v>1</v>
      </c>
      <c r="AS120" s="721">
        <v>1</v>
      </c>
      <c r="AT120" s="721">
        <v>1</v>
      </c>
      <c r="AU120" s="721">
        <v>1</v>
      </c>
      <c r="AV120" s="721">
        <v>1</v>
      </c>
      <c r="AW120" s="721">
        <v>1</v>
      </c>
      <c r="AX120" s="721">
        <v>1</v>
      </c>
      <c r="AY120" s="721">
        <v>1</v>
      </c>
      <c r="AZ120" s="721">
        <v>1</v>
      </c>
      <c r="BA120" s="721">
        <v>1</v>
      </c>
      <c r="BB120" s="721">
        <v>1</v>
      </c>
      <c r="BC120" s="721">
        <v>1</v>
      </c>
      <c r="BD120" s="721">
        <v>1</v>
      </c>
      <c r="BE120" s="721">
        <v>1</v>
      </c>
    </row>
    <row r="121" spans="3:57" ht="15" x14ac:dyDescent="0.2">
      <c r="C121" s="6"/>
      <c r="D121" s="721"/>
      <c r="E121" s="721"/>
      <c r="F121" s="721"/>
      <c r="G121" s="721"/>
      <c r="H121" s="721"/>
      <c r="I121" s="721"/>
      <c r="J121" s="721"/>
      <c r="K121" s="721"/>
      <c r="L121" s="721"/>
      <c r="M121" s="721"/>
      <c r="N121" s="721"/>
      <c r="O121" s="721"/>
      <c r="P121" s="721"/>
      <c r="Q121" s="721"/>
      <c r="R121" s="721"/>
      <c r="S121" s="721"/>
      <c r="T121" s="721"/>
      <c r="U121" s="721"/>
      <c r="V121" s="721"/>
      <c r="W121" s="721"/>
      <c r="X121" s="721"/>
      <c r="Y121" s="721"/>
      <c r="Z121" s="721"/>
      <c r="AA121" s="721"/>
      <c r="AB121" s="721"/>
      <c r="AC121" s="721"/>
      <c r="AD121" s="721"/>
      <c r="AE121" s="37"/>
      <c r="AF121" s="37"/>
      <c r="AG121" s="721"/>
      <c r="AH121" s="721"/>
      <c r="AI121" s="721"/>
      <c r="AJ121" s="721"/>
      <c r="AK121" s="721"/>
      <c r="AL121" s="721"/>
      <c r="AM121" s="721"/>
      <c r="AN121" s="721"/>
      <c r="AO121" s="721"/>
      <c r="AP121" s="721"/>
      <c r="AQ121" s="721"/>
      <c r="AR121" s="721"/>
      <c r="AS121" s="721"/>
      <c r="AT121" s="721"/>
      <c r="AU121" s="721"/>
      <c r="AV121" s="721"/>
      <c r="AW121" s="721"/>
      <c r="AX121" s="721"/>
      <c r="AY121" s="721"/>
      <c r="AZ121" s="721"/>
      <c r="BA121" s="721"/>
      <c r="BB121" s="721"/>
      <c r="BC121" s="721"/>
      <c r="BD121" s="721"/>
      <c r="BE121" s="721"/>
    </row>
    <row r="122" spans="3:57" ht="15.75" customHeight="1" x14ac:dyDescent="0.2">
      <c r="C122" s="109" t="s">
        <v>125</v>
      </c>
      <c r="D122" s="721"/>
      <c r="E122" s="721"/>
      <c r="F122" s="721"/>
      <c r="G122" s="721"/>
      <c r="H122" s="721"/>
      <c r="I122" s="721"/>
      <c r="J122" s="721"/>
      <c r="K122" s="721"/>
      <c r="L122" s="721"/>
      <c r="M122" s="721"/>
      <c r="N122" s="721"/>
      <c r="O122" s="721"/>
      <c r="P122" s="721"/>
      <c r="Q122" s="721"/>
      <c r="R122" s="721"/>
      <c r="S122" s="721"/>
      <c r="T122" s="721"/>
      <c r="U122" s="721"/>
      <c r="V122" s="721"/>
      <c r="W122" s="721"/>
      <c r="X122" s="721"/>
      <c r="Y122" s="721"/>
      <c r="Z122" s="721"/>
      <c r="AA122" s="721"/>
      <c r="AB122" s="721"/>
      <c r="AC122" s="721"/>
      <c r="AD122" s="721"/>
      <c r="AE122" s="37"/>
      <c r="AF122" s="37"/>
      <c r="AG122" s="721"/>
      <c r="AH122" s="721"/>
      <c r="AI122" s="721"/>
      <c r="AJ122" s="721"/>
      <c r="AK122" s="721"/>
      <c r="AL122" s="721"/>
      <c r="AM122" s="721"/>
      <c r="AN122" s="721"/>
      <c r="AO122" s="721"/>
      <c r="AP122" s="721"/>
      <c r="AQ122" s="721"/>
      <c r="AR122" s="721"/>
      <c r="AS122" s="721"/>
      <c r="AT122" s="721"/>
      <c r="AU122" s="721"/>
      <c r="AV122" s="721"/>
      <c r="AW122" s="721"/>
      <c r="AX122" s="721"/>
      <c r="AY122" s="721"/>
      <c r="AZ122" s="721"/>
      <c r="BA122" s="721"/>
      <c r="BB122" s="721"/>
      <c r="BC122" s="721"/>
      <c r="BD122" s="721"/>
      <c r="BE122" s="721"/>
    </row>
    <row r="123" spans="3:57" ht="14.25" customHeight="1" x14ac:dyDescent="0.2">
      <c r="C123" s="110" t="s">
        <v>133</v>
      </c>
      <c r="D123" s="721" t="s">
        <v>13</v>
      </c>
      <c r="E123" s="721" t="s">
        <v>14</v>
      </c>
      <c r="F123" s="721" t="s">
        <v>15</v>
      </c>
      <c r="G123" s="721" t="s">
        <v>16</v>
      </c>
      <c r="H123" s="721" t="s">
        <v>17</v>
      </c>
      <c r="I123" s="721" t="s">
        <v>18</v>
      </c>
      <c r="J123" s="721" t="s">
        <v>19</v>
      </c>
      <c r="K123" s="721" t="s">
        <v>20</v>
      </c>
      <c r="L123" s="721" t="s">
        <v>21</v>
      </c>
      <c r="M123" s="721" t="s">
        <v>22</v>
      </c>
      <c r="N123" s="721" t="s">
        <v>23</v>
      </c>
      <c r="O123" s="721" t="s">
        <v>24</v>
      </c>
      <c r="P123" s="721" t="s">
        <v>25</v>
      </c>
      <c r="Q123" s="721" t="s">
        <v>26</v>
      </c>
      <c r="R123" s="721" t="s">
        <v>27</v>
      </c>
      <c r="S123" s="721" t="s">
        <v>28</v>
      </c>
      <c r="T123" s="721" t="s">
        <v>29</v>
      </c>
      <c r="U123" s="721" t="s">
        <v>30</v>
      </c>
      <c r="V123" s="721" t="s">
        <v>31</v>
      </c>
      <c r="W123" s="721" t="s">
        <v>32</v>
      </c>
      <c r="X123" s="721" t="s">
        <v>33</v>
      </c>
      <c r="Y123" s="721" t="s">
        <v>34</v>
      </c>
      <c r="Z123" s="721" t="s">
        <v>35</v>
      </c>
      <c r="AA123" s="721" t="s">
        <v>36</v>
      </c>
      <c r="AB123" s="721" t="s">
        <v>37</v>
      </c>
      <c r="AC123" s="721" t="s">
        <v>38</v>
      </c>
      <c r="AD123" s="721" t="s">
        <v>39</v>
      </c>
      <c r="AE123" s="37" t="s">
        <v>151</v>
      </c>
      <c r="AF123" s="37" t="s">
        <v>150</v>
      </c>
      <c r="AG123" s="721" t="s">
        <v>40</v>
      </c>
      <c r="AH123" s="721" t="s">
        <v>41</v>
      </c>
      <c r="AI123" s="721" t="s">
        <v>42</v>
      </c>
      <c r="AJ123" s="721" t="s">
        <v>43</v>
      </c>
      <c r="AK123" s="721" t="s">
        <v>44</v>
      </c>
      <c r="AL123" s="721" t="s">
        <v>45</v>
      </c>
      <c r="AM123" s="721" t="s">
        <v>46</v>
      </c>
      <c r="AN123" s="721" t="s">
        <v>47</v>
      </c>
      <c r="AO123" s="721" t="s">
        <v>48</v>
      </c>
      <c r="AP123" s="721" t="s">
        <v>49</v>
      </c>
      <c r="AQ123" s="721" t="s">
        <v>50</v>
      </c>
      <c r="AR123" s="721" t="s">
        <v>51</v>
      </c>
      <c r="AS123" s="721" t="s">
        <v>52</v>
      </c>
      <c r="AT123" s="721" t="s">
        <v>53</v>
      </c>
      <c r="AU123" s="721" t="s">
        <v>54</v>
      </c>
      <c r="AV123" s="721" t="s">
        <v>55</v>
      </c>
      <c r="AW123" s="721" t="s">
        <v>56</v>
      </c>
      <c r="AX123" s="721" t="s">
        <v>489</v>
      </c>
      <c r="AY123" s="721" t="s">
        <v>57</v>
      </c>
      <c r="AZ123" s="721" t="s">
        <v>58</v>
      </c>
      <c r="BA123" s="721" t="s">
        <v>59</v>
      </c>
      <c r="BB123" s="721" t="s">
        <v>60</v>
      </c>
      <c r="BC123" s="721" t="s">
        <v>61</v>
      </c>
      <c r="BD123" s="721" t="s">
        <v>62</v>
      </c>
      <c r="BE123" s="721" t="s">
        <v>12</v>
      </c>
    </row>
    <row r="124" spans="3:57" ht="15" x14ac:dyDescent="0.2">
      <c r="C124" s="6" t="s">
        <v>7</v>
      </c>
      <c r="D124" s="721">
        <v>0.26157271862030029</v>
      </c>
      <c r="E124" s="721">
        <v>0.10876667499542236</v>
      </c>
      <c r="F124" s="721">
        <v>0.21263396739959717</v>
      </c>
      <c r="G124" s="721">
        <v>0.40233433246612549</v>
      </c>
      <c r="H124" s="721">
        <v>0.18266880512237549</v>
      </c>
      <c r="I124" s="721">
        <v>0.43537545204162598</v>
      </c>
      <c r="J124" s="721">
        <v>0.10988247394561768</v>
      </c>
      <c r="K124" s="721">
        <v>0.31075286865234375</v>
      </c>
      <c r="L124" s="721">
        <v>0.13212990760803223</v>
      </c>
      <c r="M124" s="721">
        <v>0.15501177310943604</v>
      </c>
      <c r="N124" s="721">
        <v>0.29092717170715332</v>
      </c>
      <c r="O124" s="721">
        <v>0.13808989524841309</v>
      </c>
      <c r="P124" s="721">
        <v>0.36452841758728027</v>
      </c>
      <c r="Q124" s="721">
        <v>0.30969762802124023</v>
      </c>
      <c r="R124" s="721">
        <v>0.21295523643493652</v>
      </c>
      <c r="S124" s="721">
        <v>0.35397875308990479</v>
      </c>
      <c r="T124" s="721">
        <v>0.46925270557403564</v>
      </c>
      <c r="U124" s="721">
        <v>0.19515490531921387</v>
      </c>
      <c r="V124" s="721">
        <v>0.16306221485137939</v>
      </c>
      <c r="W124" s="721">
        <v>0.19720542430877686</v>
      </c>
      <c r="X124" s="721">
        <v>0.18589794635772705</v>
      </c>
      <c r="Y124" s="721">
        <v>9.7021937370300293E-2</v>
      </c>
      <c r="Z124" s="721">
        <v>0.21246445178985596</v>
      </c>
      <c r="AA124" s="721">
        <v>0.36046338081359863</v>
      </c>
      <c r="AB124" s="721">
        <v>0.26462638378143311</v>
      </c>
      <c r="AC124" s="721">
        <v>0.26113200187683105</v>
      </c>
      <c r="AD124" s="721">
        <v>0.36063647270202637</v>
      </c>
      <c r="AE124" s="37">
        <f>'User Add-in Location'!B129</f>
        <v>0</v>
      </c>
      <c r="AF124" s="37">
        <f>'User Add-in Location'!C129</f>
        <v>0</v>
      </c>
      <c r="AG124" s="721">
        <v>0.46627557277679443</v>
      </c>
      <c r="AH124" s="721">
        <v>9.9615693092346191E-2</v>
      </c>
      <c r="AI124" s="721">
        <v>0.14453685283660889</v>
      </c>
      <c r="AJ124" s="721">
        <v>9.6693277359008789E-2</v>
      </c>
      <c r="AK124" s="721">
        <v>0.25976324081420898</v>
      </c>
      <c r="AL124" s="721">
        <v>0.20423352718353271</v>
      </c>
      <c r="AM124" s="721">
        <v>0.23688197135925293</v>
      </c>
      <c r="AN124" s="721">
        <v>0.32466840744018555</v>
      </c>
      <c r="AO124" s="721">
        <v>0.2362443208694458</v>
      </c>
      <c r="AP124" s="721">
        <v>0.27843630313873291</v>
      </c>
      <c r="AQ124" s="721">
        <v>0.22565579414367676</v>
      </c>
      <c r="AR124" s="721">
        <v>0.23627805709838867</v>
      </c>
      <c r="AS124" s="721">
        <v>9.8947048187255859E-2</v>
      </c>
      <c r="AT124" s="721">
        <v>0.17169868946075439</v>
      </c>
      <c r="AU124" s="721">
        <v>0.42417252063751221</v>
      </c>
      <c r="AV124" s="721">
        <v>0.20046448707580566</v>
      </c>
      <c r="AW124" s="721">
        <v>0.33491361141204834</v>
      </c>
      <c r="AX124" s="721">
        <v>0.63790655136108398</v>
      </c>
      <c r="AY124" s="721">
        <v>0.24776935577392578</v>
      </c>
      <c r="AZ124" s="721">
        <v>0.30969727039337158</v>
      </c>
      <c r="BA124" s="721">
        <v>0.20997607707977295</v>
      </c>
      <c r="BB124" s="721">
        <v>0.17596614360809326</v>
      </c>
      <c r="BC124" s="721">
        <v>0.15225315093994141</v>
      </c>
      <c r="BD124" s="721">
        <v>0.38006722927093506</v>
      </c>
      <c r="BE124" s="721">
        <v>0.19798374176025391</v>
      </c>
    </row>
    <row r="125" spans="3:57" ht="15" x14ac:dyDescent="0.2">
      <c r="C125" s="6" t="s">
        <v>77</v>
      </c>
      <c r="D125" s="721">
        <v>0.24988961219787598</v>
      </c>
      <c r="E125" s="721">
        <v>0.12598335742950439</v>
      </c>
      <c r="F125" s="721">
        <v>0.32482612133026123</v>
      </c>
      <c r="G125" s="721">
        <v>0.28941166400909424</v>
      </c>
      <c r="H125" s="721">
        <v>0.24997413158416748</v>
      </c>
      <c r="I125" s="721">
        <v>0.31567716598510742</v>
      </c>
      <c r="J125" s="721">
        <v>0.31345880031585693</v>
      </c>
      <c r="K125" s="721">
        <v>0.28373849391937256</v>
      </c>
      <c r="L125" s="721">
        <v>0.24335992336273193</v>
      </c>
      <c r="M125" s="721">
        <v>0.47727441787719727</v>
      </c>
      <c r="N125" s="721">
        <v>0.29525887966156006</v>
      </c>
      <c r="O125" s="721">
        <v>0.31390416622161865</v>
      </c>
      <c r="P125" s="721">
        <v>0.3093874454498291</v>
      </c>
      <c r="Q125" s="721">
        <v>0.35704004764556885</v>
      </c>
      <c r="R125" s="721">
        <v>0.30276119709014893</v>
      </c>
      <c r="S125" s="721">
        <v>0.2687833309173584</v>
      </c>
      <c r="T125" s="721">
        <v>0.52029287815093994</v>
      </c>
      <c r="U125" s="721">
        <v>0.28278148174285889</v>
      </c>
      <c r="V125" s="721">
        <v>0.24060678482055664</v>
      </c>
      <c r="W125" s="721">
        <v>0.42488527297973633</v>
      </c>
      <c r="X125" s="721">
        <v>0.39102184772491455</v>
      </c>
      <c r="Y125" s="721">
        <v>0.41548383235931396</v>
      </c>
      <c r="Z125" s="721">
        <v>0.4090193510055542</v>
      </c>
      <c r="AA125" s="721">
        <v>0.29601788520812988</v>
      </c>
      <c r="AB125" s="721">
        <v>0.28491306304931641</v>
      </c>
      <c r="AC125" s="721">
        <v>0.32036685943603516</v>
      </c>
      <c r="AD125" s="721">
        <v>0.36254918575286865</v>
      </c>
      <c r="AE125" s="37">
        <f>'User Add-in Location'!B130</f>
        <v>0</v>
      </c>
      <c r="AF125" s="37">
        <f>'User Add-in Location'!C130</f>
        <v>0</v>
      </c>
      <c r="AG125" s="721">
        <v>0.2833627462387085</v>
      </c>
      <c r="AH125" s="721">
        <v>0.19620883464813232</v>
      </c>
      <c r="AI125" s="721">
        <v>0.30438148975372314</v>
      </c>
      <c r="AJ125" s="721">
        <v>0.35963523387908936</v>
      </c>
      <c r="AK125" s="721">
        <v>0.3321077823638916</v>
      </c>
      <c r="AL125" s="721">
        <v>0.37904763221740723</v>
      </c>
      <c r="AM125" s="721">
        <v>0.27946710586547852</v>
      </c>
      <c r="AN125" s="721">
        <v>0.22910046577453613</v>
      </c>
      <c r="AO125" s="721">
        <v>0.37685668468475342</v>
      </c>
      <c r="AP125" s="721">
        <v>0.4083627462387085</v>
      </c>
      <c r="AQ125" s="721">
        <v>0.38049781322479248</v>
      </c>
      <c r="AR125" s="721">
        <v>0.283622145652771</v>
      </c>
      <c r="AS125" s="721">
        <v>0.32722926139831543</v>
      </c>
      <c r="AT125" s="721">
        <v>0.28583598136901855</v>
      </c>
      <c r="AU125" s="721">
        <v>0.32389247417449951</v>
      </c>
      <c r="AV125" s="721">
        <v>0.29014575481414795</v>
      </c>
      <c r="AW125" s="721">
        <v>0.30056118965148926</v>
      </c>
      <c r="AX125" s="721">
        <v>0.51409494876861572</v>
      </c>
      <c r="AY125" s="721">
        <v>0.34032070636749268</v>
      </c>
      <c r="AZ125" s="721">
        <v>0.23893749713897705</v>
      </c>
      <c r="BA125" s="721">
        <v>0.30193018913269043</v>
      </c>
      <c r="BB125" s="721">
        <v>0.35655653476715088</v>
      </c>
      <c r="BC125" s="721">
        <v>0.33017182350158691</v>
      </c>
      <c r="BD125" s="721">
        <v>0.2439274787902832</v>
      </c>
      <c r="BE125" s="721">
        <v>0.25366902351379395</v>
      </c>
    </row>
    <row r="126" spans="3:57" ht="15" x14ac:dyDescent="0.2">
      <c r="C126" s="6" t="s">
        <v>8</v>
      </c>
      <c r="D126" s="721">
        <v>0.38916492462158203</v>
      </c>
      <c r="E126" s="721">
        <v>0.28123247623443604</v>
      </c>
      <c r="F126" s="721">
        <v>0.39715981483459473</v>
      </c>
      <c r="G126" s="721">
        <v>0.39712762832641602</v>
      </c>
      <c r="H126" s="721">
        <v>0.52964448928833008</v>
      </c>
      <c r="I126" s="721">
        <v>0.47307956218719482</v>
      </c>
      <c r="J126" s="721">
        <v>0.3889995813369751</v>
      </c>
      <c r="K126" s="721">
        <v>0.36489951610565186</v>
      </c>
      <c r="L126" s="721">
        <v>0.18371069431304932</v>
      </c>
      <c r="M126" s="721">
        <v>0.4605940580368042</v>
      </c>
      <c r="N126" s="721">
        <v>0.45488548278808594</v>
      </c>
      <c r="O126" s="721">
        <v>0.31091737747192383</v>
      </c>
      <c r="P126" s="721">
        <v>0.42445194721221924</v>
      </c>
      <c r="Q126" s="721">
        <v>0.42869234085083008</v>
      </c>
      <c r="R126" s="721">
        <v>0.40114152431488037</v>
      </c>
      <c r="S126" s="721">
        <v>0.36245036125183105</v>
      </c>
      <c r="T126" s="721">
        <v>0.41443502902984619</v>
      </c>
      <c r="U126" s="721">
        <v>0.36311328411102295</v>
      </c>
      <c r="V126" s="721">
        <v>0.34797549247741699</v>
      </c>
      <c r="W126" s="721">
        <v>0.4450608491897583</v>
      </c>
      <c r="X126" s="721">
        <v>0.33105885982513428</v>
      </c>
      <c r="Y126" s="721">
        <v>0.39448988437652588</v>
      </c>
      <c r="Z126" s="721">
        <v>0.458640456199646</v>
      </c>
      <c r="AA126" s="721">
        <v>0.44953835010528564</v>
      </c>
      <c r="AB126" s="721">
        <v>0.34779047966003418</v>
      </c>
      <c r="AC126" s="721">
        <v>0.431740403175354</v>
      </c>
      <c r="AD126" s="721">
        <v>0.39101612567901611</v>
      </c>
      <c r="AE126" s="37">
        <f>'User Add-in Location'!B131</f>
        <v>0</v>
      </c>
      <c r="AF126" s="37">
        <f>'User Add-in Location'!C131</f>
        <v>0</v>
      </c>
      <c r="AG126" s="721">
        <v>0.371512770652771</v>
      </c>
      <c r="AH126" s="721">
        <v>0.16153419017791748</v>
      </c>
      <c r="AI126" s="721">
        <v>0.42651462554931641</v>
      </c>
      <c r="AJ126" s="721">
        <v>0.38594460487365723</v>
      </c>
      <c r="AK126" s="721">
        <v>0.35141170024871826</v>
      </c>
      <c r="AL126" s="721">
        <v>0.35484695434570313</v>
      </c>
      <c r="AM126" s="721">
        <v>0.45969498157501221</v>
      </c>
      <c r="AN126" s="721">
        <v>0.34094035625457764</v>
      </c>
      <c r="AO126" s="721">
        <v>0.484732985496521</v>
      </c>
      <c r="AP126" s="721">
        <v>0.42571580410003662</v>
      </c>
      <c r="AQ126" s="721">
        <v>0.39993727207183838</v>
      </c>
      <c r="AR126" s="721">
        <v>0.45307517051696777</v>
      </c>
      <c r="AS126" s="721">
        <v>0.33240389823913574</v>
      </c>
      <c r="AT126" s="721">
        <v>0.37586414813995361</v>
      </c>
      <c r="AU126" s="721">
        <v>0.38148486614227295</v>
      </c>
      <c r="AV126" s="721">
        <v>0.44695818424224854</v>
      </c>
      <c r="AW126" s="721">
        <v>0.51713383197784424</v>
      </c>
      <c r="AX126" s="721">
        <v>0.9154200553894043</v>
      </c>
      <c r="AY126" s="721">
        <v>0.46621942520141602</v>
      </c>
      <c r="AZ126" s="721">
        <v>0.39622008800506592</v>
      </c>
      <c r="BA126" s="721">
        <v>0.37509894371032715</v>
      </c>
      <c r="BB126" s="721">
        <v>0.41225874423980713</v>
      </c>
      <c r="BC126" s="721">
        <v>0.27503347396850586</v>
      </c>
      <c r="BD126" s="721">
        <v>0.43158376216888428</v>
      </c>
      <c r="BE126" s="721">
        <v>0.26344728469848633</v>
      </c>
    </row>
    <row r="127" spans="3:57" ht="15" x14ac:dyDescent="0.2">
      <c r="C127" s="6" t="s">
        <v>78</v>
      </c>
      <c r="D127" s="721">
        <v>0.3344123363494873</v>
      </c>
      <c r="E127" s="721">
        <v>0.39449608325958252</v>
      </c>
      <c r="F127" s="721">
        <v>0.35610771179199219</v>
      </c>
      <c r="G127" s="721">
        <v>0.38265585899353027</v>
      </c>
      <c r="H127" s="721">
        <v>0.53448808193206787</v>
      </c>
      <c r="I127" s="721">
        <v>0.47489321231842041</v>
      </c>
      <c r="J127" s="721">
        <v>0.26870274543762207</v>
      </c>
      <c r="K127" s="721">
        <v>0.3025895357131958</v>
      </c>
      <c r="L127" s="721">
        <v>0.12852728366851807</v>
      </c>
      <c r="M127" s="721">
        <v>0.39389646053314209</v>
      </c>
      <c r="N127" s="721">
        <v>0.36730241775512695</v>
      </c>
      <c r="O127" s="721">
        <v>0.36630380153656006</v>
      </c>
      <c r="P127" s="721">
        <v>0.39698696136474609</v>
      </c>
      <c r="Q127" s="721">
        <v>0.4058384895324707</v>
      </c>
      <c r="R127" s="721">
        <v>0.31643342971801758</v>
      </c>
      <c r="S127" s="721">
        <v>0.34504532814025879</v>
      </c>
      <c r="T127" s="721">
        <v>0.45289885997772217</v>
      </c>
      <c r="U127" s="721">
        <v>0.31033265590667725</v>
      </c>
      <c r="V127" s="721">
        <v>0.38727796077728271</v>
      </c>
      <c r="W127" s="721">
        <v>0.32791328430175781</v>
      </c>
      <c r="X127" s="721">
        <v>0.24533963203430176</v>
      </c>
      <c r="Y127" s="721">
        <v>0.29886627197265625</v>
      </c>
      <c r="Z127" s="721">
        <v>0.37695908546447754</v>
      </c>
      <c r="AA127" s="721">
        <v>0.44561517238616943</v>
      </c>
      <c r="AB127" s="721">
        <v>0.33668303489685059</v>
      </c>
      <c r="AC127" s="721">
        <v>0.35196983814239502</v>
      </c>
      <c r="AD127" s="721">
        <v>0.41470348834991455</v>
      </c>
      <c r="AE127" s="37">
        <f>'User Add-in Location'!B132</f>
        <v>0</v>
      </c>
      <c r="AF127" s="37">
        <f>'User Add-in Location'!C132</f>
        <v>0</v>
      </c>
      <c r="AG127" s="721">
        <v>0.36661076545715332</v>
      </c>
      <c r="AH127" s="721">
        <v>0.19642078876495361</v>
      </c>
      <c r="AI127" s="721">
        <v>0.26139223575592041</v>
      </c>
      <c r="AJ127" s="721">
        <v>0.33242559432983398</v>
      </c>
      <c r="AK127" s="721">
        <v>0.42901742458343506</v>
      </c>
      <c r="AL127" s="721">
        <v>0.31921303272247314</v>
      </c>
      <c r="AM127" s="721">
        <v>0.33699488639831543</v>
      </c>
      <c r="AN127" s="721">
        <v>0.40972054004669189</v>
      </c>
      <c r="AO127" s="721">
        <v>0.41225337982177734</v>
      </c>
      <c r="AP127" s="721">
        <v>0.46427202224731445</v>
      </c>
      <c r="AQ127" s="721">
        <v>0.36918509006500244</v>
      </c>
      <c r="AR127" s="721">
        <v>0.40912425518035889</v>
      </c>
      <c r="AS127" s="721">
        <v>0.26079308986663818</v>
      </c>
      <c r="AT127" s="721">
        <v>0.28367376327514648</v>
      </c>
      <c r="AU127" s="721">
        <v>0.34844779968261719</v>
      </c>
      <c r="AV127" s="721">
        <v>0.33032238483428955</v>
      </c>
      <c r="AW127" s="721">
        <v>0.63190865516662598</v>
      </c>
      <c r="AX127" s="721">
        <v>1.0921313762664795</v>
      </c>
      <c r="AY127" s="721">
        <v>0.46310436725616455</v>
      </c>
      <c r="AZ127" s="721">
        <v>0.33806169033050537</v>
      </c>
      <c r="BA127" s="721">
        <v>0.27148914337158203</v>
      </c>
      <c r="BB127" s="721">
        <v>0.3828885555267334</v>
      </c>
      <c r="BC127" s="721">
        <v>0.28209364414215088</v>
      </c>
      <c r="BD127" s="721">
        <v>0.3858189582824707</v>
      </c>
      <c r="BE127" s="721">
        <v>0.39157652854919434</v>
      </c>
    </row>
    <row r="128" spans="3:57" ht="15" x14ac:dyDescent="0.2">
      <c r="C128" s="6" t="s">
        <v>79</v>
      </c>
      <c r="D128" s="721">
        <v>0.29140353202819824</v>
      </c>
      <c r="E128" s="721">
        <v>0.2995305061340332</v>
      </c>
      <c r="F128" s="721">
        <v>0.34711205959320068</v>
      </c>
      <c r="G128" s="721">
        <v>0.26948642730712891</v>
      </c>
      <c r="H128" s="721">
        <v>0.54984128475189209</v>
      </c>
      <c r="I128" s="721">
        <v>0.39103841781616211</v>
      </c>
      <c r="J128" s="721">
        <v>0.28394925594329834</v>
      </c>
      <c r="K128" s="721">
        <v>0.25335240364074707</v>
      </c>
      <c r="L128" s="721">
        <v>0</v>
      </c>
      <c r="M128" s="721">
        <v>0.38344454765319824</v>
      </c>
      <c r="N128" s="721">
        <v>0.35021018981933594</v>
      </c>
      <c r="O128" s="721">
        <v>0.32520675659179688</v>
      </c>
      <c r="P128" s="721">
        <v>0.31689167022705078</v>
      </c>
      <c r="Q128" s="721">
        <v>0.3877178430557251</v>
      </c>
      <c r="R128" s="721">
        <v>0.3140714168548584</v>
      </c>
      <c r="S128" s="721">
        <v>0.27789509296417236</v>
      </c>
      <c r="T128" s="721">
        <v>0.30912435054779053</v>
      </c>
      <c r="U128" s="721">
        <v>0.27358067035675049</v>
      </c>
      <c r="V128" s="721">
        <v>0.279610276222229</v>
      </c>
      <c r="W128" s="721">
        <v>0.2907860279083252</v>
      </c>
      <c r="X128" s="721">
        <v>0.26515316963195801</v>
      </c>
      <c r="Y128" s="721">
        <v>0.31354010105133057</v>
      </c>
      <c r="Z128" s="721">
        <v>0.36986827850341797</v>
      </c>
      <c r="AA128" s="721">
        <v>0.40151429176330566</v>
      </c>
      <c r="AB128" s="721">
        <v>0.2642066478729248</v>
      </c>
      <c r="AC128" s="721">
        <v>0.31392371654510498</v>
      </c>
      <c r="AD128" s="721">
        <v>0.30038559436798096</v>
      </c>
      <c r="AE128" s="37">
        <f>'User Add-in Location'!B133</f>
        <v>0</v>
      </c>
      <c r="AF128" s="37">
        <f>'User Add-in Location'!C133</f>
        <v>0</v>
      </c>
      <c r="AG128" s="721">
        <v>0.26926243305206299</v>
      </c>
      <c r="AH128" s="721">
        <v>0.17982447147369385</v>
      </c>
      <c r="AI128" s="721">
        <v>0.26360666751861572</v>
      </c>
      <c r="AJ128" s="721">
        <v>0.3257133960723877</v>
      </c>
      <c r="AK128" s="721">
        <v>0.29929137229919434</v>
      </c>
      <c r="AL128" s="721">
        <v>0.31788372993469238</v>
      </c>
      <c r="AM128" s="721">
        <v>0.36931288242340088</v>
      </c>
      <c r="AN128" s="721">
        <v>0.271728515625</v>
      </c>
      <c r="AO128" s="721">
        <v>0.38698101043701172</v>
      </c>
      <c r="AP128" s="721">
        <v>0.29759252071380615</v>
      </c>
      <c r="AQ128" s="721">
        <v>0.33671724796295166</v>
      </c>
      <c r="AR128" s="721">
        <v>0.37948310375213623</v>
      </c>
      <c r="AS128" s="721">
        <v>0.29347085952758789</v>
      </c>
      <c r="AT128" s="721">
        <v>0.26283299922943115</v>
      </c>
      <c r="AU128" s="721">
        <v>0.24922895431518555</v>
      </c>
      <c r="AV128" s="721">
        <v>0.31190001964569092</v>
      </c>
      <c r="AW128" s="721">
        <v>0.51178669929504395</v>
      </c>
      <c r="AX128" s="721">
        <v>1.0504641532897949</v>
      </c>
      <c r="AY128" s="721">
        <v>0.4341433048248291</v>
      </c>
      <c r="AZ128" s="721">
        <v>0.25798332691192627</v>
      </c>
      <c r="BA128" s="721">
        <v>0.26179420948028564</v>
      </c>
      <c r="BB128" s="721">
        <v>0.37797951698303223</v>
      </c>
      <c r="BC128" s="721">
        <v>0.21770584583282471</v>
      </c>
      <c r="BD128" s="721">
        <v>0.3396296501159668</v>
      </c>
      <c r="BE128" s="721">
        <v>0.22744143009185791</v>
      </c>
    </row>
    <row r="129" spans="3:57" ht="15" x14ac:dyDescent="0.2">
      <c r="C129" s="6" t="s">
        <v>80</v>
      </c>
      <c r="D129" s="721">
        <v>0.34155237674713135</v>
      </c>
      <c r="E129" s="721">
        <v>0.29713833332061768</v>
      </c>
      <c r="F129" s="721">
        <v>0.33325469493865967</v>
      </c>
      <c r="G129" s="721">
        <v>0.33336055278778076</v>
      </c>
      <c r="H129" s="721">
        <v>0.54007112979888916</v>
      </c>
      <c r="I129" s="721">
        <v>0.45226085186004639</v>
      </c>
      <c r="J129" s="721">
        <v>0.30527234077453613</v>
      </c>
      <c r="K129" s="721">
        <v>0.24576699733734131</v>
      </c>
      <c r="L129" s="721">
        <v>0.20273840427398682</v>
      </c>
      <c r="M129" s="721">
        <v>0.42598855495452881</v>
      </c>
      <c r="N129" s="721">
        <v>0.37166249752044678</v>
      </c>
      <c r="O129" s="721">
        <v>0.39293575286865234</v>
      </c>
      <c r="P129" s="721">
        <v>0.36100435256958008</v>
      </c>
      <c r="Q129" s="721">
        <v>0.38464975357055664</v>
      </c>
      <c r="R129" s="721">
        <v>0.35881149768829346</v>
      </c>
      <c r="S129" s="721">
        <v>0.28663027286529541</v>
      </c>
      <c r="T129" s="721">
        <v>0.37257266044616699</v>
      </c>
      <c r="U129" s="721">
        <v>0.31368649005889893</v>
      </c>
      <c r="V129" s="721">
        <v>0.32164263725280762</v>
      </c>
      <c r="W129" s="721">
        <v>0.3141629695892334</v>
      </c>
      <c r="X129" s="721">
        <v>0.31235218048095703</v>
      </c>
      <c r="Y129" s="721">
        <v>0.33630239963531494</v>
      </c>
      <c r="Z129" s="721">
        <v>0.37974274158477783</v>
      </c>
      <c r="AA129" s="721">
        <v>0.47189652919769287</v>
      </c>
      <c r="AB129" s="721">
        <v>0.29356229305267334</v>
      </c>
      <c r="AC129" s="721">
        <v>0.3990706205368042</v>
      </c>
      <c r="AD129" s="721">
        <v>0.36462676525115967</v>
      </c>
      <c r="AE129" s="37">
        <f>'User Add-in Location'!B134</f>
        <v>0</v>
      </c>
      <c r="AF129" s="37">
        <f>'User Add-in Location'!C134</f>
        <v>0</v>
      </c>
      <c r="AG129" s="721">
        <v>0.2980039119720459</v>
      </c>
      <c r="AH129" s="721">
        <v>0.19985246658325195</v>
      </c>
      <c r="AI129" s="721">
        <v>0.21808755397796631</v>
      </c>
      <c r="AJ129" s="721">
        <v>0.32617533206939697</v>
      </c>
      <c r="AK129" s="721">
        <v>0.31599628925323486</v>
      </c>
      <c r="AL129" s="721">
        <v>0.32724881172180176</v>
      </c>
      <c r="AM129" s="721">
        <v>0.3396761417388916</v>
      </c>
      <c r="AN129" s="721">
        <v>0.32859981060028076</v>
      </c>
      <c r="AO129" s="721">
        <v>0.41274642944335938</v>
      </c>
      <c r="AP129" s="721">
        <v>0.30493450164794922</v>
      </c>
      <c r="AQ129" s="721">
        <v>0.37514305114746094</v>
      </c>
      <c r="AR129" s="721">
        <v>0.38981366157531738</v>
      </c>
      <c r="AS129" s="721">
        <v>0.2517850399017334</v>
      </c>
      <c r="AT129" s="721">
        <v>0.27832889556884766</v>
      </c>
      <c r="AU129" s="721">
        <v>0.31413912773132324</v>
      </c>
      <c r="AV129" s="721">
        <v>0.34461784362792969</v>
      </c>
      <c r="AW129" s="721">
        <v>0.51205968856811523</v>
      </c>
      <c r="AX129" s="721">
        <v>1.1309583187103271</v>
      </c>
      <c r="AY129" s="721">
        <v>0.4357222318649292</v>
      </c>
      <c r="AZ129" s="721">
        <v>0.23416042327880859</v>
      </c>
      <c r="BA129" s="721">
        <v>0.29168474674224854</v>
      </c>
      <c r="BB129" s="721">
        <v>0.41285824775695801</v>
      </c>
      <c r="BC129" s="721">
        <v>0.2065126895904541</v>
      </c>
      <c r="BD129" s="721">
        <v>0.38984131813049316</v>
      </c>
      <c r="BE129" s="721">
        <v>0.27953863143920898</v>
      </c>
    </row>
    <row r="130" spans="3:57" ht="15" x14ac:dyDescent="0.2">
      <c r="C130" s="6" t="s">
        <v>81</v>
      </c>
      <c r="D130" s="721">
        <v>0.33950340747833252</v>
      </c>
      <c r="E130" s="721">
        <v>0</v>
      </c>
      <c r="F130" s="721">
        <v>0.47571718692779541</v>
      </c>
      <c r="G130" s="721">
        <v>0.33786857128143311</v>
      </c>
      <c r="H130" s="721">
        <v>0.62066030502319336</v>
      </c>
      <c r="I130" s="721">
        <v>0.48079788684844971</v>
      </c>
      <c r="J130" s="721">
        <v>0.35082650184631348</v>
      </c>
      <c r="K130" s="721">
        <v>0.27194023132324219</v>
      </c>
      <c r="L130" s="721">
        <v>0.12318634986877441</v>
      </c>
      <c r="M130" s="721">
        <v>0.48749637603759766</v>
      </c>
      <c r="N130" s="721">
        <v>0.40869343280792236</v>
      </c>
      <c r="O130" s="721">
        <v>0.33306431770324707</v>
      </c>
      <c r="P130" s="721">
        <v>0.4153292179107666</v>
      </c>
      <c r="Q130" s="721">
        <v>0.40182149410247803</v>
      </c>
      <c r="R130" s="721">
        <v>0.30553388595581055</v>
      </c>
      <c r="S130" s="721">
        <v>0.30883336067199707</v>
      </c>
      <c r="T130" s="721">
        <v>0.3095853328704834</v>
      </c>
      <c r="U130" s="721">
        <v>0.33051657676696777</v>
      </c>
      <c r="V130" s="721">
        <v>0.28489696979522705</v>
      </c>
      <c r="W130" s="721">
        <v>0.32363748550415039</v>
      </c>
      <c r="X130" s="721">
        <v>0.32188832759857178</v>
      </c>
      <c r="Y130" s="721">
        <v>0.47055280208587646</v>
      </c>
      <c r="Z130" s="721">
        <v>0.42393946647644043</v>
      </c>
      <c r="AA130" s="721">
        <v>0.5301671028137207</v>
      </c>
      <c r="AB130" s="721">
        <v>0.322487473487854</v>
      </c>
      <c r="AC130" s="721">
        <v>0.29522383213043213</v>
      </c>
      <c r="AD130" s="721">
        <v>0.3837273120880127</v>
      </c>
      <c r="AE130" s="37">
        <f>'User Add-in Location'!B135</f>
        <v>0</v>
      </c>
      <c r="AF130" s="37">
        <f>'User Add-in Location'!C135</f>
        <v>0</v>
      </c>
      <c r="AG130" s="721">
        <v>0.30598700046539307</v>
      </c>
      <c r="AH130" s="721">
        <v>0.16617631912231445</v>
      </c>
      <c r="AI130" s="721">
        <v>0.35654592514038086</v>
      </c>
      <c r="AJ130" s="721">
        <v>0.39458239078521729</v>
      </c>
      <c r="AK130" s="721">
        <v>0.29185390472412109</v>
      </c>
      <c r="AL130" s="721">
        <v>0.42979168891906738</v>
      </c>
      <c r="AM130" s="721">
        <v>0.42050635814666748</v>
      </c>
      <c r="AN130" s="721">
        <v>0.3686295747756958</v>
      </c>
      <c r="AO130" s="721">
        <v>0.42824101448059082</v>
      </c>
      <c r="AP130" s="721">
        <v>0.35281014442443848</v>
      </c>
      <c r="AQ130" s="721">
        <v>0.2317739725112915</v>
      </c>
      <c r="AR130" s="721">
        <v>0.39227879047393799</v>
      </c>
      <c r="AS130" s="721">
        <v>0.36557590961456299</v>
      </c>
      <c r="AT130" s="721">
        <v>0.27165794372558594</v>
      </c>
      <c r="AU130" s="721">
        <v>0.33923649787902832</v>
      </c>
      <c r="AV130" s="721">
        <v>0.32939398288726807</v>
      </c>
      <c r="AW130" s="721">
        <v>0.54335534572601318</v>
      </c>
      <c r="AX130" s="721">
        <v>0.91872119903564453</v>
      </c>
      <c r="AY130" s="721">
        <v>0.50663936138153076</v>
      </c>
      <c r="AZ130" s="721">
        <v>0.43539762496948242</v>
      </c>
      <c r="BA130" s="721">
        <v>0.36633503437042236</v>
      </c>
      <c r="BB130" s="721">
        <v>0.42195022106170654</v>
      </c>
      <c r="BC130" s="721">
        <v>0.28236496448516846</v>
      </c>
      <c r="BD130" s="721">
        <v>0.39617645740509033</v>
      </c>
      <c r="BE130" s="721">
        <v>0.29132616519927979</v>
      </c>
    </row>
    <row r="131" spans="3:57" ht="15" x14ac:dyDescent="0.2">
      <c r="C131" s="6" t="s">
        <v>82</v>
      </c>
      <c r="D131" s="721">
        <v>0.47965860366821289</v>
      </c>
      <c r="E131" s="721">
        <v>0.33448517322540283</v>
      </c>
      <c r="F131" s="721">
        <v>0.46461653709411621</v>
      </c>
      <c r="G131" s="721">
        <v>0.44298136234283447</v>
      </c>
      <c r="H131" s="721">
        <v>0.50138568878173828</v>
      </c>
      <c r="I131" s="721">
        <v>0.5193641185760498</v>
      </c>
      <c r="J131" s="721">
        <v>0.38134801387786865</v>
      </c>
      <c r="K131" s="721">
        <v>0.39891564846038818</v>
      </c>
      <c r="L131" s="721">
        <v>0.2434389591217041</v>
      </c>
      <c r="M131" s="721">
        <v>0.49805128574371338</v>
      </c>
      <c r="N131" s="721">
        <v>0.47961187362670898</v>
      </c>
      <c r="O131" s="721">
        <v>0.38816666603088379</v>
      </c>
      <c r="P131" s="721">
        <v>0.43269073963165283</v>
      </c>
      <c r="Q131" s="721">
        <v>0.50674223899841309</v>
      </c>
      <c r="R131" s="721">
        <v>0.44379830360412598</v>
      </c>
      <c r="S131" s="721">
        <v>0.40597403049468994</v>
      </c>
      <c r="T131" s="721">
        <v>0.43143630027770996</v>
      </c>
      <c r="U131" s="721">
        <v>0.42356026172637939</v>
      </c>
      <c r="V131" s="721">
        <v>0.48765528202056885</v>
      </c>
      <c r="W131" s="721">
        <v>0.38985288143157959</v>
      </c>
      <c r="X131" s="721">
        <v>0.39249503612518311</v>
      </c>
      <c r="Y131" s="721">
        <v>0.42316508293151855</v>
      </c>
      <c r="Z131" s="721">
        <v>0.47121632099151611</v>
      </c>
      <c r="AA131" s="721">
        <v>0.54934000968933105</v>
      </c>
      <c r="AB131" s="721">
        <v>0.43946874141693115</v>
      </c>
      <c r="AC131" s="721">
        <v>0.45268237590789795</v>
      </c>
      <c r="AD131" s="721">
        <v>0.47140562534332275</v>
      </c>
      <c r="AE131" s="37">
        <f>'User Add-in Location'!B136</f>
        <v>0</v>
      </c>
      <c r="AF131" s="37">
        <f>'User Add-in Location'!C136</f>
        <v>0</v>
      </c>
      <c r="AG131" s="721">
        <v>0.29682314395904541</v>
      </c>
      <c r="AH131" s="721">
        <v>0</v>
      </c>
      <c r="AI131" s="721">
        <v>0.38048946857452393</v>
      </c>
      <c r="AJ131" s="721">
        <v>0.38786447048187256</v>
      </c>
      <c r="AK131" s="721">
        <v>0.45615172386169434</v>
      </c>
      <c r="AL131" s="721">
        <v>0.45881927013397217</v>
      </c>
      <c r="AM131" s="721">
        <v>0.41966378688812256</v>
      </c>
      <c r="AN131" s="721">
        <v>0.45369160175323486</v>
      </c>
      <c r="AO131" s="721">
        <v>0.45156514644622803</v>
      </c>
      <c r="AP131" s="721">
        <v>0.4931032657623291</v>
      </c>
      <c r="AQ131" s="721">
        <v>0.41049325466156006</v>
      </c>
      <c r="AR131" s="721">
        <v>0.46567809581756592</v>
      </c>
      <c r="AS131" s="721">
        <v>0.36610221862792969</v>
      </c>
      <c r="AT131" s="721">
        <v>0.40209317207336426</v>
      </c>
      <c r="AU131" s="721">
        <v>0.42768526077270508</v>
      </c>
      <c r="AV131" s="721">
        <v>0.47006213665008545</v>
      </c>
      <c r="AW131" s="721">
        <v>0.57927072048187256</v>
      </c>
      <c r="AX131" s="721">
        <v>0.87065482139587402</v>
      </c>
      <c r="AY131" s="721">
        <v>0.54225242137908936</v>
      </c>
      <c r="AZ131" s="721">
        <v>0.44525671005249023</v>
      </c>
      <c r="BA131" s="721">
        <v>0.39929664134979248</v>
      </c>
      <c r="BB131" s="721">
        <v>0.42378878593444824</v>
      </c>
      <c r="BC131" s="721">
        <v>0.42800605297088623</v>
      </c>
      <c r="BD131" s="721">
        <v>0.43369638919830322</v>
      </c>
      <c r="BE131" s="721">
        <v>0.41115915775299072</v>
      </c>
    </row>
    <row r="132" spans="3:57" ht="15" x14ac:dyDescent="0.2">
      <c r="C132" s="6" t="s">
        <v>9</v>
      </c>
      <c r="D132" s="721">
        <v>0.34100556373596191</v>
      </c>
      <c r="E132" s="721">
        <v>0.28620302677154541</v>
      </c>
      <c r="F132" s="721">
        <v>0.41215777397155762</v>
      </c>
      <c r="G132" s="721">
        <v>0.3005603551864624</v>
      </c>
      <c r="H132" s="721">
        <v>0.41196525096893311</v>
      </c>
      <c r="I132" s="721">
        <v>0.42914581298828125</v>
      </c>
      <c r="J132" s="721">
        <v>0.33092212677001953</v>
      </c>
      <c r="K132" s="721">
        <v>0.32071232795715332</v>
      </c>
      <c r="L132" s="721">
        <v>0.26084721088409424</v>
      </c>
      <c r="M132" s="721">
        <v>0.42724728584289551</v>
      </c>
      <c r="N132" s="721">
        <v>0.3789360523223877</v>
      </c>
      <c r="O132" s="721">
        <v>0.39804303646087646</v>
      </c>
      <c r="P132" s="721">
        <v>0.38926589488983154</v>
      </c>
      <c r="Q132" s="721">
        <v>0.39240849018096924</v>
      </c>
      <c r="R132" s="721">
        <v>0.34674942493438721</v>
      </c>
      <c r="S132" s="721">
        <v>0.34936332702636719</v>
      </c>
      <c r="T132" s="721">
        <v>0.34553408622741699</v>
      </c>
      <c r="U132" s="721">
        <v>0.31257331371307373</v>
      </c>
      <c r="V132" s="721">
        <v>0.30721151828765869</v>
      </c>
      <c r="W132" s="721">
        <v>0.38037741184234619</v>
      </c>
      <c r="X132" s="721">
        <v>0.35277366638183594</v>
      </c>
      <c r="Y132" s="721">
        <v>0.38669013977050781</v>
      </c>
      <c r="Z132" s="721">
        <v>0.36094081401824951</v>
      </c>
      <c r="AA132" s="721">
        <v>0.41762697696685791</v>
      </c>
      <c r="AB132" s="721">
        <v>0.31226801872253418</v>
      </c>
      <c r="AC132" s="721">
        <v>0.40475344657897949</v>
      </c>
      <c r="AD132" s="721">
        <v>0.35264754295349121</v>
      </c>
      <c r="AE132" s="37">
        <f>'User Add-in Location'!B137</f>
        <v>0</v>
      </c>
      <c r="AF132" s="37">
        <f>'User Add-in Location'!C137</f>
        <v>0</v>
      </c>
      <c r="AG132" s="721">
        <v>0.37944138050079346</v>
      </c>
      <c r="AH132" s="721">
        <v>0.26137828826904297</v>
      </c>
      <c r="AI132" s="721">
        <v>0.3745121955871582</v>
      </c>
      <c r="AJ132" s="721">
        <v>0.34836256504058838</v>
      </c>
      <c r="AK132" s="721">
        <v>0.36731636524200439</v>
      </c>
      <c r="AL132" s="721">
        <v>0.35212302207946777</v>
      </c>
      <c r="AM132" s="721">
        <v>0.39530611038208008</v>
      </c>
      <c r="AN132" s="721">
        <v>0.30793917179107666</v>
      </c>
      <c r="AO132" s="721">
        <v>0.40365540981292725</v>
      </c>
      <c r="AP132" s="721">
        <v>0.35549938678741455</v>
      </c>
      <c r="AQ132" s="721">
        <v>0.39007854461669922</v>
      </c>
      <c r="AR132" s="721">
        <v>0.37293171882629395</v>
      </c>
      <c r="AS132" s="721">
        <v>0.40083062648773193</v>
      </c>
      <c r="AT132" s="721">
        <v>0.32827019691467285</v>
      </c>
      <c r="AU132" s="721">
        <v>0.34740257263183594</v>
      </c>
      <c r="AV132" s="721">
        <v>0.37098896503448486</v>
      </c>
      <c r="AW132" s="721">
        <v>0.36747908592224121</v>
      </c>
      <c r="AX132" s="721">
        <v>0.53838193416595459</v>
      </c>
      <c r="AY132" s="721">
        <v>0.46256649494171143</v>
      </c>
      <c r="AZ132" s="721">
        <v>0.38232612609863281</v>
      </c>
      <c r="BA132" s="721">
        <v>0.3528134822845459</v>
      </c>
      <c r="BB132" s="721">
        <v>0.36096012592315674</v>
      </c>
      <c r="BC132" s="721">
        <v>0.28721034526824951</v>
      </c>
      <c r="BD132" s="721">
        <v>0.39792561531066895</v>
      </c>
      <c r="BE132" s="721">
        <v>0.24436569213867188</v>
      </c>
    </row>
    <row r="133" spans="3:57" ht="15" x14ac:dyDescent="0.2">
      <c r="C133" s="6" t="s">
        <v>10</v>
      </c>
      <c r="D133" s="721">
        <v>0.30420947074890137</v>
      </c>
      <c r="E133" s="721">
        <v>0.29237914085388184</v>
      </c>
      <c r="F133" s="721">
        <v>0.37288343906402588</v>
      </c>
      <c r="G133" s="721">
        <v>0.32004356384277344</v>
      </c>
      <c r="H133" s="721">
        <v>0.35289716720581055</v>
      </c>
      <c r="I133" s="721">
        <v>0.42052328586578369</v>
      </c>
      <c r="J133" s="721">
        <v>0.35092651844024658</v>
      </c>
      <c r="K133" s="721">
        <v>0.3723137378692627</v>
      </c>
      <c r="L133" s="721">
        <v>0.26917016506195068</v>
      </c>
      <c r="M133" s="721">
        <v>0.41910779476165771</v>
      </c>
      <c r="N133" s="721">
        <v>0.39616644382476807</v>
      </c>
      <c r="O133" s="721">
        <v>0.2910609245300293</v>
      </c>
      <c r="P133" s="721">
        <v>0.35305249691009521</v>
      </c>
      <c r="Q133" s="721">
        <v>0.40739941596984863</v>
      </c>
      <c r="R133" s="721">
        <v>0.33877623081207275</v>
      </c>
      <c r="S133" s="721">
        <v>0.36667037010192871</v>
      </c>
      <c r="T133" s="721">
        <v>0.33840250968933105</v>
      </c>
      <c r="U133" s="721">
        <v>0.33695137500762939</v>
      </c>
      <c r="V133" s="721">
        <v>0.28668725490570068</v>
      </c>
      <c r="W133" s="721">
        <v>0.3665999174118042</v>
      </c>
      <c r="X133" s="721">
        <v>0.34122598171234131</v>
      </c>
      <c r="Y133" s="721">
        <v>0.40427279472351074</v>
      </c>
      <c r="Z133" s="721">
        <v>0.34669768810272217</v>
      </c>
      <c r="AA133" s="721">
        <v>0.42026102542877197</v>
      </c>
      <c r="AB133" s="721">
        <v>0.2898719310760498</v>
      </c>
      <c r="AC133" s="721">
        <v>0.40307724475860596</v>
      </c>
      <c r="AD133" s="721">
        <v>0.36958932876586914</v>
      </c>
      <c r="AE133" s="37">
        <f>'User Add-in Location'!B138</f>
        <v>0</v>
      </c>
      <c r="AF133" s="37">
        <f>'User Add-in Location'!C138</f>
        <v>0</v>
      </c>
      <c r="AG133" s="721">
        <v>0.38013374805450439</v>
      </c>
      <c r="AH133" s="721">
        <v>0.23180580139160156</v>
      </c>
      <c r="AI133" s="721">
        <v>0.37598931789398193</v>
      </c>
      <c r="AJ133" s="721">
        <v>0.34873902797698975</v>
      </c>
      <c r="AK133" s="721">
        <v>0.30966079235076904</v>
      </c>
      <c r="AL133" s="721">
        <v>0.34548568725585938</v>
      </c>
      <c r="AM133" s="721">
        <v>0.40151715278625488</v>
      </c>
      <c r="AN133" s="721">
        <v>0.32538127899169922</v>
      </c>
      <c r="AO133" s="721">
        <v>0.38955545425415039</v>
      </c>
      <c r="AP133" s="721">
        <v>0.34472465515136719</v>
      </c>
      <c r="AQ133" s="721">
        <v>0.40602743625640869</v>
      </c>
      <c r="AR133" s="721">
        <v>0.4096987247467041</v>
      </c>
      <c r="AS133" s="721">
        <v>0.37482821941375732</v>
      </c>
      <c r="AT133" s="721">
        <v>0.32083892822265625</v>
      </c>
      <c r="AU133" s="721">
        <v>0.34346365928649902</v>
      </c>
      <c r="AV133" s="721">
        <v>0.34891641139984131</v>
      </c>
      <c r="AW133" s="721">
        <v>0.36935126781463623</v>
      </c>
      <c r="AX133" s="721">
        <v>0.52558112144470215</v>
      </c>
      <c r="AY133" s="721">
        <v>0.42124748229980469</v>
      </c>
      <c r="AZ133" s="721">
        <v>0.33490526676177979</v>
      </c>
      <c r="BA133" s="721">
        <v>0.35300374031066895</v>
      </c>
      <c r="BB133" s="721">
        <v>0.29409492015838623</v>
      </c>
      <c r="BC133" s="721">
        <v>0.27172338962554932</v>
      </c>
      <c r="BD133" s="721">
        <v>0.39020133018493652</v>
      </c>
      <c r="BE133" s="721">
        <v>0.26500999927520752</v>
      </c>
    </row>
    <row r="134" spans="3:57" ht="15" x14ac:dyDescent="0.2">
      <c r="C134" s="6" t="s">
        <v>83</v>
      </c>
      <c r="D134" s="721">
        <v>0.4217524528503418</v>
      </c>
      <c r="E134" s="721">
        <v>0.28640508651733398</v>
      </c>
      <c r="F134" s="721">
        <v>0.54892396926879883</v>
      </c>
      <c r="G134" s="721">
        <v>0.39244258403778076</v>
      </c>
      <c r="H134" s="721">
        <v>0.41450536251068115</v>
      </c>
      <c r="I134" s="721">
        <v>0.57490444183349609</v>
      </c>
      <c r="J134" s="721">
        <v>0.40700268745422363</v>
      </c>
      <c r="K134" s="721">
        <v>0.26879394054412842</v>
      </c>
      <c r="L134" s="721">
        <v>0.23886871337890625</v>
      </c>
      <c r="M134" s="721">
        <v>0.60147881507873535</v>
      </c>
      <c r="N134" s="721">
        <v>0.44477427005767822</v>
      </c>
      <c r="O134" s="721">
        <v>0.33747649192810059</v>
      </c>
      <c r="P134" s="721">
        <v>0.51972544193267822</v>
      </c>
      <c r="Q134" s="721">
        <v>0.44915759563446045</v>
      </c>
      <c r="R134" s="721">
        <v>0.38313353061676025</v>
      </c>
      <c r="S134" s="721">
        <v>0.3941795825958252</v>
      </c>
      <c r="T134" s="721">
        <v>0.44372892379760742</v>
      </c>
      <c r="U134" s="721">
        <v>0.39694356918334961</v>
      </c>
      <c r="V134" s="721">
        <v>0.38217341899871826</v>
      </c>
      <c r="W134" s="721">
        <v>0.41181826591491699</v>
      </c>
      <c r="X134" s="721">
        <v>0.37012684345245361</v>
      </c>
      <c r="Y134" s="721">
        <v>0.40160965919494629</v>
      </c>
      <c r="Z134" s="721">
        <v>0.44398784637451172</v>
      </c>
      <c r="AA134" s="721">
        <v>0.50293397903442383</v>
      </c>
      <c r="AB134" s="721">
        <v>0.40033698081970215</v>
      </c>
      <c r="AC134" s="721">
        <v>0.44375431537628174</v>
      </c>
      <c r="AD134" s="721">
        <v>0.41365110874176025</v>
      </c>
      <c r="AE134" s="37">
        <f>'User Add-in Location'!B139</f>
        <v>0</v>
      </c>
      <c r="AF134" s="37">
        <f>'User Add-in Location'!C139</f>
        <v>0</v>
      </c>
      <c r="AG134" s="721">
        <v>0.44138622283935547</v>
      </c>
      <c r="AH134" s="721">
        <v>0</v>
      </c>
      <c r="AI134" s="721">
        <v>0.41840577125549316</v>
      </c>
      <c r="AJ134" s="721">
        <v>0.43952357769012451</v>
      </c>
      <c r="AK134" s="721">
        <v>0.35037112236022949</v>
      </c>
      <c r="AL134" s="721">
        <v>0.28044188022613525</v>
      </c>
      <c r="AM134" s="721">
        <v>0.3626558780670166</v>
      </c>
      <c r="AN134" s="721">
        <v>0.39328157901763916</v>
      </c>
      <c r="AO134" s="721">
        <v>0.41707003116607666</v>
      </c>
      <c r="AP134" s="721">
        <v>0.47586524486541748</v>
      </c>
      <c r="AQ134" s="721">
        <v>0.42749297618865967</v>
      </c>
      <c r="AR134" s="721">
        <v>0.45906758308410645</v>
      </c>
      <c r="AS134" s="721">
        <v>0.41791021823883057</v>
      </c>
      <c r="AT134" s="721">
        <v>0.41585624217987061</v>
      </c>
      <c r="AU134" s="721">
        <v>0.3156818151473999</v>
      </c>
      <c r="AV134" s="721">
        <v>0.41804802417755127</v>
      </c>
      <c r="AW134" s="721">
        <v>0.56741130352020264</v>
      </c>
      <c r="AX134" s="721">
        <v>0.57829642295837402</v>
      </c>
      <c r="AY134" s="721">
        <v>0.53525471687316895</v>
      </c>
      <c r="AZ134" s="721">
        <v>0.38572585582733154</v>
      </c>
      <c r="BA134" s="721">
        <v>0.37818872928619385</v>
      </c>
      <c r="BB134" s="721">
        <v>0.38798403739929199</v>
      </c>
      <c r="BC134" s="721">
        <v>0.29696226119995117</v>
      </c>
      <c r="BD134" s="721">
        <v>0.43972611427307129</v>
      </c>
      <c r="BE134" s="721">
        <v>0.3699260950088501</v>
      </c>
    </row>
    <row r="135" spans="3:57" ht="15" x14ac:dyDescent="0.2">
      <c r="C135" s="6" t="s">
        <v>84</v>
      </c>
      <c r="D135" s="721">
        <v>0.38628816604614258</v>
      </c>
      <c r="E135" s="721">
        <v>0.31786978244781494</v>
      </c>
      <c r="F135" s="721">
        <v>0.46608376502990723</v>
      </c>
      <c r="G135" s="721">
        <v>0.39165616035461426</v>
      </c>
      <c r="H135" s="721">
        <v>0.42437958717346191</v>
      </c>
      <c r="I135" s="721">
        <v>0.47445487976074219</v>
      </c>
      <c r="J135" s="721">
        <v>0.41380620002746582</v>
      </c>
      <c r="K135" s="721">
        <v>0.34579896926879883</v>
      </c>
      <c r="L135" s="721">
        <v>0.22174918651580811</v>
      </c>
      <c r="M135" s="721">
        <v>0.47167015075683594</v>
      </c>
      <c r="N135" s="721">
        <v>0.41486966609954834</v>
      </c>
      <c r="O135" s="721">
        <v>0.37187433242797852</v>
      </c>
      <c r="P135" s="721">
        <v>0.43909263610839844</v>
      </c>
      <c r="Q135" s="721">
        <v>0.39735829830169678</v>
      </c>
      <c r="R135" s="721">
        <v>0.35587632656097412</v>
      </c>
      <c r="S135" s="721">
        <v>0.39507818222045898</v>
      </c>
      <c r="T135" s="721">
        <v>0.41916477680206299</v>
      </c>
      <c r="U135" s="721">
        <v>0.37393879890441895</v>
      </c>
      <c r="V135" s="721">
        <v>0.32879519462585449</v>
      </c>
      <c r="W135" s="721">
        <v>0.45334279537200928</v>
      </c>
      <c r="X135" s="721">
        <v>0.39430892467498779</v>
      </c>
      <c r="Y135" s="721">
        <v>0.42665541172027588</v>
      </c>
      <c r="Z135" s="721">
        <v>0.43686187267303467</v>
      </c>
      <c r="AA135" s="721">
        <v>0.45918095111846924</v>
      </c>
      <c r="AB135" s="721">
        <v>0.35947632789611816</v>
      </c>
      <c r="AC135" s="721">
        <v>0.42736959457397461</v>
      </c>
      <c r="AD135" s="721">
        <v>0.39946639537811279</v>
      </c>
      <c r="AE135" s="37">
        <f>'User Add-in Location'!B140</f>
        <v>0</v>
      </c>
      <c r="AF135" s="37">
        <f>'User Add-in Location'!C140</f>
        <v>0</v>
      </c>
      <c r="AG135" s="721">
        <v>0.4114537239074707</v>
      </c>
      <c r="AH135" s="721">
        <v>0.26530122756958008</v>
      </c>
      <c r="AI135" s="721">
        <v>0.43197810649871826</v>
      </c>
      <c r="AJ135" s="721">
        <v>0.38891541957855225</v>
      </c>
      <c r="AK135" s="721">
        <v>0.39384901523590088</v>
      </c>
      <c r="AL135" s="721">
        <v>0.351326584815979</v>
      </c>
      <c r="AM135" s="721">
        <v>0.42596137523651123</v>
      </c>
      <c r="AN135" s="721">
        <v>0.34562242031097412</v>
      </c>
      <c r="AO135" s="721">
        <v>0.45413601398468018</v>
      </c>
      <c r="AP135" s="721">
        <v>0.39112448692321777</v>
      </c>
      <c r="AQ135" s="721">
        <v>0.37450551986694336</v>
      </c>
      <c r="AR135" s="721">
        <v>0.42296552658081055</v>
      </c>
      <c r="AS135" s="721">
        <v>0.46507358551025391</v>
      </c>
      <c r="AT135" s="721">
        <v>0.39091038703918457</v>
      </c>
      <c r="AU135" s="721">
        <v>0.42247021198272705</v>
      </c>
      <c r="AV135" s="721">
        <v>0.39108002185821533</v>
      </c>
      <c r="AW135" s="721">
        <v>0.4067535400390625</v>
      </c>
      <c r="AX135" s="721">
        <v>0.57062530517578125</v>
      </c>
      <c r="AY135" s="721">
        <v>0.53364002704620361</v>
      </c>
      <c r="AZ135" s="721">
        <v>0.43545436859130859</v>
      </c>
      <c r="BA135" s="721">
        <v>0.34614670276641846</v>
      </c>
      <c r="BB135" s="721">
        <v>0.41244590282440186</v>
      </c>
      <c r="BC135" s="721">
        <v>0.31863820552825928</v>
      </c>
      <c r="BD135" s="721">
        <v>0.43985521793365479</v>
      </c>
      <c r="BE135" s="721">
        <v>0.29783463478088379</v>
      </c>
    </row>
    <row r="136" spans="3:57" ht="15" x14ac:dyDescent="0.2">
      <c r="C136" s="6" t="s">
        <v>85</v>
      </c>
      <c r="D136" s="721">
        <v>0.33093249797821045</v>
      </c>
      <c r="E136" s="721">
        <v>0.29368448257446289</v>
      </c>
      <c r="F136" s="721">
        <v>0.42724990844726563</v>
      </c>
      <c r="G136" s="721">
        <v>0.30985057353973389</v>
      </c>
      <c r="H136" s="721">
        <v>0.42177236080169678</v>
      </c>
      <c r="I136" s="721">
        <v>0.42338454723358154</v>
      </c>
      <c r="J136" s="721">
        <v>0.35158705711364746</v>
      </c>
      <c r="K136" s="721">
        <v>0.32870841026306152</v>
      </c>
      <c r="L136" s="721">
        <v>0.2519991397857666</v>
      </c>
      <c r="M136" s="721">
        <v>0.44656896591186523</v>
      </c>
      <c r="N136" s="721">
        <v>0.42517244815826416</v>
      </c>
      <c r="O136" s="721">
        <v>0.32880425453186035</v>
      </c>
      <c r="P136" s="721">
        <v>0.38498187065124512</v>
      </c>
      <c r="Q136" s="721">
        <v>0.41537249088287354</v>
      </c>
      <c r="R136" s="721">
        <v>0.3415524959564209</v>
      </c>
      <c r="S136" s="721">
        <v>0.34148228168487549</v>
      </c>
      <c r="T136" s="721">
        <v>0.35515546798706055</v>
      </c>
      <c r="U136" s="721">
        <v>0.33152151107788086</v>
      </c>
      <c r="V136" s="721">
        <v>0.30995571613311768</v>
      </c>
      <c r="W136" s="721">
        <v>0.37833380699157715</v>
      </c>
      <c r="X136" s="721">
        <v>0.34729206562042236</v>
      </c>
      <c r="Y136" s="721">
        <v>0.38737916946411133</v>
      </c>
      <c r="Z136" s="721">
        <v>0.38440096378326416</v>
      </c>
      <c r="AA136" s="721">
        <v>0.41745758056640625</v>
      </c>
      <c r="AB136" s="721">
        <v>0.31873667240142822</v>
      </c>
      <c r="AC136" s="721">
        <v>0.40501070022583008</v>
      </c>
      <c r="AD136" s="721">
        <v>0.36160266399383545</v>
      </c>
      <c r="AE136" s="37">
        <f>'User Add-in Location'!B141</f>
        <v>0</v>
      </c>
      <c r="AF136" s="37">
        <f>'User Add-in Location'!C141</f>
        <v>0</v>
      </c>
      <c r="AG136" s="721">
        <v>0.37310409545898438</v>
      </c>
      <c r="AH136" s="721">
        <v>0.21962976455688477</v>
      </c>
      <c r="AI136" s="721">
        <v>0.35029399394989014</v>
      </c>
      <c r="AJ136" s="721">
        <v>0.36487197875976563</v>
      </c>
      <c r="AK136" s="721">
        <v>0.3661952018737793</v>
      </c>
      <c r="AL136" s="721">
        <v>0.36079156398773193</v>
      </c>
      <c r="AM136" s="721">
        <v>0.39786779880523682</v>
      </c>
      <c r="AN136" s="721">
        <v>0.30581104755401611</v>
      </c>
      <c r="AO136" s="721">
        <v>0.39929306507110596</v>
      </c>
      <c r="AP136" s="721">
        <v>0.35687518119812012</v>
      </c>
      <c r="AQ136" s="721">
        <v>0.38378989696502686</v>
      </c>
      <c r="AR136" s="721">
        <v>0.37549149990081787</v>
      </c>
      <c r="AS136" s="721">
        <v>0.38140726089477539</v>
      </c>
      <c r="AT136" s="721">
        <v>0.34931778907775879</v>
      </c>
      <c r="AU136" s="721">
        <v>0.34444880485534668</v>
      </c>
      <c r="AV136" s="721">
        <v>0.36289370059967041</v>
      </c>
      <c r="AW136" s="721">
        <v>0.42366230487823486</v>
      </c>
      <c r="AX136" s="721">
        <v>0.59797477722167969</v>
      </c>
      <c r="AY136" s="721">
        <v>0.4546583890914917</v>
      </c>
      <c r="AZ136" s="721">
        <v>0.35840213298797607</v>
      </c>
      <c r="BA136" s="721">
        <v>0.3389592170715332</v>
      </c>
      <c r="BB136" s="721">
        <v>0.36352157592773438</v>
      </c>
      <c r="BC136" s="721">
        <v>0.27275323867797852</v>
      </c>
      <c r="BD136" s="721">
        <v>0.36917376518249512</v>
      </c>
      <c r="BE136" s="721">
        <v>0.26072967052459717</v>
      </c>
    </row>
    <row r="137" spans="3:57" ht="15" x14ac:dyDescent="0.2">
      <c r="C137" s="6" t="s">
        <v>11</v>
      </c>
      <c r="D137" s="721">
        <v>9.7743868827819824E-2</v>
      </c>
      <c r="E137" s="721">
        <v>3.9212584495544434E-2</v>
      </c>
      <c r="F137" s="721">
        <v>0.15586042404174805</v>
      </c>
      <c r="G137" s="721">
        <v>8.5851907730102539E-2</v>
      </c>
      <c r="H137" s="721">
        <v>0.10636031627655029</v>
      </c>
      <c r="I137" s="721">
        <v>7.4970722198486328E-2</v>
      </c>
      <c r="J137" s="721">
        <v>0.16365969181060791</v>
      </c>
      <c r="K137" s="721">
        <v>1.9808411598205566E-2</v>
      </c>
      <c r="L137" s="721">
        <v>8.2895755767822266E-3</v>
      </c>
      <c r="M137" s="721">
        <v>9.08050537109375E-2</v>
      </c>
      <c r="N137" s="721">
        <v>1.7363071441650391E-2</v>
      </c>
      <c r="O137" s="721">
        <v>5.4685354232788086E-2</v>
      </c>
      <c r="P137" s="721">
        <v>0.11917173862457275</v>
      </c>
      <c r="Q137" s="721">
        <v>4.8960328102111816E-2</v>
      </c>
      <c r="R137" s="721">
        <v>5.913841724395752E-2</v>
      </c>
      <c r="S137" s="721">
        <v>8.0619096755981445E-2</v>
      </c>
      <c r="T137" s="721">
        <v>9.2899799346923828E-2</v>
      </c>
      <c r="U137" s="721">
        <v>8.6897373199462891E-2</v>
      </c>
      <c r="V137" s="721">
        <v>0.1208881139755249</v>
      </c>
      <c r="W137" s="721">
        <v>9.8780512809753418E-2</v>
      </c>
      <c r="X137" s="721">
        <v>2.4924397468566895E-2</v>
      </c>
      <c r="Y137" s="721">
        <v>3.6141276359558105E-2</v>
      </c>
      <c r="Z137" s="721">
        <v>7.1975111961364746E-2</v>
      </c>
      <c r="AA137" s="721">
        <v>0.15694725513458252</v>
      </c>
      <c r="AB137" s="721">
        <v>7.0223331451416016E-2</v>
      </c>
      <c r="AC137" s="721">
        <v>8.8896274566650391E-2</v>
      </c>
      <c r="AD137" s="721">
        <v>0.10127687454223633</v>
      </c>
      <c r="AE137" s="37">
        <f>'User Add-in Location'!B142</f>
        <v>0</v>
      </c>
      <c r="AF137" s="37">
        <f>'User Add-in Location'!C142</f>
        <v>0</v>
      </c>
      <c r="AG137" s="721">
        <v>8.1853747367858887E-2</v>
      </c>
      <c r="AH137" s="721">
        <v>0.13637864589691162</v>
      </c>
      <c r="AI137" s="721">
        <v>6.164395809173584E-2</v>
      </c>
      <c r="AJ137" s="721">
        <v>5.3609609603881836E-2</v>
      </c>
      <c r="AK137" s="721">
        <v>0.11365509033203125</v>
      </c>
      <c r="AL137" s="721">
        <v>0.1036536693572998</v>
      </c>
      <c r="AM137" s="721">
        <v>4.9648880958557129E-2</v>
      </c>
      <c r="AN137" s="721">
        <v>0.215728759765625</v>
      </c>
      <c r="AO137" s="721">
        <v>6.9166898727416992E-2</v>
      </c>
      <c r="AP137" s="721">
        <v>0.2131960391998291</v>
      </c>
      <c r="AQ137" s="721">
        <v>0.10886967182159424</v>
      </c>
      <c r="AR137" s="721">
        <v>9.5174431800842285E-2</v>
      </c>
      <c r="AS137" s="721">
        <v>4.2770981788635254E-2</v>
      </c>
      <c r="AT137" s="721">
        <v>8.7129950523376465E-2</v>
      </c>
      <c r="AU137" s="721">
        <v>0.22138702869415283</v>
      </c>
      <c r="AV137" s="721">
        <v>0.12035107612609863</v>
      </c>
      <c r="AW137" s="721">
        <v>9.3724370002746582E-2</v>
      </c>
      <c r="AX137" s="721">
        <v>0.13899219036102295</v>
      </c>
      <c r="AY137" s="721">
        <v>6.9188237190246582E-2</v>
      </c>
      <c r="AZ137" s="721">
        <v>4.1929841041564941E-2</v>
      </c>
      <c r="BA137" s="721">
        <v>7.170403003692627E-2</v>
      </c>
      <c r="BB137" s="721">
        <v>0.15832269191741943</v>
      </c>
      <c r="BC137" s="721">
        <v>8.1882357597351074E-2</v>
      </c>
      <c r="BD137" s="721">
        <v>0.11398184299468994</v>
      </c>
      <c r="BE137" s="721">
        <v>8.1573486328125E-2</v>
      </c>
    </row>
    <row r="138" spans="3:57" x14ac:dyDescent="0.2">
      <c r="D138" s="721"/>
      <c r="E138" s="721"/>
      <c r="F138" s="721"/>
      <c r="G138" s="721"/>
      <c r="H138" s="721"/>
      <c r="I138" s="721"/>
      <c r="J138" s="721"/>
      <c r="K138" s="721"/>
      <c r="L138" s="721"/>
      <c r="M138" s="721"/>
      <c r="N138" s="721"/>
      <c r="O138" s="721"/>
      <c r="P138" s="721"/>
      <c r="Q138" s="721"/>
      <c r="R138" s="721"/>
      <c r="S138" s="721"/>
      <c r="T138" s="721"/>
      <c r="U138" s="721"/>
      <c r="V138" s="721"/>
      <c r="W138" s="721"/>
      <c r="X138" s="721"/>
      <c r="Y138" s="721"/>
      <c r="Z138" s="721"/>
      <c r="AA138" s="721"/>
      <c r="AB138" s="721"/>
      <c r="AC138" s="721"/>
      <c r="AD138" s="721"/>
      <c r="AE138" s="37"/>
      <c r="AF138" s="37"/>
      <c r="AG138" s="721"/>
      <c r="AH138" s="721"/>
      <c r="AI138" s="721"/>
      <c r="AJ138" s="721"/>
      <c r="AK138" s="721"/>
      <c r="AL138" s="721"/>
      <c r="AM138" s="721"/>
      <c r="AN138" s="721"/>
      <c r="AO138" s="721"/>
      <c r="AP138" s="721"/>
      <c r="AQ138" s="721"/>
      <c r="AR138" s="721"/>
      <c r="AS138" s="721"/>
      <c r="AT138" s="721"/>
      <c r="AU138" s="721"/>
      <c r="AV138" s="721"/>
      <c r="AW138" s="721"/>
      <c r="AX138" s="721"/>
      <c r="AY138" s="721"/>
      <c r="AZ138" s="721"/>
      <c r="BA138" s="721"/>
      <c r="BB138" s="721"/>
      <c r="BC138" s="721"/>
      <c r="BD138" s="721"/>
      <c r="BE138" s="721"/>
    </row>
    <row r="139" spans="3:57" ht="12.75" customHeight="1" x14ac:dyDescent="0.2">
      <c r="C139" s="109" t="s">
        <v>125</v>
      </c>
      <c r="D139" s="721"/>
      <c r="E139" s="721"/>
      <c r="F139" s="721"/>
      <c r="G139" s="721"/>
      <c r="H139" s="721"/>
      <c r="I139" s="721"/>
      <c r="J139" s="721"/>
      <c r="K139" s="721"/>
      <c r="L139" s="721"/>
      <c r="M139" s="721"/>
      <c r="N139" s="721"/>
      <c r="O139" s="721"/>
      <c r="P139" s="721"/>
      <c r="Q139" s="721"/>
      <c r="R139" s="721"/>
      <c r="S139" s="721"/>
      <c r="T139" s="721"/>
      <c r="U139" s="721"/>
      <c r="V139" s="721"/>
      <c r="W139" s="721"/>
      <c r="X139" s="721"/>
      <c r="Y139" s="721"/>
      <c r="Z139" s="721"/>
      <c r="AA139" s="721"/>
      <c r="AB139" s="721"/>
      <c r="AC139" s="721"/>
      <c r="AD139" s="721"/>
      <c r="AE139" s="37"/>
      <c r="AF139" s="37"/>
      <c r="AG139" s="721"/>
      <c r="AH139" s="721"/>
      <c r="AI139" s="721"/>
      <c r="AJ139" s="721"/>
      <c r="AK139" s="721"/>
      <c r="AL139" s="721"/>
      <c r="AM139" s="721"/>
      <c r="AN139" s="721"/>
      <c r="AO139" s="721"/>
      <c r="AP139" s="721"/>
      <c r="AQ139" s="721"/>
      <c r="AR139" s="721"/>
      <c r="AS139" s="721"/>
      <c r="AT139" s="721"/>
      <c r="AU139" s="721"/>
      <c r="AV139" s="721"/>
      <c r="AW139" s="721"/>
      <c r="AX139" s="721"/>
      <c r="AY139" s="721"/>
      <c r="AZ139" s="721"/>
      <c r="BA139" s="721"/>
      <c r="BB139" s="721"/>
      <c r="BC139" s="721"/>
      <c r="BD139" s="721"/>
      <c r="BE139" s="721"/>
    </row>
    <row r="140" spans="3:57" x14ac:dyDescent="0.2">
      <c r="C140" s="110" t="s">
        <v>134</v>
      </c>
      <c r="D140" s="721" t="s">
        <v>13</v>
      </c>
      <c r="E140" s="721" t="s">
        <v>14</v>
      </c>
      <c r="F140" s="721" t="s">
        <v>15</v>
      </c>
      <c r="G140" s="721" t="s">
        <v>16</v>
      </c>
      <c r="H140" s="721" t="s">
        <v>17</v>
      </c>
      <c r="I140" s="721" t="s">
        <v>18</v>
      </c>
      <c r="J140" s="721" t="s">
        <v>19</v>
      </c>
      <c r="K140" s="721" t="s">
        <v>20</v>
      </c>
      <c r="L140" s="721" t="s">
        <v>21</v>
      </c>
      <c r="M140" s="721" t="s">
        <v>22</v>
      </c>
      <c r="N140" s="721" t="s">
        <v>23</v>
      </c>
      <c r="O140" s="721" t="s">
        <v>24</v>
      </c>
      <c r="P140" s="721" t="s">
        <v>25</v>
      </c>
      <c r="Q140" s="721" t="s">
        <v>26</v>
      </c>
      <c r="R140" s="721" t="s">
        <v>27</v>
      </c>
      <c r="S140" s="721" t="s">
        <v>28</v>
      </c>
      <c r="T140" s="721" t="s">
        <v>29</v>
      </c>
      <c r="U140" s="721" t="s">
        <v>30</v>
      </c>
      <c r="V140" s="721" t="s">
        <v>31</v>
      </c>
      <c r="W140" s="721" t="s">
        <v>32</v>
      </c>
      <c r="X140" s="721" t="s">
        <v>33</v>
      </c>
      <c r="Y140" s="721" t="s">
        <v>34</v>
      </c>
      <c r="Z140" s="721" t="s">
        <v>35</v>
      </c>
      <c r="AA140" s="721" t="s">
        <v>36</v>
      </c>
      <c r="AB140" s="721" t="s">
        <v>37</v>
      </c>
      <c r="AC140" s="721" t="s">
        <v>38</v>
      </c>
      <c r="AD140" s="721" t="s">
        <v>39</v>
      </c>
      <c r="AE140" s="37" t="s">
        <v>151</v>
      </c>
      <c r="AF140" s="37" t="s">
        <v>150</v>
      </c>
      <c r="AG140" s="721" t="s">
        <v>40</v>
      </c>
      <c r="AH140" s="721" t="s">
        <v>41</v>
      </c>
      <c r="AI140" s="721" t="s">
        <v>42</v>
      </c>
      <c r="AJ140" s="721" t="s">
        <v>43</v>
      </c>
      <c r="AK140" s="721" t="s">
        <v>44</v>
      </c>
      <c r="AL140" s="721" t="s">
        <v>45</v>
      </c>
      <c r="AM140" s="721" t="s">
        <v>46</v>
      </c>
      <c r="AN140" s="721" t="s">
        <v>47</v>
      </c>
      <c r="AO140" s="721" t="s">
        <v>48</v>
      </c>
      <c r="AP140" s="721" t="s">
        <v>49</v>
      </c>
      <c r="AQ140" s="721" t="s">
        <v>50</v>
      </c>
      <c r="AR140" s="721" t="s">
        <v>51</v>
      </c>
      <c r="AS140" s="721" t="s">
        <v>52</v>
      </c>
      <c r="AT140" s="721" t="s">
        <v>53</v>
      </c>
      <c r="AU140" s="721" t="s">
        <v>54</v>
      </c>
      <c r="AV140" s="721" t="s">
        <v>55</v>
      </c>
      <c r="AW140" s="721" t="s">
        <v>56</v>
      </c>
      <c r="AX140" s="721" t="s">
        <v>489</v>
      </c>
      <c r="AY140" s="721" t="s">
        <v>57</v>
      </c>
      <c r="AZ140" s="721" t="s">
        <v>58</v>
      </c>
      <c r="BA140" s="721" t="s">
        <v>59</v>
      </c>
      <c r="BB140" s="721" t="s">
        <v>60</v>
      </c>
      <c r="BC140" s="721" t="s">
        <v>61</v>
      </c>
      <c r="BD140" s="721" t="s">
        <v>62</v>
      </c>
      <c r="BE140" s="721" t="s">
        <v>12</v>
      </c>
    </row>
    <row r="141" spans="3:57" ht="15" x14ac:dyDescent="0.2">
      <c r="C141" s="6" t="s">
        <v>7</v>
      </c>
      <c r="D141" s="721">
        <v>0.26173236966133118</v>
      </c>
      <c r="E141" s="721">
        <v>0.27686005830764771</v>
      </c>
      <c r="F141" s="721">
        <v>0.31367236375808716</v>
      </c>
      <c r="G141" s="721">
        <v>0.25133934617042542</v>
      </c>
      <c r="H141" s="721">
        <v>0.43952274322509766</v>
      </c>
      <c r="I141" s="721">
        <v>0.28453448414802551</v>
      </c>
      <c r="J141" s="721">
        <v>0.22752030193805695</v>
      </c>
      <c r="K141" s="721">
        <v>0.17364136874675751</v>
      </c>
      <c r="L141" s="721">
        <v>9.3155868351459503E-2</v>
      </c>
      <c r="M141" s="721">
        <v>0.41402333974838257</v>
      </c>
      <c r="N141" s="721">
        <v>0.45233330130577087</v>
      </c>
      <c r="O141" s="721">
        <v>0.36244013905525208</v>
      </c>
      <c r="P141" s="721">
        <v>0.34008705615997314</v>
      </c>
      <c r="Q141" s="721">
        <v>0.54503720998764038</v>
      </c>
      <c r="R141" s="721">
        <v>0.32598143815994263</v>
      </c>
      <c r="S141" s="721">
        <v>0.24405182898044586</v>
      </c>
      <c r="T141" s="721">
        <v>0.25150087475776672</v>
      </c>
      <c r="U141" s="721">
        <v>0.24901650846004486</v>
      </c>
      <c r="V141" s="721">
        <v>0.29502525925636292</v>
      </c>
      <c r="W141" s="721">
        <v>0.35311135649681091</v>
      </c>
      <c r="X141" s="721">
        <v>0.2215668261051178</v>
      </c>
      <c r="Y141" s="721">
        <v>0.35018879175186157</v>
      </c>
      <c r="Z141" s="721">
        <v>0.29447469115257263</v>
      </c>
      <c r="AA141" s="721">
        <v>0.31973034143447876</v>
      </c>
      <c r="AB141" s="721">
        <v>0.2733285129070282</v>
      </c>
      <c r="AC141" s="721">
        <v>0.2891729474067688</v>
      </c>
      <c r="AD141" s="721">
        <v>0.18940055370330811</v>
      </c>
      <c r="AE141" s="37">
        <f>'User Add-in Location'!B146</f>
        <v>0</v>
      </c>
      <c r="AF141" s="37">
        <f>'User Add-in Location'!C146</f>
        <v>0</v>
      </c>
      <c r="AG141" s="721">
        <v>0.26437512040138245</v>
      </c>
      <c r="AH141" s="721">
        <v>0.14215020835399628</v>
      </c>
      <c r="AI141" s="721">
        <v>0.26020064949989319</v>
      </c>
      <c r="AJ141" s="721">
        <v>0.41044670343399048</v>
      </c>
      <c r="AK141" s="721">
        <v>0.32551264762878418</v>
      </c>
      <c r="AL141" s="721">
        <v>0.26026785373687744</v>
      </c>
      <c r="AM141" s="721">
        <v>0.28689175844192505</v>
      </c>
      <c r="AN141" s="721">
        <v>0.14335881173610687</v>
      </c>
      <c r="AO141" s="721">
        <v>0.29738238453865051</v>
      </c>
      <c r="AP141" s="721">
        <v>0.15332901477813721</v>
      </c>
      <c r="AQ141" s="721">
        <v>0.37500998377799988</v>
      </c>
      <c r="AR141" s="721">
        <v>0.24155701696872711</v>
      </c>
      <c r="AS141" s="721">
        <v>0.27420118451118469</v>
      </c>
      <c r="AT141" s="721">
        <v>0.25800341367721558</v>
      </c>
      <c r="AU141" s="721">
        <v>0.28201338648796082</v>
      </c>
      <c r="AV141" s="721">
        <v>0.23277275264263153</v>
      </c>
      <c r="AW141" s="721">
        <v>0.24320392310619354</v>
      </c>
      <c r="AX141" s="721">
        <v>0.69063180685043335</v>
      </c>
      <c r="AY141" s="721">
        <v>0.19665001332759857</v>
      </c>
      <c r="AZ141" s="721">
        <v>0.22439698874950409</v>
      </c>
      <c r="BA141" s="721">
        <v>0.17494046688079834</v>
      </c>
      <c r="BB141" s="721">
        <v>0.40458777546882629</v>
      </c>
      <c r="BC141" s="721">
        <v>5.775134265422821E-2</v>
      </c>
      <c r="BD141" s="721">
        <v>0.30715435743331909</v>
      </c>
      <c r="BE141" s="721">
        <v>9.9955491721630096E-2</v>
      </c>
    </row>
    <row r="142" spans="3:57" ht="15" x14ac:dyDescent="0.2">
      <c r="C142" s="6" t="s">
        <v>77</v>
      </c>
      <c r="D142" s="721">
        <v>0.13973802328109741</v>
      </c>
      <c r="E142" s="721">
        <v>0.10078389942646027</v>
      </c>
      <c r="F142" s="721">
        <v>0.23008304834365845</v>
      </c>
      <c r="G142" s="721">
        <v>0.19001428782939911</v>
      </c>
      <c r="H142" s="721">
        <v>0.24479267001152039</v>
      </c>
      <c r="I142" s="721">
        <v>0.39691060781478882</v>
      </c>
      <c r="J142" s="721">
        <v>0.23684783279895782</v>
      </c>
      <c r="K142" s="721">
        <v>0.35142144560813904</v>
      </c>
      <c r="L142" s="721">
        <v>8.4437936544418335E-2</v>
      </c>
      <c r="M142" s="721">
        <v>0.21929895877838135</v>
      </c>
      <c r="N142" s="721">
        <v>0.28224337100982666</v>
      </c>
      <c r="O142" s="721">
        <v>0.16851222515106201</v>
      </c>
      <c r="P142" s="721">
        <v>0.19884210824966431</v>
      </c>
      <c r="Q142" s="721">
        <v>0.23681208491325378</v>
      </c>
      <c r="R142" s="721">
        <v>0.22168746590614319</v>
      </c>
      <c r="S142" s="721">
        <v>0.16458545625209808</v>
      </c>
      <c r="T142" s="721">
        <v>0.29396969079971313</v>
      </c>
      <c r="U142" s="721">
        <v>0.15273422002792358</v>
      </c>
      <c r="V142" s="721">
        <v>0.18811434507369995</v>
      </c>
      <c r="W142" s="721">
        <v>0.18056108057498932</v>
      </c>
      <c r="X142" s="721">
        <v>0.19139815866947174</v>
      </c>
      <c r="Y142" s="721">
        <v>0.32496050000190735</v>
      </c>
      <c r="Z142" s="721">
        <v>0.28443676233291626</v>
      </c>
      <c r="AA142" s="721">
        <v>0.26385140419006348</v>
      </c>
      <c r="AB142" s="721">
        <v>0.22770310938358307</v>
      </c>
      <c r="AC142" s="721">
        <v>0.21596157550811768</v>
      </c>
      <c r="AD142" s="721">
        <v>0.23064503073692322</v>
      </c>
      <c r="AE142" s="37">
        <f>'User Add-in Location'!B147</f>
        <v>0</v>
      </c>
      <c r="AF142" s="37">
        <f>'User Add-in Location'!C147</f>
        <v>0</v>
      </c>
      <c r="AG142" s="721">
        <v>0.21056519448757172</v>
      </c>
      <c r="AH142" s="721">
        <v>0.1298101395368576</v>
      </c>
      <c r="AI142" s="721">
        <v>0.20430389046669006</v>
      </c>
      <c r="AJ142" s="721">
        <v>0.39676278829574585</v>
      </c>
      <c r="AK142" s="721">
        <v>0.19418701529502869</v>
      </c>
      <c r="AL142" s="721">
        <v>0.35012912750244141</v>
      </c>
      <c r="AM142" s="721">
        <v>0.14873886108398438</v>
      </c>
      <c r="AN142" s="721">
        <v>0.19048143923282623</v>
      </c>
      <c r="AO142" s="721">
        <v>0.2890300452709198</v>
      </c>
      <c r="AP142" s="721">
        <v>0.32831975817680359</v>
      </c>
      <c r="AQ142" s="721">
        <v>0.21956232190132141</v>
      </c>
      <c r="AR142" s="721">
        <v>0.26231688261032104</v>
      </c>
      <c r="AS142" s="721">
        <v>0.25405865907669067</v>
      </c>
      <c r="AT142" s="721">
        <v>0.14579415321350098</v>
      </c>
      <c r="AU142" s="721">
        <v>0.16412216424942017</v>
      </c>
      <c r="AV142" s="721">
        <v>0.19064855575561523</v>
      </c>
      <c r="AW142" s="721">
        <v>0.32414078712463379</v>
      </c>
      <c r="AX142" s="721">
        <v>0.57445555925369263</v>
      </c>
      <c r="AY142" s="721">
        <v>0.28199678659439087</v>
      </c>
      <c r="AZ142" s="721">
        <v>0.147048220038414</v>
      </c>
      <c r="BA142" s="721">
        <v>0.24351787567138672</v>
      </c>
      <c r="BB142" s="721">
        <v>0.17347799241542816</v>
      </c>
      <c r="BC142" s="721">
        <v>0.15182660520076752</v>
      </c>
      <c r="BD142" s="721">
        <v>0.20896533131599426</v>
      </c>
      <c r="BE142" s="721">
        <v>0.10325189679861069</v>
      </c>
    </row>
    <row r="143" spans="3:57" ht="15" x14ac:dyDescent="0.2">
      <c r="C143" s="6" t="s">
        <v>8</v>
      </c>
      <c r="D143" s="721">
        <v>0.28961315751075745</v>
      </c>
      <c r="E143" s="721">
        <v>0.27299535274505615</v>
      </c>
      <c r="F143" s="721">
        <v>0.3950732946395874</v>
      </c>
      <c r="G143" s="721">
        <v>0.25972375273704529</v>
      </c>
      <c r="H143" s="721">
        <v>0.44126397371292114</v>
      </c>
      <c r="I143" s="721">
        <v>0.43198758363723755</v>
      </c>
      <c r="J143" s="721">
        <v>0.38612577319145203</v>
      </c>
      <c r="K143" s="721">
        <v>0.3115060031414032</v>
      </c>
      <c r="L143" s="721">
        <v>0.10533727705478668</v>
      </c>
      <c r="M143" s="721">
        <v>0.38461726903915405</v>
      </c>
      <c r="N143" s="721">
        <v>0.38078084588050842</v>
      </c>
      <c r="O143" s="721">
        <v>0.30617249011993408</v>
      </c>
      <c r="P143" s="721">
        <v>0.27532663941383362</v>
      </c>
      <c r="Q143" s="721">
        <v>0.42739376425743103</v>
      </c>
      <c r="R143" s="721">
        <v>0.32054296135902405</v>
      </c>
      <c r="S143" s="721">
        <v>0.29622548818588257</v>
      </c>
      <c r="T143" s="721">
        <v>0.30905419588088989</v>
      </c>
      <c r="U143" s="721">
        <v>0.26944345235824585</v>
      </c>
      <c r="V143" s="721">
        <v>0.28081837296485901</v>
      </c>
      <c r="W143" s="721">
        <v>0.33159610629081726</v>
      </c>
      <c r="X143" s="721">
        <v>0.35874131321907043</v>
      </c>
      <c r="Y143" s="721">
        <v>0.40234270691871643</v>
      </c>
      <c r="Z143" s="721">
        <v>0.37620684504508972</v>
      </c>
      <c r="AA143" s="721">
        <v>0.42065536975860596</v>
      </c>
      <c r="AB143" s="721">
        <v>0.23008561134338379</v>
      </c>
      <c r="AC143" s="721">
        <v>0.38885143399238586</v>
      </c>
      <c r="AD143" s="721">
        <v>0.26508522033691406</v>
      </c>
      <c r="AE143" s="37">
        <f>'User Add-in Location'!B148</f>
        <v>0</v>
      </c>
      <c r="AF143" s="37">
        <f>'User Add-in Location'!C148</f>
        <v>0</v>
      </c>
      <c r="AG143" s="721">
        <v>0.31442642211914063</v>
      </c>
      <c r="AH143" s="721">
        <v>0.18193970620632172</v>
      </c>
      <c r="AI143" s="721">
        <v>0.40910753607749939</v>
      </c>
      <c r="AJ143" s="721">
        <v>0.41266340017318726</v>
      </c>
      <c r="AK143" s="721">
        <v>0.24689936637878418</v>
      </c>
      <c r="AL143" s="721">
        <v>0.3248177170753479</v>
      </c>
      <c r="AM143" s="721">
        <v>0.35713762044906616</v>
      </c>
      <c r="AN143" s="721">
        <v>0.26575389504432678</v>
      </c>
      <c r="AO143" s="721">
        <v>0.41730186343193054</v>
      </c>
      <c r="AP143" s="721">
        <v>0.31728145480155945</v>
      </c>
      <c r="AQ143" s="721">
        <v>0.36649060249328613</v>
      </c>
      <c r="AR143" s="721">
        <v>0.4309840202331543</v>
      </c>
      <c r="AS143" s="721">
        <v>0.34476375579833984</v>
      </c>
      <c r="AT143" s="721">
        <v>0.27514004707336426</v>
      </c>
      <c r="AU143" s="721">
        <v>0.27112331986427307</v>
      </c>
      <c r="AV143" s="721">
        <v>0.4040730893611908</v>
      </c>
      <c r="AW143" s="721">
        <v>0.41944700479507446</v>
      </c>
      <c r="AX143" s="721">
        <v>0.83140027523040771</v>
      </c>
      <c r="AY143" s="721">
        <v>0.41096720099449158</v>
      </c>
      <c r="AZ143" s="721">
        <v>0.30752995610237122</v>
      </c>
      <c r="BA143" s="721">
        <v>0.32921421527862549</v>
      </c>
      <c r="BB143" s="721">
        <v>0.36406496167182922</v>
      </c>
      <c r="BC143" s="721">
        <v>0.24132034182548523</v>
      </c>
      <c r="BD143" s="721">
        <v>0.36860984563827515</v>
      </c>
      <c r="BE143" s="721">
        <v>0.16264320909976959</v>
      </c>
    </row>
    <row r="144" spans="3:57" ht="15" x14ac:dyDescent="0.2">
      <c r="C144" s="6" t="s">
        <v>78</v>
      </c>
      <c r="D144" s="721">
        <v>0.14524440467357635</v>
      </c>
      <c r="E144" s="721">
        <v>0.11487080901861191</v>
      </c>
      <c r="F144" s="721">
        <v>0.27256962656974792</v>
      </c>
      <c r="G144" s="721">
        <v>0.15080870687961578</v>
      </c>
      <c r="H144" s="721">
        <v>0.29503726959228516</v>
      </c>
      <c r="I144" s="721">
        <v>0.28713375329971313</v>
      </c>
      <c r="J144" s="721">
        <v>0.2495947927236557</v>
      </c>
      <c r="K144" s="721">
        <v>0.14370977878570557</v>
      </c>
      <c r="L144" s="721">
        <v>6.4167790114879608E-2</v>
      </c>
      <c r="M144" s="721">
        <v>0.26929089426994324</v>
      </c>
      <c r="N144" s="721">
        <v>0.23127566277980804</v>
      </c>
      <c r="O144" s="721">
        <v>0.14213776588439941</v>
      </c>
      <c r="P144" s="721">
        <v>0.16006304323673248</v>
      </c>
      <c r="Q144" s="721">
        <v>0.25659230351448059</v>
      </c>
      <c r="R144" s="721">
        <v>0.1591709703207016</v>
      </c>
      <c r="S144" s="721">
        <v>0.16166782379150391</v>
      </c>
      <c r="T144" s="721">
        <v>0.18116879463195801</v>
      </c>
      <c r="U144" s="721">
        <v>0.13531927764415741</v>
      </c>
      <c r="V144" s="721">
        <v>0.10169459134340286</v>
      </c>
      <c r="W144" s="721">
        <v>0.21030201017856598</v>
      </c>
      <c r="X144" s="721">
        <v>0.19453442096710205</v>
      </c>
      <c r="Y144" s="721">
        <v>0.25394982099533081</v>
      </c>
      <c r="Z144" s="721">
        <v>0.21715985238552094</v>
      </c>
      <c r="AA144" s="721">
        <v>0.28309562802314758</v>
      </c>
      <c r="AB144" s="721">
        <v>0.12093354761600494</v>
      </c>
      <c r="AC144" s="721">
        <v>0.20544338226318359</v>
      </c>
      <c r="AD144" s="721">
        <v>0.11205016076564789</v>
      </c>
      <c r="AE144" s="37">
        <f>'User Add-in Location'!B149</f>
        <v>0</v>
      </c>
      <c r="AF144" s="37">
        <f>'User Add-in Location'!C149</f>
        <v>0</v>
      </c>
      <c r="AG144" s="721">
        <v>0.16050726175308228</v>
      </c>
      <c r="AH144" s="721">
        <v>0.11976814270019531</v>
      </c>
      <c r="AI144" s="721">
        <v>0.25303405523300171</v>
      </c>
      <c r="AJ144" s="721">
        <v>0.23119105398654938</v>
      </c>
      <c r="AK144" s="721">
        <v>0.12993805110454559</v>
      </c>
      <c r="AL144" s="721">
        <v>0.19517409801483154</v>
      </c>
      <c r="AM144" s="721">
        <v>0.19146372377872467</v>
      </c>
      <c r="AN144" s="721">
        <v>0.12020553648471832</v>
      </c>
      <c r="AO144" s="721">
        <v>0.23076391220092773</v>
      </c>
      <c r="AP144" s="721">
        <v>0.19001771509647369</v>
      </c>
      <c r="AQ144" s="721">
        <v>0.22418177127838135</v>
      </c>
      <c r="AR144" s="721">
        <v>0.24188731610774994</v>
      </c>
      <c r="AS144" s="721">
        <v>0.23264004290103912</v>
      </c>
      <c r="AT144" s="721">
        <v>0.15410222113132477</v>
      </c>
      <c r="AU144" s="721">
        <v>0.16114635765552521</v>
      </c>
      <c r="AV144" s="721">
        <v>0.19659850001335144</v>
      </c>
      <c r="AW144" s="721">
        <v>0.22483472526073456</v>
      </c>
      <c r="AX144" s="721">
        <v>0.60512769222259521</v>
      </c>
      <c r="AY144" s="721">
        <v>0.22928795218467712</v>
      </c>
      <c r="AZ144" s="721">
        <v>0.1828683465719223</v>
      </c>
      <c r="BA144" s="721">
        <v>0.17687800526618958</v>
      </c>
      <c r="BB144" s="721">
        <v>0.205501988530159</v>
      </c>
      <c r="BC144" s="721">
        <v>0.11189594119787216</v>
      </c>
      <c r="BD144" s="721">
        <v>0.23117527365684509</v>
      </c>
      <c r="BE144" s="721">
        <v>6.0223385691642761E-2</v>
      </c>
    </row>
    <row r="145" spans="1:57" ht="15" x14ac:dyDescent="0.2">
      <c r="C145" s="6" t="s">
        <v>79</v>
      </c>
      <c r="D145" s="721">
        <v>0.21201802790164948</v>
      </c>
      <c r="E145" s="721">
        <v>0.19730366766452789</v>
      </c>
      <c r="F145" s="721">
        <v>0.34046578407287598</v>
      </c>
      <c r="G145" s="721">
        <v>0.20092999935150146</v>
      </c>
      <c r="H145" s="721">
        <v>0.38802319765090942</v>
      </c>
      <c r="I145" s="721">
        <v>0.33152100443840027</v>
      </c>
      <c r="J145" s="721">
        <v>0.30902880430221558</v>
      </c>
      <c r="K145" s="721">
        <v>0.23970939218997955</v>
      </c>
      <c r="L145" s="721">
        <v>0</v>
      </c>
      <c r="M145" s="721">
        <v>0.34555906057357788</v>
      </c>
      <c r="N145" s="721">
        <v>0.30520522594451904</v>
      </c>
      <c r="O145" s="721">
        <v>0.23639655113220215</v>
      </c>
      <c r="P145" s="721">
        <v>0.22328154742717743</v>
      </c>
      <c r="Q145" s="721">
        <v>0.37117499113082886</v>
      </c>
      <c r="R145" s="721">
        <v>0.23853029310703278</v>
      </c>
      <c r="S145" s="721">
        <v>0.22120319306850433</v>
      </c>
      <c r="T145" s="721">
        <v>0.229241743683815</v>
      </c>
      <c r="U145" s="721">
        <v>0.23197324573993683</v>
      </c>
      <c r="V145" s="721">
        <v>0.21262802183628082</v>
      </c>
      <c r="W145" s="721">
        <v>0.26465922594070435</v>
      </c>
      <c r="X145" s="721">
        <v>0.27360779047012329</v>
      </c>
      <c r="Y145" s="721">
        <v>0.33175531029701233</v>
      </c>
      <c r="Z145" s="721">
        <v>0.3295343816280365</v>
      </c>
      <c r="AA145" s="721">
        <v>0.39352908730506897</v>
      </c>
      <c r="AB145" s="721">
        <v>0.18357641994953156</v>
      </c>
      <c r="AC145" s="721">
        <v>0.30718165636062622</v>
      </c>
      <c r="AD145" s="721">
        <v>0.21455872058868408</v>
      </c>
      <c r="AE145" s="37">
        <f>'User Add-in Location'!B150</f>
        <v>0</v>
      </c>
      <c r="AF145" s="37">
        <f>'User Add-in Location'!C150</f>
        <v>0</v>
      </c>
      <c r="AG145" s="721">
        <v>0.2265879362821579</v>
      </c>
      <c r="AH145" s="721">
        <v>0.15129725635051727</v>
      </c>
      <c r="AI145" s="721">
        <v>0.29677847027778625</v>
      </c>
      <c r="AJ145" s="721">
        <v>0.34713295102119446</v>
      </c>
      <c r="AK145" s="721">
        <v>0.17562295496463776</v>
      </c>
      <c r="AL145" s="721">
        <v>0.26901945471763611</v>
      </c>
      <c r="AM145" s="721">
        <v>0.28533273935317993</v>
      </c>
      <c r="AN145" s="721">
        <v>0.179806187748909</v>
      </c>
      <c r="AO145" s="721">
        <v>0.34334331750869751</v>
      </c>
      <c r="AP145" s="721">
        <v>0.24691866338253021</v>
      </c>
      <c r="AQ145" s="721">
        <v>0.29316526651382446</v>
      </c>
      <c r="AR145" s="721">
        <v>0.34092268347740173</v>
      </c>
      <c r="AS145" s="721">
        <v>0.30413264036178589</v>
      </c>
      <c r="AT145" s="721">
        <v>0.23880736529827118</v>
      </c>
      <c r="AU145" s="721">
        <v>0.18681645393371582</v>
      </c>
      <c r="AV145" s="721">
        <v>0.316404789686203</v>
      </c>
      <c r="AW145" s="721">
        <v>0.33899363875389099</v>
      </c>
      <c r="AX145" s="721">
        <v>0.765735924243927</v>
      </c>
      <c r="AY145" s="721">
        <v>0.32310119271278381</v>
      </c>
      <c r="AZ145" s="721">
        <v>0.25443536043167114</v>
      </c>
      <c r="BA145" s="721">
        <v>0.28501886129379272</v>
      </c>
      <c r="BB145" s="721">
        <v>0.28639814257621765</v>
      </c>
      <c r="BC145" s="721">
        <v>0.1694628894329071</v>
      </c>
      <c r="BD145" s="721">
        <v>0.31421074271202087</v>
      </c>
      <c r="BE145" s="721">
        <v>0.11549053341150284</v>
      </c>
    </row>
    <row r="146" spans="1:57" ht="15" x14ac:dyDescent="0.2">
      <c r="C146" s="6" t="s">
        <v>80</v>
      </c>
      <c r="D146" s="721">
        <v>0.14806976914405823</v>
      </c>
      <c r="E146" s="721">
        <v>0.12751619517803192</v>
      </c>
      <c r="F146" s="721">
        <v>0.24160581827163696</v>
      </c>
      <c r="G146" s="721">
        <v>0.15119948983192444</v>
      </c>
      <c r="H146" s="721">
        <v>0.3202269971370697</v>
      </c>
      <c r="I146" s="721">
        <v>0.25675800442695618</v>
      </c>
      <c r="J146" s="721">
        <v>0.25476604700088501</v>
      </c>
      <c r="K146" s="721">
        <v>0.21060322225093842</v>
      </c>
      <c r="L146" s="721">
        <v>6.7332535982131958E-2</v>
      </c>
      <c r="M146" s="721">
        <v>0.27288421988487244</v>
      </c>
      <c r="N146" s="721">
        <v>0.22879977524280548</v>
      </c>
      <c r="O146" s="721">
        <v>0.15701974928379059</v>
      </c>
      <c r="P146" s="721">
        <v>0.14904852211475372</v>
      </c>
      <c r="Q146" s="721">
        <v>0.25491419434547424</v>
      </c>
      <c r="R146" s="721">
        <v>0.17018818855285645</v>
      </c>
      <c r="S146" s="721">
        <v>0.14492864906787872</v>
      </c>
      <c r="T146" s="721">
        <v>0.16784065961837769</v>
      </c>
      <c r="U146" s="721">
        <v>0.16610845923423767</v>
      </c>
      <c r="V146" s="721">
        <v>0.15385930240154266</v>
      </c>
      <c r="W146" s="721">
        <v>0.23570933938026428</v>
      </c>
      <c r="X146" s="721">
        <v>0.17835727334022522</v>
      </c>
      <c r="Y146" s="721">
        <v>0.29715156555175781</v>
      </c>
      <c r="Z146" s="721">
        <v>0.27009093761444092</v>
      </c>
      <c r="AA146" s="721">
        <v>0.29838624596595764</v>
      </c>
      <c r="AB146" s="721">
        <v>0.10379146039485931</v>
      </c>
      <c r="AC146" s="721">
        <v>0.19589650630950928</v>
      </c>
      <c r="AD146" s="721">
        <v>0.1210637241601944</v>
      </c>
      <c r="AE146" s="37">
        <f>'User Add-in Location'!B151</f>
        <v>0</v>
      </c>
      <c r="AF146" s="37">
        <f>'User Add-in Location'!C151</f>
        <v>0</v>
      </c>
      <c r="AG146" s="721">
        <v>0.13989944756031036</v>
      </c>
      <c r="AH146" s="721">
        <v>0.11702301353216171</v>
      </c>
      <c r="AI146" s="721">
        <v>0.37422186136245728</v>
      </c>
      <c r="AJ146" s="721">
        <v>0.30625489354133606</v>
      </c>
      <c r="AK146" s="721">
        <v>0.12695541977882385</v>
      </c>
      <c r="AL146" s="721">
        <v>0.21009731292724609</v>
      </c>
      <c r="AM146" s="721">
        <v>0.21947725117206573</v>
      </c>
      <c r="AN146" s="721">
        <v>0.11319733411073685</v>
      </c>
      <c r="AO146" s="721">
        <v>0.28310853242874146</v>
      </c>
      <c r="AP146" s="721">
        <v>0.19770203530788422</v>
      </c>
      <c r="AQ146" s="721">
        <v>0.23255528509616852</v>
      </c>
      <c r="AR146" s="721">
        <v>0.27012050151824951</v>
      </c>
      <c r="AS146" s="721">
        <v>0.26817724108695984</v>
      </c>
      <c r="AT146" s="721">
        <v>0.19076055288314819</v>
      </c>
      <c r="AU146" s="721">
        <v>0.13413810729980469</v>
      </c>
      <c r="AV146" s="721">
        <v>0.20702485740184784</v>
      </c>
      <c r="AW146" s="721">
        <v>0.26341396570205688</v>
      </c>
      <c r="AX146" s="721">
        <v>0.63894814252853394</v>
      </c>
      <c r="AY146" s="721">
        <v>0.23275470733642578</v>
      </c>
      <c r="AZ146" s="721">
        <v>0.25203150510787964</v>
      </c>
      <c r="BA146" s="721">
        <v>0.21954357624053955</v>
      </c>
      <c r="BB146" s="721">
        <v>0.24365878105163574</v>
      </c>
      <c r="BC146" s="721">
        <v>0.17501291632652283</v>
      </c>
      <c r="BD146" s="721">
        <v>0.21025265753269196</v>
      </c>
      <c r="BE146" s="721">
        <v>7.7684089541435242E-2</v>
      </c>
    </row>
    <row r="147" spans="1:57" ht="15" x14ac:dyDescent="0.2">
      <c r="C147" s="6" t="s">
        <v>81</v>
      </c>
      <c r="D147" s="721">
        <v>0.22486096620559692</v>
      </c>
      <c r="E147" s="721">
        <v>0</v>
      </c>
      <c r="F147" s="721">
        <v>0.30262142419815063</v>
      </c>
      <c r="G147" s="721">
        <v>0.18906368315219879</v>
      </c>
      <c r="H147" s="721">
        <v>0.36792311072349548</v>
      </c>
      <c r="I147" s="721">
        <v>0.2779407799243927</v>
      </c>
      <c r="J147" s="721">
        <v>0.26355940103530884</v>
      </c>
      <c r="K147" s="721">
        <v>0.24361139535903931</v>
      </c>
      <c r="L147" s="721">
        <v>4.0850032120943069E-2</v>
      </c>
      <c r="M147" s="721">
        <v>0.30007690191268921</v>
      </c>
      <c r="N147" s="721">
        <v>0.24744506180286407</v>
      </c>
      <c r="O147" s="721">
        <v>0.12092538177967072</v>
      </c>
      <c r="P147" s="721">
        <v>0.21105378866195679</v>
      </c>
      <c r="Q147" s="721">
        <v>0.32993590831756592</v>
      </c>
      <c r="R147" s="721">
        <v>0.23070371150970459</v>
      </c>
      <c r="S147" s="721">
        <v>0.19273146986961365</v>
      </c>
      <c r="T147" s="721">
        <v>0.21434234082698822</v>
      </c>
      <c r="U147" s="721">
        <v>0.21574610471725464</v>
      </c>
      <c r="V147" s="721">
        <v>0.19781693816184998</v>
      </c>
      <c r="W147" s="721">
        <v>0.19111433625221252</v>
      </c>
      <c r="X147" s="721">
        <v>0.23462995886802673</v>
      </c>
      <c r="Y147" s="721">
        <v>0.27482175827026367</v>
      </c>
      <c r="Z147" s="721">
        <v>0.30933618545532227</v>
      </c>
      <c r="AA147" s="721">
        <v>0.32160621881484985</v>
      </c>
      <c r="AB147" s="721">
        <v>0.13728156685829163</v>
      </c>
      <c r="AC147" s="721">
        <v>0.25383901596069336</v>
      </c>
      <c r="AD147" s="721">
        <v>0.13170920312404633</v>
      </c>
      <c r="AE147" s="37">
        <f>'User Add-in Location'!B152</f>
        <v>0</v>
      </c>
      <c r="AF147" s="37">
        <f>'User Add-in Location'!C152</f>
        <v>0</v>
      </c>
      <c r="AG147" s="721">
        <v>0.23695418238639832</v>
      </c>
      <c r="AH147" s="721">
        <v>0.13212406635284424</v>
      </c>
      <c r="AI147" s="721">
        <v>0.28988727927207947</v>
      </c>
      <c r="AJ147" s="721">
        <v>0.2917918860912323</v>
      </c>
      <c r="AK147" s="721">
        <v>0.13408496975898743</v>
      </c>
      <c r="AL147" s="721">
        <v>0.22630232572555542</v>
      </c>
      <c r="AM147" s="721">
        <v>0.21854761242866516</v>
      </c>
      <c r="AN147" s="721">
        <v>0.15902848541736603</v>
      </c>
      <c r="AO147" s="721">
        <v>0.28578990697860718</v>
      </c>
      <c r="AP147" s="721">
        <v>0.22577494382858276</v>
      </c>
      <c r="AQ147" s="721">
        <v>0.12839607894420624</v>
      </c>
      <c r="AR147" s="721">
        <v>0.2894212007522583</v>
      </c>
      <c r="AS147" s="721">
        <v>0.19894424080848694</v>
      </c>
      <c r="AT147" s="721">
        <v>0.24335932731628418</v>
      </c>
      <c r="AU147" s="721">
        <v>0.17172981798648834</v>
      </c>
      <c r="AV147" s="721">
        <v>0.26778140664100647</v>
      </c>
      <c r="AW147" s="721">
        <v>0.27392330765724182</v>
      </c>
      <c r="AX147" s="721">
        <v>0.59997671842575073</v>
      </c>
      <c r="AY147" s="721">
        <v>0.25305861234664917</v>
      </c>
      <c r="AZ147" s="721">
        <v>0.20799486339092255</v>
      </c>
      <c r="BA147" s="721">
        <v>0.22446624934673309</v>
      </c>
      <c r="BB147" s="721">
        <v>0.20990817248821259</v>
      </c>
      <c r="BC147" s="721">
        <v>0.12608268857002258</v>
      </c>
      <c r="BD147" s="721">
        <v>0.2858751118183136</v>
      </c>
      <c r="BE147" s="721">
        <v>9.5573775470256805E-2</v>
      </c>
    </row>
    <row r="148" spans="1:57" ht="15" x14ac:dyDescent="0.2">
      <c r="C148" s="6" t="s">
        <v>82</v>
      </c>
      <c r="D148" s="721">
        <v>0.21814499795436859</v>
      </c>
      <c r="E148" s="721">
        <v>0.12589395046234131</v>
      </c>
      <c r="F148" s="721">
        <v>0.31677177548408508</v>
      </c>
      <c r="G148" s="721">
        <v>0.23967145383358002</v>
      </c>
      <c r="H148" s="721">
        <v>0.38544002175331116</v>
      </c>
      <c r="I148" s="721">
        <v>0.38151445984840393</v>
      </c>
      <c r="J148" s="721">
        <v>0.28039926290512085</v>
      </c>
      <c r="K148" s="721">
        <v>0.24238617718219757</v>
      </c>
      <c r="L148" s="721">
        <v>0.1060519814491272</v>
      </c>
      <c r="M148" s="721">
        <v>0.31197890639305115</v>
      </c>
      <c r="N148" s="721">
        <v>0.32774639129638672</v>
      </c>
      <c r="O148" s="721">
        <v>0.20156840980052948</v>
      </c>
      <c r="P148" s="721">
        <v>0.23980547487735748</v>
      </c>
      <c r="Q148" s="721">
        <v>0.38936224579811096</v>
      </c>
      <c r="R148" s="721">
        <v>0.25597718358039856</v>
      </c>
      <c r="S148" s="721">
        <v>0.22655998170375824</v>
      </c>
      <c r="T148" s="721">
        <v>0.24000035226345062</v>
      </c>
      <c r="U148" s="721">
        <v>0.22076013684272766</v>
      </c>
      <c r="V148" s="721">
        <v>0.2142951637506485</v>
      </c>
      <c r="W148" s="721">
        <v>0.25952154397964478</v>
      </c>
      <c r="X148" s="721">
        <v>0.24925422668457031</v>
      </c>
      <c r="Y148" s="721">
        <v>0.31126514077186584</v>
      </c>
      <c r="Z148" s="721">
        <v>0.3076438307762146</v>
      </c>
      <c r="AA148" s="721">
        <v>0.36213159561157227</v>
      </c>
      <c r="AB148" s="721">
        <v>0.1844770759344101</v>
      </c>
      <c r="AC148" s="721">
        <v>0.30401322245597839</v>
      </c>
      <c r="AD148" s="721">
        <v>0.22890777885913849</v>
      </c>
      <c r="AE148" s="37">
        <f>'User Add-in Location'!B153</f>
        <v>0</v>
      </c>
      <c r="AF148" s="37">
        <f>'User Add-in Location'!C153</f>
        <v>0</v>
      </c>
      <c r="AG148" s="721">
        <v>0.26270142197608948</v>
      </c>
      <c r="AH148" s="721">
        <v>0</v>
      </c>
      <c r="AI148" s="721">
        <v>0.26731029152870178</v>
      </c>
      <c r="AJ148" s="721">
        <v>0.3249947726726532</v>
      </c>
      <c r="AK148" s="721">
        <v>0.20332843065261841</v>
      </c>
      <c r="AL148" s="721">
        <v>0.29287302494049072</v>
      </c>
      <c r="AM148" s="721">
        <v>0.28567466139793396</v>
      </c>
      <c r="AN148" s="721">
        <v>0.2141706794500351</v>
      </c>
      <c r="AO148" s="721">
        <v>0.31785726547241211</v>
      </c>
      <c r="AP148" s="721">
        <v>0.30055370926856995</v>
      </c>
      <c r="AQ148" s="721">
        <v>0.26993036270141602</v>
      </c>
      <c r="AR148" s="721">
        <v>0.36708655953407288</v>
      </c>
      <c r="AS148" s="721">
        <v>0.2785986065864563</v>
      </c>
      <c r="AT148" s="721">
        <v>0.20856104791164398</v>
      </c>
      <c r="AU148" s="721">
        <v>0.21542127430438995</v>
      </c>
      <c r="AV148" s="721">
        <v>0.31409841775894165</v>
      </c>
      <c r="AW148" s="721">
        <v>0.38552775979042053</v>
      </c>
      <c r="AX148" s="721">
        <v>0.70390290021896362</v>
      </c>
      <c r="AY148" s="721">
        <v>0.37549939751625061</v>
      </c>
      <c r="AZ148" s="721">
        <v>0.25199785828590393</v>
      </c>
      <c r="BA148" s="721">
        <v>0.28045612573623657</v>
      </c>
      <c r="BB148" s="721">
        <v>0.27886390686035156</v>
      </c>
      <c r="BC148" s="721">
        <v>0.20113644003868103</v>
      </c>
      <c r="BD148" s="721">
        <v>0.29689392447471619</v>
      </c>
      <c r="BE148" s="721">
        <v>0.13040526211261749</v>
      </c>
    </row>
    <row r="149" spans="1:57" ht="15" x14ac:dyDescent="0.2">
      <c r="C149" s="6" t="s">
        <v>9</v>
      </c>
      <c r="D149" s="721">
        <v>0.30010741949081421</v>
      </c>
      <c r="E149" s="721">
        <v>0.20559020340442657</v>
      </c>
      <c r="F149" s="721">
        <v>0.46250593662261963</v>
      </c>
      <c r="G149" s="721">
        <v>0.26238840818405151</v>
      </c>
      <c r="H149" s="721">
        <v>0.43554052710533142</v>
      </c>
      <c r="I149" s="721">
        <v>0.49050381779670715</v>
      </c>
      <c r="J149" s="721">
        <v>0.37689727544784546</v>
      </c>
      <c r="K149" s="721">
        <v>0.33664458990097046</v>
      </c>
      <c r="L149" s="721">
        <v>0.11868631839752197</v>
      </c>
      <c r="M149" s="721">
        <v>0.45399650931358337</v>
      </c>
      <c r="N149" s="721">
        <v>0.42883136868476868</v>
      </c>
      <c r="O149" s="721">
        <v>0.30908921360969543</v>
      </c>
      <c r="P149" s="721">
        <v>0.31018823385238647</v>
      </c>
      <c r="Q149" s="721">
        <v>0.46860319375991821</v>
      </c>
      <c r="R149" s="721">
        <v>0.3286927342414856</v>
      </c>
      <c r="S149" s="721">
        <v>0.3122996985912323</v>
      </c>
      <c r="T149" s="721">
        <v>0.31995391845703125</v>
      </c>
      <c r="U149" s="721">
        <v>0.27464905381202698</v>
      </c>
      <c r="V149" s="721">
        <v>0.27454671263694763</v>
      </c>
      <c r="W149" s="721">
        <v>0.3635827898979187</v>
      </c>
      <c r="X149" s="721">
        <v>0.35842007398605347</v>
      </c>
      <c r="Y149" s="721">
        <v>0.44993102550506592</v>
      </c>
      <c r="Z149" s="721">
        <v>0.4079192578792572</v>
      </c>
      <c r="AA149" s="721">
        <v>0.50717294216156006</v>
      </c>
      <c r="AB149" s="721">
        <v>0.23788389563560486</v>
      </c>
      <c r="AC149" s="721">
        <v>0.41393741965293884</v>
      </c>
      <c r="AD149" s="721">
        <v>0.28880330920219421</v>
      </c>
      <c r="AE149" s="37">
        <f>'User Add-in Location'!B154</f>
        <v>0</v>
      </c>
      <c r="AF149" s="37">
        <f>'User Add-in Location'!C154</f>
        <v>0</v>
      </c>
      <c r="AG149" s="721">
        <v>0.32309260964393616</v>
      </c>
      <c r="AH149" s="721">
        <v>0.21459978818893433</v>
      </c>
      <c r="AI149" s="721">
        <v>0.4452613890171051</v>
      </c>
      <c r="AJ149" s="721">
        <v>0.41491261124610901</v>
      </c>
      <c r="AK149" s="721">
        <v>0.24884694814682007</v>
      </c>
      <c r="AL149" s="721">
        <v>0.34165626764297485</v>
      </c>
      <c r="AM149" s="721">
        <v>0.41340330243110657</v>
      </c>
      <c r="AN149" s="721">
        <v>0.24484065175056458</v>
      </c>
      <c r="AO149" s="721">
        <v>0.43644508719444275</v>
      </c>
      <c r="AP149" s="721">
        <v>0.29668739438056946</v>
      </c>
      <c r="AQ149" s="721">
        <v>0.38800930976867676</v>
      </c>
      <c r="AR149" s="721">
        <v>0.43384754657745361</v>
      </c>
      <c r="AS149" s="721">
        <v>0.41046905517578125</v>
      </c>
      <c r="AT149" s="721">
        <v>0.30067634582519531</v>
      </c>
      <c r="AU149" s="721">
        <v>0.2863718569278717</v>
      </c>
      <c r="AV149" s="721">
        <v>0.38581934571266174</v>
      </c>
      <c r="AW149" s="721">
        <v>0.41010323166847229</v>
      </c>
      <c r="AX149" s="721">
        <v>0.77274608612060547</v>
      </c>
      <c r="AY149" s="721">
        <v>0.44133594632148743</v>
      </c>
      <c r="AZ149" s="721">
        <v>0.32284238934516907</v>
      </c>
      <c r="BA149" s="721">
        <v>0.37252596020698547</v>
      </c>
      <c r="BB149" s="721">
        <v>0.36045688390731812</v>
      </c>
      <c r="BC149" s="721">
        <v>0.23840081691741943</v>
      </c>
      <c r="BD149" s="721">
        <v>0.39569836854934692</v>
      </c>
      <c r="BE149" s="721">
        <v>0.16450811922550201</v>
      </c>
    </row>
    <row r="150" spans="1:57" ht="15" x14ac:dyDescent="0.2">
      <c r="C150" s="6" t="s">
        <v>10</v>
      </c>
      <c r="D150" s="721">
        <v>0.32644197344779968</v>
      </c>
      <c r="E150" s="721">
        <v>0.31640574336051941</v>
      </c>
      <c r="F150" s="721">
        <v>0.50105923414230347</v>
      </c>
      <c r="G150" s="721">
        <v>0.33545529842376709</v>
      </c>
      <c r="H150" s="721">
        <v>0.4875011146068573</v>
      </c>
      <c r="I150" s="721">
        <v>0.51112246513366699</v>
      </c>
      <c r="J150" s="721">
        <v>0.4534376859664917</v>
      </c>
      <c r="K150" s="721">
        <v>0.38907244801521301</v>
      </c>
      <c r="L150" s="721">
        <v>0.12050914764404297</v>
      </c>
      <c r="M150" s="721">
        <v>0.52045780420303345</v>
      </c>
      <c r="N150" s="721">
        <v>0.48341134190559387</v>
      </c>
      <c r="O150" s="721">
        <v>0.3344840407371521</v>
      </c>
      <c r="P150" s="721">
        <v>0.36496180295944214</v>
      </c>
      <c r="Q150" s="721">
        <v>0.50693321228027344</v>
      </c>
      <c r="R150" s="721">
        <v>0.36460772156715393</v>
      </c>
      <c r="S150" s="721">
        <v>0.34969639778137207</v>
      </c>
      <c r="T150" s="721">
        <v>0.33925330638885498</v>
      </c>
      <c r="U150" s="721">
        <v>0.36137092113494873</v>
      </c>
      <c r="V150" s="721">
        <v>0.31132549047470093</v>
      </c>
      <c r="W150" s="721">
        <v>0.42080795764923096</v>
      </c>
      <c r="X150" s="721">
        <v>0.39996746182441711</v>
      </c>
      <c r="Y150" s="721">
        <v>0.50488245487213135</v>
      </c>
      <c r="Z150" s="721">
        <v>0.42806908488273621</v>
      </c>
      <c r="AA150" s="721">
        <v>0.50922989845275879</v>
      </c>
      <c r="AB150" s="721">
        <v>0.28804808855056763</v>
      </c>
      <c r="AC150" s="721">
        <v>0.46106606721878052</v>
      </c>
      <c r="AD150" s="721">
        <v>0.38718026876449585</v>
      </c>
      <c r="AE150" s="37">
        <f>'User Add-in Location'!B155</f>
        <v>0</v>
      </c>
      <c r="AF150" s="37">
        <f>'User Add-in Location'!C155</f>
        <v>0</v>
      </c>
      <c r="AG150" s="721">
        <v>0.35408535599708557</v>
      </c>
      <c r="AH150" s="721">
        <v>0.15620535612106323</v>
      </c>
      <c r="AI150" s="721">
        <v>0.50912213325500488</v>
      </c>
      <c r="AJ150" s="721">
        <v>0.47802391648292542</v>
      </c>
      <c r="AK150" s="721">
        <v>0.31875541806221008</v>
      </c>
      <c r="AL150" s="721">
        <v>0.39984217286109924</v>
      </c>
      <c r="AM150" s="721">
        <v>0.48385587334632874</v>
      </c>
      <c r="AN150" s="721">
        <v>0.28132659196853638</v>
      </c>
      <c r="AO150" s="721">
        <v>0.4747651219367981</v>
      </c>
      <c r="AP150" s="721">
        <v>0.3763086199760437</v>
      </c>
      <c r="AQ150" s="721">
        <v>0.48194104433059692</v>
      </c>
      <c r="AR150" s="721">
        <v>0.50177878141403198</v>
      </c>
      <c r="AS150" s="721">
        <v>0.4715924859046936</v>
      </c>
      <c r="AT150" s="721">
        <v>0.35434889793395996</v>
      </c>
      <c r="AU150" s="721">
        <v>0.33021557331085205</v>
      </c>
      <c r="AV150" s="721">
        <v>0.45671975612640381</v>
      </c>
      <c r="AW150" s="721">
        <v>0.449189692735672</v>
      </c>
      <c r="AX150" s="721">
        <v>0.85575693845748901</v>
      </c>
      <c r="AY150" s="721">
        <v>0.49713212251663208</v>
      </c>
      <c r="AZ150" s="721">
        <v>0.39225631952285767</v>
      </c>
      <c r="BA150" s="721">
        <v>0.39448526501655579</v>
      </c>
      <c r="BB150" s="721">
        <v>0.38932830095291138</v>
      </c>
      <c r="BC150" s="721">
        <v>0.28658530116081238</v>
      </c>
      <c r="BD150" s="721">
        <v>0.42207026481628418</v>
      </c>
      <c r="BE150" s="721">
        <v>0.20028650760650635</v>
      </c>
    </row>
    <row r="151" spans="1:57" ht="15" x14ac:dyDescent="0.2">
      <c r="C151" s="6" t="s">
        <v>83</v>
      </c>
      <c r="D151" s="721">
        <v>0.24417872726917267</v>
      </c>
      <c r="E151" s="721">
        <v>0.17785170674324036</v>
      </c>
      <c r="F151" s="721">
        <v>0.378143310546875</v>
      </c>
      <c r="G151" s="721">
        <v>0.20548941195011139</v>
      </c>
      <c r="H151" s="721">
        <v>0.34453186392784119</v>
      </c>
      <c r="I151" s="721">
        <v>0.3678576648235321</v>
      </c>
      <c r="J151" s="721">
        <v>0.35906553268432617</v>
      </c>
      <c r="K151" s="721">
        <v>0.19632977247238159</v>
      </c>
      <c r="L151" s="721">
        <v>8.4668770432472229E-2</v>
      </c>
      <c r="M151" s="721">
        <v>0.37671378254890442</v>
      </c>
      <c r="N151" s="721">
        <v>0.3252485990524292</v>
      </c>
      <c r="O151" s="721">
        <v>0.21362781524658203</v>
      </c>
      <c r="P151" s="721">
        <v>0.21896086633205414</v>
      </c>
      <c r="Q151" s="721">
        <v>0.36545756459236145</v>
      </c>
      <c r="R151" s="721">
        <v>0.22747209668159485</v>
      </c>
      <c r="S151" s="721">
        <v>0.23203863203525543</v>
      </c>
      <c r="T151" s="721">
        <v>0.25461852550506592</v>
      </c>
      <c r="U151" s="721">
        <v>0.23913957178592682</v>
      </c>
      <c r="V151" s="721">
        <v>0.21149379014968872</v>
      </c>
      <c r="W151" s="721">
        <v>0.26764139533042908</v>
      </c>
      <c r="X151" s="721">
        <v>0.25683110952377319</v>
      </c>
      <c r="Y151" s="721">
        <v>0.38384771347045898</v>
      </c>
      <c r="Z151" s="721">
        <v>0.30554211139678955</v>
      </c>
      <c r="AA151" s="721">
        <v>0.42863300442695618</v>
      </c>
      <c r="AB151" s="721">
        <v>0.18858569860458374</v>
      </c>
      <c r="AC151" s="721">
        <v>0.30600708723068237</v>
      </c>
      <c r="AD151" s="721">
        <v>0.20395570993423462</v>
      </c>
      <c r="AE151" s="37">
        <f>'User Add-in Location'!B156</f>
        <v>0</v>
      </c>
      <c r="AF151" s="37">
        <f>'User Add-in Location'!C156</f>
        <v>0</v>
      </c>
      <c r="AG151" s="721">
        <v>0.24434372782707214</v>
      </c>
      <c r="AH151" s="721">
        <v>0</v>
      </c>
      <c r="AI151" s="721">
        <v>0.3145124614238739</v>
      </c>
      <c r="AJ151" s="721">
        <v>0.32666566967964172</v>
      </c>
      <c r="AK151" s="721">
        <v>0.15856857597827911</v>
      </c>
      <c r="AL151" s="721">
        <v>0.31594336032867432</v>
      </c>
      <c r="AM151" s="721">
        <v>0.35047578811645508</v>
      </c>
      <c r="AN151" s="721">
        <v>0.19249126315116882</v>
      </c>
      <c r="AO151" s="721">
        <v>0.31303030252456665</v>
      </c>
      <c r="AP151" s="721">
        <v>0.24777005612850189</v>
      </c>
      <c r="AQ151" s="721">
        <v>0.25391417741775513</v>
      </c>
      <c r="AR151" s="721">
        <v>0.34995138645172119</v>
      </c>
      <c r="AS151" s="721">
        <v>0.33053582906723022</v>
      </c>
      <c r="AT151" s="721">
        <v>0.27415379881858826</v>
      </c>
      <c r="AU151" s="721">
        <v>0.19917792081832886</v>
      </c>
      <c r="AV151" s="721">
        <v>0.32472071051597595</v>
      </c>
      <c r="AW151" s="721">
        <v>0.37124142050743103</v>
      </c>
      <c r="AX151" s="721">
        <v>0.6373174786567688</v>
      </c>
      <c r="AY151" s="721">
        <v>0.29511916637420654</v>
      </c>
      <c r="AZ151" s="721">
        <v>0.23441608250141144</v>
      </c>
      <c r="BA151" s="721">
        <v>0.26169314980506897</v>
      </c>
      <c r="BB151" s="721">
        <v>0.25105908513069153</v>
      </c>
      <c r="BC151" s="721">
        <v>0.17384138703346252</v>
      </c>
      <c r="BD151" s="721">
        <v>0.27572348713874817</v>
      </c>
      <c r="BE151" s="721">
        <v>0.11491024494171143</v>
      </c>
    </row>
    <row r="152" spans="1:57" ht="15" x14ac:dyDescent="0.2">
      <c r="C152" s="6" t="s">
        <v>84</v>
      </c>
      <c r="D152" s="721">
        <v>0.4265916645526886</v>
      </c>
      <c r="E152" s="721">
        <v>0.36734485626220703</v>
      </c>
      <c r="F152" s="721">
        <v>0.63298994302749634</v>
      </c>
      <c r="G152" s="721">
        <v>0.38491037487983704</v>
      </c>
      <c r="H152" s="721">
        <v>0.64291673898696899</v>
      </c>
      <c r="I152" s="721">
        <v>0.64978939294815063</v>
      </c>
      <c r="J152" s="721">
        <v>0.54004228115081787</v>
      </c>
      <c r="K152" s="721">
        <v>0.44218140840530396</v>
      </c>
      <c r="L152" s="721">
        <v>0.16107729077339172</v>
      </c>
      <c r="M152" s="721">
        <v>0.64124822616577148</v>
      </c>
      <c r="N152" s="721">
        <v>0.61018061637878418</v>
      </c>
      <c r="O152" s="721">
        <v>0.41653454303741455</v>
      </c>
      <c r="P152" s="721">
        <v>0.39870598912239075</v>
      </c>
      <c r="Q152" s="721">
        <v>0.64867764711380005</v>
      </c>
      <c r="R152" s="721">
        <v>0.38353589177131653</v>
      </c>
      <c r="S152" s="721">
        <v>0.39128562808036804</v>
      </c>
      <c r="T152" s="721">
        <v>0.44143161177635193</v>
      </c>
      <c r="U152" s="721">
        <v>0.40867459774017334</v>
      </c>
      <c r="V152" s="721">
        <v>0.40340036153793335</v>
      </c>
      <c r="W152" s="721">
        <v>0.49531745910644531</v>
      </c>
      <c r="X152" s="721">
        <v>0.49276021122932434</v>
      </c>
      <c r="Y152" s="721">
        <v>0.57497686147689819</v>
      </c>
      <c r="Z152" s="721">
        <v>0.57973545789718628</v>
      </c>
      <c r="AA152" s="721">
        <v>0.64069193601608276</v>
      </c>
      <c r="AB152" s="721">
        <v>0.33276793360710144</v>
      </c>
      <c r="AC152" s="721">
        <v>0.54461270570755005</v>
      </c>
      <c r="AD152" s="721">
        <v>0.39494231343269348</v>
      </c>
      <c r="AE152" s="37">
        <f>'User Add-in Location'!B157</f>
        <v>0</v>
      </c>
      <c r="AF152" s="37">
        <f>'User Add-in Location'!C157</f>
        <v>0</v>
      </c>
      <c r="AG152" s="721">
        <v>0.41138347983360291</v>
      </c>
      <c r="AH152" s="721">
        <v>0.31055399775505066</v>
      </c>
      <c r="AI152" s="721">
        <v>0.53059291839599609</v>
      </c>
      <c r="AJ152" s="721">
        <v>0.58310794830322266</v>
      </c>
      <c r="AK152" s="721">
        <v>0.35550731420516968</v>
      </c>
      <c r="AL152" s="721">
        <v>0.48434945940971375</v>
      </c>
      <c r="AM152" s="721">
        <v>0.51644629240036011</v>
      </c>
      <c r="AN152" s="721">
        <v>0.33757513761520386</v>
      </c>
      <c r="AO152" s="721">
        <v>0.59133046865463257</v>
      </c>
      <c r="AP152" s="721">
        <v>0.4280516505241394</v>
      </c>
      <c r="AQ152" s="721">
        <v>0.44679051637649536</v>
      </c>
      <c r="AR152" s="721">
        <v>0.5836794376373291</v>
      </c>
      <c r="AS152" s="721">
        <v>0.52997231483459473</v>
      </c>
      <c r="AT152" s="721">
        <v>0.44124037027359009</v>
      </c>
      <c r="AU152" s="721">
        <v>0.35598373413085938</v>
      </c>
      <c r="AV152" s="721">
        <v>0.54163509607315063</v>
      </c>
      <c r="AW152" s="721">
        <v>0.59252333641052246</v>
      </c>
      <c r="AX152" s="721">
        <v>1.059852123260498</v>
      </c>
      <c r="AY152" s="721">
        <v>0.58509147167205811</v>
      </c>
      <c r="AZ152" s="721">
        <v>0.43470746278762817</v>
      </c>
      <c r="BA152" s="721">
        <v>0.53292709589004517</v>
      </c>
      <c r="BB152" s="721">
        <v>0.4930901825428009</v>
      </c>
      <c r="BC152" s="721">
        <v>0.33290320634841919</v>
      </c>
      <c r="BD152" s="721">
        <v>0.50562798976898193</v>
      </c>
      <c r="BE152" s="721">
        <v>0.2363499253988266</v>
      </c>
    </row>
    <row r="153" spans="1:57" ht="15" x14ac:dyDescent="0.2">
      <c r="C153" s="6" t="s">
        <v>85</v>
      </c>
      <c r="D153" s="721">
        <v>0.31284359097480774</v>
      </c>
      <c r="E153" s="721">
        <v>0.26847732067108154</v>
      </c>
      <c r="F153" s="721">
        <v>0.48474431037902832</v>
      </c>
      <c r="G153" s="721">
        <v>0.28391236066818237</v>
      </c>
      <c r="H153" s="721">
        <v>0.4872765839099884</v>
      </c>
      <c r="I153" s="721">
        <v>0.47653096914291382</v>
      </c>
      <c r="J153" s="721">
        <v>0.42151585221290588</v>
      </c>
      <c r="K153" s="721">
        <v>0.36486226320266724</v>
      </c>
      <c r="L153" s="721">
        <v>0.13605676591396332</v>
      </c>
      <c r="M153" s="721">
        <v>0.48774948716163635</v>
      </c>
      <c r="N153" s="721">
        <v>0.44402337074279785</v>
      </c>
      <c r="O153" s="721">
        <v>0.33633455634117126</v>
      </c>
      <c r="P153" s="721">
        <v>0.32410436868667603</v>
      </c>
      <c r="Q153" s="721">
        <v>0.49269163608551025</v>
      </c>
      <c r="R153" s="721">
        <v>0.34820252656936646</v>
      </c>
      <c r="S153" s="721">
        <v>0.3086395263671875</v>
      </c>
      <c r="T153" s="721">
        <v>0.3293147087097168</v>
      </c>
      <c r="U153" s="721">
        <v>0.32355380058288574</v>
      </c>
      <c r="V153" s="721">
        <v>0.29161834716796875</v>
      </c>
      <c r="W153" s="721">
        <v>0.40215960144996643</v>
      </c>
      <c r="X153" s="721">
        <v>0.3814888596534729</v>
      </c>
      <c r="Y153" s="721">
        <v>0.47274905443191528</v>
      </c>
      <c r="Z153" s="721">
        <v>0.43596893548965454</v>
      </c>
      <c r="AA153" s="721">
        <v>0.50721275806427002</v>
      </c>
      <c r="AB153" s="721">
        <v>0.25497165322303772</v>
      </c>
      <c r="AC153" s="721">
        <v>0.42585626244544983</v>
      </c>
      <c r="AD153" s="721">
        <v>0.30824905633926392</v>
      </c>
      <c r="AE153" s="37">
        <f>'User Add-in Location'!B158</f>
        <v>0</v>
      </c>
      <c r="AF153" s="37">
        <f>'User Add-in Location'!C158</f>
        <v>0</v>
      </c>
      <c r="AG153" s="721">
        <v>0.34242957830429077</v>
      </c>
      <c r="AH153" s="721">
        <v>0.22131867706775665</v>
      </c>
      <c r="AI153" s="721">
        <v>0.43385159969329834</v>
      </c>
      <c r="AJ153" s="721">
        <v>0.45525550842285156</v>
      </c>
      <c r="AK153" s="721">
        <v>0.26318809390068054</v>
      </c>
      <c r="AL153" s="721">
        <v>0.38353544473648071</v>
      </c>
      <c r="AM153" s="721">
        <v>0.42883086204528809</v>
      </c>
      <c r="AN153" s="721">
        <v>0.24948796629905701</v>
      </c>
      <c r="AO153" s="721">
        <v>0.47146886587142944</v>
      </c>
      <c r="AP153" s="721">
        <v>0.31925368309020996</v>
      </c>
      <c r="AQ153" s="721">
        <v>0.41489356756210327</v>
      </c>
      <c r="AR153" s="721">
        <v>0.4814075231552124</v>
      </c>
      <c r="AS153" s="721">
        <v>0.43656671047210693</v>
      </c>
      <c r="AT153" s="721">
        <v>0.31996974349021912</v>
      </c>
      <c r="AU153" s="721">
        <v>0.3049776554107666</v>
      </c>
      <c r="AV153" s="721">
        <v>0.44553279876708984</v>
      </c>
      <c r="AW153" s="721">
        <v>0.43625849485397339</v>
      </c>
      <c r="AX153" s="721">
        <v>0.84014588594436646</v>
      </c>
      <c r="AY153" s="721">
        <v>0.43920516967773438</v>
      </c>
      <c r="AZ153" s="721">
        <v>0.35287997126579285</v>
      </c>
      <c r="BA153" s="721">
        <v>0.395467609167099</v>
      </c>
      <c r="BB153" s="721">
        <v>0.37388390302658081</v>
      </c>
      <c r="BC153" s="721">
        <v>0.27313068509101868</v>
      </c>
      <c r="BD153" s="721">
        <v>0.40263217687606812</v>
      </c>
      <c r="BE153" s="721">
        <v>0.16869121789932251</v>
      </c>
    </row>
    <row r="154" spans="1:57" ht="15" x14ac:dyDescent="0.2">
      <c r="C154" s="6" t="s">
        <v>11</v>
      </c>
      <c r="D154" s="721">
        <v>0.47728139162063599</v>
      </c>
      <c r="E154" s="721">
        <v>0.47990638017654419</v>
      </c>
      <c r="F154" s="721">
        <v>0.68012440204620361</v>
      </c>
      <c r="G154" s="721">
        <v>0.53903692960739136</v>
      </c>
      <c r="H154" s="721">
        <v>0.7075238823890686</v>
      </c>
      <c r="I154" s="721">
        <v>0.74092209339141846</v>
      </c>
      <c r="J154" s="721">
        <v>0.54207617044448853</v>
      </c>
      <c r="K154" s="721">
        <v>0.50224471092224121</v>
      </c>
      <c r="L154" s="721">
        <v>0.14631675183773041</v>
      </c>
      <c r="M154" s="721">
        <v>0.73626220226287842</v>
      </c>
      <c r="N154" s="721">
        <v>0.74817466735839844</v>
      </c>
      <c r="O154" s="721">
        <v>0.5571027398109436</v>
      </c>
      <c r="P154" s="721">
        <v>0.54629707336425781</v>
      </c>
      <c r="Q154" s="721">
        <v>0.7830275297164917</v>
      </c>
      <c r="R154" s="721">
        <v>0.60194504261016846</v>
      </c>
      <c r="S154" s="721">
        <v>0.53758335113525391</v>
      </c>
      <c r="T154" s="721">
        <v>0.57475167512893677</v>
      </c>
      <c r="U154" s="721">
        <v>0.54273867607116699</v>
      </c>
      <c r="V154" s="721">
        <v>0.51987588405609131</v>
      </c>
      <c r="W154" s="721">
        <v>0.66136395931243896</v>
      </c>
      <c r="X154" s="721">
        <v>0.50290948152542114</v>
      </c>
      <c r="Y154" s="721">
        <v>0.52200126647949219</v>
      </c>
      <c r="Z154" s="721">
        <v>0.6959877610206604</v>
      </c>
      <c r="AA154" s="721">
        <v>0.72057229280471802</v>
      </c>
      <c r="AB154" s="721">
        <v>0.48034310340881348</v>
      </c>
      <c r="AC154" s="721">
        <v>0.68987315893173218</v>
      </c>
      <c r="AD154" s="721">
        <v>0.52523499727249146</v>
      </c>
      <c r="AE154" s="37">
        <f>'User Add-in Location'!B159</f>
        <v>0</v>
      </c>
      <c r="AF154" s="37">
        <f>'User Add-in Location'!C159</f>
        <v>0</v>
      </c>
      <c r="AG154" s="721">
        <v>0.59384584426879883</v>
      </c>
      <c r="AH154" s="721">
        <v>0.36632093787193298</v>
      </c>
      <c r="AI154" s="721">
        <v>0.53606575727462769</v>
      </c>
      <c r="AJ154" s="721">
        <v>0.69142836332321167</v>
      </c>
      <c r="AK154" s="721">
        <v>0.35365915298461914</v>
      </c>
      <c r="AL154" s="721">
        <v>0.5423576831817627</v>
      </c>
      <c r="AM154" s="721">
        <v>0.70665228366851807</v>
      </c>
      <c r="AN154" s="721">
        <v>0.42647704482078552</v>
      </c>
      <c r="AO154" s="721">
        <v>0.71197021007537842</v>
      </c>
      <c r="AP154" s="721">
        <v>0.50202709436416626</v>
      </c>
      <c r="AQ154" s="721">
        <v>0.63200736045837402</v>
      </c>
      <c r="AR154" s="721">
        <v>0.6914592981338501</v>
      </c>
      <c r="AS154" s="721">
        <v>0.57098853588104248</v>
      </c>
      <c r="AT154" s="721">
        <v>0.56815105676651001</v>
      </c>
      <c r="AU154" s="721">
        <v>0.49345478415489197</v>
      </c>
      <c r="AV154" s="721">
        <v>0.64106667041778564</v>
      </c>
      <c r="AW154" s="721">
        <v>0.66904920339584351</v>
      </c>
      <c r="AX154" s="721">
        <v>1.1491043567657471</v>
      </c>
      <c r="AY154" s="721">
        <v>0.69354462623596191</v>
      </c>
      <c r="AZ154" s="721">
        <v>0.60115092992782593</v>
      </c>
      <c r="BA154" s="721">
        <v>0.5390934944152832</v>
      </c>
      <c r="BB154" s="721">
        <v>0.57104557752609253</v>
      </c>
      <c r="BC154" s="721">
        <v>0.43364199995994568</v>
      </c>
      <c r="BD154" s="721">
        <v>0.64005172252655029</v>
      </c>
      <c r="BE154" s="721">
        <v>0.33644941449165344</v>
      </c>
    </row>
    <row r="155" spans="1:57" x14ac:dyDescent="0.2">
      <c r="D155" s="721"/>
      <c r="E155" s="721"/>
      <c r="F155" s="721"/>
      <c r="G155" s="721"/>
      <c r="H155" s="721"/>
      <c r="I155" s="721"/>
      <c r="J155" s="721"/>
      <c r="K155" s="721"/>
      <c r="L155" s="721"/>
      <c r="M155" s="721"/>
      <c r="N155" s="721"/>
      <c r="O155" s="721"/>
      <c r="P155" s="721"/>
      <c r="Q155" s="721"/>
      <c r="R155" s="721"/>
      <c r="S155" s="721"/>
      <c r="T155" s="721"/>
      <c r="U155" s="721"/>
      <c r="V155" s="721"/>
      <c r="W155" s="721"/>
      <c r="X155" s="721"/>
      <c r="Y155" s="721"/>
      <c r="Z155" s="721"/>
      <c r="AA155" s="721"/>
      <c r="AB155" s="721"/>
      <c r="AC155" s="721"/>
      <c r="AD155" s="721"/>
      <c r="AG155" s="721"/>
      <c r="AH155" s="721"/>
      <c r="AI155" s="721"/>
      <c r="AJ155" s="721"/>
      <c r="AK155" s="721"/>
      <c r="AL155" s="721"/>
      <c r="AM155" s="721"/>
      <c r="AN155" s="721"/>
      <c r="AO155" s="721"/>
      <c r="AP155" s="721"/>
      <c r="AQ155" s="721"/>
      <c r="AR155" s="721"/>
      <c r="AS155" s="721"/>
      <c r="AT155" s="721"/>
      <c r="AU155" s="721"/>
      <c r="AV155" s="721"/>
      <c r="AW155" s="721"/>
      <c r="AX155" s="721"/>
      <c r="AY155" s="721"/>
      <c r="AZ155" s="721"/>
      <c r="BA155" s="721"/>
      <c r="BB155" s="721"/>
      <c r="BC155" s="721"/>
      <c r="BD155" s="721"/>
      <c r="BE155" s="721"/>
    </row>
    <row r="156" spans="1:57" s="699" customFormat="1" x14ac:dyDescent="0.2">
      <c r="A156" s="228"/>
      <c r="B156" s="229"/>
      <c r="C156" s="700" t="s">
        <v>632</v>
      </c>
      <c r="D156" s="721"/>
      <c r="E156" s="721"/>
      <c r="F156" s="721"/>
      <c r="G156" s="721"/>
      <c r="H156" s="721"/>
      <c r="I156" s="721"/>
      <c r="J156" s="721"/>
      <c r="K156" s="721"/>
      <c r="L156" s="721"/>
      <c r="M156" s="721"/>
      <c r="N156" s="721"/>
      <c r="O156" s="721"/>
      <c r="P156" s="721"/>
      <c r="Q156" s="721"/>
      <c r="R156" s="721"/>
      <c r="S156" s="721"/>
      <c r="T156" s="721"/>
      <c r="U156" s="721"/>
      <c r="V156" s="721"/>
      <c r="W156" s="721"/>
      <c r="X156" s="721"/>
      <c r="Y156" s="721"/>
      <c r="Z156" s="721"/>
      <c r="AA156" s="721"/>
      <c r="AB156" s="721"/>
      <c r="AC156" s="721"/>
      <c r="AD156" s="721"/>
      <c r="AG156" s="721"/>
      <c r="AH156" s="721"/>
      <c r="AI156" s="721"/>
      <c r="AJ156" s="721"/>
      <c r="AK156" s="721"/>
      <c r="AL156" s="721"/>
      <c r="AM156" s="721"/>
      <c r="AN156" s="721"/>
      <c r="AO156" s="721"/>
      <c r="AP156" s="721"/>
      <c r="AQ156" s="721"/>
      <c r="AR156" s="721"/>
      <c r="AS156" s="721"/>
      <c r="AT156" s="721"/>
      <c r="AU156" s="721"/>
      <c r="AV156" s="721"/>
      <c r="AW156" s="721"/>
      <c r="AX156" s="721"/>
      <c r="AY156" s="721"/>
      <c r="AZ156" s="721"/>
      <c r="BA156" s="721"/>
      <c r="BB156" s="721"/>
      <c r="BC156" s="721"/>
      <c r="BD156" s="721"/>
      <c r="BE156" s="721"/>
    </row>
    <row r="157" spans="1:57" s="699" customFormat="1" x14ac:dyDescent="0.2">
      <c r="A157" s="228"/>
      <c r="B157" s="229"/>
      <c r="C157" s="701" t="s">
        <v>633</v>
      </c>
      <c r="D157" s="721" t="s">
        <v>13</v>
      </c>
      <c r="E157" s="721" t="s">
        <v>14</v>
      </c>
      <c r="F157" s="721" t="s">
        <v>15</v>
      </c>
      <c r="G157" s="721" t="s">
        <v>16</v>
      </c>
      <c r="H157" s="721" t="s">
        <v>17</v>
      </c>
      <c r="I157" s="721" t="s">
        <v>18</v>
      </c>
      <c r="J157" s="721" t="s">
        <v>19</v>
      </c>
      <c r="K157" s="721" t="s">
        <v>20</v>
      </c>
      <c r="L157" s="721" t="s">
        <v>21</v>
      </c>
      <c r="M157" s="721" t="s">
        <v>22</v>
      </c>
      <c r="N157" s="721" t="s">
        <v>23</v>
      </c>
      <c r="O157" s="721" t="s">
        <v>24</v>
      </c>
      <c r="P157" s="721" t="s">
        <v>25</v>
      </c>
      <c r="Q157" s="721" t="s">
        <v>26</v>
      </c>
      <c r="R157" s="721" t="s">
        <v>27</v>
      </c>
      <c r="S157" s="721" t="s">
        <v>28</v>
      </c>
      <c r="T157" s="721" t="s">
        <v>29</v>
      </c>
      <c r="U157" s="721" t="s">
        <v>30</v>
      </c>
      <c r="V157" s="721" t="s">
        <v>31</v>
      </c>
      <c r="W157" s="721" t="s">
        <v>32</v>
      </c>
      <c r="X157" s="721" t="s">
        <v>33</v>
      </c>
      <c r="Y157" s="721" t="s">
        <v>34</v>
      </c>
      <c r="Z157" s="721" t="s">
        <v>35</v>
      </c>
      <c r="AA157" s="721" t="s">
        <v>36</v>
      </c>
      <c r="AB157" s="721" t="s">
        <v>37</v>
      </c>
      <c r="AC157" s="721" t="s">
        <v>38</v>
      </c>
      <c r="AD157" s="721" t="s">
        <v>39</v>
      </c>
      <c r="AE157" s="37" t="s">
        <v>151</v>
      </c>
      <c r="AF157" s="37" t="s">
        <v>150</v>
      </c>
      <c r="AG157" s="721" t="s">
        <v>40</v>
      </c>
      <c r="AH157" s="721" t="s">
        <v>41</v>
      </c>
      <c r="AI157" s="721" t="s">
        <v>42</v>
      </c>
      <c r="AJ157" s="721" t="s">
        <v>43</v>
      </c>
      <c r="AK157" s="721" t="s">
        <v>44</v>
      </c>
      <c r="AL157" s="721" t="s">
        <v>45</v>
      </c>
      <c r="AM157" s="721" t="s">
        <v>46</v>
      </c>
      <c r="AN157" s="721" t="s">
        <v>47</v>
      </c>
      <c r="AO157" s="721" t="s">
        <v>48</v>
      </c>
      <c r="AP157" s="721" t="s">
        <v>49</v>
      </c>
      <c r="AQ157" s="721" t="s">
        <v>50</v>
      </c>
      <c r="AR157" s="721" t="s">
        <v>51</v>
      </c>
      <c r="AS157" s="721" t="s">
        <v>52</v>
      </c>
      <c r="AT157" s="721" t="s">
        <v>53</v>
      </c>
      <c r="AU157" s="721" t="s">
        <v>54</v>
      </c>
      <c r="AV157" s="721" t="s">
        <v>55</v>
      </c>
      <c r="AW157" s="721" t="s">
        <v>56</v>
      </c>
      <c r="AX157" s="721" t="s">
        <v>489</v>
      </c>
      <c r="AY157" s="721" t="s">
        <v>57</v>
      </c>
      <c r="AZ157" s="721" t="s">
        <v>58</v>
      </c>
      <c r="BA157" s="721" t="s">
        <v>59</v>
      </c>
      <c r="BB157" s="721" t="s">
        <v>60</v>
      </c>
      <c r="BC157" s="721" t="s">
        <v>61</v>
      </c>
      <c r="BD157" s="721" t="s">
        <v>62</v>
      </c>
      <c r="BE157" s="721" t="s">
        <v>12</v>
      </c>
    </row>
    <row r="158" spans="1:57" s="699" customFormat="1" ht="15" x14ac:dyDescent="0.3">
      <c r="A158" s="228"/>
      <c r="B158" s="229"/>
      <c r="C158" s="702" t="s">
        <v>7</v>
      </c>
      <c r="D158" s="721">
        <v>0.50424414873123169</v>
      </c>
      <c r="E158" s="721">
        <v>0.67526787519454956</v>
      </c>
      <c r="F158" s="721">
        <v>0.64396822452545166</v>
      </c>
      <c r="G158" s="721">
        <v>0.47738602757453918</v>
      </c>
      <c r="H158" s="721">
        <v>0.75849121809005737</v>
      </c>
      <c r="I158" s="721">
        <v>0.51432442665100098</v>
      </c>
      <c r="J158" s="721">
        <v>0.69389969110488892</v>
      </c>
      <c r="K158" s="721">
        <v>0.45536899566650391</v>
      </c>
      <c r="L158" s="721">
        <v>0.19533370435237885</v>
      </c>
      <c r="M158" s="721">
        <v>0.73229837417602539</v>
      </c>
      <c r="N158" s="721">
        <v>0.54175657033920288</v>
      </c>
      <c r="O158" s="721">
        <v>0.73451226949691772</v>
      </c>
      <c r="P158" s="721">
        <v>0.56518316268920898</v>
      </c>
      <c r="Q158" s="721">
        <v>0.47667232155799866</v>
      </c>
      <c r="R158" s="721">
        <v>0.52342331409454346</v>
      </c>
      <c r="S158" s="721">
        <v>0.56665945053100586</v>
      </c>
      <c r="T158" s="721">
        <v>0.46271547675132751</v>
      </c>
      <c r="U158" s="721">
        <v>0.5524059534072876</v>
      </c>
      <c r="V158" s="721">
        <v>0.55842339992523193</v>
      </c>
      <c r="W158" s="721">
        <v>0.61361747980117798</v>
      </c>
      <c r="X158" s="721">
        <v>0.49721989035606384</v>
      </c>
      <c r="Y158" s="721">
        <v>0.74297785758972168</v>
      </c>
      <c r="Z158" s="721">
        <v>0.5746530294418335</v>
      </c>
      <c r="AA158" s="721">
        <v>0.55140715837478638</v>
      </c>
      <c r="AB158" s="721">
        <v>0.53215336799621582</v>
      </c>
      <c r="AC158" s="721">
        <v>0.53555643558502197</v>
      </c>
      <c r="AD158" s="721">
        <v>0.43729567527770996</v>
      </c>
      <c r="AE158" s="37">
        <f>'User Add-in Location'!B163</f>
        <v>0</v>
      </c>
      <c r="AF158" s="37">
        <f>'User Add-in Location'!C163</f>
        <v>0</v>
      </c>
      <c r="AG158" s="721">
        <v>0.46103888750076294</v>
      </c>
      <c r="AH158" s="721">
        <v>0.58860224485397339</v>
      </c>
      <c r="AI158" s="721">
        <v>0.60075926780700684</v>
      </c>
      <c r="AJ158" s="721">
        <v>0.74894177913665771</v>
      </c>
      <c r="AK158" s="721">
        <v>0.5681689977645874</v>
      </c>
      <c r="AL158" s="721">
        <v>0.59071314334869385</v>
      </c>
      <c r="AM158" s="721">
        <v>0.61706876754760742</v>
      </c>
      <c r="AN158" s="721">
        <v>0.46927353739738464</v>
      </c>
      <c r="AO158" s="721">
        <v>0.54528665542602539</v>
      </c>
      <c r="AP158" s="721">
        <v>0.53898674249649048</v>
      </c>
      <c r="AQ158" s="721">
        <v>0.66797447204589844</v>
      </c>
      <c r="AR158" s="721">
        <v>0.56956601142883301</v>
      </c>
      <c r="AS158" s="721">
        <v>0.6860431432723999</v>
      </c>
      <c r="AT158" s="721">
        <v>0.5615379810333252</v>
      </c>
      <c r="AU158" s="721">
        <v>0.48392003774642944</v>
      </c>
      <c r="AV158" s="721">
        <v>0.54671818017959595</v>
      </c>
      <c r="AW158" s="721">
        <v>0.52713954448699951</v>
      </c>
      <c r="AX158" s="721">
        <v>0.5759427547454834</v>
      </c>
      <c r="AY158" s="721">
        <v>0.59457480907440186</v>
      </c>
      <c r="AZ158" s="721">
        <v>0.57605361938476563</v>
      </c>
      <c r="BA158" s="721">
        <v>0.55227828025817871</v>
      </c>
      <c r="BB158" s="721">
        <v>0.70770931243896484</v>
      </c>
      <c r="BC158" s="721">
        <v>0.52408838272094727</v>
      </c>
      <c r="BD158" s="721">
        <v>0.53803354501724243</v>
      </c>
      <c r="BE158" s="721">
        <v>0.53014153242111206</v>
      </c>
    </row>
    <row r="159" spans="1:57" s="699" customFormat="1" ht="15" x14ac:dyDescent="0.3">
      <c r="A159" s="228"/>
      <c r="B159" s="229"/>
      <c r="C159" s="702" t="s">
        <v>77</v>
      </c>
      <c r="D159" s="721">
        <v>0.48979771137237549</v>
      </c>
      <c r="E159" s="721">
        <v>0.84158658981323242</v>
      </c>
      <c r="F159" s="721">
        <v>0.43124273419380188</v>
      </c>
      <c r="G159" s="721">
        <v>0.4699055552482605</v>
      </c>
      <c r="H159" s="721">
        <v>0.67735278606414795</v>
      </c>
      <c r="I159" s="721">
        <v>0.62411272525787354</v>
      </c>
      <c r="J159" s="721">
        <v>0.34601148962974548</v>
      </c>
      <c r="K159" s="721">
        <v>0.31959393620491028</v>
      </c>
      <c r="L159" s="721">
        <v>0.14347924292087555</v>
      </c>
      <c r="M159" s="721">
        <v>0.22117097675800323</v>
      </c>
      <c r="N159" s="721">
        <v>0.4328123927116394</v>
      </c>
      <c r="O159" s="721">
        <v>0.29262754321098328</v>
      </c>
      <c r="P159" s="721">
        <v>0.37038236856460571</v>
      </c>
      <c r="Q159" s="721">
        <v>0.38636079430580139</v>
      </c>
      <c r="R159" s="721">
        <v>0.35808819532394409</v>
      </c>
      <c r="S159" s="721">
        <v>0.36369422078132629</v>
      </c>
      <c r="T159" s="721">
        <v>0.25686752796173096</v>
      </c>
      <c r="U159" s="721">
        <v>0.38286441564559937</v>
      </c>
      <c r="V159" s="721">
        <v>0.69897764921188354</v>
      </c>
      <c r="W159" s="721">
        <v>6.6726192831993103E-2</v>
      </c>
      <c r="X159" s="721">
        <v>0.14967849850654602</v>
      </c>
      <c r="Y159" s="721">
        <v>0.18429121375083923</v>
      </c>
      <c r="Z159" s="721">
        <v>0.24203479290008545</v>
      </c>
      <c r="AA159" s="721">
        <v>0.48182868957519531</v>
      </c>
      <c r="AB159" s="721">
        <v>0.43047848343849182</v>
      </c>
      <c r="AC159" s="721">
        <v>0.35874274373054504</v>
      </c>
      <c r="AD159" s="721">
        <v>0.44427981972694397</v>
      </c>
      <c r="AE159" s="37">
        <f>'User Add-in Location'!B164</f>
        <v>0</v>
      </c>
      <c r="AF159" s="37">
        <f>'User Add-in Location'!C164</f>
        <v>0</v>
      </c>
      <c r="AG159" s="721">
        <v>0.37596458196640015</v>
      </c>
      <c r="AH159" s="721">
        <v>0.53514057397842407</v>
      </c>
      <c r="AI159" s="721">
        <v>0.33316773176193237</v>
      </c>
      <c r="AJ159" s="721">
        <v>0.29466736316680908</v>
      </c>
      <c r="AK159" s="721">
        <v>0.60246801376342773</v>
      </c>
      <c r="AL159" s="721">
        <v>0.25011241436004639</v>
      </c>
      <c r="AM159" s="721">
        <v>0.44154667854309082</v>
      </c>
      <c r="AN159" s="721">
        <v>0.69057905673980713</v>
      </c>
      <c r="AO159" s="721">
        <v>0.38874945044517517</v>
      </c>
      <c r="AP159" s="721">
        <v>0.55141031742095947</v>
      </c>
      <c r="AQ159" s="721">
        <v>0.24252688884735107</v>
      </c>
      <c r="AR159" s="721">
        <v>0.5751800537109375</v>
      </c>
      <c r="AS159" s="721">
        <v>0.25648283958435059</v>
      </c>
      <c r="AT159" s="721">
        <v>0.31850904226303101</v>
      </c>
      <c r="AU159" s="721">
        <v>0.28108453750610352</v>
      </c>
      <c r="AV159" s="721">
        <v>0.40460532903671265</v>
      </c>
      <c r="AW159" s="721">
        <v>0.72671818733215332</v>
      </c>
      <c r="AX159" s="721">
        <v>0.62030529975891113</v>
      </c>
      <c r="AY159" s="721">
        <v>0.55717617273330688</v>
      </c>
      <c r="AZ159" s="721">
        <v>0.46396633982658386</v>
      </c>
      <c r="BA159" s="721">
        <v>0.38282433152198792</v>
      </c>
      <c r="BB159" s="721">
        <v>0.32673206925392151</v>
      </c>
      <c r="BC159" s="721">
        <v>0.42423367500305176</v>
      </c>
      <c r="BD159" s="721">
        <v>0.49484559893608093</v>
      </c>
      <c r="BE159" s="721">
        <v>0.67814290523529053</v>
      </c>
    </row>
    <row r="160" spans="1:57" s="699" customFormat="1" ht="15" x14ac:dyDescent="0.3">
      <c r="A160" s="228"/>
      <c r="B160" s="229"/>
      <c r="C160" s="702" t="s">
        <v>8</v>
      </c>
      <c r="D160" s="721">
        <v>0.37553167343139648</v>
      </c>
      <c r="E160" s="721">
        <v>0.51874905824661255</v>
      </c>
      <c r="F160" s="721">
        <v>0.43433481454849243</v>
      </c>
      <c r="G160" s="721">
        <v>0.34442335367202759</v>
      </c>
      <c r="H160" s="721">
        <v>0.43802809715270996</v>
      </c>
      <c r="I160" s="721">
        <v>0.39802560210227966</v>
      </c>
      <c r="J160" s="721">
        <v>0.414131760597229</v>
      </c>
      <c r="K160" s="721">
        <v>0.39379024505615234</v>
      </c>
      <c r="L160" s="721">
        <v>0.48728728294372559</v>
      </c>
      <c r="M160" s="721">
        <v>0.40639245510101318</v>
      </c>
      <c r="N160" s="721">
        <v>0.37469714879989624</v>
      </c>
      <c r="O160" s="721">
        <v>0.51016062498092651</v>
      </c>
      <c r="P160" s="721">
        <v>0.32925111055374146</v>
      </c>
      <c r="Q160" s="721">
        <v>0.45214009284973145</v>
      </c>
      <c r="R160" s="721">
        <v>0.38561004400253296</v>
      </c>
      <c r="S160" s="721">
        <v>0.39774155616760254</v>
      </c>
      <c r="T160" s="721">
        <v>0.37633466720581055</v>
      </c>
      <c r="U160" s="721">
        <v>0.38281214237213135</v>
      </c>
      <c r="V160" s="721">
        <v>0.43005487322807312</v>
      </c>
      <c r="W160" s="721">
        <v>0.30468118190765381</v>
      </c>
      <c r="X160" s="721">
        <v>0.43645495176315308</v>
      </c>
      <c r="Y160" s="721">
        <v>0.42516887187957764</v>
      </c>
      <c r="Z160" s="721">
        <v>0.37805160880088806</v>
      </c>
      <c r="AA160" s="721">
        <v>0.4466434121131897</v>
      </c>
      <c r="AB160" s="721">
        <v>0.36894333362579346</v>
      </c>
      <c r="AC160" s="721">
        <v>0.363197922706604</v>
      </c>
      <c r="AD160" s="721">
        <v>0.36367535591125488</v>
      </c>
      <c r="AE160" s="37">
        <f>'User Add-in Location'!B165</f>
        <v>0</v>
      </c>
      <c r="AF160" s="37">
        <f>'User Add-in Location'!C165</f>
        <v>0</v>
      </c>
      <c r="AG160" s="721">
        <v>0.41589957475662231</v>
      </c>
      <c r="AH160" s="721">
        <v>0.46875208616256714</v>
      </c>
      <c r="AI160" s="721">
        <v>0.33019822835922241</v>
      </c>
      <c r="AJ160" s="721">
        <v>0.46031272411346436</v>
      </c>
      <c r="AK160" s="721">
        <v>0.39510858058929443</v>
      </c>
      <c r="AL160" s="721">
        <v>0.47305101156234741</v>
      </c>
      <c r="AM160" s="721">
        <v>0.35866385698318481</v>
      </c>
      <c r="AN160" s="721">
        <v>0.45240575075149536</v>
      </c>
      <c r="AO160" s="721">
        <v>0.37791028618812561</v>
      </c>
      <c r="AP160" s="721">
        <v>0.36930108070373535</v>
      </c>
      <c r="AQ160" s="721">
        <v>0.4082091748714447</v>
      </c>
      <c r="AR160" s="721">
        <v>0.39685112237930298</v>
      </c>
      <c r="AS160" s="721">
        <v>0.44564151763916016</v>
      </c>
      <c r="AT160" s="721">
        <v>0.37823575735092163</v>
      </c>
      <c r="AU160" s="721">
        <v>0.35280954837799072</v>
      </c>
      <c r="AV160" s="721">
        <v>0.3499806821346283</v>
      </c>
      <c r="AW160" s="721">
        <v>0.44290107488632202</v>
      </c>
      <c r="AX160" s="721">
        <v>0.41546076536178589</v>
      </c>
      <c r="AY160" s="721">
        <v>0.42713969945907593</v>
      </c>
      <c r="AZ160" s="721">
        <v>0.30109208822250366</v>
      </c>
      <c r="BA160" s="721">
        <v>0.39778441190719604</v>
      </c>
      <c r="BB160" s="721">
        <v>0.45316210389137268</v>
      </c>
      <c r="BC160" s="721">
        <v>0.44775894284248352</v>
      </c>
      <c r="BD160" s="721">
        <v>0.38622736930847168</v>
      </c>
      <c r="BE160" s="721">
        <v>0.47975653409957886</v>
      </c>
    </row>
    <row r="161" spans="1:57" s="699" customFormat="1" ht="15" x14ac:dyDescent="0.3">
      <c r="A161" s="228"/>
      <c r="B161" s="229"/>
      <c r="C161" s="702" t="s">
        <v>78</v>
      </c>
      <c r="D161" s="721">
        <v>0.23354128003120422</v>
      </c>
      <c r="E161" s="721">
        <v>0.17091809213161469</v>
      </c>
      <c r="F161" s="721">
        <v>0.2828947901725769</v>
      </c>
      <c r="G161" s="721">
        <v>0.22446076571941376</v>
      </c>
      <c r="H161" s="721">
        <v>0.31304657459259033</v>
      </c>
      <c r="I161" s="721">
        <v>0.29479125142097473</v>
      </c>
      <c r="J161" s="721">
        <v>0.34335905313491821</v>
      </c>
      <c r="K161" s="721">
        <v>0.21175193786621094</v>
      </c>
      <c r="L161" s="721">
        <v>0.36138606071472168</v>
      </c>
      <c r="M161" s="721">
        <v>0.27029836177825928</v>
      </c>
      <c r="N161" s="721">
        <v>0.28081220388412476</v>
      </c>
      <c r="O161" s="721">
        <v>0.16664054989814758</v>
      </c>
      <c r="P161" s="721">
        <v>0.19283029437065125</v>
      </c>
      <c r="Q161" s="721">
        <v>0.27503806352615356</v>
      </c>
      <c r="R161" s="721">
        <v>0.28206318616867065</v>
      </c>
      <c r="S161" s="721">
        <v>0.22692137956619263</v>
      </c>
      <c r="T161" s="721">
        <v>0.19458138942718506</v>
      </c>
      <c r="U161" s="721">
        <v>0.23546051979064941</v>
      </c>
      <c r="V161" s="721">
        <v>0.22349625825881958</v>
      </c>
      <c r="W161" s="721">
        <v>0.21713751554489136</v>
      </c>
      <c r="X161" s="721">
        <v>0.34444081783294678</v>
      </c>
      <c r="Y161" s="721">
        <v>0.34954386949539185</v>
      </c>
      <c r="Z161" s="721">
        <v>0.26227807998657227</v>
      </c>
      <c r="AA161" s="721">
        <v>0.27622225880622864</v>
      </c>
      <c r="AB161" s="721">
        <v>0.18817761540412903</v>
      </c>
      <c r="AC161" s="721">
        <v>0.24424803256988525</v>
      </c>
      <c r="AD161" s="721">
        <v>0.16402070224285126</v>
      </c>
      <c r="AE161" s="37">
        <f>'User Add-in Location'!B166</f>
        <v>0</v>
      </c>
      <c r="AF161" s="37">
        <f>'User Add-in Location'!C166</f>
        <v>0</v>
      </c>
      <c r="AG161" s="721">
        <v>0.21615272760391235</v>
      </c>
      <c r="AH161" s="721">
        <v>0.30936625599861145</v>
      </c>
      <c r="AI161" s="721">
        <v>0.30686444044113159</v>
      </c>
      <c r="AJ161" s="721">
        <v>0.27392417192459106</v>
      </c>
      <c r="AK161" s="721">
        <v>0.17892944812774658</v>
      </c>
      <c r="AL161" s="721">
        <v>0.30828157067298889</v>
      </c>
      <c r="AM161" s="721">
        <v>0.34152054786682129</v>
      </c>
      <c r="AN161" s="721">
        <v>0.20762717723846436</v>
      </c>
      <c r="AO161" s="721">
        <v>0.26088845729827881</v>
      </c>
      <c r="AP161" s="721">
        <v>0.2138439416885376</v>
      </c>
      <c r="AQ161" s="721">
        <v>0.26693433523178101</v>
      </c>
      <c r="AR161" s="721">
        <v>0.26338651776313782</v>
      </c>
      <c r="AS161" s="721">
        <v>0.27359682321548462</v>
      </c>
      <c r="AT161" s="721">
        <v>0.24412515759468079</v>
      </c>
      <c r="AU161" s="721">
        <v>0.20893937349319458</v>
      </c>
      <c r="AV161" s="721">
        <v>0.26439735293388367</v>
      </c>
      <c r="AW161" s="721">
        <v>0.24605011940002441</v>
      </c>
      <c r="AX161" s="721">
        <v>0.269584059715271</v>
      </c>
      <c r="AY161" s="721">
        <v>0.25126257538795471</v>
      </c>
      <c r="AZ161" s="721">
        <v>0.1985633373260498</v>
      </c>
      <c r="BA161" s="721">
        <v>0.34967878460884094</v>
      </c>
      <c r="BB161" s="721">
        <v>0.30482667684555054</v>
      </c>
      <c r="BC161" s="721">
        <v>0.2011299729347229</v>
      </c>
      <c r="BD161" s="721">
        <v>0.26586779952049255</v>
      </c>
      <c r="BE161" s="721">
        <v>0.13027171790599823</v>
      </c>
    </row>
    <row r="162" spans="1:57" s="699" customFormat="1" ht="15" x14ac:dyDescent="0.3">
      <c r="A162" s="228"/>
      <c r="B162" s="229"/>
      <c r="C162" s="702" t="s">
        <v>634</v>
      </c>
      <c r="D162" s="721">
        <v>0.3334154486656189</v>
      </c>
      <c r="E162" s="721">
        <v>0.25926744937896729</v>
      </c>
      <c r="F162" s="721">
        <v>0.28524085879325867</v>
      </c>
      <c r="G162" s="721">
        <v>0.36087986826896667</v>
      </c>
      <c r="H162" s="721">
        <v>0.33153721690177917</v>
      </c>
      <c r="I162" s="721">
        <v>0.34243497252464294</v>
      </c>
      <c r="J162" s="721">
        <v>0.37593764066696167</v>
      </c>
      <c r="K162" s="721">
        <v>0.33703377842903137</v>
      </c>
      <c r="L162" s="721">
        <v>0</v>
      </c>
      <c r="M162" s="721">
        <v>0.30748486518859863</v>
      </c>
      <c r="N162" s="721">
        <v>0.32897704839706421</v>
      </c>
      <c r="O162" s="721">
        <v>0.27156558632850647</v>
      </c>
      <c r="P162" s="721">
        <v>0.25842329859733582</v>
      </c>
      <c r="Q162" s="721">
        <v>0.35272407531738281</v>
      </c>
      <c r="R162" s="721">
        <v>0.33492976427078247</v>
      </c>
      <c r="S162" s="721">
        <v>0.30193632841110229</v>
      </c>
      <c r="T162" s="721">
        <v>0.32146477699279785</v>
      </c>
      <c r="U162" s="721">
        <v>0.32885268330574036</v>
      </c>
      <c r="V162" s="721">
        <v>0.36938807368278503</v>
      </c>
      <c r="W162" s="721">
        <v>0.31709447503089905</v>
      </c>
      <c r="X162" s="721">
        <v>0.32458120584487915</v>
      </c>
      <c r="Y162" s="721">
        <v>0.39276406168937683</v>
      </c>
      <c r="Z162" s="721">
        <v>0.33672195672988892</v>
      </c>
      <c r="AA162" s="721">
        <v>0.36668401956558228</v>
      </c>
      <c r="AB162" s="721">
        <v>0.28141385316848755</v>
      </c>
      <c r="AC162" s="721">
        <v>0.3292711079120636</v>
      </c>
      <c r="AD162" s="721">
        <v>0.27791374921798706</v>
      </c>
      <c r="AE162" s="37">
        <f>'User Add-in Location'!B167</f>
        <v>0</v>
      </c>
      <c r="AF162" s="37">
        <f>'User Add-in Location'!C167</f>
        <v>0</v>
      </c>
      <c r="AG162" s="721">
        <v>0.35012215375900269</v>
      </c>
      <c r="AH162" s="721">
        <v>0.31956231594085693</v>
      </c>
      <c r="AI162" s="721">
        <v>0.34912237524986267</v>
      </c>
      <c r="AJ162" s="721">
        <v>0.36216112971305847</v>
      </c>
      <c r="AK162" s="721">
        <v>0.21639516949653625</v>
      </c>
      <c r="AL162" s="721">
        <v>0.34369349479675293</v>
      </c>
      <c r="AM162" s="721">
        <v>0.31300029158592224</v>
      </c>
      <c r="AN162" s="721">
        <v>0.32501274347305298</v>
      </c>
      <c r="AO162" s="721">
        <v>0.34923505783081055</v>
      </c>
      <c r="AP162" s="721">
        <v>0.3835720419883728</v>
      </c>
      <c r="AQ162" s="721">
        <v>0.32062080502510071</v>
      </c>
      <c r="AR162" s="721">
        <v>0.33293095231056213</v>
      </c>
      <c r="AS162" s="721">
        <v>0.2599814236164093</v>
      </c>
      <c r="AT162" s="721">
        <v>0.35180163383483887</v>
      </c>
      <c r="AU162" s="721">
        <v>0.30876505374908447</v>
      </c>
      <c r="AV162" s="721">
        <v>0.35241228342056274</v>
      </c>
      <c r="AW162" s="721">
        <v>0.36300253868103027</v>
      </c>
      <c r="AX162" s="721">
        <v>0.34463921189308167</v>
      </c>
      <c r="AY162" s="721">
        <v>0.30795034766197205</v>
      </c>
      <c r="AZ162" s="721">
        <v>0.30435237288475037</v>
      </c>
      <c r="BA162" s="721">
        <v>0.38878336548805237</v>
      </c>
      <c r="BB162" s="721">
        <v>0.36855486035346985</v>
      </c>
      <c r="BC162" s="721">
        <v>0.26275160908699036</v>
      </c>
      <c r="BD162" s="721">
        <v>0.34251651167869568</v>
      </c>
      <c r="BE162" s="721">
        <v>0.30570399761199951</v>
      </c>
    </row>
    <row r="163" spans="1:57" s="699" customFormat="1" ht="15" x14ac:dyDescent="0.3">
      <c r="A163" s="228"/>
      <c r="B163" s="229"/>
      <c r="C163" s="702" t="s">
        <v>80</v>
      </c>
      <c r="D163" s="721">
        <v>0.19938060641288757</v>
      </c>
      <c r="E163" s="721">
        <v>0.19998127222061157</v>
      </c>
      <c r="F163" s="721">
        <v>0.29544246196746826</v>
      </c>
      <c r="G163" s="721">
        <v>0.21752795577049255</v>
      </c>
      <c r="H163" s="721">
        <v>0.30251145362854004</v>
      </c>
      <c r="I163" s="721">
        <v>0.20516471564769745</v>
      </c>
      <c r="J163" s="721">
        <v>0.29549726843833923</v>
      </c>
      <c r="K163" s="721">
        <v>0.32128521800041199</v>
      </c>
      <c r="L163" s="721">
        <v>5.68656325340271E-2</v>
      </c>
      <c r="M163" s="721">
        <v>0.19282262027263641</v>
      </c>
      <c r="N163" s="721">
        <v>0.27193588018417358</v>
      </c>
      <c r="O163" s="721">
        <v>7.9796187579631805E-2</v>
      </c>
      <c r="P163" s="721">
        <v>0.19599002599716187</v>
      </c>
      <c r="Q163" s="721">
        <v>0.34180209040641785</v>
      </c>
      <c r="R163" s="721">
        <v>0.2316608726978302</v>
      </c>
      <c r="S163" s="721">
        <v>0.31102955341339111</v>
      </c>
      <c r="T163" s="721">
        <v>0.19322606921195984</v>
      </c>
      <c r="U163" s="721">
        <v>0.21472352743148804</v>
      </c>
      <c r="V163" s="721">
        <v>0.2232418954372406</v>
      </c>
      <c r="W163" s="721">
        <v>0.23029355704784393</v>
      </c>
      <c r="X163" s="721">
        <v>0.16788119077682495</v>
      </c>
      <c r="Y163" s="721">
        <v>0.31367993354797363</v>
      </c>
      <c r="Z163" s="721">
        <v>0.27787035703659058</v>
      </c>
      <c r="AA163" s="721">
        <v>0.24121341109275818</v>
      </c>
      <c r="AB163" s="721">
        <v>0.19489863514900208</v>
      </c>
      <c r="AC163" s="721">
        <v>0.1262073814868927</v>
      </c>
      <c r="AD163" s="721">
        <v>9.4265803694725037E-2</v>
      </c>
      <c r="AE163" s="37">
        <f>'User Add-in Location'!B168</f>
        <v>0</v>
      </c>
      <c r="AF163" s="37">
        <f>'User Add-in Location'!C168</f>
        <v>0</v>
      </c>
      <c r="AG163" s="721">
        <v>0.31564843654632568</v>
      </c>
      <c r="AH163" s="721">
        <v>0.20809844136238098</v>
      </c>
      <c r="AI163" s="721">
        <v>0.44761037826538086</v>
      </c>
      <c r="AJ163" s="721">
        <v>0.32838395237922668</v>
      </c>
      <c r="AK163" s="721">
        <v>0.15247949957847595</v>
      </c>
      <c r="AL163" s="721">
        <v>0.30127441883087158</v>
      </c>
      <c r="AM163" s="721">
        <v>0.3431171178817749</v>
      </c>
      <c r="AN163" s="721">
        <v>0.27394726872444153</v>
      </c>
      <c r="AO163" s="721">
        <v>0.27780348062515259</v>
      </c>
      <c r="AP163" s="721">
        <v>0.33325099945068359</v>
      </c>
      <c r="AQ163" s="721">
        <v>0.24773679673671722</v>
      </c>
      <c r="AR163" s="721">
        <v>0.27396887540817261</v>
      </c>
      <c r="AS163" s="721">
        <v>0.34547042846679688</v>
      </c>
      <c r="AT163" s="721">
        <v>0.27743840217590332</v>
      </c>
      <c r="AU163" s="721">
        <v>0.2148195207118988</v>
      </c>
      <c r="AV163" s="721">
        <v>0.25295570492744446</v>
      </c>
      <c r="AW163" s="721">
        <v>0.30720329284667969</v>
      </c>
      <c r="AX163" s="721">
        <v>0.27470982074737549</v>
      </c>
      <c r="AY163" s="721">
        <v>0.23079165816307068</v>
      </c>
      <c r="AZ163" s="721">
        <v>0.34185546636581421</v>
      </c>
      <c r="BA163" s="721">
        <v>0.27974194288253784</v>
      </c>
      <c r="BB163" s="721">
        <v>0.26457270979881287</v>
      </c>
      <c r="BC163" s="721">
        <v>0.27954354882240295</v>
      </c>
      <c r="BD163" s="721">
        <v>0.24629314243793488</v>
      </c>
      <c r="BE163" s="721">
        <v>0.12977989017963409</v>
      </c>
    </row>
    <row r="164" spans="1:57" s="699" customFormat="1" ht="15" x14ac:dyDescent="0.3">
      <c r="A164" s="228"/>
      <c r="B164" s="229"/>
      <c r="C164" s="702" t="s">
        <v>635</v>
      </c>
      <c r="D164" s="721">
        <v>0.25491926074028015</v>
      </c>
      <c r="E164" s="721">
        <v>0</v>
      </c>
      <c r="F164" s="721">
        <v>0.32142481207847595</v>
      </c>
      <c r="G164" s="721">
        <v>0.26802176237106323</v>
      </c>
      <c r="H164" s="721">
        <v>0.40665298700332642</v>
      </c>
      <c r="I164" s="721">
        <v>0.29897242784500122</v>
      </c>
      <c r="J164" s="721">
        <v>0.3350600004196167</v>
      </c>
      <c r="K164" s="721">
        <v>0.36432507634162903</v>
      </c>
      <c r="L164" s="721">
        <v>0.57924866676330566</v>
      </c>
      <c r="M164" s="721">
        <v>0.29529684782028198</v>
      </c>
      <c r="N164" s="721">
        <v>0.28016254305839539</v>
      </c>
      <c r="O164" s="721">
        <v>0.28410571813583374</v>
      </c>
      <c r="P164" s="721">
        <v>0.32563406229019165</v>
      </c>
      <c r="Q164" s="721">
        <v>0.35180968046188354</v>
      </c>
      <c r="R164" s="721">
        <v>0.36607074737548828</v>
      </c>
      <c r="S164" s="721">
        <v>0.2859666645526886</v>
      </c>
      <c r="T164" s="721">
        <v>0.35914629697799683</v>
      </c>
      <c r="U164" s="721">
        <v>0.2519567608833313</v>
      </c>
      <c r="V164" s="721">
        <v>0.35354095697402954</v>
      </c>
      <c r="W164" s="721">
        <v>0.34028452634811401</v>
      </c>
      <c r="X164" s="721">
        <v>0.30916747450828552</v>
      </c>
      <c r="Y164" s="721">
        <v>0.36091846227645874</v>
      </c>
      <c r="Z164" s="721">
        <v>0.24647538363933563</v>
      </c>
      <c r="AA164" s="721">
        <v>0.24076443910598755</v>
      </c>
      <c r="AB164" s="721">
        <v>0.18719156086444855</v>
      </c>
      <c r="AC164" s="721">
        <v>0.46239680051803589</v>
      </c>
      <c r="AD164" s="721">
        <v>0.1483234167098999</v>
      </c>
      <c r="AE164" s="37">
        <f>'User Add-in Location'!B169</f>
        <v>0</v>
      </c>
      <c r="AF164" s="37">
        <f>'User Add-in Location'!C169</f>
        <v>0</v>
      </c>
      <c r="AG164" s="721">
        <v>0.33438414335250854</v>
      </c>
      <c r="AH164" s="721">
        <v>0.48191541433334351</v>
      </c>
      <c r="AI164" s="721">
        <v>0.30428919196128845</v>
      </c>
      <c r="AJ164" s="721">
        <v>0.31450337171554565</v>
      </c>
      <c r="AK164" s="721">
        <v>0.46016871929168701</v>
      </c>
      <c r="AL164" s="721">
        <v>0.28106766939163208</v>
      </c>
      <c r="AM164" s="721">
        <v>0.32458078861236572</v>
      </c>
      <c r="AN164" s="721">
        <v>0.19788344204425812</v>
      </c>
      <c r="AO164" s="721">
        <v>0.28638860583305359</v>
      </c>
      <c r="AP164" s="721">
        <v>0.29194074869155884</v>
      </c>
      <c r="AQ164" s="721">
        <v>0.67159843444824219</v>
      </c>
      <c r="AR164" s="721">
        <v>0.33805370330810547</v>
      </c>
      <c r="AS164" s="721">
        <v>0.24410334229469299</v>
      </c>
      <c r="AT164" s="721">
        <v>0.38518643379211426</v>
      </c>
      <c r="AU164" s="721">
        <v>0.21638785302639008</v>
      </c>
      <c r="AV164" s="721">
        <v>0.36556684970855713</v>
      </c>
      <c r="AW164" s="721">
        <v>0.3823811411857605</v>
      </c>
      <c r="AX164" s="721">
        <v>0.41597437858581543</v>
      </c>
      <c r="AY164" s="721">
        <v>0.231302410364151</v>
      </c>
      <c r="AZ164" s="721">
        <v>0.18012963235378265</v>
      </c>
      <c r="BA164" s="721">
        <v>0.27051845192909241</v>
      </c>
      <c r="BB164" s="721">
        <v>0.31392258405685425</v>
      </c>
      <c r="BC164" s="721">
        <v>0.20322722196578979</v>
      </c>
      <c r="BD164" s="721">
        <v>0.25829565525054932</v>
      </c>
      <c r="BE164" s="721">
        <v>0.18523848056793213</v>
      </c>
    </row>
    <row r="165" spans="1:57" s="699" customFormat="1" ht="15" x14ac:dyDescent="0.3">
      <c r="A165" s="228"/>
      <c r="B165" s="229"/>
      <c r="C165" s="702" t="s">
        <v>82</v>
      </c>
      <c r="D165" s="721">
        <v>0.34620967507362366</v>
      </c>
      <c r="E165" s="721">
        <v>0.57495343685150146</v>
      </c>
      <c r="F165" s="721">
        <v>0.4291648268699646</v>
      </c>
      <c r="G165" s="721">
        <v>0.40221738815307617</v>
      </c>
      <c r="H165" s="721">
        <v>0.43628072738647461</v>
      </c>
      <c r="I165" s="721">
        <v>0.44417107105255127</v>
      </c>
      <c r="J165" s="721">
        <v>0.45947578549385071</v>
      </c>
      <c r="K165" s="721">
        <v>0.36396294832229614</v>
      </c>
      <c r="L165" s="721">
        <v>0.45344072580337524</v>
      </c>
      <c r="M165" s="721">
        <v>0.42526578903198242</v>
      </c>
      <c r="N165" s="721">
        <v>0.40202033519744873</v>
      </c>
      <c r="O165" s="721">
        <v>0.40491282939910889</v>
      </c>
      <c r="P165" s="721">
        <v>0.38838851451873779</v>
      </c>
      <c r="Q165" s="721">
        <v>0.40960180759429932</v>
      </c>
      <c r="R165" s="721">
        <v>0.37640875577926636</v>
      </c>
      <c r="S165" s="721">
        <v>0.40584754943847656</v>
      </c>
      <c r="T165" s="721">
        <v>0.41855990886688232</v>
      </c>
      <c r="U165" s="721">
        <v>0.36861002445220947</v>
      </c>
      <c r="V165" s="721">
        <v>0.37222772836685181</v>
      </c>
      <c r="W165" s="721">
        <v>0.44010582566261292</v>
      </c>
      <c r="X165" s="721">
        <v>0.41409224271774292</v>
      </c>
      <c r="Y165" s="721">
        <v>0.41887730360031128</v>
      </c>
      <c r="Z165" s="721">
        <v>0.39136433601379395</v>
      </c>
      <c r="AA165" s="721">
        <v>0.39623647928237915</v>
      </c>
      <c r="AB165" s="721">
        <v>0.36346107721328735</v>
      </c>
      <c r="AC165" s="721">
        <v>0.4237702488899231</v>
      </c>
      <c r="AD165" s="721">
        <v>0.40728014707565308</v>
      </c>
      <c r="AE165" s="37">
        <f>'User Add-in Location'!B170</f>
        <v>0</v>
      </c>
      <c r="AF165" s="37">
        <f>'User Add-in Location'!C170</f>
        <v>0</v>
      </c>
      <c r="AG165" s="721">
        <v>0.57013750076293945</v>
      </c>
      <c r="AH165" s="721">
        <v>0</v>
      </c>
      <c r="AI165" s="721">
        <v>0.41467434167861938</v>
      </c>
      <c r="AJ165" s="721">
        <v>0.48684394359588623</v>
      </c>
      <c r="AK165" s="721">
        <v>0.39722740650177002</v>
      </c>
      <c r="AL165" s="721">
        <v>0.40347814559936523</v>
      </c>
      <c r="AM165" s="721">
        <v>0.42536872625350952</v>
      </c>
      <c r="AN165" s="721">
        <v>0.45035415887832642</v>
      </c>
      <c r="AO165" s="721">
        <v>0.46037390828132629</v>
      </c>
      <c r="AP165" s="721">
        <v>0.46225142478942871</v>
      </c>
      <c r="AQ165" s="721">
        <v>0.46134251356124878</v>
      </c>
      <c r="AR165" s="721">
        <v>0.43631505966186523</v>
      </c>
      <c r="AS165" s="721">
        <v>0.43269878625869751</v>
      </c>
      <c r="AT165" s="721">
        <v>0.36477726697921753</v>
      </c>
      <c r="AU165" s="721">
        <v>0.37344425916671753</v>
      </c>
      <c r="AV165" s="721">
        <v>0.36836880445480347</v>
      </c>
      <c r="AW165" s="721">
        <v>0.47173398733139038</v>
      </c>
      <c r="AX165" s="721">
        <v>0.4262402355670929</v>
      </c>
      <c r="AY165" s="721">
        <v>0.39853164553642273</v>
      </c>
      <c r="AZ165" s="721">
        <v>0.36080420017242432</v>
      </c>
      <c r="BA165" s="721">
        <v>0.43853053450584412</v>
      </c>
      <c r="BB165" s="721">
        <v>0.45247888565063477</v>
      </c>
      <c r="BC165" s="721">
        <v>0.32941213250160217</v>
      </c>
      <c r="BD165" s="721">
        <v>0.41677859425544739</v>
      </c>
      <c r="BE165" s="721">
        <v>0.45289656519889832</v>
      </c>
    </row>
    <row r="166" spans="1:57" s="699" customFormat="1" ht="15" x14ac:dyDescent="0.3">
      <c r="A166" s="228"/>
      <c r="B166" s="229"/>
      <c r="C166" s="702" t="s">
        <v>636</v>
      </c>
      <c r="D166" s="721">
        <v>0.60554563999176025</v>
      </c>
      <c r="E166" s="721">
        <v>0.64818215370178223</v>
      </c>
      <c r="F166" s="721">
        <v>0.63109225034713745</v>
      </c>
      <c r="G166" s="721">
        <v>0.65155929327011108</v>
      </c>
      <c r="H166" s="721">
        <v>0.66214662790298462</v>
      </c>
      <c r="I166" s="721">
        <v>0.63339495658874512</v>
      </c>
      <c r="J166" s="721">
        <v>0.69715112447738647</v>
      </c>
      <c r="K166" s="721">
        <v>0.66305011510848999</v>
      </c>
      <c r="L166" s="721">
        <v>0.68592172861099243</v>
      </c>
      <c r="M166" s="721">
        <v>0.6419837474822998</v>
      </c>
      <c r="N166" s="721">
        <v>0.65342998504638672</v>
      </c>
      <c r="O166" s="721">
        <v>0.56086361408233643</v>
      </c>
      <c r="P166" s="721">
        <v>0.57618522644042969</v>
      </c>
      <c r="Q166" s="721">
        <v>0.66077917814254761</v>
      </c>
      <c r="R166" s="721">
        <v>0.61169850826263428</v>
      </c>
      <c r="S166" s="721">
        <v>0.59965634346008301</v>
      </c>
      <c r="T166" s="721">
        <v>0.62831920385360718</v>
      </c>
      <c r="U166" s="721">
        <v>0.63288748264312744</v>
      </c>
      <c r="V166" s="721">
        <v>0.62805438041687012</v>
      </c>
      <c r="W166" s="721">
        <v>0.60804367065429688</v>
      </c>
      <c r="X166" s="721">
        <v>0.64604425430297852</v>
      </c>
      <c r="Y166" s="721">
        <v>0.6615985631942749</v>
      </c>
      <c r="Z166" s="721">
        <v>0.64317941665649414</v>
      </c>
      <c r="AA166" s="721">
        <v>0.63386666774749756</v>
      </c>
      <c r="AB166" s="721">
        <v>0.59467810392379761</v>
      </c>
      <c r="AC166" s="721">
        <v>0.6143718957901001</v>
      </c>
      <c r="AD166" s="721">
        <v>0.59131753444671631</v>
      </c>
      <c r="AE166" s="37">
        <f>'User Add-in Location'!B171</f>
        <v>0</v>
      </c>
      <c r="AF166" s="37">
        <f>'User Add-in Location'!C171</f>
        <v>0</v>
      </c>
      <c r="AG166" s="721">
        <v>0.60255837440490723</v>
      </c>
      <c r="AH166" s="721">
        <v>0.6169707179069519</v>
      </c>
      <c r="AI166" s="721">
        <v>0.63193458318710327</v>
      </c>
      <c r="AJ166" s="721">
        <v>0.68668866157531738</v>
      </c>
      <c r="AK166" s="721">
        <v>0.56109678745269775</v>
      </c>
      <c r="AL166" s="721">
        <v>0.67914187908172607</v>
      </c>
      <c r="AM166" s="721">
        <v>0.61696851253509521</v>
      </c>
      <c r="AN166" s="721">
        <v>0.64388996362686157</v>
      </c>
      <c r="AO166" s="721">
        <v>0.62291717529296875</v>
      </c>
      <c r="AP166" s="721">
        <v>0.61827945709228516</v>
      </c>
      <c r="AQ166" s="721">
        <v>0.61343657970428467</v>
      </c>
      <c r="AR166" s="721">
        <v>0.653999924659729</v>
      </c>
      <c r="AS166" s="721">
        <v>0.62838709354400635</v>
      </c>
      <c r="AT166" s="721">
        <v>0.62759196758270264</v>
      </c>
      <c r="AU166" s="721">
        <v>0.60625237226486206</v>
      </c>
      <c r="AV166" s="721">
        <v>0.62950026988983154</v>
      </c>
      <c r="AW166" s="721">
        <v>0.67355620861053467</v>
      </c>
      <c r="AX166" s="721">
        <v>0.64731824398040771</v>
      </c>
      <c r="AY166" s="721">
        <v>0.59583687782287598</v>
      </c>
      <c r="AZ166" s="721">
        <v>0.58076786994934082</v>
      </c>
      <c r="BA166" s="721">
        <v>0.63570326566696167</v>
      </c>
      <c r="BB166" s="721">
        <v>0.65410542488098145</v>
      </c>
      <c r="BC166" s="721">
        <v>0.6070823073387146</v>
      </c>
      <c r="BD166" s="721">
        <v>0.60228252410888672</v>
      </c>
      <c r="BE166" s="721">
        <v>0.647422194480896</v>
      </c>
    </row>
    <row r="167" spans="1:57" s="699" customFormat="1" ht="15" x14ac:dyDescent="0.3">
      <c r="A167" s="228"/>
      <c r="B167" s="229"/>
      <c r="C167" s="702" t="s">
        <v>637</v>
      </c>
      <c r="D167" s="721">
        <v>0.65963315963745117</v>
      </c>
      <c r="E167" s="721">
        <v>0.65112537145614624</v>
      </c>
      <c r="F167" s="721">
        <v>0.67559123039245605</v>
      </c>
      <c r="G167" s="721">
        <v>0.63756126165390015</v>
      </c>
      <c r="H167" s="721">
        <v>0.70588147640228271</v>
      </c>
      <c r="I167" s="721">
        <v>0.64711141586303711</v>
      </c>
      <c r="J167" s="721">
        <v>0.68139100074768066</v>
      </c>
      <c r="K167" s="721">
        <v>0.62154793739318848</v>
      </c>
      <c r="L167" s="721">
        <v>0.68365055322647095</v>
      </c>
      <c r="M167" s="721">
        <v>0.65668529272079468</v>
      </c>
      <c r="N167" s="721">
        <v>0.64390319585800171</v>
      </c>
      <c r="O167" s="721">
        <v>0.68666952848434448</v>
      </c>
      <c r="P167" s="721">
        <v>0.62846821546554565</v>
      </c>
      <c r="Q167" s="721">
        <v>0.65417653322219849</v>
      </c>
      <c r="R167" s="721">
        <v>0.62773513793945313</v>
      </c>
      <c r="S167" s="721">
        <v>0.60197991132736206</v>
      </c>
      <c r="T167" s="721">
        <v>0.64278435707092285</v>
      </c>
      <c r="U167" s="721">
        <v>0.61176472902297974</v>
      </c>
      <c r="V167" s="721">
        <v>0.65951991081237793</v>
      </c>
      <c r="W167" s="721">
        <v>0.63072043657302856</v>
      </c>
      <c r="X167" s="721">
        <v>0.65969967842102051</v>
      </c>
      <c r="Y167" s="721">
        <v>0.64436084032058716</v>
      </c>
      <c r="Z167" s="721">
        <v>0.65985262393951416</v>
      </c>
      <c r="AA167" s="721">
        <v>0.6408926248550415</v>
      </c>
      <c r="AB167" s="721">
        <v>0.63962066173553467</v>
      </c>
      <c r="AC167" s="721">
        <v>0.62164402008056641</v>
      </c>
      <c r="AD167" s="721">
        <v>0.58811318874359131</v>
      </c>
      <c r="AE167" s="37">
        <f>'User Add-in Location'!B172</f>
        <v>0</v>
      </c>
      <c r="AF167" s="37">
        <f>'User Add-in Location'!C172</f>
        <v>0</v>
      </c>
      <c r="AG167" s="721">
        <v>0.615226149559021</v>
      </c>
      <c r="AH167" s="721">
        <v>0.56238925457000732</v>
      </c>
      <c r="AI167" s="721">
        <v>0.63415038585662842</v>
      </c>
      <c r="AJ167" s="721">
        <v>0.6891406774520874</v>
      </c>
      <c r="AK167" s="721">
        <v>0.63423556089401245</v>
      </c>
      <c r="AL167" s="721">
        <v>0.68704748153686523</v>
      </c>
      <c r="AM167" s="721">
        <v>0.61253350973129272</v>
      </c>
      <c r="AN167" s="721">
        <v>0.6381416916847229</v>
      </c>
      <c r="AO167" s="721">
        <v>0.64264094829559326</v>
      </c>
      <c r="AP167" s="721">
        <v>0.64126467704772949</v>
      </c>
      <c r="AQ167" s="721">
        <v>0.60266512632369995</v>
      </c>
      <c r="AR167" s="721">
        <v>0.62366414070129395</v>
      </c>
      <c r="AS167" s="721">
        <v>0.65676510334014893</v>
      </c>
      <c r="AT167" s="721">
        <v>0.64061206579208374</v>
      </c>
      <c r="AU167" s="721">
        <v>0.62378942966461182</v>
      </c>
      <c r="AV167" s="721">
        <v>0.6545225977897644</v>
      </c>
      <c r="AW167" s="721">
        <v>0.68147575855255127</v>
      </c>
      <c r="AX167" s="721">
        <v>0.66044485569000244</v>
      </c>
      <c r="AY167" s="721">
        <v>0.6410142183303833</v>
      </c>
      <c r="AZ167" s="721">
        <v>0.64250493049621582</v>
      </c>
      <c r="BA167" s="721">
        <v>0.64097046852111816</v>
      </c>
      <c r="BB167" s="721">
        <v>0.71759647130966187</v>
      </c>
      <c r="BC167" s="721">
        <v>0.63121145963668823</v>
      </c>
      <c r="BD167" s="721">
        <v>0.61891579627990723</v>
      </c>
      <c r="BE167" s="721">
        <v>0.64141154289245605</v>
      </c>
    </row>
    <row r="168" spans="1:57" s="699" customFormat="1" ht="15" x14ac:dyDescent="0.3">
      <c r="A168" s="228"/>
      <c r="B168" s="229"/>
      <c r="C168" s="702" t="s">
        <v>83</v>
      </c>
      <c r="D168" s="721">
        <v>0.5524289608001709</v>
      </c>
      <c r="E168" s="721">
        <v>0.66240429878234863</v>
      </c>
      <c r="F168" s="721">
        <v>0.55867129564285278</v>
      </c>
      <c r="G168" s="721">
        <v>0.55785298347473145</v>
      </c>
      <c r="H168" s="721">
        <v>0.66003161668777466</v>
      </c>
      <c r="I168" s="721">
        <v>0.54839754104614258</v>
      </c>
      <c r="J168" s="721">
        <v>0.6571662425994873</v>
      </c>
      <c r="K168" s="721">
        <v>0.75532293319702148</v>
      </c>
      <c r="L168" s="721">
        <v>0.74543642997741699</v>
      </c>
      <c r="M168" s="721">
        <v>0.54067468643188477</v>
      </c>
      <c r="N168" s="721">
        <v>0.61434733867645264</v>
      </c>
      <c r="O168" s="721">
        <v>0.64917272329330444</v>
      </c>
      <c r="P168" s="721">
        <v>0.49399596452713013</v>
      </c>
      <c r="Q168" s="721">
        <v>0.64017629623413086</v>
      </c>
      <c r="R168" s="721">
        <v>0.58951836824417114</v>
      </c>
      <c r="S168" s="721">
        <v>0.60733747482299805</v>
      </c>
      <c r="T168" s="721">
        <v>0.55207067728042603</v>
      </c>
      <c r="U168" s="721">
        <v>0.55288171768188477</v>
      </c>
      <c r="V168" s="721">
        <v>0.55375254154205322</v>
      </c>
      <c r="W168" s="721">
        <v>0.60872584581375122</v>
      </c>
      <c r="X168" s="721">
        <v>0.65005290508270264</v>
      </c>
      <c r="Y168" s="721">
        <v>0.67042583227157593</v>
      </c>
      <c r="Z168" s="721">
        <v>0.5780491828918457</v>
      </c>
      <c r="AA168" s="721">
        <v>0.59144353866577148</v>
      </c>
      <c r="AB168" s="721">
        <v>0.51632797718048096</v>
      </c>
      <c r="AC168" s="721">
        <v>0.59554684162139893</v>
      </c>
      <c r="AD168" s="721">
        <v>0.55739229917526245</v>
      </c>
      <c r="AE168" s="37">
        <f>'User Add-in Location'!B173</f>
        <v>0</v>
      </c>
      <c r="AF168" s="37">
        <f>'User Add-in Location'!C173</f>
        <v>0</v>
      </c>
      <c r="AG168" s="721">
        <v>0.58114933967590332</v>
      </c>
      <c r="AH168" s="721">
        <v>0</v>
      </c>
      <c r="AI168" s="721">
        <v>0.6266171932220459</v>
      </c>
      <c r="AJ168" s="721">
        <v>0.63442015647888184</v>
      </c>
      <c r="AK168" s="721">
        <v>0.59691101312637329</v>
      </c>
      <c r="AL168" s="721">
        <v>0.75784540176391602</v>
      </c>
      <c r="AM168" s="721">
        <v>0.66278839111328125</v>
      </c>
      <c r="AN168" s="721">
        <v>0.58253145217895508</v>
      </c>
      <c r="AO168" s="721">
        <v>0.63457369804382324</v>
      </c>
      <c r="AP168" s="721">
        <v>0.51870805025100708</v>
      </c>
      <c r="AQ168" s="721">
        <v>0.59640014171600342</v>
      </c>
      <c r="AR168" s="721">
        <v>0.59996426105499268</v>
      </c>
      <c r="AS168" s="721">
        <v>0.65094953775405884</v>
      </c>
      <c r="AT168" s="721">
        <v>0.55329352617263794</v>
      </c>
      <c r="AU168" s="721">
        <v>0.671478271484375</v>
      </c>
      <c r="AV168" s="721">
        <v>0.59549838304519653</v>
      </c>
      <c r="AW168" s="721">
        <v>0.53452605009078979</v>
      </c>
      <c r="AX168" s="721">
        <v>0.62653046846389771</v>
      </c>
      <c r="AY168" s="721">
        <v>0.57602077722549438</v>
      </c>
      <c r="AZ168" s="721">
        <v>0.61078023910522461</v>
      </c>
      <c r="BA168" s="721">
        <v>0.63324850797653198</v>
      </c>
      <c r="BB168" s="721">
        <v>0.63547855615615845</v>
      </c>
      <c r="BC168" s="721">
        <v>0.59812033176422119</v>
      </c>
      <c r="BD168" s="721">
        <v>0.59235548973083496</v>
      </c>
      <c r="BE168" s="721">
        <v>0.53896188735961914</v>
      </c>
    </row>
    <row r="169" spans="1:57" s="699" customFormat="1" ht="15" x14ac:dyDescent="0.3">
      <c r="A169" s="228"/>
      <c r="B169" s="229"/>
      <c r="C169" s="702" t="s">
        <v>638</v>
      </c>
      <c r="D169" s="721">
        <v>0.56248891353607178</v>
      </c>
      <c r="E169" s="721">
        <v>0.60041522979736328</v>
      </c>
      <c r="F169" s="721">
        <v>0.58261537551879883</v>
      </c>
      <c r="G169" s="721">
        <v>0.51675105094909668</v>
      </c>
      <c r="H169" s="721">
        <v>0.65775865316390991</v>
      </c>
      <c r="I169" s="721">
        <v>0.60806566476821899</v>
      </c>
      <c r="J169" s="721">
        <v>0.63449722528457642</v>
      </c>
      <c r="K169" s="721">
        <v>0.66232842206954956</v>
      </c>
      <c r="L169" s="721">
        <v>0.74176013469696045</v>
      </c>
      <c r="M169" s="721">
        <v>0.60848498344421387</v>
      </c>
      <c r="N169" s="721">
        <v>0.61695432662963867</v>
      </c>
      <c r="O169" s="721">
        <v>0.56003010272979736</v>
      </c>
      <c r="P169" s="721">
        <v>0.52298444509506226</v>
      </c>
      <c r="Q169" s="721">
        <v>0.66569489240646362</v>
      </c>
      <c r="R169" s="721">
        <v>0.60293805599212646</v>
      </c>
      <c r="S169" s="721">
        <v>0.53541797399520874</v>
      </c>
      <c r="T169" s="721">
        <v>0.55154669284820557</v>
      </c>
      <c r="U169" s="721">
        <v>0.54209136962890625</v>
      </c>
      <c r="V169" s="721">
        <v>0.59781807661056519</v>
      </c>
      <c r="W169" s="721">
        <v>0.53335440158843994</v>
      </c>
      <c r="X169" s="721">
        <v>0.61722815036773682</v>
      </c>
      <c r="Y169" s="721">
        <v>0.64806461334228516</v>
      </c>
      <c r="Z169" s="721">
        <v>0.58203023672103882</v>
      </c>
      <c r="AA169" s="721">
        <v>0.60039722919464111</v>
      </c>
      <c r="AB169" s="721">
        <v>0.51142978668212891</v>
      </c>
      <c r="AC169" s="721">
        <v>0.58948755264282227</v>
      </c>
      <c r="AD169" s="721">
        <v>0.52499055862426758</v>
      </c>
      <c r="AE169" s="37">
        <f>'User Add-in Location'!B174</f>
        <v>0</v>
      </c>
      <c r="AF169" s="37">
        <f>'User Add-in Location'!C174</f>
        <v>0</v>
      </c>
      <c r="AG169" s="721">
        <v>0.56161707639694214</v>
      </c>
      <c r="AH169" s="721">
        <v>0.59377634525299072</v>
      </c>
      <c r="AI169" s="721">
        <v>0.58736574649810791</v>
      </c>
      <c r="AJ169" s="721">
        <v>0.6652679443359375</v>
      </c>
      <c r="AK169" s="721">
        <v>0.53429555892944336</v>
      </c>
      <c r="AL169" s="721">
        <v>0.68844622373580933</v>
      </c>
      <c r="AM169" s="721">
        <v>0.59036791324615479</v>
      </c>
      <c r="AN169" s="721">
        <v>0.56634658575057983</v>
      </c>
      <c r="AO169" s="721">
        <v>0.57980036735534668</v>
      </c>
      <c r="AP169" s="721">
        <v>0.56459736824035645</v>
      </c>
      <c r="AQ169" s="721">
        <v>0.62757670879364014</v>
      </c>
      <c r="AR169" s="721">
        <v>0.62109744548797607</v>
      </c>
      <c r="AS169" s="721">
        <v>0.57817089557647705</v>
      </c>
      <c r="AT169" s="721">
        <v>0.55827724933624268</v>
      </c>
      <c r="AU169" s="721">
        <v>0.48889338970184326</v>
      </c>
      <c r="AV169" s="721">
        <v>0.6053537130355835</v>
      </c>
      <c r="AW169" s="721">
        <v>0.6381537914276123</v>
      </c>
      <c r="AX169" s="721">
        <v>0.62753182649612427</v>
      </c>
      <c r="AY169" s="721">
        <v>0.54777050018310547</v>
      </c>
      <c r="AZ169" s="721">
        <v>0.54053163528442383</v>
      </c>
      <c r="BA169" s="721">
        <v>0.64893233776092529</v>
      </c>
      <c r="BB169" s="721">
        <v>0.61558818817138672</v>
      </c>
      <c r="BC169" s="721">
        <v>0.5636633038520813</v>
      </c>
      <c r="BD169" s="721">
        <v>0.55847287178039551</v>
      </c>
      <c r="BE169" s="721">
        <v>0.55010432004928589</v>
      </c>
    </row>
    <row r="170" spans="1:57" s="699" customFormat="1" ht="15" x14ac:dyDescent="0.3">
      <c r="A170" s="228"/>
      <c r="B170" s="229"/>
      <c r="C170" s="702" t="s">
        <v>639</v>
      </c>
      <c r="D170" s="721">
        <v>0.58900558948516846</v>
      </c>
      <c r="E170" s="721">
        <v>0.61158984899520874</v>
      </c>
      <c r="F170" s="721">
        <v>0.5849534273147583</v>
      </c>
      <c r="G170" s="721">
        <v>0.6072009801864624</v>
      </c>
      <c r="H170" s="721">
        <v>0.63465964794158936</v>
      </c>
      <c r="I170" s="721">
        <v>0.61080169677734375</v>
      </c>
      <c r="J170" s="721">
        <v>0.6466483473777771</v>
      </c>
      <c r="K170" s="721">
        <v>0.63064742088317871</v>
      </c>
      <c r="L170" s="721">
        <v>0.66495978832244873</v>
      </c>
      <c r="M170" s="721">
        <v>0.59424269199371338</v>
      </c>
      <c r="N170" s="721">
        <v>0.57594192028045654</v>
      </c>
      <c r="O170" s="721">
        <v>0.60612893104553223</v>
      </c>
      <c r="P170" s="721">
        <v>0.55207169055938721</v>
      </c>
      <c r="Q170" s="721">
        <v>0.61239373683929443</v>
      </c>
      <c r="R170" s="721">
        <v>0.58848822116851807</v>
      </c>
      <c r="S170" s="721">
        <v>0.58032345771789551</v>
      </c>
      <c r="T170" s="721">
        <v>0.58923542499542236</v>
      </c>
      <c r="U170" s="721">
        <v>0.57461416721343994</v>
      </c>
      <c r="V170" s="721">
        <v>0.59736025333404541</v>
      </c>
      <c r="W170" s="721">
        <v>0.57678580284118652</v>
      </c>
      <c r="X170" s="721">
        <v>0.61641955375671387</v>
      </c>
      <c r="Y170" s="721">
        <v>0.63125813007354736</v>
      </c>
      <c r="Z170" s="721">
        <v>0.59102755784988403</v>
      </c>
      <c r="AA170" s="721">
        <v>0.60653942823410034</v>
      </c>
      <c r="AB170" s="721">
        <v>0.55466282367706299</v>
      </c>
      <c r="AC170" s="721">
        <v>0.57633596658706665</v>
      </c>
      <c r="AD170" s="721">
        <v>0.54766762256622314</v>
      </c>
      <c r="AE170" s="37">
        <f>'User Add-in Location'!B175</f>
        <v>0</v>
      </c>
      <c r="AF170" s="37">
        <f>'User Add-in Location'!C175</f>
        <v>0</v>
      </c>
      <c r="AG170" s="721">
        <v>0.57553982734680176</v>
      </c>
      <c r="AH170" s="721">
        <v>0.61793732643127441</v>
      </c>
      <c r="AI170" s="721">
        <v>0.62240517139434814</v>
      </c>
      <c r="AJ170" s="721">
        <v>0.64288473129272461</v>
      </c>
      <c r="AK170" s="721">
        <v>0.52811747789382935</v>
      </c>
      <c r="AL170" s="721">
        <v>0.63893020153045654</v>
      </c>
      <c r="AM170" s="721">
        <v>0.58285176753997803</v>
      </c>
      <c r="AN170" s="721">
        <v>0.61117637157440186</v>
      </c>
      <c r="AO170" s="721">
        <v>0.59957665205001831</v>
      </c>
      <c r="AP170" s="721">
        <v>0.58364391326904297</v>
      </c>
      <c r="AQ170" s="721">
        <v>0.58809256553649902</v>
      </c>
      <c r="AR170" s="721">
        <v>0.62411212921142578</v>
      </c>
      <c r="AS170" s="721">
        <v>0.60997462272644043</v>
      </c>
      <c r="AT170" s="721">
        <v>0.56837409734725952</v>
      </c>
      <c r="AU170" s="721">
        <v>0.56920206546783447</v>
      </c>
      <c r="AV170" s="721">
        <v>0.60296785831451416</v>
      </c>
      <c r="AW170" s="721">
        <v>0.60850584506988525</v>
      </c>
      <c r="AX170" s="721">
        <v>0.61020302772521973</v>
      </c>
      <c r="AY170" s="721">
        <v>0.57635533809661865</v>
      </c>
      <c r="AZ170" s="721">
        <v>0.5763782262802124</v>
      </c>
      <c r="BA170" s="721">
        <v>0.61810564994812012</v>
      </c>
      <c r="BB170" s="721">
        <v>0.62388217449188232</v>
      </c>
      <c r="BC170" s="721">
        <v>0.58806294202804565</v>
      </c>
      <c r="BD170" s="721">
        <v>0.60159611701965332</v>
      </c>
      <c r="BE170" s="721">
        <v>0.59798872470855713</v>
      </c>
    </row>
    <row r="171" spans="1:57" s="699" customFormat="1" ht="15" x14ac:dyDescent="0.3">
      <c r="A171" s="228"/>
      <c r="B171" s="229"/>
      <c r="C171" s="702" t="s">
        <v>11</v>
      </c>
      <c r="D171" s="721">
        <v>0.8935016393661499</v>
      </c>
      <c r="E171" s="721">
        <v>0.95501232147216797</v>
      </c>
      <c r="F171" s="721">
        <v>0.8529740571975708</v>
      </c>
      <c r="G171" s="721">
        <v>0.90414166450500488</v>
      </c>
      <c r="H171" s="721">
        <v>0.90993893146514893</v>
      </c>
      <c r="I171" s="721">
        <v>0.93557310104370117</v>
      </c>
      <c r="J171" s="721">
        <v>0.83973228931427002</v>
      </c>
      <c r="K171" s="721">
        <v>0.97945666313171387</v>
      </c>
      <c r="L171" s="721">
        <v>0.98790526390075684</v>
      </c>
      <c r="M171" s="721">
        <v>0.92020022869110107</v>
      </c>
      <c r="N171" s="721">
        <v>0.98344099521636963</v>
      </c>
      <c r="O171" s="721">
        <v>0.93834024667739868</v>
      </c>
      <c r="P171" s="721">
        <v>0.87505125999450684</v>
      </c>
      <c r="Q171" s="721">
        <v>0.95574885606765747</v>
      </c>
      <c r="R171" s="721">
        <v>0.93621790409088135</v>
      </c>
      <c r="S171" s="721">
        <v>0.91048687696456909</v>
      </c>
      <c r="T171" s="721">
        <v>0.90349507331848145</v>
      </c>
      <c r="U171" s="721">
        <v>0.89974486827850342</v>
      </c>
      <c r="V171" s="721">
        <v>0.8674207329750061</v>
      </c>
      <c r="W171" s="721">
        <v>0.899169921875</v>
      </c>
      <c r="X171" s="721">
        <v>0.97398090362548828</v>
      </c>
      <c r="Y171" s="721">
        <v>0.96640551090240479</v>
      </c>
      <c r="Z171" s="721">
        <v>0.92947220802307129</v>
      </c>
      <c r="AA171" s="721">
        <v>0.85768967866897583</v>
      </c>
      <c r="AB171" s="721">
        <v>0.91625720262527466</v>
      </c>
      <c r="AC171" s="721">
        <v>0.91209298372268677</v>
      </c>
      <c r="AD171" s="721">
        <v>0.89070838689804077</v>
      </c>
      <c r="AE171" s="37">
        <f>'User Add-in Location'!B176</f>
        <v>0</v>
      </c>
      <c r="AF171" s="37">
        <f>'User Add-in Location'!C176</f>
        <v>0</v>
      </c>
      <c r="AG171" s="721">
        <v>0.91257363557815552</v>
      </c>
      <c r="AH171" s="721">
        <v>0.79427987337112427</v>
      </c>
      <c r="AI171" s="721">
        <v>0.93869590759277344</v>
      </c>
      <c r="AJ171" s="721">
        <v>0.94953101873397827</v>
      </c>
      <c r="AK171" s="721">
        <v>0.87179303169250488</v>
      </c>
      <c r="AL171" s="721">
        <v>0.8983534574508667</v>
      </c>
      <c r="AM171" s="721">
        <v>0.95149195194244385</v>
      </c>
      <c r="AN171" s="721">
        <v>0.76231139898300171</v>
      </c>
      <c r="AO171" s="721">
        <v>0.93548816442489624</v>
      </c>
      <c r="AP171" s="721">
        <v>0.78093266487121582</v>
      </c>
      <c r="AQ171" s="721">
        <v>0.89005374908447266</v>
      </c>
      <c r="AR171" s="721">
        <v>0.91155409812927246</v>
      </c>
      <c r="AS171" s="721">
        <v>0.9573286771774292</v>
      </c>
      <c r="AT171" s="721">
        <v>0.90357136726379395</v>
      </c>
      <c r="AU171" s="721">
        <v>0.74781596660614014</v>
      </c>
      <c r="AV171" s="721">
        <v>0.87836706638336182</v>
      </c>
      <c r="AW171" s="721">
        <v>0.921592116355896</v>
      </c>
      <c r="AX171" s="721">
        <v>0.91350513696670532</v>
      </c>
      <c r="AY171" s="721">
        <v>0.93953168392181396</v>
      </c>
      <c r="AZ171" s="721">
        <v>0.95538479089736938</v>
      </c>
      <c r="BA171" s="721">
        <v>0.92513537406921387</v>
      </c>
      <c r="BB171" s="721">
        <v>0.84455060958862305</v>
      </c>
      <c r="BC171" s="721">
        <v>0.89500117301940918</v>
      </c>
      <c r="BD171" s="721">
        <v>0.88529598712921143</v>
      </c>
      <c r="BE171" s="721">
        <v>0.89971011877059937</v>
      </c>
    </row>
    <row r="172" spans="1:57" s="699" customFormat="1" ht="15" x14ac:dyDescent="0.3">
      <c r="A172" s="228"/>
      <c r="B172" s="229"/>
      <c r="C172" s="702"/>
      <c r="D172" s="721"/>
      <c r="E172" s="721"/>
      <c r="F172" s="721"/>
      <c r="G172" s="721"/>
      <c r="H172" s="721"/>
      <c r="I172" s="721"/>
      <c r="J172" s="721"/>
      <c r="K172" s="721"/>
      <c r="L172" s="721"/>
      <c r="M172" s="721"/>
      <c r="N172" s="721"/>
      <c r="O172" s="721"/>
      <c r="P172" s="721"/>
      <c r="Q172" s="721"/>
      <c r="R172" s="721"/>
      <c r="S172" s="721"/>
      <c r="T172" s="721"/>
      <c r="U172" s="721"/>
      <c r="V172" s="721"/>
      <c r="W172" s="721"/>
      <c r="X172" s="721"/>
      <c r="Y172" s="721"/>
      <c r="Z172" s="721"/>
      <c r="AA172" s="721"/>
      <c r="AB172" s="721"/>
      <c r="AC172" s="721"/>
      <c r="AD172" s="721"/>
      <c r="AG172" s="721"/>
      <c r="AH172" s="721"/>
      <c r="AI172" s="721"/>
      <c r="AJ172" s="721"/>
      <c r="AK172" s="721"/>
      <c r="AL172" s="721"/>
      <c r="AM172" s="721"/>
      <c r="AN172" s="721"/>
      <c r="AO172" s="721"/>
      <c r="AP172" s="721"/>
      <c r="AQ172" s="721"/>
      <c r="AR172" s="721"/>
      <c r="AS172" s="721"/>
      <c r="AT172" s="721"/>
      <c r="AU172" s="721"/>
      <c r="AV172" s="721"/>
      <c r="AW172" s="721"/>
      <c r="AX172" s="721"/>
      <c r="AY172" s="721"/>
      <c r="AZ172" s="721"/>
      <c r="BA172" s="721"/>
      <c r="BB172" s="721"/>
      <c r="BC172" s="721"/>
      <c r="BD172" s="721"/>
      <c r="BE172" s="721"/>
    </row>
    <row r="173" spans="1:57" s="699" customFormat="1" x14ac:dyDescent="0.2">
      <c r="A173" s="228"/>
      <c r="B173" s="229"/>
      <c r="C173" s="700" t="s">
        <v>632</v>
      </c>
      <c r="D173" s="721"/>
      <c r="E173" s="721"/>
      <c r="F173" s="721"/>
      <c r="G173" s="721"/>
      <c r="H173" s="721"/>
      <c r="I173" s="721"/>
      <c r="J173" s="721"/>
      <c r="K173" s="721"/>
      <c r="L173" s="721"/>
      <c r="M173" s="721"/>
      <c r="N173" s="721"/>
      <c r="O173" s="721"/>
      <c r="P173" s="721"/>
      <c r="Q173" s="721"/>
      <c r="R173" s="721"/>
      <c r="S173" s="721"/>
      <c r="T173" s="721"/>
      <c r="U173" s="721"/>
      <c r="V173" s="721"/>
      <c r="W173" s="721"/>
      <c r="X173" s="721"/>
      <c r="Y173" s="721"/>
      <c r="Z173" s="721"/>
      <c r="AA173" s="721"/>
      <c r="AB173" s="721"/>
      <c r="AC173" s="721"/>
      <c r="AD173" s="721"/>
      <c r="AG173" s="721"/>
      <c r="AH173" s="721"/>
      <c r="AI173" s="721"/>
      <c r="AJ173" s="721"/>
      <c r="AK173" s="721"/>
      <c r="AL173" s="721"/>
      <c r="AM173" s="721"/>
      <c r="AN173" s="721"/>
      <c r="AO173" s="721"/>
      <c r="AP173" s="721"/>
      <c r="AQ173" s="721"/>
      <c r="AR173" s="721"/>
      <c r="AS173" s="721"/>
      <c r="AT173" s="721"/>
      <c r="AU173" s="721"/>
      <c r="AV173" s="721"/>
      <c r="AW173" s="721"/>
      <c r="AX173" s="721"/>
      <c r="AY173" s="721"/>
      <c r="AZ173" s="721"/>
      <c r="BA173" s="721"/>
      <c r="BB173" s="721"/>
      <c r="BC173" s="721"/>
      <c r="BD173" s="721"/>
      <c r="BE173" s="721"/>
    </row>
    <row r="174" spans="1:57" s="699" customFormat="1" x14ac:dyDescent="0.2">
      <c r="A174" s="228"/>
      <c r="B174" s="229"/>
      <c r="C174" s="701" t="s">
        <v>640</v>
      </c>
      <c r="D174" s="721" t="s">
        <v>13</v>
      </c>
      <c r="E174" s="721" t="s">
        <v>14</v>
      </c>
      <c r="F174" s="721" t="s">
        <v>15</v>
      </c>
      <c r="G174" s="721" t="s">
        <v>16</v>
      </c>
      <c r="H174" s="721" t="s">
        <v>17</v>
      </c>
      <c r="I174" s="721" t="s">
        <v>18</v>
      </c>
      <c r="J174" s="721" t="s">
        <v>19</v>
      </c>
      <c r="K174" s="721" t="s">
        <v>20</v>
      </c>
      <c r="L174" s="721" t="s">
        <v>21</v>
      </c>
      <c r="M174" s="721" t="s">
        <v>22</v>
      </c>
      <c r="N174" s="721" t="s">
        <v>23</v>
      </c>
      <c r="O174" s="721" t="s">
        <v>24</v>
      </c>
      <c r="P174" s="721" t="s">
        <v>25</v>
      </c>
      <c r="Q174" s="721" t="s">
        <v>26</v>
      </c>
      <c r="R174" s="721" t="s">
        <v>27</v>
      </c>
      <c r="S174" s="721" t="s">
        <v>28</v>
      </c>
      <c r="T174" s="721" t="s">
        <v>29</v>
      </c>
      <c r="U174" s="721" t="s">
        <v>30</v>
      </c>
      <c r="V174" s="721" t="s">
        <v>31</v>
      </c>
      <c r="W174" s="721" t="s">
        <v>32</v>
      </c>
      <c r="X174" s="721" t="s">
        <v>33</v>
      </c>
      <c r="Y174" s="721" t="s">
        <v>34</v>
      </c>
      <c r="Z174" s="721" t="s">
        <v>35</v>
      </c>
      <c r="AA174" s="721" t="s">
        <v>36</v>
      </c>
      <c r="AB174" s="721" t="s">
        <v>37</v>
      </c>
      <c r="AC174" s="721" t="s">
        <v>38</v>
      </c>
      <c r="AD174" s="721" t="s">
        <v>39</v>
      </c>
      <c r="AE174" s="37" t="s">
        <v>151</v>
      </c>
      <c r="AF174" s="37" t="s">
        <v>150</v>
      </c>
      <c r="AG174" s="721" t="s">
        <v>40</v>
      </c>
      <c r="AH174" s="721" t="s">
        <v>41</v>
      </c>
      <c r="AI174" s="721" t="s">
        <v>42</v>
      </c>
      <c r="AJ174" s="721" t="s">
        <v>43</v>
      </c>
      <c r="AK174" s="721" t="s">
        <v>44</v>
      </c>
      <c r="AL174" s="721" t="s">
        <v>45</v>
      </c>
      <c r="AM174" s="721" t="s">
        <v>46</v>
      </c>
      <c r="AN174" s="721" t="s">
        <v>47</v>
      </c>
      <c r="AO174" s="721" t="s">
        <v>48</v>
      </c>
      <c r="AP174" s="721" t="s">
        <v>49</v>
      </c>
      <c r="AQ174" s="721" t="s">
        <v>50</v>
      </c>
      <c r="AR174" s="721" t="s">
        <v>51</v>
      </c>
      <c r="AS174" s="721" t="s">
        <v>52</v>
      </c>
      <c r="AT174" s="721" t="s">
        <v>53</v>
      </c>
      <c r="AU174" s="721" t="s">
        <v>54</v>
      </c>
      <c r="AV174" s="721" t="s">
        <v>55</v>
      </c>
      <c r="AW174" s="721" t="s">
        <v>56</v>
      </c>
      <c r="AX174" s="721" t="s">
        <v>489</v>
      </c>
      <c r="AY174" s="721" t="s">
        <v>57</v>
      </c>
      <c r="AZ174" s="721" t="s">
        <v>58</v>
      </c>
      <c r="BA174" s="721" t="s">
        <v>59</v>
      </c>
      <c r="BB174" s="721" t="s">
        <v>60</v>
      </c>
      <c r="BC174" s="721" t="s">
        <v>61</v>
      </c>
      <c r="BD174" s="721" t="s">
        <v>62</v>
      </c>
      <c r="BE174" s="721" t="s">
        <v>12</v>
      </c>
    </row>
    <row r="175" spans="1:57" s="699" customFormat="1" ht="15" x14ac:dyDescent="0.3">
      <c r="A175" s="228"/>
      <c r="B175" s="229"/>
      <c r="C175" s="702" t="s">
        <v>7</v>
      </c>
      <c r="D175" s="721">
        <v>0.12529993057250977</v>
      </c>
      <c r="E175" s="721">
        <v>6.1280615627765656E-2</v>
      </c>
      <c r="F175" s="721">
        <v>0.12165544927120209</v>
      </c>
      <c r="G175" s="721">
        <v>0.19459228217601776</v>
      </c>
      <c r="H175" s="721">
        <v>0.10777950286865234</v>
      </c>
      <c r="I175" s="721">
        <v>0.22438506782054901</v>
      </c>
      <c r="J175" s="721">
        <v>6.6406965255737305E-2</v>
      </c>
      <c r="K175" s="721">
        <v>0.16234435141086578</v>
      </c>
      <c r="L175" s="721">
        <v>9.108985960483551E-2</v>
      </c>
      <c r="M175" s="721">
        <v>8.9950293302536011E-2</v>
      </c>
      <c r="N175" s="721">
        <v>0.15354025363922119</v>
      </c>
      <c r="O175" s="721">
        <v>7.9533442854881287E-2</v>
      </c>
      <c r="P175" s="721">
        <v>0.18824398517608643</v>
      </c>
      <c r="Q175" s="721">
        <v>0.1585298478603363</v>
      </c>
      <c r="R175" s="721">
        <v>0.10419490933418274</v>
      </c>
      <c r="S175" s="721">
        <v>0.19012102484703064</v>
      </c>
      <c r="T175" s="721">
        <v>0.21858732402324677</v>
      </c>
      <c r="U175" s="721">
        <v>9.7805216908454895E-2</v>
      </c>
      <c r="V175" s="721">
        <v>7.9013392329216003E-2</v>
      </c>
      <c r="W175" s="721">
        <v>0.10745741426944733</v>
      </c>
      <c r="X175" s="721">
        <v>0.10377562046051025</v>
      </c>
      <c r="Y175" s="721">
        <v>5.7200402021408081E-2</v>
      </c>
      <c r="Z175" s="721">
        <v>0.10667949914932251</v>
      </c>
      <c r="AA175" s="721">
        <v>0.18672230839729309</v>
      </c>
      <c r="AB175" s="721">
        <v>0.12819354236125946</v>
      </c>
      <c r="AC175" s="721">
        <v>0.1356099396944046</v>
      </c>
      <c r="AD175" s="721">
        <v>0.16156961023807526</v>
      </c>
      <c r="AE175" s="37">
        <f>'User Add-in Location'!B180</f>
        <v>0</v>
      </c>
      <c r="AF175" s="37">
        <f>'User Add-in Location'!C180</f>
        <v>0</v>
      </c>
      <c r="AG175" s="721">
        <v>0.22786480188369751</v>
      </c>
      <c r="AH175" s="721">
        <v>5.7097218930721283E-2</v>
      </c>
      <c r="AI175" s="721">
        <v>8.2749441266059875E-2</v>
      </c>
      <c r="AJ175" s="721">
        <v>5.5616818368434906E-2</v>
      </c>
      <c r="AK175" s="721">
        <v>0.13638772070407867</v>
      </c>
      <c r="AL175" s="721">
        <v>0.12158794701099396</v>
      </c>
      <c r="AM175" s="721">
        <v>0.13305750489234924</v>
      </c>
      <c r="AN175" s="721">
        <v>0.16397032141685486</v>
      </c>
      <c r="AO175" s="721">
        <v>0.11975497007369995</v>
      </c>
      <c r="AP175" s="721">
        <v>0.14038047194480896</v>
      </c>
      <c r="AQ175" s="721">
        <v>0.13228452205657959</v>
      </c>
      <c r="AR175" s="721">
        <v>0.12487547099590302</v>
      </c>
      <c r="AS175" s="721">
        <v>5.8309171348810196E-2</v>
      </c>
      <c r="AT175" s="721">
        <v>8.7258972227573395E-2</v>
      </c>
      <c r="AU175" s="721">
        <v>0.21356800198554993</v>
      </c>
      <c r="AV175" s="721">
        <v>0.10279904305934906</v>
      </c>
      <c r="AW175" s="721">
        <v>0.16416582465171814</v>
      </c>
      <c r="AX175" s="721">
        <v>0.30601376295089722</v>
      </c>
      <c r="AY175" s="721">
        <v>0.12673084437847137</v>
      </c>
      <c r="AZ175" s="721">
        <v>0.168182373046875</v>
      </c>
      <c r="BA175" s="721">
        <v>0.11654742062091827</v>
      </c>
      <c r="BB175" s="721">
        <v>0.10185271501541138</v>
      </c>
      <c r="BC175" s="721">
        <v>7.7734053134918213E-2</v>
      </c>
      <c r="BD175" s="721">
        <v>0.19600945711135864</v>
      </c>
      <c r="BE175" s="721">
        <v>0.10059686005115509</v>
      </c>
    </row>
    <row r="176" spans="1:57" s="699" customFormat="1" ht="15" x14ac:dyDescent="0.3">
      <c r="A176" s="228"/>
      <c r="B176" s="229"/>
      <c r="C176" s="702" t="s">
        <v>77</v>
      </c>
      <c r="D176" s="721">
        <v>0.11971667408943176</v>
      </c>
      <c r="E176" s="721">
        <v>8.8257752358913422E-2</v>
      </c>
      <c r="F176" s="721">
        <v>0.16698610782623291</v>
      </c>
      <c r="G176" s="721">
        <v>0.14048314094543457</v>
      </c>
      <c r="H176" s="721">
        <v>0.14340338110923767</v>
      </c>
      <c r="I176" s="721">
        <v>0.17628131806850433</v>
      </c>
      <c r="J176" s="721">
        <v>0.17867431044578552</v>
      </c>
      <c r="K176" s="721">
        <v>0.15854030847549438</v>
      </c>
      <c r="L176" s="721">
        <v>0.15825290977954865</v>
      </c>
      <c r="M176" s="721">
        <v>0.2325768768787384</v>
      </c>
      <c r="N176" s="721">
        <v>0.15135356783866882</v>
      </c>
      <c r="O176" s="721">
        <v>0.15762925148010254</v>
      </c>
      <c r="P176" s="721">
        <v>0.13933141529560089</v>
      </c>
      <c r="Q176" s="721">
        <v>0.18906167149543762</v>
      </c>
      <c r="R176" s="721">
        <v>0.14626699686050415</v>
      </c>
      <c r="S176" s="721">
        <v>0.13198380172252655</v>
      </c>
      <c r="T176" s="721">
        <v>0.21764013171195984</v>
      </c>
      <c r="U176" s="721">
        <v>0.13318341970443726</v>
      </c>
      <c r="V176" s="721">
        <v>0.14091426134109497</v>
      </c>
      <c r="W176" s="721">
        <v>0.20329767465591431</v>
      </c>
      <c r="X176" s="721">
        <v>0.20893244445323944</v>
      </c>
      <c r="Y176" s="721">
        <v>0.2310350239276886</v>
      </c>
      <c r="Z176" s="721">
        <v>0.194703608751297</v>
      </c>
      <c r="AA176" s="721">
        <v>0.15170380473136902</v>
      </c>
      <c r="AB176" s="721">
        <v>0.12800323963165283</v>
      </c>
      <c r="AC176" s="721">
        <v>0.16042943298816681</v>
      </c>
      <c r="AD176" s="721">
        <v>0.16646042466163635</v>
      </c>
      <c r="AE176" s="37">
        <f>'User Add-in Location'!B181</f>
        <v>0</v>
      </c>
      <c r="AF176" s="37">
        <f>'User Add-in Location'!C181</f>
        <v>0</v>
      </c>
      <c r="AG176" s="721">
        <v>0.14701539278030396</v>
      </c>
      <c r="AH176" s="721">
        <v>0.10882437974214554</v>
      </c>
      <c r="AI176" s="721">
        <v>0.16147315502166748</v>
      </c>
      <c r="AJ176" s="721">
        <v>0.20273807644844055</v>
      </c>
      <c r="AK176" s="721">
        <v>0.18011011183261871</v>
      </c>
      <c r="AL176" s="721">
        <v>0.21644845604896545</v>
      </c>
      <c r="AM176" s="721">
        <v>0.14502358436584473</v>
      </c>
      <c r="AN176" s="721">
        <v>0.13607224822044373</v>
      </c>
      <c r="AO176" s="721">
        <v>0.18663915991783142</v>
      </c>
      <c r="AP176" s="721">
        <v>0.21225251257419586</v>
      </c>
      <c r="AQ176" s="721">
        <v>0.19243305921554565</v>
      </c>
      <c r="AR176" s="721">
        <v>0.15306288003921509</v>
      </c>
      <c r="AS176" s="721">
        <v>0.18157856166362762</v>
      </c>
      <c r="AT176" s="721">
        <v>0.13787609338760376</v>
      </c>
      <c r="AU176" s="721">
        <v>0.15361110866069794</v>
      </c>
      <c r="AV176" s="721">
        <v>0.14528870582580566</v>
      </c>
      <c r="AW176" s="721">
        <v>0.17987060546875</v>
      </c>
      <c r="AX176" s="721">
        <v>0.26303458213806152</v>
      </c>
      <c r="AY176" s="721">
        <v>0.17461501061916351</v>
      </c>
      <c r="AZ176" s="721">
        <v>0.11577729880809784</v>
      </c>
      <c r="BA176" s="721">
        <v>0.16179277002811432</v>
      </c>
      <c r="BB176" s="721">
        <v>0.18874022364616394</v>
      </c>
      <c r="BC176" s="721">
        <v>0.15745416283607483</v>
      </c>
      <c r="BD176" s="721">
        <v>0.12299942970275879</v>
      </c>
      <c r="BE176" s="721">
        <v>0.15148112177848816</v>
      </c>
    </row>
    <row r="177" spans="1:57" s="699" customFormat="1" ht="15" x14ac:dyDescent="0.3">
      <c r="A177" s="228"/>
      <c r="B177" s="229"/>
      <c r="C177" s="702" t="s">
        <v>8</v>
      </c>
      <c r="D177" s="721">
        <v>0.209515780210495</v>
      </c>
      <c r="E177" s="721">
        <v>0.16446016728878021</v>
      </c>
      <c r="F177" s="721">
        <v>0.23003126680850983</v>
      </c>
      <c r="G177" s="721">
        <v>0.21740399301052094</v>
      </c>
      <c r="H177" s="721">
        <v>0.30273362994194031</v>
      </c>
      <c r="I177" s="721">
        <v>0.2657584547996521</v>
      </c>
      <c r="J177" s="721">
        <v>0.2439885288476944</v>
      </c>
      <c r="K177" s="721">
        <v>0.21843089163303375</v>
      </c>
      <c r="L177" s="721">
        <v>0.1274152547121048</v>
      </c>
      <c r="M177" s="721">
        <v>0.26043140888214111</v>
      </c>
      <c r="N177" s="721">
        <v>0.25643602013587952</v>
      </c>
      <c r="O177" s="721">
        <v>0.17278382182121277</v>
      </c>
      <c r="P177" s="721">
        <v>0.22170333564281464</v>
      </c>
      <c r="Q177" s="721">
        <v>0.2434602677822113</v>
      </c>
      <c r="R177" s="721">
        <v>0.21517151594161987</v>
      </c>
      <c r="S177" s="721">
        <v>0.19501769542694092</v>
      </c>
      <c r="T177" s="721">
        <v>0.22136944532394409</v>
      </c>
      <c r="U177" s="721">
        <v>0.19285719096660614</v>
      </c>
      <c r="V177" s="721">
        <v>0.18896618485450745</v>
      </c>
      <c r="W177" s="721">
        <v>0.24593695998191833</v>
      </c>
      <c r="X177" s="721">
        <v>0.20135469734668732</v>
      </c>
      <c r="Y177" s="721">
        <v>0.23766238987445831</v>
      </c>
      <c r="Z177" s="721">
        <v>0.24840095639228821</v>
      </c>
      <c r="AA177" s="721">
        <v>0.24422764778137207</v>
      </c>
      <c r="AB177" s="721">
        <v>0.18091046810150146</v>
      </c>
      <c r="AC177" s="721">
        <v>0.23871999979019165</v>
      </c>
      <c r="AD177" s="721">
        <v>0.19751918315887451</v>
      </c>
      <c r="AE177" s="37">
        <f>'User Add-in Location'!B182</f>
        <v>0</v>
      </c>
      <c r="AF177" s="37">
        <f>'User Add-in Location'!C182</f>
        <v>0</v>
      </c>
      <c r="AG177" s="721">
        <v>0.20738755166530609</v>
      </c>
      <c r="AH177" s="721">
        <v>9.3115553259849548E-2</v>
      </c>
      <c r="AI177" s="721">
        <v>0.25427445769309998</v>
      </c>
      <c r="AJ177" s="721">
        <v>0.23555628955364227</v>
      </c>
      <c r="AK177" s="721">
        <v>0.18907184898853302</v>
      </c>
      <c r="AL177" s="721">
        <v>0.22236791253089905</v>
      </c>
      <c r="AM177" s="721">
        <v>0.25591126084327698</v>
      </c>
      <c r="AN177" s="721">
        <v>0.19552803039550781</v>
      </c>
      <c r="AO177" s="721">
        <v>0.26353961229324341</v>
      </c>
      <c r="AP177" s="721">
        <v>0.22947397828102112</v>
      </c>
      <c r="AQ177" s="721">
        <v>0.22072829306125641</v>
      </c>
      <c r="AR177" s="721">
        <v>0.25152602791786194</v>
      </c>
      <c r="AS177" s="721">
        <v>0.20165202021598816</v>
      </c>
      <c r="AT177" s="721">
        <v>0.2065446674823761</v>
      </c>
      <c r="AU177" s="721">
        <v>0.21464133262634277</v>
      </c>
      <c r="AV177" s="721">
        <v>0.25139260292053223</v>
      </c>
      <c r="AW177" s="721">
        <v>0.27769100666046143</v>
      </c>
      <c r="AX177" s="721">
        <v>0.44560521841049194</v>
      </c>
      <c r="AY177" s="721">
        <v>0.24597042798995972</v>
      </c>
      <c r="AZ177" s="721">
        <v>0.22023412585258484</v>
      </c>
      <c r="BA177" s="721">
        <v>0.22255054116249084</v>
      </c>
      <c r="BB177" s="721">
        <v>0.23905330896377563</v>
      </c>
      <c r="BC177" s="721">
        <v>0.15430408716201782</v>
      </c>
      <c r="BD177" s="721">
        <v>0.23259754478931427</v>
      </c>
      <c r="BE177" s="721">
        <v>0.1461462527513504</v>
      </c>
    </row>
    <row r="178" spans="1:57" s="699" customFormat="1" ht="15" x14ac:dyDescent="0.3">
      <c r="A178" s="228"/>
      <c r="B178" s="229"/>
      <c r="C178" s="702" t="s">
        <v>78</v>
      </c>
      <c r="D178" s="721">
        <v>0.15711915493011475</v>
      </c>
      <c r="E178" s="721">
        <v>0.23617777228355408</v>
      </c>
      <c r="F178" s="721">
        <v>0.188335120677948</v>
      </c>
      <c r="G178" s="721">
        <v>0.18802979588508606</v>
      </c>
      <c r="H178" s="721">
        <v>0.28333532810211182</v>
      </c>
      <c r="I178" s="721">
        <v>0.2511482834815979</v>
      </c>
      <c r="J178" s="721">
        <v>0.15777528285980225</v>
      </c>
      <c r="K178" s="721">
        <v>0.16222496330738068</v>
      </c>
      <c r="L178" s="721">
        <v>8.5650153458118439E-2</v>
      </c>
      <c r="M178" s="721">
        <v>0.2035176157951355</v>
      </c>
      <c r="N178" s="721">
        <v>0.18845073878765106</v>
      </c>
      <c r="O178" s="721">
        <v>0.17803499102592468</v>
      </c>
      <c r="P178" s="721">
        <v>0.1869751363992691</v>
      </c>
      <c r="Q178" s="721">
        <v>0.20701080560684204</v>
      </c>
      <c r="R178" s="721">
        <v>0.15080952644348145</v>
      </c>
      <c r="S178" s="721">
        <v>0.17275282740592957</v>
      </c>
      <c r="T178" s="721">
        <v>0.20364852249622345</v>
      </c>
      <c r="U178" s="721">
        <v>0.14888766407966614</v>
      </c>
      <c r="V178" s="721">
        <v>0.19976693391799927</v>
      </c>
      <c r="W178" s="721">
        <v>0.16431517899036407</v>
      </c>
      <c r="X178" s="721">
        <v>0.1367565393447876</v>
      </c>
      <c r="Y178" s="721">
        <v>0.16731113195419312</v>
      </c>
      <c r="Z178" s="721">
        <v>0.17979305982589722</v>
      </c>
      <c r="AA178" s="721">
        <v>0.22092628479003906</v>
      </c>
      <c r="AB178" s="721">
        <v>0.15257513523101807</v>
      </c>
      <c r="AC178" s="721">
        <v>0.17814874649047852</v>
      </c>
      <c r="AD178" s="721">
        <v>0.18645100295543671</v>
      </c>
      <c r="AE178" s="37">
        <f>'User Add-in Location'!B183</f>
        <v>0</v>
      </c>
      <c r="AF178" s="37">
        <f>'User Add-in Location'!C183</f>
        <v>0</v>
      </c>
      <c r="AG178" s="721">
        <v>0.18629224598407745</v>
      </c>
      <c r="AH178" s="721">
        <v>0.11249392479658127</v>
      </c>
      <c r="AI178" s="721">
        <v>0.14657880365848541</v>
      </c>
      <c r="AJ178" s="721">
        <v>0.18509820103645325</v>
      </c>
      <c r="AK178" s="721">
        <v>0.21727374196052551</v>
      </c>
      <c r="AL178" s="721">
        <v>0.1815502941608429</v>
      </c>
      <c r="AM178" s="721">
        <v>0.17574240267276764</v>
      </c>
      <c r="AN178" s="721">
        <v>0.2246929407119751</v>
      </c>
      <c r="AO178" s="721">
        <v>0.20030736923217773</v>
      </c>
      <c r="AP178" s="721">
        <v>0.23280870914459229</v>
      </c>
      <c r="AQ178" s="721">
        <v>0.19535166025161743</v>
      </c>
      <c r="AR178" s="721">
        <v>0.21201786398887634</v>
      </c>
      <c r="AS178" s="721">
        <v>0.14870738983154297</v>
      </c>
      <c r="AT178" s="721">
        <v>0.13922800123691559</v>
      </c>
      <c r="AU178" s="721">
        <v>0.17463013529777527</v>
      </c>
      <c r="AV178" s="721">
        <v>0.16625450551509857</v>
      </c>
      <c r="AW178" s="721">
        <v>0.32473519444465637</v>
      </c>
      <c r="AX178" s="721">
        <v>0.49789696931838989</v>
      </c>
      <c r="AY178" s="721">
        <v>0.22442430257797241</v>
      </c>
      <c r="AZ178" s="721">
        <v>0.16955368220806122</v>
      </c>
      <c r="BA178" s="721">
        <v>0.14856728911399841</v>
      </c>
      <c r="BB178" s="721">
        <v>0.19969913363456726</v>
      </c>
      <c r="BC178" s="721">
        <v>0.13939327001571655</v>
      </c>
      <c r="BD178" s="721">
        <v>0.19181632995605469</v>
      </c>
      <c r="BE178" s="721">
        <v>0.21145948767662048</v>
      </c>
    </row>
    <row r="179" spans="1:57" s="699" customFormat="1" ht="15" x14ac:dyDescent="0.3">
      <c r="A179" s="228"/>
      <c r="B179" s="229"/>
      <c r="C179" s="702" t="s">
        <v>634</v>
      </c>
      <c r="D179" s="721">
        <v>0.13513416051864624</v>
      </c>
      <c r="E179" s="721">
        <v>0.15444029867649078</v>
      </c>
      <c r="F179" s="721">
        <v>0.17968370020389557</v>
      </c>
      <c r="G179" s="721">
        <v>0.13234859704971313</v>
      </c>
      <c r="H179" s="721">
        <v>0.27560609579086304</v>
      </c>
      <c r="I179" s="721">
        <v>0.19985449314117432</v>
      </c>
      <c r="J179" s="721">
        <v>0.16647052764892578</v>
      </c>
      <c r="K179" s="721">
        <v>0.14137738943099976</v>
      </c>
      <c r="L179" s="721">
        <v>0</v>
      </c>
      <c r="M179" s="721">
        <v>0.19509020447731018</v>
      </c>
      <c r="N179" s="721">
        <v>0.17801186442375183</v>
      </c>
      <c r="O179" s="721">
        <v>0.15269026160240173</v>
      </c>
      <c r="P179" s="721">
        <v>0.14351001381874084</v>
      </c>
      <c r="Q179" s="721">
        <v>0.19831377267837524</v>
      </c>
      <c r="R179" s="721">
        <v>0.14921486377716064</v>
      </c>
      <c r="S179" s="721">
        <v>0.13546192646026611</v>
      </c>
      <c r="T179" s="721">
        <v>0.14443939924240112</v>
      </c>
      <c r="U179" s="721">
        <v>0.1301218718290329</v>
      </c>
      <c r="V179" s="721">
        <v>0.12999376654624939</v>
      </c>
      <c r="W179" s="721">
        <v>0.14396063983440399</v>
      </c>
      <c r="X179" s="721">
        <v>0.15175212919712067</v>
      </c>
      <c r="Y179" s="721">
        <v>0.17683336138725281</v>
      </c>
      <c r="Z179" s="721">
        <v>0.17473462224006653</v>
      </c>
      <c r="AA179" s="721">
        <v>0.19580461084842682</v>
      </c>
      <c r="AB179" s="721">
        <v>0.11650402098894119</v>
      </c>
      <c r="AC179" s="721">
        <v>0.15841972827911377</v>
      </c>
      <c r="AD179" s="721">
        <v>0.13425734639167786</v>
      </c>
      <c r="AE179" s="37">
        <f>'User Add-in Location'!B184</f>
        <v>0</v>
      </c>
      <c r="AF179" s="37">
        <f>'User Add-in Location'!C184</f>
        <v>0</v>
      </c>
      <c r="AG179" s="721">
        <v>0.13753992319107056</v>
      </c>
      <c r="AH179" s="721">
        <v>0.10301053524017334</v>
      </c>
      <c r="AI179" s="721">
        <v>0.14855688810348511</v>
      </c>
      <c r="AJ179" s="721">
        <v>0.18044182658195496</v>
      </c>
      <c r="AK179" s="721">
        <v>0.13933996856212616</v>
      </c>
      <c r="AL179" s="721">
        <v>0.18346472084522247</v>
      </c>
      <c r="AM179" s="721">
        <v>0.18852800130844116</v>
      </c>
      <c r="AN179" s="721">
        <v>0.1425916850566864</v>
      </c>
      <c r="AO179" s="721">
        <v>0.18658849596977234</v>
      </c>
      <c r="AP179" s="721">
        <v>0.14187562465667725</v>
      </c>
      <c r="AQ179" s="721">
        <v>0.17208831012248993</v>
      </c>
      <c r="AR179" s="721">
        <v>0.19116696715354919</v>
      </c>
      <c r="AS179" s="721">
        <v>0.1685260534286499</v>
      </c>
      <c r="AT179" s="721">
        <v>0.12731453776359558</v>
      </c>
      <c r="AU179" s="721">
        <v>0.12925954163074493</v>
      </c>
      <c r="AV179" s="721">
        <v>0.15645202994346619</v>
      </c>
      <c r="AW179" s="721">
        <v>0.23757186532020569</v>
      </c>
      <c r="AX179" s="721">
        <v>0.45557519793510437</v>
      </c>
      <c r="AY179" s="721">
        <v>0.201038658618927</v>
      </c>
      <c r="AZ179" s="721">
        <v>0.1275477260351181</v>
      </c>
      <c r="BA179" s="721">
        <v>0.14446635544300079</v>
      </c>
      <c r="BB179" s="721">
        <v>0.19141167402267456</v>
      </c>
      <c r="BC179" s="721">
        <v>0.11122974753379822</v>
      </c>
      <c r="BD179" s="721">
        <v>0.16526684165000916</v>
      </c>
      <c r="BE179" s="721">
        <v>0.11024912446737289</v>
      </c>
    </row>
    <row r="180" spans="1:57" s="699" customFormat="1" ht="15" x14ac:dyDescent="0.3">
      <c r="A180" s="228"/>
      <c r="B180" s="229"/>
      <c r="C180" s="702" t="s">
        <v>80</v>
      </c>
      <c r="D180" s="721">
        <v>0.16017754375934601</v>
      </c>
      <c r="E180" s="721">
        <v>0.15769201517105103</v>
      </c>
      <c r="F180" s="721">
        <v>0.17651599645614624</v>
      </c>
      <c r="G180" s="721">
        <v>0.16514924168586731</v>
      </c>
      <c r="H180" s="721">
        <v>0.27557191252708435</v>
      </c>
      <c r="I180" s="721">
        <v>0.23408955335617065</v>
      </c>
      <c r="J180" s="721">
        <v>0.1829649806022644</v>
      </c>
      <c r="K180" s="721">
        <v>0.13901194930076599</v>
      </c>
      <c r="L180" s="721">
        <v>0.13880264759063721</v>
      </c>
      <c r="M180" s="721">
        <v>0.22230798006057739</v>
      </c>
      <c r="N180" s="721">
        <v>0.19227908551692963</v>
      </c>
      <c r="O180" s="721">
        <v>0.1881902813911438</v>
      </c>
      <c r="P180" s="721">
        <v>0.16323372721672058</v>
      </c>
      <c r="Q180" s="721">
        <v>0.19954471290111542</v>
      </c>
      <c r="R180" s="721">
        <v>0.17061801254749298</v>
      </c>
      <c r="S180" s="721">
        <v>0.13990610837936401</v>
      </c>
      <c r="T180" s="721">
        <v>0.17396353185176849</v>
      </c>
      <c r="U180" s="721">
        <v>0.15235278010368347</v>
      </c>
      <c r="V180" s="721">
        <v>0.1522543728351593</v>
      </c>
      <c r="W180" s="721">
        <v>0.15952354669570923</v>
      </c>
      <c r="X180" s="721">
        <v>0.18169468641281128</v>
      </c>
      <c r="Y180" s="721">
        <v>0.19260653853416443</v>
      </c>
      <c r="Z180" s="721">
        <v>0.18410713970661163</v>
      </c>
      <c r="AA180" s="721">
        <v>0.2312847375869751</v>
      </c>
      <c r="AB180" s="721">
        <v>0.13136805593967438</v>
      </c>
      <c r="AC180" s="721">
        <v>0.20405347645282745</v>
      </c>
      <c r="AD180" s="721">
        <v>0.16726472973823547</v>
      </c>
      <c r="AE180" s="37">
        <f>'User Add-in Location'!B185</f>
        <v>0</v>
      </c>
      <c r="AF180" s="37">
        <f>'User Add-in Location'!C185</f>
        <v>0</v>
      </c>
      <c r="AG180" s="721">
        <v>0.15187670290470123</v>
      </c>
      <c r="AH180" s="721">
        <v>0.11605951189994812</v>
      </c>
      <c r="AI180" s="721">
        <v>0.12548036873340607</v>
      </c>
      <c r="AJ180" s="721">
        <v>0.1852584034204483</v>
      </c>
      <c r="AK180" s="721">
        <v>0.15030305087566376</v>
      </c>
      <c r="AL180" s="721">
        <v>0.19104599952697754</v>
      </c>
      <c r="AM180" s="721">
        <v>0.17662429809570313</v>
      </c>
      <c r="AN180" s="721">
        <v>0.16983030736446381</v>
      </c>
      <c r="AO180" s="721">
        <v>0.20213940739631653</v>
      </c>
      <c r="AP180" s="721">
        <v>0.14938546717166901</v>
      </c>
      <c r="AQ180" s="721">
        <v>0.19320882856845856</v>
      </c>
      <c r="AR180" s="721">
        <v>0.2004593163728714</v>
      </c>
      <c r="AS180" s="721">
        <v>0.14697229862213135</v>
      </c>
      <c r="AT180" s="721">
        <v>0.13912910223007202</v>
      </c>
      <c r="AU180" s="721">
        <v>0.15887404978275299</v>
      </c>
      <c r="AV180" s="721">
        <v>0.17672914266586304</v>
      </c>
      <c r="AW180" s="721">
        <v>0.24411725997924805</v>
      </c>
      <c r="AX180" s="721">
        <v>0.49094027280807495</v>
      </c>
      <c r="AY180" s="721">
        <v>0.20832312107086182</v>
      </c>
      <c r="AZ180" s="721">
        <v>0.11751081794500351</v>
      </c>
      <c r="BA180" s="721">
        <v>0.16336706280708313</v>
      </c>
      <c r="BB180" s="721">
        <v>0.21329720318317413</v>
      </c>
      <c r="BC180" s="721">
        <v>0.10814015567302704</v>
      </c>
      <c r="BD180" s="721">
        <v>0.18945980072021484</v>
      </c>
      <c r="BE180" s="721">
        <v>0.13981756567955017</v>
      </c>
    </row>
    <row r="181" spans="1:57" s="699" customFormat="1" ht="15" x14ac:dyDescent="0.3">
      <c r="A181" s="228"/>
      <c r="B181" s="229"/>
      <c r="C181" s="702" t="s">
        <v>635</v>
      </c>
      <c r="D181" s="721">
        <v>0.1697705090045929</v>
      </c>
      <c r="E181" s="721">
        <v>0</v>
      </c>
      <c r="F181" s="721">
        <v>0.24081572890281677</v>
      </c>
      <c r="G181" s="721">
        <v>0.17750978469848633</v>
      </c>
      <c r="H181" s="721">
        <v>0.32177439332008362</v>
      </c>
      <c r="I181" s="721">
        <v>0.25316494703292847</v>
      </c>
      <c r="J181" s="721">
        <v>0.2114054411649704</v>
      </c>
      <c r="K181" s="721">
        <v>0.15752430260181427</v>
      </c>
      <c r="L181" s="721">
        <v>8.2649126648902893E-2</v>
      </c>
      <c r="M181" s="721">
        <v>0.25240850448608398</v>
      </c>
      <c r="N181" s="721">
        <v>0.21883107721805573</v>
      </c>
      <c r="O181" s="721">
        <v>0.17174312472343445</v>
      </c>
      <c r="P181" s="721">
        <v>0.18901222944259644</v>
      </c>
      <c r="Q181" s="721">
        <v>0.2205522358417511</v>
      </c>
      <c r="R181" s="721">
        <v>0.15597036480903625</v>
      </c>
      <c r="S181" s="721">
        <v>0.1591520756483078</v>
      </c>
      <c r="T181" s="721">
        <v>0.15739887952804565</v>
      </c>
      <c r="U181" s="721">
        <v>0.16860276460647583</v>
      </c>
      <c r="V181" s="721">
        <v>0.1449589729309082</v>
      </c>
      <c r="W181" s="721">
        <v>0.16717119514942169</v>
      </c>
      <c r="X181" s="721">
        <v>0.18787631392478943</v>
      </c>
      <c r="Y181" s="721">
        <v>0.25802320241928101</v>
      </c>
      <c r="Z181" s="721">
        <v>0.21685802936553955</v>
      </c>
      <c r="AA181" s="721">
        <v>0.26878020167350769</v>
      </c>
      <c r="AB181" s="721">
        <v>0.153851717710495</v>
      </c>
      <c r="AC181" s="721">
        <v>0.15598148107528687</v>
      </c>
      <c r="AD181" s="721">
        <v>0.18541741371154785</v>
      </c>
      <c r="AE181" s="37">
        <f>'User Add-in Location'!B186</f>
        <v>0</v>
      </c>
      <c r="AF181" s="37">
        <f>'User Add-in Location'!C186</f>
        <v>0</v>
      </c>
      <c r="AG181" s="721">
        <v>0.16558095812797546</v>
      </c>
      <c r="AH181" s="721">
        <v>9.7940690815448761E-2</v>
      </c>
      <c r="AI181" s="721">
        <v>0.20037609338760376</v>
      </c>
      <c r="AJ181" s="721">
        <v>0.23022250831127167</v>
      </c>
      <c r="AK181" s="721">
        <v>0.14211288094520569</v>
      </c>
      <c r="AL181" s="721">
        <v>0.24826900660991669</v>
      </c>
      <c r="AM181" s="721">
        <v>0.21846216917037964</v>
      </c>
      <c r="AN181" s="721">
        <v>0.20425613224506378</v>
      </c>
      <c r="AO181" s="721">
        <v>0.22221724689006805</v>
      </c>
      <c r="AP181" s="721">
        <v>0.18170543015003204</v>
      </c>
      <c r="AQ181" s="721">
        <v>0.1324927806854248</v>
      </c>
      <c r="AR181" s="721">
        <v>0.21243402361869812</v>
      </c>
      <c r="AS181" s="721">
        <v>0.21210008859634399</v>
      </c>
      <c r="AT181" s="721">
        <v>0.14020290970802307</v>
      </c>
      <c r="AU181" s="721">
        <v>0.17874658107757568</v>
      </c>
      <c r="AV181" s="721">
        <v>0.17559601366519928</v>
      </c>
      <c r="AW181" s="721">
        <v>0.2694733738899231</v>
      </c>
      <c r="AX181" s="721">
        <v>0.42931723594665527</v>
      </c>
      <c r="AY181" s="721">
        <v>0.24733123183250427</v>
      </c>
      <c r="AZ181" s="721">
        <v>0.20201584696769714</v>
      </c>
      <c r="BA181" s="721">
        <v>0.20509584248065948</v>
      </c>
      <c r="BB181" s="721">
        <v>0.22796621918678284</v>
      </c>
      <c r="BC181" s="721">
        <v>0.14996384084224701</v>
      </c>
      <c r="BD181" s="721">
        <v>0.205778568983078</v>
      </c>
      <c r="BE181" s="721">
        <v>0.15409936010837555</v>
      </c>
    </row>
    <row r="182" spans="1:57" s="699" customFormat="1" ht="15" x14ac:dyDescent="0.3">
      <c r="A182" s="228"/>
      <c r="B182" s="229"/>
      <c r="C182" s="702" t="s">
        <v>82</v>
      </c>
      <c r="D182" s="721">
        <v>0.22548338770866394</v>
      </c>
      <c r="E182" s="721">
        <v>0.21171824634075165</v>
      </c>
      <c r="F182" s="721">
        <v>0.24186450242996216</v>
      </c>
      <c r="G182" s="721">
        <v>0.21986421942710876</v>
      </c>
      <c r="H182" s="721">
        <v>0.28118002414703369</v>
      </c>
      <c r="I182" s="721">
        <v>0.28144851326942444</v>
      </c>
      <c r="J182" s="721">
        <v>0.22144277393817902</v>
      </c>
      <c r="K182" s="721">
        <v>0.22130909562110901</v>
      </c>
      <c r="L182" s="721">
        <v>0.16121602058410645</v>
      </c>
      <c r="M182" s="721">
        <v>0.25559812784194946</v>
      </c>
      <c r="N182" s="721">
        <v>0.24639934301376343</v>
      </c>
      <c r="O182" s="721">
        <v>0.20086468756198883</v>
      </c>
      <c r="P182" s="721">
        <v>0.20305162668228149</v>
      </c>
      <c r="Q182" s="721">
        <v>0.26781195402145386</v>
      </c>
      <c r="R182" s="721">
        <v>0.21608081459999084</v>
      </c>
      <c r="S182" s="721">
        <v>0.20311632752418518</v>
      </c>
      <c r="T182" s="721">
        <v>0.20680850744247437</v>
      </c>
      <c r="U182" s="721">
        <v>0.20326444506645203</v>
      </c>
      <c r="V182" s="721">
        <v>0.25417023897171021</v>
      </c>
      <c r="W182" s="721">
        <v>0.20167230069637299</v>
      </c>
      <c r="X182" s="721">
        <v>0.21824470162391663</v>
      </c>
      <c r="Y182" s="721">
        <v>0.23942092061042786</v>
      </c>
      <c r="Z182" s="721">
        <v>0.23238304257392883</v>
      </c>
      <c r="AA182" s="721">
        <v>0.27686053514480591</v>
      </c>
      <c r="AB182" s="721">
        <v>0.20085591077804565</v>
      </c>
      <c r="AC182" s="721">
        <v>0.23177595436573029</v>
      </c>
      <c r="AD182" s="721">
        <v>0.22302693128585815</v>
      </c>
      <c r="AE182" s="37">
        <f>'User Add-in Location'!B187</f>
        <v>0</v>
      </c>
      <c r="AF182" s="37">
        <f>'User Add-in Location'!C187</f>
        <v>0</v>
      </c>
      <c r="AG182" s="721">
        <v>0.16682900488376617</v>
      </c>
      <c r="AH182" s="721">
        <v>0</v>
      </c>
      <c r="AI182" s="721">
        <v>0.20975956320762634</v>
      </c>
      <c r="AJ182" s="721">
        <v>0.22349090874195099</v>
      </c>
      <c r="AK182" s="721">
        <v>0.23528151214122772</v>
      </c>
      <c r="AL182" s="721">
        <v>0.26014289259910583</v>
      </c>
      <c r="AM182" s="721">
        <v>0.22357645630836487</v>
      </c>
      <c r="AN182" s="721">
        <v>0.24762856960296631</v>
      </c>
      <c r="AO182" s="721">
        <v>0.23689532279968262</v>
      </c>
      <c r="AP182" s="721">
        <v>0.25402775406837463</v>
      </c>
      <c r="AQ182" s="721">
        <v>0.21714858710765839</v>
      </c>
      <c r="AR182" s="721">
        <v>0.2500496506690979</v>
      </c>
      <c r="AS182" s="721">
        <v>0.20830778777599335</v>
      </c>
      <c r="AT182" s="721">
        <v>0.19604070484638214</v>
      </c>
      <c r="AU182" s="721">
        <v>0.21024137735366821</v>
      </c>
      <c r="AV182" s="721">
        <v>0.23481419682502747</v>
      </c>
      <c r="AW182" s="721">
        <v>0.31833934783935547</v>
      </c>
      <c r="AX182" s="721">
        <v>0.436012864112854</v>
      </c>
      <c r="AY182" s="721">
        <v>0.27364534139633179</v>
      </c>
      <c r="AZ182" s="721">
        <v>0.21773387491703033</v>
      </c>
      <c r="BA182" s="721">
        <v>0.22079390287399292</v>
      </c>
      <c r="BB182" s="721">
        <v>0.23011757433414459</v>
      </c>
      <c r="BC182" s="721">
        <v>0.20399826765060425</v>
      </c>
      <c r="BD182" s="721">
        <v>0.22222068905830383</v>
      </c>
      <c r="BE182" s="721">
        <v>0.22425191104412079</v>
      </c>
    </row>
    <row r="183" spans="1:57" s="699" customFormat="1" ht="15" x14ac:dyDescent="0.3">
      <c r="A183" s="228"/>
      <c r="B183" s="229"/>
      <c r="C183" s="702" t="s">
        <v>636</v>
      </c>
      <c r="D183" s="721">
        <v>0.19202694296836853</v>
      </c>
      <c r="E183" s="721">
        <v>0.17898157238960266</v>
      </c>
      <c r="F183" s="721">
        <v>0.23678073287010193</v>
      </c>
      <c r="G183" s="721">
        <v>0.17400640249252319</v>
      </c>
      <c r="H183" s="721">
        <v>0.25772756338119507</v>
      </c>
      <c r="I183" s="721">
        <v>0.25189575552940369</v>
      </c>
      <c r="J183" s="721">
        <v>0.21281921863555908</v>
      </c>
      <c r="K183" s="721">
        <v>0.21176314353942871</v>
      </c>
      <c r="L183" s="721">
        <v>0.18339213728904724</v>
      </c>
      <c r="M183" s="721">
        <v>0.24641311168670654</v>
      </c>
      <c r="N183" s="721">
        <v>0.22207619249820709</v>
      </c>
      <c r="O183" s="721">
        <v>0.23972237110137939</v>
      </c>
      <c r="P183" s="721">
        <v>0.20535020530223846</v>
      </c>
      <c r="Q183" s="721">
        <v>0.24087324738502502</v>
      </c>
      <c r="R183" s="721">
        <v>0.19975537061691284</v>
      </c>
      <c r="S183" s="721">
        <v>0.20113497972488403</v>
      </c>
      <c r="T183" s="721">
        <v>0.19620352983474731</v>
      </c>
      <c r="U183" s="721">
        <v>0.17530076205730438</v>
      </c>
      <c r="V183" s="721">
        <v>0.17622648179531097</v>
      </c>
      <c r="W183" s="721">
        <v>0.21899870038032532</v>
      </c>
      <c r="X183" s="721">
        <v>0.22055304050445557</v>
      </c>
      <c r="Y183" s="721">
        <v>0.24636274576187134</v>
      </c>
      <c r="Z183" s="721">
        <v>0.20784488320350647</v>
      </c>
      <c r="AA183" s="721">
        <v>0.24453306198120117</v>
      </c>
      <c r="AB183" s="721">
        <v>0.16729669272899628</v>
      </c>
      <c r="AC183" s="721">
        <v>0.23327142000198364</v>
      </c>
      <c r="AD183" s="721">
        <v>0.19102095067501068</v>
      </c>
      <c r="AE183" s="37">
        <f>'User Add-in Location'!B188</f>
        <v>0</v>
      </c>
      <c r="AF183" s="37">
        <f>'User Add-in Location'!C188</f>
        <v>0</v>
      </c>
      <c r="AG183" s="721">
        <v>0.21932248771190643</v>
      </c>
      <c r="AH183" s="721">
        <v>0.15974102914333344</v>
      </c>
      <c r="AI183" s="721">
        <v>0.23033908009529114</v>
      </c>
      <c r="AJ183" s="721">
        <v>0.22219040989875793</v>
      </c>
      <c r="AK183" s="721">
        <v>0.2010556161403656</v>
      </c>
      <c r="AL183" s="721">
        <v>0.23418229818344116</v>
      </c>
      <c r="AM183" s="721">
        <v>0.23612014949321747</v>
      </c>
      <c r="AN183" s="721">
        <v>0.18206979334354401</v>
      </c>
      <c r="AO183" s="721">
        <v>0.23978756368160248</v>
      </c>
      <c r="AP183" s="721">
        <v>0.19819240272045135</v>
      </c>
      <c r="AQ183" s="721">
        <v>0.22957903146743774</v>
      </c>
      <c r="AR183" s="721">
        <v>0.22587153315544128</v>
      </c>
      <c r="AS183" s="721">
        <v>0.24812284111976624</v>
      </c>
      <c r="AT183" s="721">
        <v>0.18413135409355164</v>
      </c>
      <c r="AU183" s="721">
        <v>0.20184186100959778</v>
      </c>
      <c r="AV183" s="721">
        <v>0.21817076206207275</v>
      </c>
      <c r="AW183" s="721">
        <v>0.21259455382823944</v>
      </c>
      <c r="AX183" s="721">
        <v>0.31006136536598206</v>
      </c>
      <c r="AY183" s="721">
        <v>0.26086899638175964</v>
      </c>
      <c r="AZ183" s="721">
        <v>0.21852827072143555</v>
      </c>
      <c r="BA183" s="721">
        <v>0.21882063150405884</v>
      </c>
      <c r="BB183" s="721">
        <v>0.22130215167999268</v>
      </c>
      <c r="BC183" s="721">
        <v>0.16692128777503967</v>
      </c>
      <c r="BD183" s="721">
        <v>0.23167182505130768</v>
      </c>
      <c r="BE183" s="721">
        <v>0.14099818468093872</v>
      </c>
    </row>
    <row r="184" spans="1:57" s="699" customFormat="1" ht="15" x14ac:dyDescent="0.3">
      <c r="A184" s="228"/>
      <c r="B184" s="229"/>
      <c r="C184" s="702" t="s">
        <v>637</v>
      </c>
      <c r="D184" s="721">
        <v>0.1669919341802597</v>
      </c>
      <c r="E184" s="721">
        <v>0.18272820115089417</v>
      </c>
      <c r="F184" s="721">
        <v>0.21099153161048889</v>
      </c>
      <c r="G184" s="721">
        <v>0.18056252598762512</v>
      </c>
      <c r="H184" s="721">
        <v>0.21953915059566498</v>
      </c>
      <c r="I184" s="721">
        <v>0.24153411388397217</v>
      </c>
      <c r="J184" s="721">
        <v>0.22341424226760864</v>
      </c>
      <c r="K184" s="721">
        <v>0.24554291367530823</v>
      </c>
      <c r="L184" s="721">
        <v>0.18916831910610199</v>
      </c>
      <c r="M184" s="721">
        <v>0.2364039272069931</v>
      </c>
      <c r="N184" s="721">
        <v>0.22877907752990723</v>
      </c>
      <c r="O184" s="721">
        <v>0.17498186230659485</v>
      </c>
      <c r="P184" s="721">
        <v>0.18207019567489624</v>
      </c>
      <c r="Q184" s="721">
        <v>0.24642518162727356</v>
      </c>
      <c r="R184" s="721">
        <v>0.1912805587053299</v>
      </c>
      <c r="S184" s="721">
        <v>0.20876212418079376</v>
      </c>
      <c r="T184" s="721">
        <v>0.18851840496063232</v>
      </c>
      <c r="U184" s="721">
        <v>0.18463899195194244</v>
      </c>
      <c r="V184" s="721">
        <v>0.1606820821762085</v>
      </c>
      <c r="W184" s="721">
        <v>0.20959071815013885</v>
      </c>
      <c r="X184" s="721">
        <v>0.21124051511287689</v>
      </c>
      <c r="Y184" s="721">
        <v>0.25553134083747864</v>
      </c>
      <c r="Z184" s="721">
        <v>0.19593606889247894</v>
      </c>
      <c r="AA184" s="721">
        <v>0.24184471368789673</v>
      </c>
      <c r="AB184" s="721">
        <v>0.15135607123374939</v>
      </c>
      <c r="AC184" s="721">
        <v>0.22908708453178406</v>
      </c>
      <c r="AD184" s="721">
        <v>0.19680874049663544</v>
      </c>
      <c r="AE184" s="37">
        <f>'User Add-in Location'!B189</f>
        <v>0</v>
      </c>
      <c r="AF184" s="37">
        <f>'User Add-in Location'!C189</f>
        <v>0</v>
      </c>
      <c r="AG184" s="721">
        <v>0.21839508414268494</v>
      </c>
      <c r="AH184" s="721">
        <v>0.13673722743988037</v>
      </c>
      <c r="AI184" s="721">
        <v>0.22849801182746887</v>
      </c>
      <c r="AJ184" s="721">
        <v>0.21924318373203278</v>
      </c>
      <c r="AK184" s="721">
        <v>0.16922442615032196</v>
      </c>
      <c r="AL184" s="721">
        <v>0.22950339317321777</v>
      </c>
      <c r="AM184" s="721">
        <v>0.23910386860370636</v>
      </c>
      <c r="AN184" s="721">
        <v>0.18893119692802429</v>
      </c>
      <c r="AO184" s="721">
        <v>0.22995424270629883</v>
      </c>
      <c r="AP184" s="721">
        <v>0.18825694918632507</v>
      </c>
      <c r="AQ184" s="721">
        <v>0.23545731604099274</v>
      </c>
      <c r="AR184" s="721">
        <v>0.24367576837539673</v>
      </c>
      <c r="AS184" s="721">
        <v>0.23133306205272675</v>
      </c>
      <c r="AT184" s="721">
        <v>0.1762644499540329</v>
      </c>
      <c r="AU184" s="721">
        <v>0.19974407553672791</v>
      </c>
      <c r="AV184" s="721">
        <v>0.2011813223361969</v>
      </c>
      <c r="AW184" s="721">
        <v>0.20889949798583984</v>
      </c>
      <c r="AX184" s="721">
        <v>0.30034208297729492</v>
      </c>
      <c r="AY184" s="721">
        <v>0.23507612943649292</v>
      </c>
      <c r="AZ184" s="721">
        <v>0.18923595547676086</v>
      </c>
      <c r="BA184" s="721">
        <v>0.21590763330459595</v>
      </c>
      <c r="BB184" s="721">
        <v>0.1788727194070816</v>
      </c>
      <c r="BC184" s="721">
        <v>0.1546071469783783</v>
      </c>
      <c r="BD184" s="721">
        <v>0.22415585815906525</v>
      </c>
      <c r="BE184" s="721">
        <v>0.14913037419319153</v>
      </c>
    </row>
    <row r="185" spans="1:57" s="699" customFormat="1" ht="15" x14ac:dyDescent="0.3">
      <c r="A185" s="228"/>
      <c r="B185" s="229"/>
      <c r="C185" s="702" t="s">
        <v>83</v>
      </c>
      <c r="D185" s="721">
        <v>0.22816082835197449</v>
      </c>
      <c r="E185" s="721">
        <v>0.18154752254486084</v>
      </c>
      <c r="F185" s="721">
        <v>0.30609267950057983</v>
      </c>
      <c r="G185" s="721">
        <v>0.21507048606872559</v>
      </c>
      <c r="H185" s="721">
        <v>0.26054501533508301</v>
      </c>
      <c r="I185" s="721">
        <v>0.32182192802429199</v>
      </c>
      <c r="J185" s="721">
        <v>0.25811272859573364</v>
      </c>
      <c r="K185" s="721">
        <v>0.18416544795036316</v>
      </c>
      <c r="L185" s="721">
        <v>0.17148098349571228</v>
      </c>
      <c r="M185" s="721">
        <v>0.33111861348152161</v>
      </c>
      <c r="N185" s="721">
        <v>0.2584957480430603</v>
      </c>
      <c r="O185" s="721">
        <v>0.207275390625</v>
      </c>
      <c r="P185" s="721">
        <v>0.25939595699310303</v>
      </c>
      <c r="Q185" s="721">
        <v>0.27489173412322998</v>
      </c>
      <c r="R185" s="721">
        <v>0.2158944308757782</v>
      </c>
      <c r="S185" s="721">
        <v>0.22601008415222168</v>
      </c>
      <c r="T185" s="721">
        <v>0.24231785535812378</v>
      </c>
      <c r="U185" s="721">
        <v>0.21419093012809753</v>
      </c>
      <c r="V185" s="721">
        <v>0.21075364947319031</v>
      </c>
      <c r="W185" s="721">
        <v>0.23498961329460144</v>
      </c>
      <c r="X185" s="721">
        <v>0.23016895353794098</v>
      </c>
      <c r="Y185" s="721">
        <v>0.25607272982597351</v>
      </c>
      <c r="Z185" s="721">
        <v>0.2487027496099472</v>
      </c>
      <c r="AA185" s="721">
        <v>0.28927809000015259</v>
      </c>
      <c r="AB185" s="721">
        <v>0.2044176459312439</v>
      </c>
      <c r="AC185" s="721">
        <v>0.25204992294311523</v>
      </c>
      <c r="AD185" s="721">
        <v>0.21980856359004974</v>
      </c>
      <c r="AE185" s="37">
        <f>'User Add-in Location'!B190</f>
        <v>0</v>
      </c>
      <c r="AF185" s="37">
        <f>'User Add-in Location'!C190</f>
        <v>0</v>
      </c>
      <c r="AG185" s="721">
        <v>0.25150305032730103</v>
      </c>
      <c r="AH185" s="721">
        <v>0</v>
      </c>
      <c r="AI185" s="721">
        <v>0.25160032510757446</v>
      </c>
      <c r="AJ185" s="721">
        <v>0.27445822954177856</v>
      </c>
      <c r="AK185" s="721">
        <v>0.19502931833267212</v>
      </c>
      <c r="AL185" s="721">
        <v>0.19369389116764069</v>
      </c>
      <c r="AM185" s="721">
        <v>0.22027045488357544</v>
      </c>
      <c r="AN185" s="721">
        <v>0.22550635039806366</v>
      </c>
      <c r="AO185" s="721">
        <v>0.2484239786863327</v>
      </c>
      <c r="AP185" s="721">
        <v>0.25190448760986328</v>
      </c>
      <c r="AQ185" s="721">
        <v>0.24736320972442627</v>
      </c>
      <c r="AR185" s="721">
        <v>0.27011007070541382</v>
      </c>
      <c r="AS185" s="721">
        <v>0.25975292921066284</v>
      </c>
      <c r="AT185" s="721">
        <v>0.22499431669712067</v>
      </c>
      <c r="AU185" s="721">
        <v>0.18944311141967773</v>
      </c>
      <c r="AV185" s="721">
        <v>0.23897695541381836</v>
      </c>
      <c r="AW185" s="721">
        <v>0.31329327821731567</v>
      </c>
      <c r="AX185" s="721">
        <v>0.3381323516368866</v>
      </c>
      <c r="AY185" s="721">
        <v>0.29881191253662109</v>
      </c>
      <c r="AZ185" s="721">
        <v>0.21846766769886017</v>
      </c>
      <c r="BA185" s="721">
        <v>0.23096776008605957</v>
      </c>
      <c r="BB185" s="721">
        <v>0.23672989010810852</v>
      </c>
      <c r="BC185" s="721">
        <v>0.16922849416732788</v>
      </c>
      <c r="BD185" s="721">
        <v>0.25122672319412231</v>
      </c>
      <c r="BE185" s="721">
        <v>0.20317700505256653</v>
      </c>
    </row>
    <row r="186" spans="1:57" s="699" customFormat="1" ht="15" x14ac:dyDescent="0.3">
      <c r="A186" s="228"/>
      <c r="B186" s="229"/>
      <c r="C186" s="702" t="s">
        <v>638</v>
      </c>
      <c r="D186" s="721">
        <v>0.2142905592918396</v>
      </c>
      <c r="E186" s="721">
        <v>0.19729313254356384</v>
      </c>
      <c r="F186" s="721">
        <v>0.2654564380645752</v>
      </c>
      <c r="G186" s="721">
        <v>0.21852518618106842</v>
      </c>
      <c r="H186" s="721">
        <v>0.2679065465927124</v>
      </c>
      <c r="I186" s="721">
        <v>0.27639561891555786</v>
      </c>
      <c r="J186" s="721">
        <v>0.26412650942802429</v>
      </c>
      <c r="K186" s="721">
        <v>0.23093149065971375</v>
      </c>
      <c r="L186" s="721">
        <v>0.15840770304203033</v>
      </c>
      <c r="M186" s="721">
        <v>0.27046093344688416</v>
      </c>
      <c r="N186" s="721">
        <v>0.24379062652587891</v>
      </c>
      <c r="O186" s="721">
        <v>0.22266747057437897</v>
      </c>
      <c r="P186" s="721">
        <v>0.22714880108833313</v>
      </c>
      <c r="Q186" s="721">
        <v>0.2467280775308609</v>
      </c>
      <c r="R186" s="721">
        <v>0.20452739298343658</v>
      </c>
      <c r="S186" s="721">
        <v>0.22367793321609497</v>
      </c>
      <c r="T186" s="721">
        <v>0.2326761782169342</v>
      </c>
      <c r="U186" s="721">
        <v>0.20486548542976379</v>
      </c>
      <c r="V186" s="721">
        <v>0.18695299327373505</v>
      </c>
      <c r="W186" s="721">
        <v>0.25680744647979736</v>
      </c>
      <c r="X186" s="721">
        <v>0.24536210298538208</v>
      </c>
      <c r="Y186" s="721">
        <v>0.27282211184501648</v>
      </c>
      <c r="Z186" s="721">
        <v>0.24896757304668427</v>
      </c>
      <c r="AA186" s="721">
        <v>0.2677304744720459</v>
      </c>
      <c r="AB186" s="721">
        <v>0.18731436133384705</v>
      </c>
      <c r="AC186" s="721">
        <v>0.24563288688659668</v>
      </c>
      <c r="AD186" s="721">
        <v>0.2130391001701355</v>
      </c>
      <c r="AE186" s="37">
        <f>'User Add-in Location'!B191</f>
        <v>0</v>
      </c>
      <c r="AF186" s="37">
        <f>'User Add-in Location'!C191</f>
        <v>0</v>
      </c>
      <c r="AG186" s="721">
        <v>0.23447036743164063</v>
      </c>
      <c r="AH186" s="721">
        <v>0.1596372127532959</v>
      </c>
      <c r="AI186" s="721">
        <v>0.26205277442932129</v>
      </c>
      <c r="AJ186" s="721">
        <v>0.24823774397373199</v>
      </c>
      <c r="AK186" s="721">
        <v>0.2149939239025116</v>
      </c>
      <c r="AL186" s="721">
        <v>0.23767921328544617</v>
      </c>
      <c r="AM186" s="721">
        <v>0.25461193919181824</v>
      </c>
      <c r="AN186" s="721">
        <v>0.20072135329246521</v>
      </c>
      <c r="AO186" s="721">
        <v>0.26764756441116333</v>
      </c>
      <c r="AP186" s="721">
        <v>0.21476155519485474</v>
      </c>
      <c r="AQ186" s="721">
        <v>0.22172233462333679</v>
      </c>
      <c r="AR186" s="721">
        <v>0.25489810109138489</v>
      </c>
      <c r="AS186" s="721">
        <v>0.28432133793830872</v>
      </c>
      <c r="AT186" s="721">
        <v>0.21579650044441223</v>
      </c>
      <c r="AU186" s="721">
        <v>0.24211561679840088</v>
      </c>
      <c r="AV186" s="721">
        <v>0.22912755608558655</v>
      </c>
      <c r="AW186" s="721">
        <v>0.23483432829380035</v>
      </c>
      <c r="AX186" s="721">
        <v>0.33261168003082275</v>
      </c>
      <c r="AY186" s="721">
        <v>0.29730725288391113</v>
      </c>
      <c r="AZ186" s="721">
        <v>0.24593102931976318</v>
      </c>
      <c r="BA186" s="721">
        <v>0.21594530344009399</v>
      </c>
      <c r="BB186" s="721">
        <v>0.25189292430877686</v>
      </c>
      <c r="BC186" s="721">
        <v>0.18231669068336487</v>
      </c>
      <c r="BD186" s="721">
        <v>0.25210511684417725</v>
      </c>
      <c r="BE186" s="721">
        <v>0.16672725975513458</v>
      </c>
    </row>
    <row r="187" spans="1:57" s="699" customFormat="1" ht="15" x14ac:dyDescent="0.3">
      <c r="A187" s="228"/>
      <c r="B187" s="229"/>
      <c r="C187" s="702" t="s">
        <v>639</v>
      </c>
      <c r="D187" s="721">
        <v>0.1805867999792099</v>
      </c>
      <c r="E187" s="721">
        <v>0.17992712557315826</v>
      </c>
      <c r="F187" s="721">
        <v>0.24057823419570923</v>
      </c>
      <c r="G187" s="721">
        <v>0.17264634370803833</v>
      </c>
      <c r="H187" s="721">
        <v>0.25660115480422974</v>
      </c>
      <c r="I187" s="721">
        <v>0.24153983592987061</v>
      </c>
      <c r="J187" s="721">
        <v>0.22237907350063324</v>
      </c>
      <c r="K187" s="721">
        <v>0.21411827206611633</v>
      </c>
      <c r="L187" s="721">
        <v>0.17656992375850677</v>
      </c>
      <c r="M187" s="721">
        <v>0.25095078349113464</v>
      </c>
      <c r="N187" s="721">
        <v>0.24367813766002655</v>
      </c>
      <c r="O187" s="721">
        <v>0.19432860612869263</v>
      </c>
      <c r="P187" s="721">
        <v>0.19628050923347473</v>
      </c>
      <c r="Q187" s="721">
        <v>0.24955534934997559</v>
      </c>
      <c r="R187" s="721">
        <v>0.19110897183418274</v>
      </c>
      <c r="S187" s="721">
        <v>0.19200527667999268</v>
      </c>
      <c r="T187" s="721">
        <v>0.19482740759849548</v>
      </c>
      <c r="U187" s="721">
        <v>0.1798931360244751</v>
      </c>
      <c r="V187" s="721">
        <v>0.17230935394763947</v>
      </c>
      <c r="W187" s="721">
        <v>0.2124573290348053</v>
      </c>
      <c r="X187" s="721">
        <v>0.21377110481262207</v>
      </c>
      <c r="Y187" s="721">
        <v>0.24239002168178558</v>
      </c>
      <c r="Z187" s="721">
        <v>0.21453279256820679</v>
      </c>
      <c r="AA187" s="721">
        <v>0.23820848762989044</v>
      </c>
      <c r="AB187" s="721">
        <v>0.16474077105522156</v>
      </c>
      <c r="AC187" s="721">
        <v>0.22831250727176666</v>
      </c>
      <c r="AD187" s="721">
        <v>0.18978454172611237</v>
      </c>
      <c r="AE187" s="37">
        <f>'User Add-in Location'!B192</f>
        <v>0</v>
      </c>
      <c r="AF187" s="37">
        <f>'User Add-in Location'!C192</f>
        <v>0</v>
      </c>
      <c r="AG187" s="721">
        <v>0.21097622811794281</v>
      </c>
      <c r="AH187" s="721">
        <v>0.13135994970798492</v>
      </c>
      <c r="AI187" s="721">
        <v>0.21082554757595062</v>
      </c>
      <c r="AJ187" s="721">
        <v>0.22773063182830811</v>
      </c>
      <c r="AK187" s="721">
        <v>0.19698368012905121</v>
      </c>
      <c r="AL187" s="721">
        <v>0.23796926438808441</v>
      </c>
      <c r="AM187" s="721">
        <v>0.23283834755420685</v>
      </c>
      <c r="AN187" s="721">
        <v>0.17659576237201691</v>
      </c>
      <c r="AO187" s="721">
        <v>0.23095786571502686</v>
      </c>
      <c r="AP187" s="721">
        <v>0.19299674034118652</v>
      </c>
      <c r="AQ187" s="721">
        <v>0.22132144868373871</v>
      </c>
      <c r="AR187" s="721">
        <v>0.2208678275346756</v>
      </c>
      <c r="AS187" s="721">
        <v>0.23328006267547607</v>
      </c>
      <c r="AT187" s="721">
        <v>0.19046491384506226</v>
      </c>
      <c r="AU187" s="721">
        <v>0.19785231351852417</v>
      </c>
      <c r="AV187" s="721">
        <v>0.20794232189655304</v>
      </c>
      <c r="AW187" s="721">
        <v>0.23569118976593018</v>
      </c>
      <c r="AX187" s="721">
        <v>0.32952982187271118</v>
      </c>
      <c r="AY187" s="721">
        <v>0.25005465745925903</v>
      </c>
      <c r="AZ187" s="721">
        <v>0.19979643821716309</v>
      </c>
      <c r="BA187" s="721">
        <v>0.20611245930194855</v>
      </c>
      <c r="BB187" s="721">
        <v>0.21784844994544983</v>
      </c>
      <c r="BC187" s="721">
        <v>0.15509356558322906</v>
      </c>
      <c r="BD187" s="721">
        <v>0.20920222997665405</v>
      </c>
      <c r="BE187" s="721">
        <v>0.14537005126476288</v>
      </c>
    </row>
    <row r="188" spans="1:57" s="699" customFormat="1" ht="15" x14ac:dyDescent="0.3">
      <c r="A188" s="228"/>
      <c r="B188" s="229"/>
      <c r="C188" s="702" t="s">
        <v>11</v>
      </c>
      <c r="D188" s="721">
        <v>4.8029236495494843E-2</v>
      </c>
      <c r="E188" s="721">
        <v>2.3375576362013817E-2</v>
      </c>
      <c r="F188" s="721">
        <v>8.26534703373909E-2</v>
      </c>
      <c r="G188" s="721">
        <v>4.1748635470867157E-2</v>
      </c>
      <c r="H188" s="721">
        <v>6.0573060065507889E-2</v>
      </c>
      <c r="I188" s="721">
        <v>3.9708215743303299E-2</v>
      </c>
      <c r="J188" s="721">
        <v>9.4589978456497192E-2</v>
      </c>
      <c r="K188" s="721">
        <v>1.1564560234546661E-2</v>
      </c>
      <c r="L188" s="721">
        <v>5.4864408448338509E-3</v>
      </c>
      <c r="M188" s="721">
        <v>4.7353431582450867E-2</v>
      </c>
      <c r="N188" s="721">
        <v>9.1010583564639091E-3</v>
      </c>
      <c r="O188" s="721">
        <v>3.0645154416561127E-2</v>
      </c>
      <c r="P188" s="721">
        <v>5.4562788456678391E-2</v>
      </c>
      <c r="Q188" s="721">
        <v>2.7573063969612122E-2</v>
      </c>
      <c r="R188" s="721">
        <v>2.9885940253734589E-2</v>
      </c>
      <c r="S188" s="721">
        <v>4.1161928325891495E-2</v>
      </c>
      <c r="T188" s="721">
        <v>4.5549303293228149E-2</v>
      </c>
      <c r="U188" s="721">
        <v>4.2536981403827667E-2</v>
      </c>
      <c r="V188" s="721">
        <v>6.2863484025001526E-2</v>
      </c>
      <c r="W188" s="721">
        <v>4.8443496227264404E-2</v>
      </c>
      <c r="X188" s="721">
        <v>1.4101957902312279E-2</v>
      </c>
      <c r="Y188" s="721">
        <v>2.0891739055514336E-2</v>
      </c>
      <c r="Z188" s="721">
        <v>3.644871711730957E-2</v>
      </c>
      <c r="AA188" s="721">
        <v>8.4017202258110046E-2</v>
      </c>
      <c r="AB188" s="721">
        <v>3.262045606970787E-2</v>
      </c>
      <c r="AC188" s="721">
        <v>4.5423842966556549E-2</v>
      </c>
      <c r="AD188" s="721">
        <v>4.7970116138458252E-2</v>
      </c>
      <c r="AE188" s="37">
        <f>'User Add-in Location'!B193</f>
        <v>0</v>
      </c>
      <c r="AF188" s="37">
        <f>'User Add-in Location'!C193</f>
        <v>0</v>
      </c>
      <c r="AG188" s="721">
        <v>4.2933396995067596E-2</v>
      </c>
      <c r="AH188" s="721">
        <v>7.4300765991210938E-2</v>
      </c>
      <c r="AI188" s="721">
        <v>3.2624900341033936E-2</v>
      </c>
      <c r="AJ188" s="721">
        <v>3.1202804297208786E-2</v>
      </c>
      <c r="AK188" s="721">
        <v>5.7368472218513489E-2</v>
      </c>
      <c r="AL188" s="721">
        <v>6.3761189579963684E-2</v>
      </c>
      <c r="AM188" s="721">
        <v>2.616201713681221E-2</v>
      </c>
      <c r="AN188" s="721">
        <v>0.11672781407833099</v>
      </c>
      <c r="AO188" s="721">
        <v>3.6225751042366028E-2</v>
      </c>
      <c r="AP188" s="721">
        <v>0.10528822243213654</v>
      </c>
      <c r="AQ188" s="721">
        <v>5.7562779635190964E-2</v>
      </c>
      <c r="AR188" s="721">
        <v>5.1085822284221649E-2</v>
      </c>
      <c r="AS188" s="721">
        <v>2.4326996877789497E-2</v>
      </c>
      <c r="AT188" s="721">
        <v>4.3040547519922256E-2</v>
      </c>
      <c r="AU188" s="721">
        <v>0.11251601576805115</v>
      </c>
      <c r="AV188" s="721">
        <v>6.1395797878503799E-2</v>
      </c>
      <c r="AW188" s="721">
        <v>4.9996465444564819E-2</v>
      </c>
      <c r="AX188" s="721">
        <v>7.2108082473278046E-2</v>
      </c>
      <c r="AY188" s="721">
        <v>3.5774998366832733E-2</v>
      </c>
      <c r="AZ188" s="721">
        <v>2.0362261682748795E-2</v>
      </c>
      <c r="BA188" s="721">
        <v>3.949245810508728E-2</v>
      </c>
      <c r="BB188" s="721">
        <v>8.8303990662097931E-2</v>
      </c>
      <c r="BC188" s="721">
        <v>4.272085428237915E-2</v>
      </c>
      <c r="BD188" s="721">
        <v>5.8546911925077438E-2</v>
      </c>
      <c r="BE188" s="721">
        <v>4.3598778545856476E-2</v>
      </c>
    </row>
    <row r="189" spans="1:57" s="699" customFormat="1" ht="15" x14ac:dyDescent="0.3">
      <c r="A189" s="228"/>
      <c r="B189" s="229"/>
      <c r="C189" s="702"/>
      <c r="D189" s="721"/>
      <c r="E189" s="721"/>
      <c r="F189" s="721"/>
      <c r="G189" s="721"/>
      <c r="H189" s="721"/>
      <c r="I189" s="721"/>
      <c r="J189" s="721"/>
      <c r="K189" s="721"/>
      <c r="L189" s="721"/>
      <c r="M189" s="721"/>
      <c r="N189" s="721"/>
      <c r="O189" s="721"/>
      <c r="P189" s="721"/>
      <c r="Q189" s="721"/>
      <c r="R189" s="721"/>
      <c r="S189" s="721"/>
      <c r="T189" s="721"/>
      <c r="U189" s="721"/>
      <c r="V189" s="721"/>
      <c r="W189" s="721"/>
      <c r="X189" s="721"/>
      <c r="Y189" s="721"/>
      <c r="Z189" s="721"/>
      <c r="AA189" s="721"/>
      <c r="AB189" s="721"/>
      <c r="AC189" s="721"/>
      <c r="AD189" s="721"/>
      <c r="AG189" s="721"/>
      <c r="AH189" s="721"/>
      <c r="AI189" s="721"/>
      <c r="AJ189" s="721"/>
      <c r="AK189" s="721"/>
      <c r="AL189" s="721"/>
      <c r="AM189" s="721"/>
      <c r="AN189" s="721"/>
      <c r="AO189" s="721"/>
      <c r="AP189" s="721"/>
      <c r="AQ189" s="721"/>
      <c r="AR189" s="721"/>
      <c r="AS189" s="721"/>
      <c r="AT189" s="721"/>
      <c r="AU189" s="721"/>
      <c r="AV189" s="721"/>
      <c r="AW189" s="721"/>
      <c r="AX189" s="721"/>
      <c r="AY189" s="721"/>
      <c r="AZ189" s="721"/>
      <c r="BA189" s="721"/>
      <c r="BB189" s="721"/>
      <c r="BC189" s="721"/>
      <c r="BD189" s="721"/>
      <c r="BE189" s="721"/>
    </row>
    <row r="190" spans="1:57" s="699" customFormat="1" x14ac:dyDescent="0.2">
      <c r="A190" s="228"/>
      <c r="B190" s="229"/>
      <c r="C190" s="700" t="s">
        <v>632</v>
      </c>
      <c r="D190" s="721"/>
      <c r="E190" s="721"/>
      <c r="F190" s="721"/>
      <c r="G190" s="721"/>
      <c r="H190" s="721"/>
      <c r="I190" s="721"/>
      <c r="J190" s="721"/>
      <c r="K190" s="721"/>
      <c r="L190" s="721"/>
      <c r="M190" s="721"/>
      <c r="N190" s="721"/>
      <c r="O190" s="721"/>
      <c r="P190" s="721"/>
      <c r="Q190" s="721"/>
      <c r="R190" s="721"/>
      <c r="S190" s="721"/>
      <c r="T190" s="721"/>
      <c r="U190" s="721"/>
      <c r="V190" s="721"/>
      <c r="W190" s="721"/>
      <c r="X190" s="721"/>
      <c r="Y190" s="721"/>
      <c r="Z190" s="721"/>
      <c r="AA190" s="721"/>
      <c r="AB190" s="721"/>
      <c r="AC190" s="721"/>
      <c r="AD190" s="721"/>
      <c r="AG190" s="721"/>
      <c r="AH190" s="721"/>
      <c r="AI190" s="721"/>
      <c r="AJ190" s="721"/>
      <c r="AK190" s="721"/>
      <c r="AL190" s="721"/>
      <c r="AM190" s="721"/>
      <c r="AN190" s="721"/>
      <c r="AO190" s="721"/>
      <c r="AP190" s="721"/>
      <c r="AQ190" s="721"/>
      <c r="AR190" s="721"/>
      <c r="AS190" s="721"/>
      <c r="AT190" s="721"/>
      <c r="AU190" s="721"/>
      <c r="AV190" s="721"/>
      <c r="AW190" s="721"/>
      <c r="AX190" s="721"/>
      <c r="AY190" s="721"/>
      <c r="AZ190" s="721"/>
      <c r="BA190" s="721"/>
      <c r="BB190" s="721"/>
      <c r="BC190" s="721"/>
      <c r="BD190" s="721"/>
      <c r="BE190" s="721"/>
    </row>
    <row r="191" spans="1:57" s="699" customFormat="1" x14ac:dyDescent="0.2">
      <c r="A191" s="228"/>
      <c r="B191" s="229"/>
      <c r="C191" s="701" t="s">
        <v>641</v>
      </c>
      <c r="D191" s="721" t="s">
        <v>13</v>
      </c>
      <c r="E191" s="721" t="s">
        <v>14</v>
      </c>
      <c r="F191" s="721" t="s">
        <v>15</v>
      </c>
      <c r="G191" s="721" t="s">
        <v>16</v>
      </c>
      <c r="H191" s="721" t="s">
        <v>17</v>
      </c>
      <c r="I191" s="721" t="s">
        <v>18</v>
      </c>
      <c r="J191" s="721" t="s">
        <v>19</v>
      </c>
      <c r="K191" s="721" t="s">
        <v>20</v>
      </c>
      <c r="L191" s="721" t="s">
        <v>21</v>
      </c>
      <c r="M191" s="721" t="s">
        <v>22</v>
      </c>
      <c r="N191" s="721" t="s">
        <v>23</v>
      </c>
      <c r="O191" s="721" t="s">
        <v>24</v>
      </c>
      <c r="P191" s="721" t="s">
        <v>25</v>
      </c>
      <c r="Q191" s="721" t="s">
        <v>26</v>
      </c>
      <c r="R191" s="721" t="s">
        <v>27</v>
      </c>
      <c r="S191" s="721" t="s">
        <v>28</v>
      </c>
      <c r="T191" s="721" t="s">
        <v>29</v>
      </c>
      <c r="U191" s="721" t="s">
        <v>30</v>
      </c>
      <c r="V191" s="721" t="s">
        <v>31</v>
      </c>
      <c r="W191" s="721" t="s">
        <v>32</v>
      </c>
      <c r="X191" s="721" t="s">
        <v>33</v>
      </c>
      <c r="Y191" s="721" t="s">
        <v>34</v>
      </c>
      <c r="Z191" s="721" t="s">
        <v>35</v>
      </c>
      <c r="AA191" s="721" t="s">
        <v>36</v>
      </c>
      <c r="AB191" s="721" t="s">
        <v>37</v>
      </c>
      <c r="AC191" s="721" t="s">
        <v>38</v>
      </c>
      <c r="AD191" s="721" t="s">
        <v>39</v>
      </c>
      <c r="AE191" s="37" t="s">
        <v>151</v>
      </c>
      <c r="AF191" s="37" t="s">
        <v>150</v>
      </c>
      <c r="AG191" s="721" t="s">
        <v>40</v>
      </c>
      <c r="AH191" s="721" t="s">
        <v>41</v>
      </c>
      <c r="AI191" s="721" t="s">
        <v>42</v>
      </c>
      <c r="AJ191" s="721" t="s">
        <v>43</v>
      </c>
      <c r="AK191" s="721" t="s">
        <v>44</v>
      </c>
      <c r="AL191" s="721" t="s">
        <v>45</v>
      </c>
      <c r="AM191" s="721" t="s">
        <v>46</v>
      </c>
      <c r="AN191" s="721" t="s">
        <v>47</v>
      </c>
      <c r="AO191" s="721" t="s">
        <v>48</v>
      </c>
      <c r="AP191" s="721" t="s">
        <v>49</v>
      </c>
      <c r="AQ191" s="721" t="s">
        <v>50</v>
      </c>
      <c r="AR191" s="721" t="s">
        <v>51</v>
      </c>
      <c r="AS191" s="721" t="s">
        <v>52</v>
      </c>
      <c r="AT191" s="721" t="s">
        <v>53</v>
      </c>
      <c r="AU191" s="721" t="s">
        <v>54</v>
      </c>
      <c r="AV191" s="721" t="s">
        <v>55</v>
      </c>
      <c r="AW191" s="721" t="s">
        <v>56</v>
      </c>
      <c r="AX191" s="721" t="s">
        <v>489</v>
      </c>
      <c r="AY191" s="721" t="s">
        <v>57</v>
      </c>
      <c r="AZ191" s="721" t="s">
        <v>58</v>
      </c>
      <c r="BA191" s="721" t="s">
        <v>59</v>
      </c>
      <c r="BB191" s="721" t="s">
        <v>60</v>
      </c>
      <c r="BC191" s="721" t="s">
        <v>61</v>
      </c>
      <c r="BD191" s="721" t="s">
        <v>62</v>
      </c>
      <c r="BE191" s="721" t="s">
        <v>12</v>
      </c>
    </row>
    <row r="192" spans="1:57" s="699" customFormat="1" ht="15" x14ac:dyDescent="0.3">
      <c r="A192" s="228"/>
      <c r="B192" s="229"/>
      <c r="C192" s="702" t="s">
        <v>7</v>
      </c>
      <c r="D192" s="721">
        <v>0.14695435762405396</v>
      </c>
      <c r="E192" s="721">
        <v>0.16943886876106262</v>
      </c>
      <c r="F192" s="721">
        <v>0.18105100095272064</v>
      </c>
      <c r="G192" s="721">
        <v>0.14487454295158386</v>
      </c>
      <c r="H192" s="721">
        <v>0.26994284987449646</v>
      </c>
      <c r="I192" s="721">
        <v>0.16603229939937592</v>
      </c>
      <c r="J192" s="721">
        <v>0.14563965797424316</v>
      </c>
      <c r="K192" s="721">
        <v>0.11072543263435364</v>
      </c>
      <c r="L192" s="721">
        <v>6.4209051430225372E-2</v>
      </c>
      <c r="M192" s="721">
        <v>0.23831698298454285</v>
      </c>
      <c r="N192" s="721">
        <v>0.26043608784675598</v>
      </c>
      <c r="O192" s="721">
        <v>0.2157314121723175</v>
      </c>
      <c r="P192" s="721">
        <v>0.18045321106910706</v>
      </c>
      <c r="Q192" s="721">
        <v>0.32660102844238281</v>
      </c>
      <c r="R192" s="721">
        <v>0.18473188579082489</v>
      </c>
      <c r="S192" s="721">
        <v>0.13851013779640198</v>
      </c>
      <c r="T192" s="721">
        <v>0.14179308712482452</v>
      </c>
      <c r="U192" s="721">
        <v>0.13814008235931396</v>
      </c>
      <c r="V192" s="721">
        <v>0.16786813735961914</v>
      </c>
      <c r="W192" s="721">
        <v>0.20191450417041779</v>
      </c>
      <c r="X192" s="721">
        <v>0.13715046644210815</v>
      </c>
      <c r="Y192" s="721">
        <v>0.21960234642028809</v>
      </c>
      <c r="Z192" s="721">
        <v>0.16758643090724945</v>
      </c>
      <c r="AA192" s="721">
        <v>0.18470826745033264</v>
      </c>
      <c r="AB192" s="721">
        <v>0.14631187915802002</v>
      </c>
      <c r="AC192" s="721">
        <v>0.16454800963401794</v>
      </c>
      <c r="AD192" s="721">
        <v>0.10081103444099426</v>
      </c>
      <c r="AE192" s="37">
        <f>'User Add-in Location'!B197</f>
        <v>0</v>
      </c>
      <c r="AF192" s="37">
        <f>'User Add-in Location'!C197</f>
        <v>0</v>
      </c>
      <c r="AG192" s="721">
        <v>0.15127605199813843</v>
      </c>
      <c r="AH192" s="721">
        <v>8.6415231227874756E-2</v>
      </c>
      <c r="AI192" s="721">
        <v>0.15945011377334595</v>
      </c>
      <c r="AJ192" s="721">
        <v>0.25877481698989868</v>
      </c>
      <c r="AK192" s="721">
        <v>0.17640462517738342</v>
      </c>
      <c r="AL192" s="721">
        <v>0.16914528608322144</v>
      </c>
      <c r="AM192" s="721">
        <v>0.16778117418289185</v>
      </c>
      <c r="AN192" s="721">
        <v>8.4409996867179871E-2</v>
      </c>
      <c r="AO192" s="721">
        <v>0.17343774437904358</v>
      </c>
      <c r="AP192" s="721">
        <v>8.5451267659664154E-2</v>
      </c>
      <c r="AQ192" s="721">
        <v>0.21677696704864502</v>
      </c>
      <c r="AR192" s="721">
        <v>0.14380864799022675</v>
      </c>
      <c r="AS192" s="721">
        <v>0.16873331367969513</v>
      </c>
      <c r="AT192" s="721">
        <v>0.14405053853988647</v>
      </c>
      <c r="AU192" s="721">
        <v>0.16248989105224609</v>
      </c>
      <c r="AV192" s="721">
        <v>0.13580590486526489</v>
      </c>
      <c r="AW192" s="721">
        <v>0.13848882913589478</v>
      </c>
      <c r="AX192" s="721">
        <v>0.3815481960773468</v>
      </c>
      <c r="AY192" s="721">
        <v>0.10973027348518372</v>
      </c>
      <c r="AZ192" s="721">
        <v>0.12792181968688965</v>
      </c>
      <c r="BA192" s="721">
        <v>0.10706318914890289</v>
      </c>
      <c r="BB192" s="721">
        <v>0.24610725045204163</v>
      </c>
      <c r="BC192" s="721">
        <v>3.3323846757411957E-2</v>
      </c>
      <c r="BD192" s="721">
        <v>0.17689085006713867</v>
      </c>
      <c r="BE192" s="721">
        <v>5.7256162166595459E-2</v>
      </c>
    </row>
    <row r="193" spans="1:57" s="699" customFormat="1" ht="15" x14ac:dyDescent="0.3">
      <c r="A193" s="228"/>
      <c r="B193" s="229"/>
      <c r="C193" s="702" t="s">
        <v>77</v>
      </c>
      <c r="D193" s="721">
        <v>7.8433960676193237E-2</v>
      </c>
      <c r="E193" s="721">
        <v>6.1663798987865448E-2</v>
      </c>
      <c r="F193" s="721">
        <v>0.1327979564666748</v>
      </c>
      <c r="G193" s="721">
        <v>0.1095079630613327</v>
      </c>
      <c r="H193" s="721">
        <v>0.15033340454101563</v>
      </c>
      <c r="I193" s="721">
        <v>0.23160001635551453</v>
      </c>
      <c r="J193" s="721">
        <v>0.15162217617034912</v>
      </c>
      <c r="K193" s="721">
        <v>0.22407770156860352</v>
      </c>
      <c r="L193" s="721">
        <v>5.8202415704727173E-2</v>
      </c>
      <c r="M193" s="721">
        <v>0.12622272968292236</v>
      </c>
      <c r="N193" s="721">
        <v>0.16248878836631775</v>
      </c>
      <c r="O193" s="721">
        <v>0.10029493272304535</v>
      </c>
      <c r="P193" s="721">
        <v>0.10548043251037598</v>
      </c>
      <c r="Q193" s="721">
        <v>0.14187967777252197</v>
      </c>
      <c r="R193" s="721">
        <v>0.1256122887134552</v>
      </c>
      <c r="S193" s="721">
        <v>9.3402981758117676E-2</v>
      </c>
      <c r="T193" s="721">
        <v>0.1657136082649231</v>
      </c>
      <c r="U193" s="721">
        <v>8.4711678326129913E-2</v>
      </c>
      <c r="V193" s="721">
        <v>0.10700459778308868</v>
      </c>
      <c r="W193" s="721">
        <v>0.1032421737909317</v>
      </c>
      <c r="X193" s="721">
        <v>0.11847352981567383</v>
      </c>
      <c r="Y193" s="721">
        <v>0.20378664135932922</v>
      </c>
      <c r="Z193" s="721">
        <v>0.16185945272445679</v>
      </c>
      <c r="AA193" s="721">
        <v>0.15239980816841125</v>
      </c>
      <c r="AB193" s="721">
        <v>0.12186983227729797</v>
      </c>
      <c r="AC193" s="721">
        <v>0.12287691235542297</v>
      </c>
      <c r="AD193" s="721">
        <v>0.12275309860706329</v>
      </c>
      <c r="AE193" s="37">
        <f>'User Add-in Location'!B198</f>
        <v>0</v>
      </c>
      <c r="AF193" s="37">
        <f>'User Add-in Location'!C198</f>
        <v>0</v>
      </c>
      <c r="AG193" s="721">
        <v>0.12047609686851501</v>
      </c>
      <c r="AH193" s="721">
        <v>7.8907698392868042E-2</v>
      </c>
      <c r="AI193" s="721">
        <v>0.12519560754299164</v>
      </c>
      <c r="AJ193" s="721">
        <v>0.25017547607421875</v>
      </c>
      <c r="AK193" s="721">
        <v>0.10522814095020294</v>
      </c>
      <c r="AL193" s="721">
        <v>0.22754365205764771</v>
      </c>
      <c r="AM193" s="721">
        <v>8.6988337337970734E-2</v>
      </c>
      <c r="AN193" s="721">
        <v>0.11212918162345886</v>
      </c>
      <c r="AO193" s="721">
        <v>0.16855683922767639</v>
      </c>
      <c r="AP193" s="721">
        <v>0.1829720139503479</v>
      </c>
      <c r="AQ193" s="721">
        <v>0.12692247331142426</v>
      </c>
      <c r="AR193" s="721">
        <v>0.15615877509117126</v>
      </c>
      <c r="AS193" s="721">
        <v>0.15633842349052429</v>
      </c>
      <c r="AT193" s="721">
        <v>8.1388503313064575E-2</v>
      </c>
      <c r="AU193" s="721">
        <v>9.4575636088848114E-2</v>
      </c>
      <c r="AV193" s="721">
        <v>0.11121787130832672</v>
      </c>
      <c r="AW193" s="721">
        <v>0.1845647394657135</v>
      </c>
      <c r="AX193" s="721">
        <v>0.31732410192489624</v>
      </c>
      <c r="AY193" s="721">
        <v>0.15734779834747314</v>
      </c>
      <c r="AZ193" s="721">
        <v>8.3823308348655701E-2</v>
      </c>
      <c r="BA193" s="721">
        <v>0.14903567731380463</v>
      </c>
      <c r="BB193" s="721">
        <v>0.10551354289054871</v>
      </c>
      <c r="BC193" s="721">
        <v>8.7612316012382507E-2</v>
      </c>
      <c r="BD193" s="721">
        <v>0.12032873928546906</v>
      </c>
      <c r="BE193" s="721">
        <v>5.9132523834705353E-2</v>
      </c>
    </row>
    <row r="194" spans="1:57" s="699" customFormat="1" ht="15" x14ac:dyDescent="0.3">
      <c r="A194" s="228"/>
      <c r="B194" s="229"/>
      <c r="C194" s="702" t="s">
        <v>8</v>
      </c>
      <c r="D194" s="721">
        <v>0.16257657110691071</v>
      </c>
      <c r="E194" s="721">
        <v>0.16704371571540833</v>
      </c>
      <c r="F194" s="721">
        <v>0.22802995145320892</v>
      </c>
      <c r="G194" s="721">
        <v>0.14967960119247437</v>
      </c>
      <c r="H194" s="721">
        <v>0.27098053693771362</v>
      </c>
      <c r="I194" s="721">
        <v>0.25204044580459595</v>
      </c>
      <c r="J194" s="721">
        <v>0.24717892706394196</v>
      </c>
      <c r="K194" s="721">
        <v>0.19866189360618591</v>
      </c>
      <c r="L194" s="721">
        <v>7.2618894279003143E-2</v>
      </c>
      <c r="M194" s="721">
        <v>0.2213599681854248</v>
      </c>
      <c r="N194" s="721">
        <v>0.21921439468860626</v>
      </c>
      <c r="O194" s="721">
        <v>0.18222944438457489</v>
      </c>
      <c r="P194" s="721">
        <v>0.14605782926082611</v>
      </c>
      <c r="Q194" s="721">
        <v>0.2560582160949707</v>
      </c>
      <c r="R194" s="721">
        <v>0.18161551654338837</v>
      </c>
      <c r="S194" s="721">
        <v>0.16811162233352661</v>
      </c>
      <c r="T194" s="721">
        <v>0.17418672144412994</v>
      </c>
      <c r="U194" s="721">
        <v>0.14944685995578766</v>
      </c>
      <c r="V194" s="721">
        <v>0.15973417460918427</v>
      </c>
      <c r="W194" s="721">
        <v>0.18960605561733246</v>
      </c>
      <c r="X194" s="721">
        <v>0.22205621004104614</v>
      </c>
      <c r="Y194" s="721">
        <v>0.25230973958969116</v>
      </c>
      <c r="Z194" s="721">
        <v>0.2140694260597229</v>
      </c>
      <c r="AA194" s="721">
        <v>0.24296630918979645</v>
      </c>
      <c r="AB194" s="721">
        <v>0.12313041090965271</v>
      </c>
      <c r="AC194" s="721">
        <v>0.22124725580215454</v>
      </c>
      <c r="AD194" s="721">
        <v>0.14108279347419739</v>
      </c>
      <c r="AE194" s="37">
        <f>'User Add-in Location'!B199</f>
        <v>0</v>
      </c>
      <c r="AF194" s="37">
        <f>'User Add-in Location'!C199</f>
        <v>0</v>
      </c>
      <c r="AG194" s="721">
        <v>0.17989438772201538</v>
      </c>
      <c r="AH194" s="721">
        <v>0.11059741675853729</v>
      </c>
      <c r="AI194" s="721">
        <v>0.2507021427154541</v>
      </c>
      <c r="AJ194" s="721">
        <v>0.26017209887504578</v>
      </c>
      <c r="AK194" s="721">
        <v>0.13379308581352234</v>
      </c>
      <c r="AL194" s="721">
        <v>0.21110877394676208</v>
      </c>
      <c r="AM194" s="721">
        <v>0.20886756479740143</v>
      </c>
      <c r="AN194" s="721">
        <v>0.15644645690917969</v>
      </c>
      <c r="AO194" s="721">
        <v>0.24335449934005737</v>
      </c>
      <c r="AP194" s="721">
        <v>0.17680607736110687</v>
      </c>
      <c r="AQ194" s="721">
        <v>0.21185225248336792</v>
      </c>
      <c r="AR194" s="721">
        <v>0.2565651535987854</v>
      </c>
      <c r="AS194" s="721">
        <v>0.21215522289276123</v>
      </c>
      <c r="AT194" s="721">
        <v>0.15359827876091003</v>
      </c>
      <c r="AU194" s="721">
        <v>0.15623551607131958</v>
      </c>
      <c r="AV194" s="721">
        <v>0.23573300242424011</v>
      </c>
      <c r="AW194" s="721">
        <v>0.23880094289779663</v>
      </c>
      <c r="AX194" s="721">
        <v>0.45922544598579407</v>
      </c>
      <c r="AY194" s="721">
        <v>0.2293158620595932</v>
      </c>
      <c r="AZ194" s="721">
        <v>0.17530959844589233</v>
      </c>
      <c r="BA194" s="721">
        <v>0.20147646963596344</v>
      </c>
      <c r="BB194" s="721">
        <v>0.22143658995628357</v>
      </c>
      <c r="BC194" s="721">
        <v>0.13925594091415405</v>
      </c>
      <c r="BD194" s="721">
        <v>0.21225887537002563</v>
      </c>
      <c r="BE194" s="721">
        <v>9.3145817518234253E-2</v>
      </c>
    </row>
    <row r="195" spans="1:57" s="699" customFormat="1" ht="15" x14ac:dyDescent="0.3">
      <c r="A195" s="228"/>
      <c r="B195" s="229"/>
      <c r="C195" s="702" t="s">
        <v>78</v>
      </c>
      <c r="D195" s="721">
        <v>8.1522606313228607E-2</v>
      </c>
      <c r="E195" s="721">
        <v>7.0284187793731689E-2</v>
      </c>
      <c r="F195" s="721">
        <v>0.15731252729892731</v>
      </c>
      <c r="G195" s="721">
        <v>8.6900874972343445E-2</v>
      </c>
      <c r="H195" s="721">
        <v>0.18117055296897888</v>
      </c>
      <c r="I195" s="721">
        <v>0.16751626133918762</v>
      </c>
      <c r="J195" s="721">
        <v>0.15976837277412415</v>
      </c>
      <c r="K195" s="721">
        <v>9.1654360294342041E-2</v>
      </c>
      <c r="L195" s="721">
        <v>4.4238001108169556E-2</v>
      </c>
      <c r="M195" s="721">
        <v>0.15497776865959167</v>
      </c>
      <c r="N195" s="721">
        <v>0.13313961029052734</v>
      </c>
      <c r="O195" s="721">
        <v>8.4594748914241791E-2</v>
      </c>
      <c r="P195" s="721">
        <v>8.4904685616493225E-2</v>
      </c>
      <c r="Q195" s="721">
        <v>0.15372282266616821</v>
      </c>
      <c r="R195" s="721">
        <v>9.0179532766342163E-2</v>
      </c>
      <c r="S195" s="721">
        <v>9.1747552156448364E-2</v>
      </c>
      <c r="T195" s="721">
        <v>0.10210518538951874</v>
      </c>
      <c r="U195" s="721">
        <v>7.5048789381980896E-2</v>
      </c>
      <c r="V195" s="721">
        <v>5.7841651141643524E-2</v>
      </c>
      <c r="W195" s="721">
        <v>0.1202458068728447</v>
      </c>
      <c r="X195" s="721">
        <v>0.12041112780570984</v>
      </c>
      <c r="Y195" s="721">
        <v>0.1592496931552887</v>
      </c>
      <c r="Z195" s="721">
        <v>0.12355758249759674</v>
      </c>
      <c r="AA195" s="721">
        <v>0.16350483894348145</v>
      </c>
      <c r="AB195" s="721">
        <v>6.471000611782074E-2</v>
      </c>
      <c r="AC195" s="721">
        <v>0.11688853800296783</v>
      </c>
      <c r="AD195" s="721">
        <v>5.9632215648889542E-2</v>
      </c>
      <c r="AE195" s="37">
        <f>'User Add-in Location'!B200</f>
        <v>0</v>
      </c>
      <c r="AF195" s="37">
        <f>'User Add-in Location'!C200</f>
        <v>0</v>
      </c>
      <c r="AG195" s="721">
        <v>9.1828584671020508E-2</v>
      </c>
      <c r="AH195" s="721">
        <v>7.2802118957042694E-2</v>
      </c>
      <c r="AI195" s="721">
        <v>0.1550537645816803</v>
      </c>
      <c r="AJ195" s="721">
        <v>0.14574505388736725</v>
      </c>
      <c r="AK195" s="721">
        <v>7.041187584400177E-2</v>
      </c>
      <c r="AL195" s="721">
        <v>0.12685345113277435</v>
      </c>
      <c r="AM195" s="721">
        <v>0.11197657883167267</v>
      </c>
      <c r="AN195" s="721">
        <v>7.0760868489742279E-2</v>
      </c>
      <c r="AO195" s="721">
        <v>0.1345667839050293</v>
      </c>
      <c r="AP195" s="721">
        <v>0.10587819665670395</v>
      </c>
      <c r="AQ195" s="721">
        <v>0.12958580255508423</v>
      </c>
      <c r="AR195" s="721">
        <v>0.14398464560508728</v>
      </c>
      <c r="AS195" s="721">
        <v>0.14315801858901978</v>
      </c>
      <c r="AT195" s="721">
        <v>8.6021214723587036E-2</v>
      </c>
      <c r="AU195" s="721">
        <v>9.2863574624061584E-2</v>
      </c>
      <c r="AV195" s="721">
        <v>0.11468271911144257</v>
      </c>
      <c r="AW195" s="721">
        <v>0.12798884510993958</v>
      </c>
      <c r="AX195" s="721">
        <v>0.33422034978866577</v>
      </c>
      <c r="AY195" s="721">
        <v>0.12793120741844177</v>
      </c>
      <c r="AZ195" s="721">
        <v>0.10424187779426575</v>
      </c>
      <c r="BA195" s="721">
        <v>0.10824432224035263</v>
      </c>
      <c r="BB195" s="721">
        <v>0.1249823123216629</v>
      </c>
      <c r="BC195" s="721">
        <v>6.4569368958473206E-2</v>
      </c>
      <c r="BD195" s="721">
        <v>0.13311314582824707</v>
      </c>
      <c r="BE195" s="721">
        <v>3.4487508237361908E-2</v>
      </c>
    </row>
    <row r="196" spans="1:57" s="699" customFormat="1" ht="15" x14ac:dyDescent="0.3">
      <c r="A196" s="228"/>
      <c r="B196" s="229"/>
      <c r="C196" s="702" t="s">
        <v>634</v>
      </c>
      <c r="D196" s="721">
        <v>0.1189974844455719</v>
      </c>
      <c r="E196" s="721">
        <v>0.12072815001010895</v>
      </c>
      <c r="F196" s="721">
        <v>0.19649821519851685</v>
      </c>
      <c r="G196" s="721">
        <v>0.11577810347080231</v>
      </c>
      <c r="H196" s="721">
        <v>0.23826588690280914</v>
      </c>
      <c r="I196" s="721">
        <v>0.19340534508228302</v>
      </c>
      <c r="J196" s="721">
        <v>0.19781205058097839</v>
      </c>
      <c r="K196" s="721">
        <v>0.15288297832012177</v>
      </c>
      <c r="L196" s="721">
        <v>0</v>
      </c>
      <c r="M196" s="721">
        <v>0.19886726140975952</v>
      </c>
      <c r="N196" s="721">
        <v>0.17569643259048462</v>
      </c>
      <c r="O196" s="721">
        <v>0.14069116115570068</v>
      </c>
      <c r="P196" s="721">
        <v>0.11843212693929672</v>
      </c>
      <c r="Q196" s="721">
        <v>0.22236503660678864</v>
      </c>
      <c r="R196" s="721">
        <v>0.13514021039009094</v>
      </c>
      <c r="S196" s="721">
        <v>0.12553201615810394</v>
      </c>
      <c r="T196" s="721">
        <v>0.12918630242347717</v>
      </c>
      <c r="U196" s="721">
        <v>0.1286541223526001</v>
      </c>
      <c r="V196" s="721">
        <v>0.12093009054660797</v>
      </c>
      <c r="W196" s="721">
        <v>0.15132486820220947</v>
      </c>
      <c r="X196" s="721">
        <v>0.16935563087463379</v>
      </c>
      <c r="Y196" s="721">
        <v>0.20804065465927124</v>
      </c>
      <c r="Z196" s="721">
        <v>0.18749329447746277</v>
      </c>
      <c r="AA196" s="721">
        <v>0.2272801399230957</v>
      </c>
      <c r="AB196" s="721">
        <v>9.8223000764846802E-2</v>
      </c>
      <c r="AC196" s="721">
        <v>0.17477104067802429</v>
      </c>
      <c r="AD196" s="721">
        <v>0.11418352276086807</v>
      </c>
      <c r="AE196" s="37">
        <f>'User Add-in Location'!B201</f>
        <v>0</v>
      </c>
      <c r="AF196" s="37">
        <f>'User Add-in Location'!C201</f>
        <v>0</v>
      </c>
      <c r="AG196" s="721">
        <v>0.12962788343429565</v>
      </c>
      <c r="AH196" s="721">
        <v>9.1966971755027771E-2</v>
      </c>
      <c r="AI196" s="721">
        <v>0.18185937404632568</v>
      </c>
      <c r="AJ196" s="721">
        <v>0.21883267164230347</v>
      </c>
      <c r="AK196" s="721">
        <v>9.5167055726051331E-2</v>
      </c>
      <c r="AL196" s="721">
        <v>0.17485085129737854</v>
      </c>
      <c r="AM196" s="721">
        <v>0.16687579452991486</v>
      </c>
      <c r="AN196" s="721">
        <v>0.10584381222724915</v>
      </c>
      <c r="AO196" s="721">
        <v>0.20021483302116394</v>
      </c>
      <c r="AP196" s="721">
        <v>0.13757088780403137</v>
      </c>
      <c r="AQ196" s="721">
        <v>0.16945961117744446</v>
      </c>
      <c r="AR196" s="721">
        <v>0.20293334126472473</v>
      </c>
      <c r="AS196" s="721">
        <v>0.1871519535779953</v>
      </c>
      <c r="AT196" s="721">
        <v>0.13330209255218506</v>
      </c>
      <c r="AU196" s="721">
        <v>0.10766041278839111</v>
      </c>
      <c r="AV196" s="721">
        <v>0.18456891179084778</v>
      </c>
      <c r="AW196" s="721">
        <v>0.19295340776443481</v>
      </c>
      <c r="AX196" s="721">
        <v>0.42291057109832764</v>
      </c>
      <c r="AY196" s="721">
        <v>0.18027177453041077</v>
      </c>
      <c r="AZ196" s="721">
        <v>0.14503777027130127</v>
      </c>
      <c r="BA196" s="721">
        <v>0.17442256212234497</v>
      </c>
      <c r="BB196" s="721">
        <v>0.17417925596237183</v>
      </c>
      <c r="BC196" s="721">
        <v>9.7787395119667053E-2</v>
      </c>
      <c r="BD196" s="721">
        <v>0.18092307448387146</v>
      </c>
      <c r="BE196" s="721">
        <v>6.6132910549640656E-2</v>
      </c>
    </row>
    <row r="197" spans="1:57" s="699" customFormat="1" ht="15" x14ac:dyDescent="0.3">
      <c r="A197" s="228"/>
      <c r="B197" s="229"/>
      <c r="C197" s="702" t="s">
        <v>80</v>
      </c>
      <c r="D197" s="721">
        <v>8.3106324076652527E-2</v>
      </c>
      <c r="E197" s="721">
        <v>7.8020989894866943E-2</v>
      </c>
      <c r="F197" s="721">
        <v>0.13944205641746521</v>
      </c>
      <c r="G197" s="721">
        <v>8.7123341858386993E-2</v>
      </c>
      <c r="H197" s="721">
        <v>0.19663506746292114</v>
      </c>
      <c r="I197" s="721">
        <v>0.14978982508182526</v>
      </c>
      <c r="J197" s="721">
        <v>0.16307759284973145</v>
      </c>
      <c r="K197" s="721">
        <v>0.13431957364082336</v>
      </c>
      <c r="L197" s="721">
        <v>4.6421945095062256E-2</v>
      </c>
      <c r="M197" s="721">
        <v>0.15704450011253357</v>
      </c>
      <c r="N197" s="721">
        <v>0.13171309232711792</v>
      </c>
      <c r="O197" s="721">
        <v>9.3449778854846954E-2</v>
      </c>
      <c r="P197" s="721">
        <v>7.9058989882469177E-2</v>
      </c>
      <c r="Q197" s="721">
        <v>0.15271472930908203</v>
      </c>
      <c r="R197" s="721">
        <v>9.6419759094715118E-2</v>
      </c>
      <c r="S197" s="721">
        <v>8.2246601581573486E-2</v>
      </c>
      <c r="T197" s="721">
        <v>9.4585120677947998E-2</v>
      </c>
      <c r="U197" s="721">
        <v>9.2123046517372131E-2</v>
      </c>
      <c r="V197" s="721">
        <v>8.7507441639900208E-2</v>
      </c>
      <c r="W197" s="721">
        <v>0.13477215170860291</v>
      </c>
      <c r="X197" s="721">
        <v>0.1103978157043457</v>
      </c>
      <c r="Y197" s="721">
        <v>0.18634095788002014</v>
      </c>
      <c r="Z197" s="721">
        <v>0.15367132425308228</v>
      </c>
      <c r="AA197" s="721">
        <v>0.17233195900917053</v>
      </c>
      <c r="AB197" s="721">
        <v>5.5534705519676208E-2</v>
      </c>
      <c r="AC197" s="721">
        <v>0.11145585030317307</v>
      </c>
      <c r="AD197" s="721">
        <v>6.4428478479385376E-2</v>
      </c>
      <c r="AE197" s="37">
        <f>'User Add-in Location'!B202</f>
        <v>0</v>
      </c>
      <c r="AF197" s="37">
        <f>'User Add-in Location'!C202</f>
        <v>0</v>
      </c>
      <c r="AG197" s="721">
        <v>8.0035075545310974E-2</v>
      </c>
      <c r="AH197" s="721">
        <v>7.1133419871330261E-2</v>
      </c>
      <c r="AI197" s="721">
        <v>0.22931438684463501</v>
      </c>
      <c r="AJ197" s="721">
        <v>0.19306221604347229</v>
      </c>
      <c r="AK197" s="721">
        <v>6.8794697523117065E-2</v>
      </c>
      <c r="AL197" s="721">
        <v>0.13655433058738708</v>
      </c>
      <c r="AM197" s="721">
        <v>0.12836045026779175</v>
      </c>
      <c r="AN197" s="721">
        <v>6.6634923219680786E-2</v>
      </c>
      <c r="AO197" s="721">
        <v>0.1650892049074173</v>
      </c>
      <c r="AP197" s="721">
        <v>0.1101495623588562</v>
      </c>
      <c r="AQ197" s="721">
        <v>0.13442492485046387</v>
      </c>
      <c r="AR197" s="721">
        <v>0.16078823804855347</v>
      </c>
      <c r="AS197" s="721">
        <v>0.16502627730369568</v>
      </c>
      <c r="AT197" s="721">
        <v>0.10648268461227417</v>
      </c>
      <c r="AU197" s="721">
        <v>7.7301532030105591E-2</v>
      </c>
      <c r="AV197" s="721">
        <v>0.12076391279697418</v>
      </c>
      <c r="AW197" s="721">
        <v>0.14993488788604736</v>
      </c>
      <c r="AX197" s="721">
        <v>0.35288766026496887</v>
      </c>
      <c r="AY197" s="721">
        <v>0.12986388802528381</v>
      </c>
      <c r="AZ197" s="721">
        <v>0.14366638660430908</v>
      </c>
      <c r="BA197" s="721">
        <v>0.1343538761138916</v>
      </c>
      <c r="BB197" s="721">
        <v>0.14818671345710754</v>
      </c>
      <c r="BC197" s="721">
        <v>0.10098955035209656</v>
      </c>
      <c r="BD197" s="721">
        <v>0.12106388807296753</v>
      </c>
      <c r="BE197" s="721">
        <v>4.4484950602054596E-2</v>
      </c>
    </row>
    <row r="198" spans="1:57" s="699" customFormat="1" ht="15" x14ac:dyDescent="0.3">
      <c r="A198" s="228"/>
      <c r="B198" s="229"/>
      <c r="C198" s="702" t="s">
        <v>635</v>
      </c>
      <c r="D198" s="721">
        <v>0.1262056827545166</v>
      </c>
      <c r="E198" s="721">
        <v>0</v>
      </c>
      <c r="F198" s="721">
        <v>0.17465542256832123</v>
      </c>
      <c r="G198" s="721">
        <v>0.10894099622964859</v>
      </c>
      <c r="H198" s="721">
        <v>0.22592216730117798</v>
      </c>
      <c r="I198" s="721">
        <v>0.16214773058891296</v>
      </c>
      <c r="J198" s="721">
        <v>0.16870647668838501</v>
      </c>
      <c r="K198" s="721">
        <v>0.15537196397781372</v>
      </c>
      <c r="L198" s="721">
        <v>2.8163693845272064E-2</v>
      </c>
      <c r="M198" s="721">
        <v>0.17269238829612732</v>
      </c>
      <c r="N198" s="721">
        <v>0.14244638383388519</v>
      </c>
      <c r="O198" s="721">
        <v>7.1968674659729004E-2</v>
      </c>
      <c r="P198" s="721">
        <v>0.11194542795419693</v>
      </c>
      <c r="Q198" s="721">
        <v>0.19765865802764893</v>
      </c>
      <c r="R198" s="721">
        <v>0.13070425391197205</v>
      </c>
      <c r="S198" s="721">
        <v>0.10937447845935822</v>
      </c>
      <c r="T198" s="721">
        <v>0.1207892894744873</v>
      </c>
      <c r="U198" s="721">
        <v>0.11965151131153107</v>
      </c>
      <c r="V198" s="721">
        <v>0.11250635236501694</v>
      </c>
      <c r="W198" s="721">
        <v>0.10927410423755646</v>
      </c>
      <c r="X198" s="721">
        <v>0.14522884786128998</v>
      </c>
      <c r="Y198" s="721">
        <v>0.17233827710151672</v>
      </c>
      <c r="Z198" s="721">
        <v>0.1760002076625824</v>
      </c>
      <c r="AA198" s="721">
        <v>0.18574249744415283</v>
      </c>
      <c r="AB198" s="721">
        <v>7.345397025346756E-2</v>
      </c>
      <c r="AC198" s="721">
        <v>0.14442156255245209</v>
      </c>
      <c r="AD198" s="721">
        <v>7.0093460381031036E-2</v>
      </c>
      <c r="AE198" s="37">
        <f>'User Add-in Location'!B203</f>
        <v>0</v>
      </c>
      <c r="AF198" s="37">
        <f>'User Add-in Location'!C203</f>
        <v>0</v>
      </c>
      <c r="AG198" s="721">
        <v>0.13555854558944702</v>
      </c>
      <c r="AH198" s="721">
        <v>8.0313503742218018E-2</v>
      </c>
      <c r="AI198" s="721">
        <v>0.17763659358024597</v>
      </c>
      <c r="AJ198" s="721">
        <v>0.18394559621810913</v>
      </c>
      <c r="AK198" s="721">
        <v>7.2657935321331024E-2</v>
      </c>
      <c r="AL198" s="721">
        <v>0.14708638191223145</v>
      </c>
      <c r="AM198" s="721">
        <v>0.12781661748886108</v>
      </c>
      <c r="AN198" s="721">
        <v>9.3613207340240479E-2</v>
      </c>
      <c r="AO198" s="721">
        <v>0.16665294766426086</v>
      </c>
      <c r="AP198" s="721">
        <v>0.12579023838043213</v>
      </c>
      <c r="AQ198" s="721">
        <v>7.4217334389686584E-2</v>
      </c>
      <c r="AR198" s="721">
        <v>0.17227709293365479</v>
      </c>
      <c r="AS198" s="721">
        <v>0.12242299318313599</v>
      </c>
      <c r="AT198" s="721">
        <v>0.1358429342508316</v>
      </c>
      <c r="AU198" s="721">
        <v>9.896579384803772E-2</v>
      </c>
      <c r="AV198" s="721">
        <v>0.15620464086532593</v>
      </c>
      <c r="AW198" s="721">
        <v>0.15591564774513245</v>
      </c>
      <c r="AX198" s="721">
        <v>0.33136153221130371</v>
      </c>
      <c r="AY198" s="721">
        <v>0.14119255542755127</v>
      </c>
      <c r="AZ198" s="721">
        <v>0.11856444180011749</v>
      </c>
      <c r="BA198" s="721">
        <v>0.1373666375875473</v>
      </c>
      <c r="BB198" s="721">
        <v>0.12766106426715851</v>
      </c>
      <c r="BC198" s="721">
        <v>7.2755143046379089E-2</v>
      </c>
      <c r="BD198" s="721">
        <v>0.16460694372653961</v>
      </c>
      <c r="BE198" s="721">
        <v>5.4728493094444275E-2</v>
      </c>
    </row>
    <row r="199" spans="1:57" s="699" customFormat="1" ht="15" x14ac:dyDescent="0.3">
      <c r="A199" s="228"/>
      <c r="B199" s="229"/>
      <c r="C199" s="702" t="s">
        <v>82</v>
      </c>
      <c r="D199" s="721">
        <v>0.12244455516338348</v>
      </c>
      <c r="E199" s="721">
        <v>7.7028974890708923E-2</v>
      </c>
      <c r="F199" s="721">
        <v>0.18282629549503326</v>
      </c>
      <c r="G199" s="721">
        <v>0.13810797035694122</v>
      </c>
      <c r="H199" s="721">
        <v>0.2366940975189209</v>
      </c>
      <c r="I199" s="721">
        <v>0.22259064018726349</v>
      </c>
      <c r="J199" s="721">
        <v>0.17948919534683228</v>
      </c>
      <c r="K199" s="721">
        <v>0.15458545088768005</v>
      </c>
      <c r="L199" s="721">
        <v>7.3116473853588104E-2</v>
      </c>
      <c r="M199" s="721">
        <v>0.17954769730567932</v>
      </c>
      <c r="N199" s="721">
        <v>0.18867510557174683</v>
      </c>
      <c r="O199" s="721">
        <v>0.11996394395828247</v>
      </c>
      <c r="P199" s="721">
        <v>0.12720641493797302</v>
      </c>
      <c r="Q199" s="721">
        <v>0.23326484858989716</v>
      </c>
      <c r="R199" s="721">
        <v>0.14502677321434021</v>
      </c>
      <c r="S199" s="721">
        <v>0.12857341766357422</v>
      </c>
      <c r="T199" s="721">
        <v>0.13525965809822083</v>
      </c>
      <c r="U199" s="721">
        <v>0.1224360466003418</v>
      </c>
      <c r="V199" s="721">
        <v>0.12188777327537537</v>
      </c>
      <c r="W199" s="721">
        <v>0.14838993549346924</v>
      </c>
      <c r="X199" s="721">
        <v>0.15428227186203003</v>
      </c>
      <c r="Y199" s="721">
        <v>0.19519272446632385</v>
      </c>
      <c r="Z199" s="721">
        <v>0.17504501342773438</v>
      </c>
      <c r="AA199" s="721">
        <v>0.20915353298187256</v>
      </c>
      <c r="AB199" s="721">
        <v>9.871239960193634E-2</v>
      </c>
      <c r="AC199" s="721">
        <v>0.17297154664993286</v>
      </c>
      <c r="AD199" s="721">
        <v>0.12182376533746719</v>
      </c>
      <c r="AE199" s="37">
        <f>'User Add-in Location'!B204</f>
        <v>0</v>
      </c>
      <c r="AF199" s="37">
        <f>'User Add-in Location'!C204</f>
        <v>0</v>
      </c>
      <c r="AG199" s="721">
        <v>0.15029652416706085</v>
      </c>
      <c r="AH199" s="721">
        <v>0</v>
      </c>
      <c r="AI199" s="721">
        <v>0.1638035923242569</v>
      </c>
      <c r="AJ199" s="721">
        <v>0.20488539338111877</v>
      </c>
      <c r="AK199" s="721">
        <v>0.11018084734678268</v>
      </c>
      <c r="AL199" s="721">
        <v>0.19035106897354126</v>
      </c>
      <c r="AM199" s="721">
        <v>0.1670747697353363</v>
      </c>
      <c r="AN199" s="721">
        <v>0.12607601284980774</v>
      </c>
      <c r="AO199" s="721">
        <v>0.18535631895065308</v>
      </c>
      <c r="AP199" s="721">
        <v>0.16748163104057312</v>
      </c>
      <c r="AQ199" s="721">
        <v>0.15603232383728027</v>
      </c>
      <c r="AR199" s="721">
        <v>0.21851646900177002</v>
      </c>
      <c r="AS199" s="721">
        <v>0.17143933475017548</v>
      </c>
      <c r="AT199" s="721">
        <v>0.11642298102378845</v>
      </c>
      <c r="AU199" s="721">
        <v>0.12414008378982544</v>
      </c>
      <c r="AV199" s="721">
        <v>0.18322731554508209</v>
      </c>
      <c r="AW199" s="721">
        <v>0.21948538720607758</v>
      </c>
      <c r="AX199" s="721">
        <v>0.3887825608253479</v>
      </c>
      <c r="AY199" s="721">
        <v>0.20951174199581146</v>
      </c>
      <c r="AZ199" s="721">
        <v>0.14364920556545258</v>
      </c>
      <c r="BA199" s="721">
        <v>0.1716325581073761</v>
      </c>
      <c r="BB199" s="721">
        <v>0.16960299015045166</v>
      </c>
      <c r="BC199" s="721">
        <v>0.1160653829574585</v>
      </c>
      <c r="BD199" s="721">
        <v>0.17095714807510376</v>
      </c>
      <c r="BE199" s="721">
        <v>7.4679024517536163E-2</v>
      </c>
    </row>
    <row r="200" spans="1:57" s="699" customFormat="1" ht="15" x14ac:dyDescent="0.3">
      <c r="A200" s="228"/>
      <c r="B200" s="229"/>
      <c r="C200" s="702" t="s">
        <v>636</v>
      </c>
      <c r="D200" s="721">
        <v>0.16844363510608673</v>
      </c>
      <c r="E200" s="721">
        <v>0.12579163908958435</v>
      </c>
      <c r="F200" s="721">
        <v>0.2669370174407959</v>
      </c>
      <c r="G200" s="721">
        <v>0.15119434893131256</v>
      </c>
      <c r="H200" s="721">
        <v>0.26744905114173889</v>
      </c>
      <c r="I200" s="721">
        <v>0.28615888953208923</v>
      </c>
      <c r="J200" s="721">
        <v>0.2412574291229248</v>
      </c>
      <c r="K200" s="721">
        <v>0.21470242738723755</v>
      </c>
      <c r="L200" s="721">
        <v>8.1826590001583099E-2</v>
      </c>
      <c r="M200" s="721">
        <v>0.26127925515174866</v>
      </c>
      <c r="N200" s="721">
        <v>0.24686667323112488</v>
      </c>
      <c r="O200" s="721">
        <v>0.18395550549030304</v>
      </c>
      <c r="P200" s="721">
        <v>0.16453522443771362</v>
      </c>
      <c r="Q200" s="721">
        <v>0.28073534369468689</v>
      </c>
      <c r="R200" s="721">
        <v>0.18622224032878876</v>
      </c>
      <c r="S200" s="721">
        <v>0.1772303581237793</v>
      </c>
      <c r="T200" s="721">
        <v>0.18031129240989685</v>
      </c>
      <c r="U200" s="721">
        <v>0.15232174098491669</v>
      </c>
      <c r="V200" s="721">
        <v>0.15615320205688477</v>
      </c>
      <c r="W200" s="721">
        <v>0.20788873732089996</v>
      </c>
      <c r="X200" s="721">
        <v>0.22185179591178894</v>
      </c>
      <c r="Y200" s="721">
        <v>0.28214854001998901</v>
      </c>
      <c r="Z200" s="721">
        <v>0.23209723830223083</v>
      </c>
      <c r="AA200" s="721">
        <v>0.29292041063308716</v>
      </c>
      <c r="AB200" s="721">
        <v>0.12728601694107056</v>
      </c>
      <c r="AC200" s="721">
        <v>0.23551227152347565</v>
      </c>
      <c r="AD200" s="721">
        <v>0.15369859337806702</v>
      </c>
      <c r="AE200" s="37">
        <f>'User Add-in Location'!B205</f>
        <v>0</v>
      </c>
      <c r="AF200" s="37">
        <f>'User Add-in Location'!C205</f>
        <v>0</v>
      </c>
      <c r="AG200" s="721">
        <v>0.18483993411064148</v>
      </c>
      <c r="AH200" s="721">
        <v>0.13044717907905579</v>
      </c>
      <c r="AI200" s="721">
        <v>0.27284738421440125</v>
      </c>
      <c r="AJ200" s="721">
        <v>0.26156610250473022</v>
      </c>
      <c r="AK200" s="721">
        <v>0.1348457932472229</v>
      </c>
      <c r="AL200" s="721">
        <v>0.22205862402915955</v>
      </c>
      <c r="AM200" s="721">
        <v>0.24177670478820801</v>
      </c>
      <c r="AN200" s="721">
        <v>0.14413057267665863</v>
      </c>
      <c r="AO200" s="721">
        <v>0.25450694561004639</v>
      </c>
      <c r="AP200" s="721">
        <v>0.1653047502040863</v>
      </c>
      <c r="AQ200" s="721">
        <v>0.2242855578660965</v>
      </c>
      <c r="AR200" s="721">
        <v>0.25824952125549316</v>
      </c>
      <c r="AS200" s="721">
        <v>0.25258743762969971</v>
      </c>
      <c r="AT200" s="721">
        <v>0.1678411066532135</v>
      </c>
      <c r="AU200" s="721">
        <v>0.16502952575683594</v>
      </c>
      <c r="AV200" s="721">
        <v>0.22506323456764221</v>
      </c>
      <c r="AW200" s="721">
        <v>0.2334398627281189</v>
      </c>
      <c r="AX200" s="721">
        <v>0.42678913474082947</v>
      </c>
      <c r="AY200" s="721">
        <v>0.24624495208263397</v>
      </c>
      <c r="AZ200" s="721">
        <v>0.18403229117393494</v>
      </c>
      <c r="BA200" s="721">
        <v>0.22797578573226929</v>
      </c>
      <c r="BB200" s="721">
        <v>0.21922573447227478</v>
      </c>
      <c r="BC200" s="721">
        <v>0.13756769895553589</v>
      </c>
      <c r="BD200" s="721">
        <v>0.2278468906879425</v>
      </c>
      <c r="BE200" s="721">
        <v>9.4206169247627258E-2</v>
      </c>
    </row>
    <row r="201" spans="1:57" s="699" customFormat="1" ht="15" x14ac:dyDescent="0.3">
      <c r="A201" s="228"/>
      <c r="B201" s="229"/>
      <c r="C201" s="702" t="s">
        <v>637</v>
      </c>
      <c r="D201" s="721">
        <v>0.18322959542274475</v>
      </c>
      <c r="E201" s="721">
        <v>0.1935962438583374</v>
      </c>
      <c r="F201" s="721">
        <v>0.28919330239295959</v>
      </c>
      <c r="G201" s="721">
        <v>0.19330579042434692</v>
      </c>
      <c r="H201" s="721">
        <v>0.29936426877975464</v>
      </c>
      <c r="I201" s="721">
        <v>0.29819521307945251</v>
      </c>
      <c r="J201" s="721">
        <v>0.29025518894195557</v>
      </c>
      <c r="K201" s="721">
        <v>0.2481377124786377</v>
      </c>
      <c r="L201" s="721">
        <v>8.308236300945282E-2</v>
      </c>
      <c r="M201" s="721">
        <v>0.29952752590179443</v>
      </c>
      <c r="N201" s="721">
        <v>0.27828839421272278</v>
      </c>
      <c r="O201" s="721">
        <v>0.19907131791114807</v>
      </c>
      <c r="P201" s="721">
        <v>0.19359377026557922</v>
      </c>
      <c r="Q201" s="721">
        <v>0.30369925498962402</v>
      </c>
      <c r="R201" s="721">
        <v>0.20657289028167725</v>
      </c>
      <c r="S201" s="721">
        <v>0.19845327734947205</v>
      </c>
      <c r="T201" s="721">
        <v>0.19119261205196381</v>
      </c>
      <c r="U201" s="721">
        <v>0.20042237639427185</v>
      </c>
      <c r="V201" s="721">
        <v>0.17707586288452148</v>
      </c>
      <c r="W201" s="721">
        <v>0.24060943722724915</v>
      </c>
      <c r="X201" s="721">
        <v>0.24757009744644165</v>
      </c>
      <c r="Y201" s="721">
        <v>0.31660875678062439</v>
      </c>
      <c r="Z201" s="721">
        <v>0.24356311559677124</v>
      </c>
      <c r="AA201" s="721">
        <v>0.29411202669143677</v>
      </c>
      <c r="AB201" s="721">
        <v>0.15413376688957214</v>
      </c>
      <c r="AC201" s="721">
        <v>0.26232796907424927</v>
      </c>
      <c r="AD201" s="721">
        <v>0.20605580508708954</v>
      </c>
      <c r="AE201" s="37">
        <f>'User Add-in Location'!B206</f>
        <v>0</v>
      </c>
      <c r="AF201" s="37">
        <f>'User Add-in Location'!C206</f>
        <v>0</v>
      </c>
      <c r="AG201" s="721">
        <v>0.20257177948951721</v>
      </c>
      <c r="AH201" s="721">
        <v>9.4952374696731567E-2</v>
      </c>
      <c r="AI201" s="721">
        <v>0.31198281049728394</v>
      </c>
      <c r="AJ201" s="721">
        <v>0.30135923624038696</v>
      </c>
      <c r="AK201" s="721">
        <v>0.17272880673408508</v>
      </c>
      <c r="AL201" s="721">
        <v>0.25987595319747925</v>
      </c>
      <c r="AM201" s="721">
        <v>0.28297960758209229</v>
      </c>
      <c r="AN201" s="721">
        <v>0.16560935974121094</v>
      </c>
      <c r="AO201" s="721">
        <v>0.27685573697090149</v>
      </c>
      <c r="AP201" s="721">
        <v>0.20967796444892883</v>
      </c>
      <c r="AQ201" s="721">
        <v>0.27858299016952515</v>
      </c>
      <c r="AR201" s="721">
        <v>0.29869264364242554</v>
      </c>
      <c r="AS201" s="721">
        <v>0.29020065069198608</v>
      </c>
      <c r="AT201" s="721">
        <v>0.19780559837818146</v>
      </c>
      <c r="AU201" s="721">
        <v>0.19029408693313599</v>
      </c>
      <c r="AV201" s="721">
        <v>0.26642835140228271</v>
      </c>
      <c r="AW201" s="721">
        <v>0.25569832324981689</v>
      </c>
      <c r="AX201" s="721">
        <v>0.4726460874080658</v>
      </c>
      <c r="AY201" s="721">
        <v>0.27738338708877563</v>
      </c>
      <c r="AZ201" s="721">
        <v>0.22360220551490784</v>
      </c>
      <c r="BA201" s="721">
        <v>0.24141544103622437</v>
      </c>
      <c r="BB201" s="721">
        <v>0.23678570985794067</v>
      </c>
      <c r="BC201" s="721">
        <v>0.16537380218505859</v>
      </c>
      <c r="BD201" s="721">
        <v>0.24303413927555084</v>
      </c>
      <c r="BE201" s="721">
        <v>0.11469757556915283</v>
      </c>
    </row>
    <row r="202" spans="1:57" s="699" customFormat="1" ht="15" x14ac:dyDescent="0.3">
      <c r="A202" s="228"/>
      <c r="B202" s="229"/>
      <c r="C202" s="702" t="s">
        <v>83</v>
      </c>
      <c r="D202" s="721">
        <v>0.13705578446388245</v>
      </c>
      <c r="E202" s="721">
        <v>0.10882732272148132</v>
      </c>
      <c r="F202" s="721">
        <v>0.21825411915779114</v>
      </c>
      <c r="G202" s="721">
        <v>0.11841282248497009</v>
      </c>
      <c r="H202" s="721">
        <v>0.21157951653003693</v>
      </c>
      <c r="I202" s="721">
        <v>0.21461197733879089</v>
      </c>
      <c r="J202" s="721">
        <v>0.22984540462493896</v>
      </c>
      <c r="K202" s="721">
        <v>0.1252131462097168</v>
      </c>
      <c r="L202" s="721">
        <v>5.8372329920530319E-2</v>
      </c>
      <c r="M202" s="721">
        <v>0.21680405735969543</v>
      </c>
      <c r="N202" s="721">
        <v>0.18723976612091064</v>
      </c>
      <c r="O202" s="721">
        <v>0.12715476751327515</v>
      </c>
      <c r="P202" s="721">
        <v>0.11615265905857086</v>
      </c>
      <c r="Q202" s="721">
        <v>0.21894222497940063</v>
      </c>
      <c r="R202" s="721">
        <v>0.12887722253799438</v>
      </c>
      <c r="S202" s="721">
        <v>0.13168257474899292</v>
      </c>
      <c r="T202" s="721">
        <v>0.14349478483200073</v>
      </c>
      <c r="U202" s="721">
        <v>0.132630854845047</v>
      </c>
      <c r="V202" s="721">
        <v>0.12029866874217987</v>
      </c>
      <c r="W202" s="721">
        <v>0.15303343534469604</v>
      </c>
      <c r="X202" s="721">
        <v>0.15897254645824432</v>
      </c>
      <c r="Y202" s="721">
        <v>0.24070978164672852</v>
      </c>
      <c r="Z202" s="721">
        <v>0.1738518625497818</v>
      </c>
      <c r="AA202" s="721">
        <v>0.24756315350532532</v>
      </c>
      <c r="AB202" s="721">
        <v>0.10091674327850342</v>
      </c>
      <c r="AC202" s="721">
        <v>0.17410552501678467</v>
      </c>
      <c r="AD202" s="721">
        <v>0.10854503512382507</v>
      </c>
      <c r="AE202" s="37">
        <f>'User Add-in Location'!B207</f>
        <v>0</v>
      </c>
      <c r="AF202" s="37">
        <f>'User Add-in Location'!C207</f>
        <v>0</v>
      </c>
      <c r="AG202" s="721">
        <v>0.13978962600231171</v>
      </c>
      <c r="AH202" s="721">
        <v>0</v>
      </c>
      <c r="AI202" s="721">
        <v>0.19272890686988831</v>
      </c>
      <c r="AJ202" s="721">
        <v>0.20593631267547607</v>
      </c>
      <c r="AK202" s="721">
        <v>8.5925914347171783E-2</v>
      </c>
      <c r="AL202" s="721">
        <v>0.20534645020961761</v>
      </c>
      <c r="AM202" s="721">
        <v>0.20497044920921326</v>
      </c>
      <c r="AN202" s="721">
        <v>0.11331944167613983</v>
      </c>
      <c r="AO202" s="721">
        <v>0.182545006275177</v>
      </c>
      <c r="AP202" s="721">
        <v>0.1380593329668045</v>
      </c>
      <c r="AQ202" s="721">
        <v>0.14677324891090393</v>
      </c>
      <c r="AR202" s="721">
        <v>0.20831441879272461</v>
      </c>
      <c r="AS202" s="721">
        <v>0.20339956879615784</v>
      </c>
      <c r="AT202" s="721">
        <v>0.15305124223232269</v>
      </c>
      <c r="AU202" s="721">
        <v>0.11477618664503098</v>
      </c>
      <c r="AV202" s="721">
        <v>0.18942934274673462</v>
      </c>
      <c r="AW202" s="721">
        <v>0.21132567524909973</v>
      </c>
      <c r="AX202" s="721">
        <v>0.35200566053390503</v>
      </c>
      <c r="AY202" s="721">
        <v>0.16466799378395081</v>
      </c>
      <c r="AZ202" s="721">
        <v>0.13362830877304077</v>
      </c>
      <c r="BA202" s="721">
        <v>0.16015130281448364</v>
      </c>
      <c r="BB202" s="721">
        <v>0.15269632637500763</v>
      </c>
      <c r="BC202" s="721">
        <v>0.10031692683696747</v>
      </c>
      <c r="BD202" s="721">
        <v>0.15876516699790955</v>
      </c>
      <c r="BE202" s="721">
        <v>6.5812379121780396E-2</v>
      </c>
    </row>
    <row r="203" spans="1:57" s="699" customFormat="1" ht="15" x14ac:dyDescent="0.3">
      <c r="A203" s="228"/>
      <c r="B203" s="229"/>
      <c r="C203" s="702" t="s">
        <v>638</v>
      </c>
      <c r="D203" s="721">
        <v>0.23944258689880371</v>
      </c>
      <c r="E203" s="721">
        <v>0.22477257251739502</v>
      </c>
      <c r="F203" s="721">
        <v>0.36533847451210022</v>
      </c>
      <c r="G203" s="721">
        <v>0.22180438041687012</v>
      </c>
      <c r="H203" s="721">
        <v>0.39479988813400269</v>
      </c>
      <c r="I203" s="721">
        <v>0.37909385561943054</v>
      </c>
      <c r="J203" s="721">
        <v>0.34569558501243591</v>
      </c>
      <c r="K203" s="721">
        <v>0.28201135993003845</v>
      </c>
      <c r="L203" s="721">
        <v>0.11104565858840942</v>
      </c>
      <c r="M203" s="721">
        <v>0.36904668807983398</v>
      </c>
      <c r="N203" s="721">
        <v>0.35126972198486328</v>
      </c>
      <c r="O203" s="721">
        <v>0.24790924787521362</v>
      </c>
      <c r="P203" s="721">
        <v>0.21149048209190369</v>
      </c>
      <c r="Q203" s="721">
        <v>0.38862302899360657</v>
      </c>
      <c r="R203" s="721">
        <v>0.21730071306228638</v>
      </c>
      <c r="S203" s="721">
        <v>0.22205619513988495</v>
      </c>
      <c r="T203" s="721">
        <v>0.24877393245697021</v>
      </c>
      <c r="U203" s="721">
        <v>0.22665989398956299</v>
      </c>
      <c r="V203" s="721">
        <v>0.22945226728916168</v>
      </c>
      <c r="W203" s="721">
        <v>0.28321459889411926</v>
      </c>
      <c r="X203" s="721">
        <v>0.30500665307044983</v>
      </c>
      <c r="Y203" s="721">
        <v>0.36056554317474365</v>
      </c>
      <c r="Z203" s="721">
        <v>0.32985728979110718</v>
      </c>
      <c r="AA203" s="721">
        <v>0.37004131078720093</v>
      </c>
      <c r="AB203" s="721">
        <v>0.1780647486448288</v>
      </c>
      <c r="AC203" s="721">
        <v>0.30986407399177551</v>
      </c>
      <c r="AD203" s="721">
        <v>0.21018531918525696</v>
      </c>
      <c r="AE203" s="37">
        <f>'User Add-in Location'!B208</f>
        <v>0</v>
      </c>
      <c r="AF203" s="37">
        <f>'User Add-in Location'!C208</f>
        <v>0</v>
      </c>
      <c r="AG203" s="721">
        <v>0.23535320162773132</v>
      </c>
      <c r="AH203" s="721">
        <v>0.18877774477005005</v>
      </c>
      <c r="AI203" s="721">
        <v>0.32513988018035889</v>
      </c>
      <c r="AJ203" s="721">
        <v>0.36760470271110535</v>
      </c>
      <c r="AK203" s="721">
        <v>0.19264319539070129</v>
      </c>
      <c r="AL203" s="721">
        <v>0.31479650735855103</v>
      </c>
      <c r="AM203" s="721">
        <v>0.30204015970230103</v>
      </c>
      <c r="AN203" s="721">
        <v>0.19871944189071655</v>
      </c>
      <c r="AO203" s="721">
        <v>0.34483301639556885</v>
      </c>
      <c r="AP203" s="721">
        <v>0.23850095272064209</v>
      </c>
      <c r="AQ203" s="721">
        <v>0.25826567411422729</v>
      </c>
      <c r="AR203" s="721">
        <v>0.34744587540626526</v>
      </c>
      <c r="AS203" s="721">
        <v>0.32612553238868713</v>
      </c>
      <c r="AT203" s="721">
        <v>0.24631315469741821</v>
      </c>
      <c r="AU203" s="721">
        <v>0.20514389872550964</v>
      </c>
      <c r="AV203" s="721">
        <v>0.31596589088439941</v>
      </c>
      <c r="AW203" s="721">
        <v>0.3372921347618103</v>
      </c>
      <c r="AX203" s="721">
        <v>0.5853760838508606</v>
      </c>
      <c r="AY203" s="721">
        <v>0.32645571231842041</v>
      </c>
      <c r="AZ203" s="721">
        <v>0.24780189990997314</v>
      </c>
      <c r="BA203" s="721">
        <v>0.32614004611968994</v>
      </c>
      <c r="BB203" s="721">
        <v>0.29990094900131226</v>
      </c>
      <c r="BC203" s="721">
        <v>0.19210396707057953</v>
      </c>
      <c r="BD203" s="721">
        <v>0.29114943742752075</v>
      </c>
      <c r="BE203" s="721">
        <v>0.13535124063491821</v>
      </c>
    </row>
    <row r="204" spans="1:57" s="699" customFormat="1" ht="15" x14ac:dyDescent="0.3">
      <c r="A204" s="228"/>
      <c r="B204" s="229"/>
      <c r="C204" s="702" t="s">
        <v>639</v>
      </c>
      <c r="D204" s="721">
        <v>0.17559882998466492</v>
      </c>
      <c r="E204" s="721">
        <v>0.16427381336688995</v>
      </c>
      <c r="F204" s="721">
        <v>0.27977609634399414</v>
      </c>
      <c r="G204" s="721">
        <v>0.16360071301460266</v>
      </c>
      <c r="H204" s="721">
        <v>0.29922479391098022</v>
      </c>
      <c r="I204" s="721">
        <v>0.27801424264907837</v>
      </c>
      <c r="J204" s="721">
        <v>0.26982057094573975</v>
      </c>
      <c r="K204" s="721">
        <v>0.23269391059875488</v>
      </c>
      <c r="L204" s="721">
        <v>9.3799740076065063E-2</v>
      </c>
      <c r="M204" s="721">
        <v>0.28070777654647827</v>
      </c>
      <c r="N204" s="721">
        <v>0.25561428070068359</v>
      </c>
      <c r="O204" s="721">
        <v>0.20017318427562714</v>
      </c>
      <c r="P204" s="721">
        <v>0.1719212532043457</v>
      </c>
      <c r="Q204" s="721">
        <v>0.29516905546188354</v>
      </c>
      <c r="R204" s="721">
        <v>0.19727863371372223</v>
      </c>
      <c r="S204" s="721">
        <v>0.17515335977077484</v>
      </c>
      <c r="T204" s="721">
        <v>0.18559050559997559</v>
      </c>
      <c r="U204" s="721">
        <v>0.17944799363613129</v>
      </c>
      <c r="V204" s="721">
        <v>0.16586896777153015</v>
      </c>
      <c r="W204" s="721">
        <v>0.22994667291641235</v>
      </c>
      <c r="X204" s="721">
        <v>0.23613294959068298</v>
      </c>
      <c r="Y204" s="721">
        <v>0.29645818471908569</v>
      </c>
      <c r="Z204" s="721">
        <v>0.24805867671966553</v>
      </c>
      <c r="AA204" s="721">
        <v>0.29294490814208984</v>
      </c>
      <c r="AB204" s="721">
        <v>0.13643406331539154</v>
      </c>
      <c r="AC204" s="721">
        <v>0.24229484796524048</v>
      </c>
      <c r="AD204" s="721">
        <v>0.16404804587364197</v>
      </c>
      <c r="AE204" s="37">
        <f>'User Add-in Location'!B209</f>
        <v>0</v>
      </c>
      <c r="AF204" s="37">
        <f>'User Add-in Location'!C209</f>
        <v>0</v>
      </c>
      <c r="AG204" s="721">
        <v>0.19590362906455994</v>
      </c>
      <c r="AH204" s="721">
        <v>0.1345323920249939</v>
      </c>
      <c r="AI204" s="721">
        <v>0.26585739850997925</v>
      </c>
      <c r="AJ204" s="721">
        <v>0.28700342774391174</v>
      </c>
      <c r="AK204" s="721">
        <v>0.14261801540851593</v>
      </c>
      <c r="AL204" s="721">
        <v>0.24927634000778198</v>
      </c>
      <c r="AM204" s="721">
        <v>0.2507987916469574</v>
      </c>
      <c r="AN204" s="721">
        <v>0.14686715602874756</v>
      </c>
      <c r="AO204" s="721">
        <v>0.27493274211883545</v>
      </c>
      <c r="AP204" s="721">
        <v>0.17788287997245789</v>
      </c>
      <c r="AQ204" s="721">
        <v>0.23982656002044678</v>
      </c>
      <c r="AR204" s="721">
        <v>0.28656750917434692</v>
      </c>
      <c r="AS204" s="721">
        <v>0.26864704489707947</v>
      </c>
      <c r="AT204" s="721">
        <v>0.17861588299274445</v>
      </c>
      <c r="AU204" s="721">
        <v>0.17575070261955261</v>
      </c>
      <c r="AV204" s="721">
        <v>0.25990617275238037</v>
      </c>
      <c r="AW204" s="721">
        <v>0.24833749234676361</v>
      </c>
      <c r="AX204" s="721">
        <v>0.46402466297149658</v>
      </c>
      <c r="AY204" s="721">
        <v>0.24505871534347534</v>
      </c>
      <c r="AZ204" s="721">
        <v>0.20115607976913452</v>
      </c>
      <c r="BA204" s="721">
        <v>0.24201744794845581</v>
      </c>
      <c r="BB204" s="721">
        <v>0.22739467024803162</v>
      </c>
      <c r="BC204" s="721">
        <v>0.15761019289493561</v>
      </c>
      <c r="BD204" s="721">
        <v>0.23184025287628174</v>
      </c>
      <c r="BE204" s="721">
        <v>9.660552442073822E-2</v>
      </c>
    </row>
    <row r="205" spans="1:57" s="699" customFormat="1" ht="15" x14ac:dyDescent="0.3">
      <c r="A205" s="228"/>
      <c r="B205" s="229"/>
      <c r="C205" s="702" t="s">
        <v>11</v>
      </c>
      <c r="D205" s="721">
        <v>0.26787382364273071</v>
      </c>
      <c r="E205" s="721">
        <v>0.29362332820892334</v>
      </c>
      <c r="F205" s="721">
        <v>0.39252197742462158</v>
      </c>
      <c r="G205" s="721">
        <v>0.31059432029724121</v>
      </c>
      <c r="H205" s="721">
        <v>0.43444430828094482</v>
      </c>
      <c r="I205" s="721">
        <v>0.4322318434715271</v>
      </c>
      <c r="J205" s="721">
        <v>0.34698507189750671</v>
      </c>
      <c r="K205" s="721">
        <v>0.32032841444015503</v>
      </c>
      <c r="L205" s="721">
        <v>0.10087834298610687</v>
      </c>
      <c r="M205" s="721">
        <v>0.42370465397834778</v>
      </c>
      <c r="N205" s="721">
        <v>0.43069547414779663</v>
      </c>
      <c r="O205" s="721">
        <v>0.33155107498168945</v>
      </c>
      <c r="P205" s="721">
        <v>0.28975456953048706</v>
      </c>
      <c r="Q205" s="721">
        <v>0.46909219026565552</v>
      </c>
      <c r="R205" s="721">
        <v>0.34102591872215271</v>
      </c>
      <c r="S205" s="721">
        <v>0.30507534742355347</v>
      </c>
      <c r="T205" s="721">
        <v>0.32388490438461304</v>
      </c>
      <c r="U205" s="721">
        <v>0.30099552869796753</v>
      </c>
      <c r="V205" s="721">
        <v>0.29566746950149536</v>
      </c>
      <c r="W205" s="721">
        <v>0.37814748287200928</v>
      </c>
      <c r="X205" s="721">
        <v>0.31128406524658203</v>
      </c>
      <c r="Y205" s="721">
        <v>0.32734116911888123</v>
      </c>
      <c r="Z205" s="721">
        <v>0.39598220586776733</v>
      </c>
      <c r="AA205" s="721">
        <v>0.41615670919418335</v>
      </c>
      <c r="AB205" s="721">
        <v>0.2570030689239502</v>
      </c>
      <c r="AC205" s="721">
        <v>0.39250025153160095</v>
      </c>
      <c r="AD205" s="721">
        <v>0.27951464056968689</v>
      </c>
      <c r="AE205" s="37">
        <f>'User Add-in Location'!B210</f>
        <v>0</v>
      </c>
      <c r="AF205" s="37">
        <f>'User Add-in Location'!C210</f>
        <v>0</v>
      </c>
      <c r="AG205" s="721">
        <v>0.33972865343093872</v>
      </c>
      <c r="AH205" s="721">
        <v>0.22266954183578491</v>
      </c>
      <c r="AI205" s="721">
        <v>0.32848796248435974</v>
      </c>
      <c r="AJ205" s="721">
        <v>0.43586766719818115</v>
      </c>
      <c r="AK205" s="721">
        <v>0.19164001941680908</v>
      </c>
      <c r="AL205" s="721">
        <v>0.35251247882843018</v>
      </c>
      <c r="AM205" s="721">
        <v>0.41328397393226624</v>
      </c>
      <c r="AN205" s="721">
        <v>0.25104540586471558</v>
      </c>
      <c r="AO205" s="721">
        <v>0.41516733169555664</v>
      </c>
      <c r="AP205" s="721">
        <v>0.27969753742218018</v>
      </c>
      <c r="AQ205" s="721">
        <v>0.36531925201416016</v>
      </c>
      <c r="AR205" s="721">
        <v>0.41158196330070496</v>
      </c>
      <c r="AS205" s="721">
        <v>0.3513648509979248</v>
      </c>
      <c r="AT205" s="721">
        <v>0.3171379566192627</v>
      </c>
      <c r="AU205" s="721">
        <v>0.28437519073486328</v>
      </c>
      <c r="AV205" s="721">
        <v>0.37394672632217407</v>
      </c>
      <c r="AW205" s="721">
        <v>0.3807947039604187</v>
      </c>
      <c r="AX205" s="721">
        <v>0.63461416959762573</v>
      </c>
      <c r="AY205" s="721">
        <v>0.38695052266120911</v>
      </c>
      <c r="AZ205" s="721">
        <v>0.34267514944076538</v>
      </c>
      <c r="BA205" s="721">
        <v>0.32990694046020508</v>
      </c>
      <c r="BB205" s="721">
        <v>0.34728878736495972</v>
      </c>
      <c r="BC205" s="721">
        <v>0.25022810697555542</v>
      </c>
      <c r="BD205" s="721">
        <v>0.36853808164596558</v>
      </c>
      <c r="BE205" s="721">
        <v>0.19265486299991608</v>
      </c>
    </row>
    <row r="206" spans="1:57" s="699" customFormat="1" x14ac:dyDescent="0.2">
      <c r="A206" s="228"/>
      <c r="B206" s="229"/>
    </row>
    <row r="207" spans="1:57" x14ac:dyDescent="0.2">
      <c r="C207" s="741" t="str">
        <f>CONCATENATE("Source:  IMPLAN™, using ",D2," state data.")</f>
        <v>Source:  IMPLAN™, using 2014 state data.</v>
      </c>
      <c r="D207" s="742"/>
      <c r="E207" s="742"/>
      <c r="F207" s="742"/>
      <c r="G207" s="742"/>
      <c r="H207" s="742"/>
    </row>
    <row r="210" spans="2:21" x14ac:dyDescent="0.2">
      <c r="B210"/>
      <c r="C210" s="1" t="s">
        <v>63</v>
      </c>
    </row>
    <row r="211" spans="2:21" x14ac:dyDescent="0.2">
      <c r="B211"/>
      <c r="D211" s="17" t="s">
        <v>123</v>
      </c>
      <c r="E211" s="11"/>
      <c r="F211" s="11"/>
      <c r="G211" s="11"/>
      <c r="H211" s="17" t="s">
        <v>124</v>
      </c>
      <c r="I211" s="11"/>
      <c r="J211" s="11"/>
      <c r="K211" s="11"/>
      <c r="L211" s="109" t="s">
        <v>125</v>
      </c>
      <c r="M211" s="11"/>
      <c r="N211" s="11"/>
      <c r="O211" s="11"/>
      <c r="P211" s="109" t="s">
        <v>632</v>
      </c>
      <c r="Q211" s="11"/>
      <c r="R211" s="11"/>
      <c r="S211" s="11"/>
    </row>
    <row r="212" spans="2:21" x14ac:dyDescent="0.2">
      <c r="B212"/>
      <c r="D212" s="11" t="s">
        <v>74</v>
      </c>
      <c r="E212" s="11" t="s">
        <v>75</v>
      </c>
      <c r="F212" s="11" t="s">
        <v>76</v>
      </c>
      <c r="G212" s="11" t="s">
        <v>4</v>
      </c>
      <c r="H212" s="11" t="s">
        <v>74</v>
      </c>
      <c r="I212" s="11" t="s">
        <v>75</v>
      </c>
      <c r="J212" s="11" t="s">
        <v>76</v>
      </c>
      <c r="K212" s="11" t="s">
        <v>4</v>
      </c>
      <c r="L212" s="11" t="s">
        <v>74</v>
      </c>
      <c r="M212" s="11" t="s">
        <v>75</v>
      </c>
      <c r="N212" s="11" t="s">
        <v>76</v>
      </c>
      <c r="O212" s="11" t="s">
        <v>4</v>
      </c>
      <c r="P212" s="11" t="s">
        <v>74</v>
      </c>
      <c r="Q212" s="11" t="s">
        <v>75</v>
      </c>
      <c r="R212" s="11" t="s">
        <v>76</v>
      </c>
      <c r="S212" s="11" t="s">
        <v>4</v>
      </c>
      <c r="U212" s="11" t="s">
        <v>86</v>
      </c>
    </row>
    <row r="213" spans="2:21" ht="15" x14ac:dyDescent="0.2">
      <c r="B213">
        <v>2</v>
      </c>
      <c r="C213" s="6" t="s">
        <v>7</v>
      </c>
      <c r="D213" s="37">
        <f>HLOOKUP(Calculations!$E$1,Multipliers!$D$4:$BE$18,$B213)</f>
        <v>9.068770211184944</v>
      </c>
      <c r="E213" s="37">
        <f>HLOOKUP(Calculations!$E$1,Multipliers!$D$21:$BE$35,B213)</f>
        <v>1.5284968725883268</v>
      </c>
      <c r="F213" s="37">
        <f>HLOOKUP(Calculations!$E$1,Multipliers!$D$38:$BE$52,$B213)</f>
        <v>1.4060796452471949</v>
      </c>
      <c r="G213" s="37">
        <f t="shared" ref="G213:G226" si="0">SUM(D213:F213)</f>
        <v>12.003346729020466</v>
      </c>
      <c r="H213" s="37">
        <f>HLOOKUP(Calculations!E$1,Multipliers!$D$55:$BE$69,B213)</f>
        <v>0.20893400907516479</v>
      </c>
      <c r="I213" s="37">
        <f>HLOOKUP(Calculations!$E$1,Multipliers!$D$72:$BE$86,$B213)</f>
        <v>8.2019716501235962E-2</v>
      </c>
      <c r="J213" s="37">
        <f>HLOOKUP(Calculations!$E$1,Multipliers!$D$89:$BE$103,$B213)</f>
        <v>8.1432349979877472E-2</v>
      </c>
      <c r="K213" s="37">
        <f t="shared" ref="K213:K226" si="1">SUM(H213:J213)</f>
        <v>0.37238607555627823</v>
      </c>
      <c r="L213" s="37">
        <f>HLOOKUP(Calculations!E$1,Multipliers!$D$106:$BE$120,$B213)</f>
        <v>1</v>
      </c>
      <c r="M213" s="37">
        <f>HLOOKUP(Calculations!$E$1,Multipliers!$D$123:$BE$137,$B213)</f>
        <v>0.33491361141204834</v>
      </c>
      <c r="N213" s="37">
        <f>HLOOKUP(Calculations!$E$1,Multipliers!$D$140:$BE$154,$B213)</f>
        <v>0.24320392310619354</v>
      </c>
      <c r="O213" s="37">
        <f t="shared" ref="O213:O226" si="2">SUM(L213:N213)</f>
        <v>1.5781175345182419</v>
      </c>
      <c r="P213" s="37">
        <f>HLOOKUP(Calculations!$E$1,Multipliers!$D$157:$BE$171,$B213)</f>
        <v>0.52713954448699951</v>
      </c>
      <c r="Q213" s="37">
        <f>HLOOKUP(Calculations!$E$1,Multipliers!$D$174:$BE$188,$B213)</f>
        <v>0.16416582465171814</v>
      </c>
      <c r="R213" s="37">
        <f>HLOOKUP(Calculations!$E$1,Multipliers!$D$191:$BE$205,$B213)</f>
        <v>0.13848882913589478</v>
      </c>
      <c r="S213" s="37">
        <f t="shared" ref="S213" si="3">SUM(P213:R213)</f>
        <v>0.82979419827461243</v>
      </c>
      <c r="U213" s="37">
        <f>HLOOKUP(Calculations!$E$1,'Household Exp'!$D$3:$BE$17,$B213)</f>
        <v>3.014855508898549E-3</v>
      </c>
    </row>
    <row r="214" spans="2:21" ht="15" x14ac:dyDescent="0.2">
      <c r="B214">
        <v>3</v>
      </c>
      <c r="C214" s="6" t="s">
        <v>77</v>
      </c>
      <c r="D214" s="37">
        <f>HLOOKUP(Calculations!$E$1,Multipliers!$D$4:$BE$18,$B214)</f>
        <v>1.8761954307556152</v>
      </c>
      <c r="E214" s="37">
        <f>HLOOKUP(Calculations!$E$1,Multipliers!$D$21:$BE$35,B214)</f>
        <v>1.0913117795750715</v>
      </c>
      <c r="F214" s="37">
        <f>HLOOKUP(Calculations!$E$1,Multipliers!$D$38:$BE$52,$B214)</f>
        <v>2.1524512249490488</v>
      </c>
      <c r="G214" s="37">
        <f t="shared" si="0"/>
        <v>5.1199584352797354</v>
      </c>
      <c r="H214" s="37">
        <f>HLOOKUP(Calculations!E$1,Multipliers!$D$55:$BE$69,B214)</f>
        <v>0.29566863179206848</v>
      </c>
      <c r="I214" s="37">
        <f>HLOOKUP(Calculations!$E$1,Multipliers!$D$72:$BE$86,$B214)</f>
        <v>9.1027304530143738E-2</v>
      </c>
      <c r="J214" s="37">
        <f>HLOOKUP(Calculations!$E$1,Multipliers!$D$89:$BE$103,$B214)</f>
        <v>0.10852031409740448</v>
      </c>
      <c r="K214" s="37">
        <f t="shared" si="1"/>
        <v>0.4952162504196167</v>
      </c>
      <c r="L214" s="37">
        <f>HLOOKUP(Calculations!E$1,Multipliers!$D$106:$BE$120,B214)</f>
        <v>1</v>
      </c>
      <c r="M214" s="37">
        <f>HLOOKUP(Calculations!$E$1,Multipliers!$D$123:$BE$137,$B214)</f>
        <v>0.30056118965148926</v>
      </c>
      <c r="N214" s="37">
        <f>HLOOKUP(Calculations!$E$1,Multipliers!$D$140:$BE$154,$B214)</f>
        <v>0.32414078712463379</v>
      </c>
      <c r="O214" s="37">
        <f t="shared" si="2"/>
        <v>1.624701976776123</v>
      </c>
      <c r="P214" s="37">
        <f>HLOOKUP(Calculations!$E$1,Multipliers!$D$157:$BE$171,$B214)</f>
        <v>0.72671818733215332</v>
      </c>
      <c r="Q214" s="37">
        <f>HLOOKUP(Calculations!$E$1,Multipliers!$D$174:$BE$188,$B214)</f>
        <v>0.17987060546875</v>
      </c>
      <c r="R214" s="37">
        <f>HLOOKUP(Calculations!$E$1,Multipliers!$D$191:$BE$205,$B214)</f>
        <v>0.1845647394657135</v>
      </c>
      <c r="S214" s="37">
        <f t="shared" ref="S214:S226" si="4">SUM(P214:R214)</f>
        <v>1.0911535322666168</v>
      </c>
      <c r="U214" s="37">
        <f>HLOOKUP(Calculations!$E$1,'Household Exp'!$D$3:$BE$17,$B214)</f>
        <v>2.145813723175278E-5</v>
      </c>
    </row>
    <row r="215" spans="2:21" ht="15" x14ac:dyDescent="0.2">
      <c r="B215">
        <v>4</v>
      </c>
      <c r="C215" s="6" t="s">
        <v>8</v>
      </c>
      <c r="D215" s="37">
        <f>HLOOKUP(Calculations!$E$1,Multipliers!$D$4:$BE$18,$B215)</f>
        <v>5.1774277772604078</v>
      </c>
      <c r="E215" s="37">
        <f>HLOOKUP(Calculations!$E$1,Multipliers!$D$21:$BE$35,B215)</f>
        <v>2.882276963607231</v>
      </c>
      <c r="F215" s="37">
        <f>HLOOKUP(Calculations!$E$1,Multipliers!$D$38:$BE$52,$B215)</f>
        <v>2.6930155415018731</v>
      </c>
      <c r="G215" s="37">
        <f t="shared" si="0"/>
        <v>10.752720282369513</v>
      </c>
      <c r="H215" s="37">
        <f>HLOOKUP(Calculations!E$1,Multipliers!$D$55:$BE$69,B215)</f>
        <v>0.33882597088813782</v>
      </c>
      <c r="I215" s="37">
        <f>HLOOKUP(Calculations!$E$1,Multipliers!$D$72:$BE$86,$B215)</f>
        <v>0.1588500440120697</v>
      </c>
      <c r="J215" s="37">
        <f>HLOOKUP(Calculations!$E$1,Multipliers!$D$89:$BE$103,$B215)</f>
        <v>0.14039786159992218</v>
      </c>
      <c r="K215" s="37">
        <f t="shared" si="1"/>
        <v>0.6380738765001297</v>
      </c>
      <c r="L215" s="37">
        <f>HLOOKUP(Calculations!E$1,Multipliers!$D$106:$BE$120,B215)</f>
        <v>1</v>
      </c>
      <c r="M215" s="37">
        <f>HLOOKUP(Calculations!$E$1,Multipliers!$D$123:$BE$137,$B215)</f>
        <v>0.51713383197784424</v>
      </c>
      <c r="N215" s="37">
        <f>HLOOKUP(Calculations!$E$1,Multipliers!$D$140:$BE$154,$B215)</f>
        <v>0.41944700479507446</v>
      </c>
      <c r="O215" s="37">
        <f t="shared" si="2"/>
        <v>1.9365808367729187</v>
      </c>
      <c r="P215" s="37">
        <f>HLOOKUP(Calculations!$E$1,Multipliers!$D$157:$BE$171,$B215)</f>
        <v>0.44290107488632202</v>
      </c>
      <c r="Q215" s="37">
        <f>HLOOKUP(Calculations!$E$1,Multipliers!$D$174:$BE$188,$B215)</f>
        <v>0.27769100666046143</v>
      </c>
      <c r="R215" s="37">
        <f>HLOOKUP(Calculations!$E$1,Multipliers!$D$191:$BE$205,$B215)</f>
        <v>0.23880094289779663</v>
      </c>
      <c r="S215" s="37">
        <f t="shared" si="4"/>
        <v>0.95939302444458008</v>
      </c>
      <c r="U215" s="37">
        <f>HLOOKUP(Calculations!$E$1,'Household Exp'!$D$3:$BE$17,$B215)</f>
        <v>0</v>
      </c>
    </row>
    <row r="216" spans="2:21" ht="15" x14ac:dyDescent="0.2">
      <c r="B216">
        <v>5</v>
      </c>
      <c r="C216" s="6" t="s">
        <v>78</v>
      </c>
      <c r="D216" s="37">
        <f>HLOOKUP(Calculations!$E$1,Multipliers!$D$4:$BE$18,$B216)</f>
        <v>1.0457595924432921</v>
      </c>
      <c r="E216" s="37">
        <f>HLOOKUP(Calculations!$E$1,Multipliers!$D$21:$BE$35,B216)</f>
        <v>2.3477599295163185</v>
      </c>
      <c r="F216" s="37">
        <f>HLOOKUP(Calculations!$E$1,Multipliers!$D$38:$BE$52,$B216)</f>
        <v>1.4478178115286495</v>
      </c>
      <c r="G216" s="37">
        <f t="shared" si="0"/>
        <v>4.8413373334882603</v>
      </c>
      <c r="H216" s="37">
        <f>HLOOKUP(Calculations!E$1,Multipliers!$D$55:$BE$69,B216)</f>
        <v>9.8327822983264923E-2</v>
      </c>
      <c r="I216" s="37">
        <f>HLOOKUP(Calculations!$E$1,Multipliers!$D$72:$BE$86,$B216)</f>
        <v>0.16708973050117493</v>
      </c>
      <c r="J216" s="37">
        <f>HLOOKUP(Calculations!$E$1,Multipliers!$D$89:$BE$103,$B216)</f>
        <v>7.5242385268211365E-2</v>
      </c>
      <c r="K216" s="37">
        <f t="shared" si="1"/>
        <v>0.34065993875265121</v>
      </c>
      <c r="L216" s="37">
        <f>HLOOKUP(Calculations!E$1,Multipliers!$D$106:$BE$120,B216)</f>
        <v>1</v>
      </c>
      <c r="M216" s="37">
        <f>HLOOKUP(Calculations!$E$1,Multipliers!$D$123:$BE$137,$B216)</f>
        <v>0.63190865516662598</v>
      </c>
      <c r="N216" s="37">
        <f>HLOOKUP(Calculations!$E$1,Multipliers!$D$140:$BE$154,$B216)</f>
        <v>0.22483472526073456</v>
      </c>
      <c r="O216" s="37">
        <f t="shared" si="2"/>
        <v>1.8567433804273605</v>
      </c>
      <c r="P216" s="37">
        <f>HLOOKUP(Calculations!$E$1,Multipliers!$D$157:$BE$171,$B216)</f>
        <v>0.24605011940002441</v>
      </c>
      <c r="Q216" s="37">
        <f>HLOOKUP(Calculations!$E$1,Multipliers!$D$174:$BE$188,$B216)</f>
        <v>0.32473519444465637</v>
      </c>
      <c r="R216" s="37">
        <f>HLOOKUP(Calculations!$E$1,Multipliers!$D$191:$BE$205,$B216)</f>
        <v>0.12798884510993958</v>
      </c>
      <c r="S216" s="37">
        <f t="shared" si="4"/>
        <v>0.69877415895462036</v>
      </c>
      <c r="U216" s="37">
        <f>HLOOKUP(Calculations!$E$1,'Household Exp'!$D$3:$BE$17,$B216)</f>
        <v>8.8375855808212667E-2</v>
      </c>
    </row>
    <row r="217" spans="2:21" ht="15" x14ac:dyDescent="0.2">
      <c r="B217">
        <v>6</v>
      </c>
      <c r="C217" s="6" t="s">
        <v>79</v>
      </c>
      <c r="D217" s="37">
        <f>HLOOKUP(Calculations!$E$1,Multipliers!$D$4:$BE$18,$B217)</f>
        <v>3.6779035347990874</v>
      </c>
      <c r="E217" s="37">
        <f>HLOOKUP(Calculations!$E$1,Multipliers!$D$21:$BE$35,B217)</f>
        <v>1.9939217011376125</v>
      </c>
      <c r="F217" s="37">
        <f>HLOOKUP(Calculations!$E$1,Multipliers!$D$38:$BE$52,$B217)</f>
        <v>2.2165510094747312</v>
      </c>
      <c r="G217" s="37">
        <f t="shared" si="0"/>
        <v>7.8883762454114308</v>
      </c>
      <c r="H217" s="37">
        <f>HLOOKUP(Calculations!E$1,Multipliers!$D$55:$BE$69,B217)</f>
        <v>0.26669672131538391</v>
      </c>
      <c r="I217" s="37">
        <f>HLOOKUP(Calculations!$E$1,Multipliers!$D$72:$BE$86,$B217)</f>
        <v>0.13167208433151245</v>
      </c>
      <c r="J217" s="37">
        <f>HLOOKUP(Calculations!$E$1,Multipliers!$D$89:$BE$103,$B217)</f>
        <v>0.11342543363571167</v>
      </c>
      <c r="K217" s="37">
        <f t="shared" si="1"/>
        <v>0.51179423928260803</v>
      </c>
      <c r="L217" s="37">
        <f>HLOOKUP(Calculations!E$1,Multipliers!$D$106:$BE$120,B217)</f>
        <v>1</v>
      </c>
      <c r="M217" s="37">
        <f>HLOOKUP(Calculations!$E$1,Multipliers!$D$123:$BE$137,$B217)</f>
        <v>0.51178669929504395</v>
      </c>
      <c r="N217" s="37">
        <f>HLOOKUP(Calculations!$E$1,Multipliers!$D$140:$BE$154,$B217)</f>
        <v>0.33899363875389099</v>
      </c>
      <c r="O217" s="37">
        <f t="shared" si="2"/>
        <v>1.8507803380489349</v>
      </c>
      <c r="P217" s="37">
        <f>HLOOKUP(Calculations!$E$1,Multipliers!$D$157:$BE$171,$B217)</f>
        <v>0.36300253868103027</v>
      </c>
      <c r="Q217" s="37">
        <f>HLOOKUP(Calculations!$E$1,Multipliers!$D$174:$BE$188,$B217)</f>
        <v>0.23757186532020569</v>
      </c>
      <c r="R217" s="37">
        <f>HLOOKUP(Calculations!$E$1,Multipliers!$D$191:$BE$205,$B217)</f>
        <v>0.19295340776443481</v>
      </c>
      <c r="S217" s="37">
        <f t="shared" si="4"/>
        <v>0.79352781176567078</v>
      </c>
      <c r="U217" s="37">
        <f>HLOOKUP(Calculations!$E$1,'Household Exp'!$D$3:$BE$17,$B217)</f>
        <v>2.4244779903836693E-6</v>
      </c>
    </row>
    <row r="218" spans="2:21" ht="15" x14ac:dyDescent="0.2">
      <c r="B218">
        <v>7</v>
      </c>
      <c r="C218" s="6" t="s">
        <v>80</v>
      </c>
      <c r="D218" s="37">
        <f>HLOOKUP(Calculations!$E$1,Multipliers!$D$4:$BE$18,$B218)</f>
        <v>2.0510711770039052</v>
      </c>
      <c r="E218" s="37">
        <f>HLOOKUP(Calculations!$E$1,Multipliers!$D$21:$BE$35,B218)</f>
        <v>1.9986162746790797</v>
      </c>
      <c r="F218" s="37">
        <f>HLOOKUP(Calculations!$E$1,Multipliers!$D$38:$BE$52,$B218)</f>
        <v>1.7269914799835533</v>
      </c>
      <c r="G218" s="37">
        <f t="shared" si="0"/>
        <v>5.7766789316665381</v>
      </c>
      <c r="H218" s="37">
        <f>HLOOKUP(Calculations!E$1,Multipliers!$D$55:$BE$69,B218)</f>
        <v>0.17607462406158447</v>
      </c>
      <c r="I218" s="37">
        <f>HLOOKUP(Calculations!$E$1,Multipliers!$D$72:$BE$86,$B218)</f>
        <v>0.13355334103107452</v>
      </c>
      <c r="J218" s="37">
        <f>HLOOKUP(Calculations!$E$1,Multipliers!$D$89:$BE$103,$B218)</f>
        <v>8.8137894868850708E-2</v>
      </c>
      <c r="K218" s="37">
        <f t="shared" si="1"/>
        <v>0.3977658599615097</v>
      </c>
      <c r="L218" s="37">
        <f>HLOOKUP(Calculations!E$1,Multipliers!$D$106:$BE$120,B218)</f>
        <v>1</v>
      </c>
      <c r="M218" s="37">
        <f>HLOOKUP(Calculations!$E$1,Multipliers!$D$123:$BE$137,$B218)</f>
        <v>0.51205968856811523</v>
      </c>
      <c r="N218" s="37">
        <f>HLOOKUP(Calculations!$E$1,Multipliers!$D$140:$BE$154,$B218)</f>
        <v>0.26341396570205688</v>
      </c>
      <c r="O218" s="37">
        <f t="shared" si="2"/>
        <v>1.7754736542701721</v>
      </c>
      <c r="P218" s="37">
        <f>HLOOKUP(Calculations!$E$1,Multipliers!$D$157:$BE$171,$B218)</f>
        <v>0.30720329284667969</v>
      </c>
      <c r="Q218" s="37">
        <f>HLOOKUP(Calculations!$E$1,Multipliers!$D$174:$BE$188,$B218)</f>
        <v>0.24411725997924805</v>
      </c>
      <c r="R218" s="37">
        <f>HLOOKUP(Calculations!$E$1,Multipliers!$D$191:$BE$205,$B218)</f>
        <v>0.14993488788604736</v>
      </c>
      <c r="S218" s="37">
        <f t="shared" si="4"/>
        <v>0.7012554407119751</v>
      </c>
      <c r="U218" s="37">
        <f>HLOOKUP(Calculations!$E$1,'Household Exp'!$D$3:$BE$17,$B218)</f>
        <v>1.1308644280200628E-5</v>
      </c>
    </row>
    <row r="219" spans="2:21" ht="15" x14ac:dyDescent="0.2">
      <c r="B219">
        <v>8</v>
      </c>
      <c r="C219" s="6" t="s">
        <v>81</v>
      </c>
      <c r="D219" s="37">
        <f>HLOOKUP(Calculations!$E$1,Multipliers!$D$4:$BE$18,$B219)</f>
        <v>1.2405537712958552</v>
      </c>
      <c r="E219" s="37">
        <f>HLOOKUP(Calculations!$E$1,Multipliers!$D$21:$BE$35,B219)</f>
        <v>2.2382921275272163</v>
      </c>
      <c r="F219" s="37">
        <f>HLOOKUP(Calculations!$E$1,Multipliers!$D$38:$BE$52,$B219)</f>
        <v>1.8048358463471936</v>
      </c>
      <c r="G219" s="37">
        <f t="shared" si="0"/>
        <v>5.2836817451702656</v>
      </c>
      <c r="H219" s="37">
        <f>HLOOKUP(Calculations!E$1,Multipliers!$D$55:$BE$69,B219)</f>
        <v>0.16998089849948883</v>
      </c>
      <c r="I219" s="37">
        <f>HLOOKUP(Calculations!$E$1,Multipliers!$D$72:$BE$86,$B219)</f>
        <v>0.15188482403755188</v>
      </c>
      <c r="J219" s="37">
        <f>HLOOKUP(Calculations!$E$1,Multipliers!$D$89:$BE$103,$B219)</f>
        <v>9.1653198003768921E-2</v>
      </c>
      <c r="K219" s="37">
        <f t="shared" si="1"/>
        <v>0.41351892054080963</v>
      </c>
      <c r="L219" s="37">
        <f>HLOOKUP(Calculations!E$1,Multipliers!$D$106:$BE$120,B219)</f>
        <v>1</v>
      </c>
      <c r="M219" s="37">
        <f>HLOOKUP(Calculations!$E$1,Multipliers!$D$123:$BE$137,$B219)</f>
        <v>0.54335534572601318</v>
      </c>
      <c r="N219" s="37">
        <f>HLOOKUP(Calculations!$E$1,Multipliers!$D$140:$BE$154,$B219)</f>
        <v>0.27392330765724182</v>
      </c>
      <c r="O219" s="37">
        <f t="shared" si="2"/>
        <v>1.817278653383255</v>
      </c>
      <c r="P219" s="37">
        <f>HLOOKUP(Calculations!$E$1,Multipliers!$D$157:$BE$171,$B219)</f>
        <v>0.3823811411857605</v>
      </c>
      <c r="Q219" s="37">
        <f>HLOOKUP(Calculations!$E$1,Multipliers!$D$174:$BE$188,$B219)</f>
        <v>0.2694733738899231</v>
      </c>
      <c r="R219" s="37">
        <f>HLOOKUP(Calculations!$E$1,Multipliers!$D$191:$BE$205,$B219)</f>
        <v>0.15591564774513245</v>
      </c>
      <c r="S219" s="37">
        <f t="shared" si="4"/>
        <v>0.80777016282081604</v>
      </c>
      <c r="U219" s="37">
        <f>HLOOKUP(Calculations!$E$1,'Household Exp'!$D$3:$BE$17,$B219)</f>
        <v>2.2066473446276732E-5</v>
      </c>
    </row>
    <row r="220" spans="2:21" ht="15" x14ac:dyDescent="0.2">
      <c r="B220">
        <v>9</v>
      </c>
      <c r="C220" s="6" t="s">
        <v>82</v>
      </c>
      <c r="D220" s="37">
        <f>HLOOKUP(Calculations!$E$1,Multipliers!$D$4:$BE$18,$B220)</f>
        <v>2.6255466522418995</v>
      </c>
      <c r="E220" s="37">
        <f>HLOOKUP(Calculations!$E$1,Multipliers!$D$21:$BE$35,B220)</f>
        <v>2.4465504599313044</v>
      </c>
      <c r="F220" s="37">
        <f>HLOOKUP(Calculations!$E$1,Multipliers!$D$38:$BE$52,$B220)</f>
        <v>2.5009263093596203</v>
      </c>
      <c r="G220" s="37">
        <f t="shared" si="0"/>
        <v>7.5730234215328238</v>
      </c>
      <c r="H220" s="37">
        <f>HLOOKUP(Calculations!E$1,Multipliers!$D$55:$BE$69,B220)</f>
        <v>0.27950417995452881</v>
      </c>
      <c r="I220" s="37">
        <f>HLOOKUP(Calculations!$E$1,Multipliers!$D$72:$BE$86,$B220)</f>
        <v>0.17746029794216156</v>
      </c>
      <c r="J220" s="37">
        <f>HLOOKUP(Calculations!$E$1,Multipliers!$D$89:$BE$103,$B220)</f>
        <v>0.12903986871242523</v>
      </c>
      <c r="K220" s="37">
        <f t="shared" si="1"/>
        <v>0.5860043466091156</v>
      </c>
      <c r="L220" s="37">
        <f>HLOOKUP(Calculations!E$1,Multipliers!$D$106:$BE$120,B220)</f>
        <v>1</v>
      </c>
      <c r="M220" s="37">
        <f>HLOOKUP(Calculations!$E$1,Multipliers!$D$123:$BE$137,$B220)</f>
        <v>0.57927072048187256</v>
      </c>
      <c r="N220" s="37">
        <f>HLOOKUP(Calculations!$E$1,Multipliers!$D$140:$BE$154,$B220)</f>
        <v>0.38552775979042053</v>
      </c>
      <c r="O220" s="37">
        <f t="shared" si="2"/>
        <v>1.9647984802722931</v>
      </c>
      <c r="P220" s="37">
        <f>HLOOKUP(Calculations!$E$1,Multipliers!$D$157:$BE$171,$B220)</f>
        <v>0.47173398733139038</v>
      </c>
      <c r="Q220" s="37">
        <f>HLOOKUP(Calculations!$E$1,Multipliers!$D$174:$BE$188,$B220)</f>
        <v>0.31833934783935547</v>
      </c>
      <c r="R220" s="37">
        <f>HLOOKUP(Calculations!$E$1,Multipliers!$D$191:$BE$205,$B220)</f>
        <v>0.21948538720607758</v>
      </c>
      <c r="S220" s="37">
        <f t="shared" si="4"/>
        <v>1.0095587223768234</v>
      </c>
      <c r="U220" s="37">
        <f>HLOOKUP(Calculations!$E$1,'Household Exp'!$D$3:$BE$17,$B220)</f>
        <v>4.5019766054964432E-2</v>
      </c>
    </row>
    <row r="221" spans="2:21" ht="15" x14ac:dyDescent="0.2">
      <c r="B221">
        <v>10</v>
      </c>
      <c r="C221" s="6" t="s">
        <v>9</v>
      </c>
      <c r="D221" s="37">
        <f>HLOOKUP(Calculations!$E$1,Multipliers!$D$4:$BE$18,$B221)</f>
        <v>3.2614073453549142</v>
      </c>
      <c r="E221" s="37">
        <f>HLOOKUP(Calculations!$E$1,Multipliers!$D$21:$BE$35,B221)</f>
        <v>2.0266690394121731</v>
      </c>
      <c r="F221" s="37">
        <f>HLOOKUP(Calculations!$E$1,Multipliers!$D$38:$BE$52,$B221)</f>
        <v>2.3714604052240977</v>
      </c>
      <c r="G221" s="37">
        <f t="shared" si="0"/>
        <v>7.6595367899911855</v>
      </c>
      <c r="H221" s="37">
        <f>HLOOKUP(Calculations!E$1,Multipliers!$D$55:$BE$69,B221)</f>
        <v>0.35475760698318481</v>
      </c>
      <c r="I221" s="37">
        <f>HLOOKUP(Calculations!$E$1,Multipliers!$D$72:$BE$86,$B221)</f>
        <v>0.12818044424057007</v>
      </c>
      <c r="J221" s="37">
        <f>HLOOKUP(Calculations!$E$1,Multipliers!$D$89:$BE$103,$B221)</f>
        <v>0.13722944259643555</v>
      </c>
      <c r="K221" s="37">
        <f t="shared" si="1"/>
        <v>0.62016749382019043</v>
      </c>
      <c r="L221" s="37">
        <f>HLOOKUP(Calculations!E$1,Multipliers!$D$106:$BE$120,B221)</f>
        <v>1</v>
      </c>
      <c r="M221" s="37">
        <f>HLOOKUP(Calculations!$E$1,Multipliers!$D$123:$BE$137,$B221)</f>
        <v>0.36747908592224121</v>
      </c>
      <c r="N221" s="37">
        <f>HLOOKUP(Calculations!$E$1,Multipliers!$D$140:$BE$154,$B221)</f>
        <v>0.41010323166847229</v>
      </c>
      <c r="O221" s="37">
        <f t="shared" si="2"/>
        <v>1.7775823175907135</v>
      </c>
      <c r="P221" s="37">
        <f>HLOOKUP(Calculations!$E$1,Multipliers!$D$157:$BE$171,$B221)</f>
        <v>0.67355620861053467</v>
      </c>
      <c r="Q221" s="37">
        <f>HLOOKUP(Calculations!$E$1,Multipliers!$D$174:$BE$188,$B221)</f>
        <v>0.21259455382823944</v>
      </c>
      <c r="R221" s="37">
        <f>HLOOKUP(Calculations!$E$1,Multipliers!$D$191:$BE$205,$B221)</f>
        <v>0.2334398627281189</v>
      </c>
      <c r="S221" s="37">
        <f t="shared" si="4"/>
        <v>1.119590625166893</v>
      </c>
      <c r="U221" s="37">
        <f>HLOOKUP(Calculations!$E$1,'Household Exp'!$D$3:$BE$17,$B221)</f>
        <v>4.3874526255301249E-2</v>
      </c>
    </row>
    <row r="222" spans="2:21" ht="15" x14ac:dyDescent="0.2">
      <c r="B222">
        <v>11</v>
      </c>
      <c r="C222" s="6" t="s">
        <v>10</v>
      </c>
      <c r="D222" s="37">
        <f>HLOOKUP(Calculations!$E$1,Multipliers!$D$4:$BE$18,$B222)</f>
        <v>11.103076792453322</v>
      </c>
      <c r="E222" s="37">
        <f>HLOOKUP(Calculations!$E$1,Multipliers!$D$21:$BE$35,B222)</f>
        <v>2.1837416109199843</v>
      </c>
      <c r="F222" s="37">
        <f>HLOOKUP(Calculations!$E$1,Multipliers!$D$38:$BE$52,$B222)</f>
        <v>2.8408510007662167</v>
      </c>
      <c r="G222" s="37">
        <f t="shared" si="0"/>
        <v>16.127669404139525</v>
      </c>
      <c r="H222" s="37">
        <f>HLOOKUP(Calculations!E$1,Multipliers!$D$55:$BE$69,B222)</f>
        <v>0.40749001502990723</v>
      </c>
      <c r="I222" s="37">
        <f>HLOOKUP(Calculations!$E$1,Multipliers!$D$72:$BE$86,$B222)</f>
        <v>0.12232407927513123</v>
      </c>
      <c r="J222" s="37">
        <f>HLOOKUP(Calculations!$E$1,Multipliers!$D$89:$BE$103,$B222)</f>
        <v>0.15031802654266357</v>
      </c>
      <c r="K222" s="37">
        <f t="shared" si="1"/>
        <v>0.68013212084770203</v>
      </c>
      <c r="L222" s="37">
        <f>HLOOKUP(Calculations!E$1,Multipliers!$D$106:$BE$120,B222)</f>
        <v>1</v>
      </c>
      <c r="M222" s="37">
        <f>HLOOKUP(Calculations!$E$1,Multipliers!$D$123:$BE$137,$B222)</f>
        <v>0.36935126781463623</v>
      </c>
      <c r="N222" s="37">
        <f>HLOOKUP(Calculations!$E$1,Multipliers!$D$140:$BE$154,$B222)</f>
        <v>0.449189692735672</v>
      </c>
      <c r="O222" s="37">
        <f t="shared" si="2"/>
        <v>1.8185409605503082</v>
      </c>
      <c r="P222" s="37">
        <f>HLOOKUP(Calculations!$E$1,Multipliers!$D$157:$BE$171,$B222)</f>
        <v>0.68147575855255127</v>
      </c>
      <c r="Q222" s="37">
        <f>HLOOKUP(Calculations!$E$1,Multipliers!$D$174:$BE$188,$B222)</f>
        <v>0.20889949798583984</v>
      </c>
      <c r="R222" s="37">
        <f>HLOOKUP(Calculations!$E$1,Multipliers!$D$191:$BE$205,$B222)</f>
        <v>0.25569832324981689</v>
      </c>
      <c r="S222" s="37">
        <f t="shared" si="4"/>
        <v>1.146073579788208</v>
      </c>
      <c r="U222" s="37">
        <f>HLOOKUP(Calculations!$E$1,'Household Exp'!$D$3:$BE$17,$B222)</f>
        <v>0.1006792258006836</v>
      </c>
    </row>
    <row r="223" spans="2:21" ht="15" x14ac:dyDescent="0.2">
      <c r="B223">
        <v>12</v>
      </c>
      <c r="C223" s="6" t="s">
        <v>83</v>
      </c>
      <c r="D223" s="37">
        <f>HLOOKUP(Calculations!$E$1,Multipliers!$D$4:$BE$18,$B223)</f>
        <v>5.5134869551721604</v>
      </c>
      <c r="E223" s="37">
        <f>HLOOKUP(Calculations!$E$1,Multipliers!$D$21:$BE$35,B223)</f>
        <v>3.3186301046214837</v>
      </c>
      <c r="F223" s="37">
        <f>HLOOKUP(Calculations!$E$1,Multipliers!$D$38:$BE$52,$B223)</f>
        <v>2.387698884355467</v>
      </c>
      <c r="G223" s="37">
        <f t="shared" si="0"/>
        <v>11.219815944149111</v>
      </c>
      <c r="H223" s="37">
        <f>HLOOKUP(Calculations!E$1,Multipliers!$D$55:$BE$69,B223)</f>
        <v>0.25891312956809998</v>
      </c>
      <c r="I223" s="37">
        <f>HLOOKUP(Calculations!$E$1,Multipliers!$D$72:$BE$86,$B223)</f>
        <v>0.17883886396884918</v>
      </c>
      <c r="J223" s="37">
        <f>HLOOKUP(Calculations!$E$1,Multipliers!$D$89:$BE$103,$B223)</f>
        <v>0.12423213571310043</v>
      </c>
      <c r="K223" s="37">
        <f t="shared" si="1"/>
        <v>0.56198412925004959</v>
      </c>
      <c r="L223" s="37">
        <f>HLOOKUP(Calculations!E$1,Multipliers!$D$106:$BE$120,B223)</f>
        <v>1</v>
      </c>
      <c r="M223" s="37">
        <f>HLOOKUP(Calculations!$E$1,Multipliers!$D$123:$BE$137,$B223)</f>
        <v>0.56741130352020264</v>
      </c>
      <c r="N223" s="37">
        <f>HLOOKUP(Calculations!$E$1,Multipliers!$D$140:$BE$154,$B223)</f>
        <v>0.37124142050743103</v>
      </c>
      <c r="O223" s="37">
        <f t="shared" si="2"/>
        <v>1.9386527240276337</v>
      </c>
      <c r="P223" s="37">
        <f>HLOOKUP(Calculations!$E$1,Multipliers!$D$157:$BE$171,$B223)</f>
        <v>0.53452605009078979</v>
      </c>
      <c r="Q223" s="37">
        <f>HLOOKUP(Calculations!$E$1,Multipliers!$D$174:$BE$188,$B223)</f>
        <v>0.31329327821731567</v>
      </c>
      <c r="R223" s="37">
        <f>HLOOKUP(Calculations!$E$1,Multipliers!$D$191:$BE$205,$B223)</f>
        <v>0.21132567524909973</v>
      </c>
      <c r="S223" s="37">
        <f t="shared" si="4"/>
        <v>1.0591450035572052</v>
      </c>
      <c r="U223" s="37">
        <f>HLOOKUP(Calculations!$E$1,'Household Exp'!$D$3:$BE$17,$B223)</f>
        <v>0.12556282911043001</v>
      </c>
    </row>
    <row r="224" spans="2:21" ht="15" x14ac:dyDescent="0.2">
      <c r="B224">
        <v>13</v>
      </c>
      <c r="C224" s="6" t="s">
        <v>84</v>
      </c>
      <c r="D224" s="37">
        <f>HLOOKUP(Calculations!$E$1,Multipliers!$D$4:$BE$18,$B224)</f>
        <v>5.4769990971932225</v>
      </c>
      <c r="E224" s="37">
        <f>HLOOKUP(Calculations!$E$1,Multipliers!$D$21:$BE$35,B224)</f>
        <v>2.2408511035715306</v>
      </c>
      <c r="F224" s="37">
        <f>HLOOKUP(Calculations!$E$1,Multipliers!$D$38:$BE$52,$B224)</f>
        <v>3.462260420557298</v>
      </c>
      <c r="G224" s="37">
        <f t="shared" si="0"/>
        <v>11.180110621322051</v>
      </c>
      <c r="H224" s="37">
        <f>HLOOKUP(Calculations!E$1,Multipliers!$D$55:$BE$69,B224)</f>
        <v>0.54846107959747314</v>
      </c>
      <c r="I224" s="37">
        <f>HLOOKUP(Calculations!$E$1,Multipliers!$D$72:$BE$86,$B224)</f>
        <v>0.15060654282569885</v>
      </c>
      <c r="J224" s="37">
        <f>HLOOKUP(Calculations!$E$1,Multipliers!$D$89:$BE$103,$B224)</f>
        <v>0.19828565418720245</v>
      </c>
      <c r="K224" s="37">
        <f t="shared" si="1"/>
        <v>0.89735327661037445</v>
      </c>
      <c r="L224" s="37">
        <f>HLOOKUP(Calculations!E$1,Multipliers!$D$106:$BE$120,B224)</f>
        <v>1</v>
      </c>
      <c r="M224" s="37">
        <f>HLOOKUP(Calculations!$E$1,Multipliers!$D$123:$BE$137,$B224)</f>
        <v>0.4067535400390625</v>
      </c>
      <c r="N224" s="37">
        <f>HLOOKUP(Calculations!$E$1,Multipliers!$D$140:$BE$154,$B224)</f>
        <v>0.59252333641052246</v>
      </c>
      <c r="O224" s="37">
        <f t="shared" si="2"/>
        <v>1.999276876449585</v>
      </c>
      <c r="P224" s="37">
        <f>HLOOKUP(Calculations!$E$1,Multipliers!$D$157:$BE$171,$B224)</f>
        <v>0.6381537914276123</v>
      </c>
      <c r="Q224" s="37">
        <f>HLOOKUP(Calculations!$E$1,Multipliers!$D$174:$BE$188,$B224)</f>
        <v>0.23483432829380035</v>
      </c>
      <c r="R224" s="37">
        <f>HLOOKUP(Calculations!$E$1,Multipliers!$D$191:$BE$205,$B224)</f>
        <v>0.3372921347618103</v>
      </c>
      <c r="S224" s="37">
        <f t="shared" si="4"/>
        <v>1.210280254483223</v>
      </c>
      <c r="U224" s="37">
        <f>HLOOKUP(Calculations!$E$1,'Household Exp'!$D$3:$BE$17,$B224)</f>
        <v>0.57718045076211577</v>
      </c>
    </row>
    <row r="225" spans="2:21" ht="15" x14ac:dyDescent="0.2">
      <c r="B225">
        <v>14</v>
      </c>
      <c r="C225" s="6" t="s">
        <v>85</v>
      </c>
      <c r="D225" s="37">
        <f>HLOOKUP(Calculations!$E$1,Multipliers!$D$4:$BE$18,$B225)</f>
        <v>7.5038205393500457</v>
      </c>
      <c r="E225" s="37">
        <f>HLOOKUP(Calculations!$E$1,Multipliers!$D$21:$BE$35,B225)</f>
        <v>2.4684056026516106</v>
      </c>
      <c r="F225" s="37">
        <f>HLOOKUP(Calculations!$E$1,Multipliers!$D$38:$BE$52,$B225)</f>
        <v>2.7756339998717081</v>
      </c>
      <c r="G225" s="37">
        <f t="shared" si="0"/>
        <v>12.747860141873364</v>
      </c>
      <c r="H225" s="37">
        <f>HLOOKUP(Calculations!E$1,Multipliers!$D$55:$BE$69,B225)</f>
        <v>0.37428101897239685</v>
      </c>
      <c r="I225" s="37">
        <f>HLOOKUP(Calculations!$E$1,Multipliers!$D$72:$BE$86,$B225)</f>
        <v>0.14027239382266998</v>
      </c>
      <c r="J225" s="37">
        <f>HLOOKUP(Calculations!$E$1,Multipliers!$D$89:$BE$103,$B225)</f>
        <v>0.14599087834358215</v>
      </c>
      <c r="K225" s="37">
        <f t="shared" si="1"/>
        <v>0.66054429113864899</v>
      </c>
      <c r="L225" s="37">
        <f>HLOOKUP(Calculations!E$1,Multipliers!$D$106:$BE$120,B225)</f>
        <v>1</v>
      </c>
      <c r="M225" s="37">
        <f>HLOOKUP(Calculations!$E$1,Multipliers!$D$123:$BE$137,$B225)</f>
        <v>0.42366230487823486</v>
      </c>
      <c r="N225" s="37">
        <f>HLOOKUP(Calculations!$E$1,Multipliers!$D$140:$BE$154,$B225)</f>
        <v>0.43625849485397339</v>
      </c>
      <c r="O225" s="37">
        <f t="shared" si="2"/>
        <v>1.8599207997322083</v>
      </c>
      <c r="P225" s="37">
        <f>HLOOKUP(Calculations!$E$1,Multipliers!$D$157:$BE$171,$B225)</f>
        <v>0.60850584506988525</v>
      </c>
      <c r="Q225" s="37">
        <f>HLOOKUP(Calculations!$E$1,Multipliers!$D$174:$BE$188,$B225)</f>
        <v>0.23569118976593018</v>
      </c>
      <c r="R225" s="37">
        <f>HLOOKUP(Calculations!$E$1,Multipliers!$D$191:$BE$205,$B225)</f>
        <v>0.24833749234676361</v>
      </c>
      <c r="S225" s="37">
        <f t="shared" si="4"/>
        <v>1.092534527182579</v>
      </c>
      <c r="U225" s="37">
        <f>HLOOKUP(Calculations!$E$1,'Household Exp'!$D$3:$BE$17,$B225)</f>
        <v>8.8012447996990185E-3</v>
      </c>
    </row>
    <row r="226" spans="2:21" ht="15" x14ac:dyDescent="0.2">
      <c r="B226">
        <v>15</v>
      </c>
      <c r="C226" s="6" t="s">
        <v>11</v>
      </c>
      <c r="D226" s="37">
        <f>HLOOKUP(Calculations!$E$1,Multipliers!$D$4:$BE$18,$B226)</f>
        <v>9.5401622583012262</v>
      </c>
      <c r="E226" s="37">
        <f>HLOOKUP(Calculations!$E$1,Multipliers!$D$21:$BE$35,B226)</f>
        <v>0.43773407104848339</v>
      </c>
      <c r="F226" s="37">
        <f>HLOOKUP(Calculations!$E$1,Multipliers!$D$38:$BE$52,$B226)</f>
        <v>3.7686159202080414</v>
      </c>
      <c r="G226" s="37">
        <f t="shared" si="0"/>
        <v>13.746512249557751</v>
      </c>
      <c r="H226" s="37">
        <f>HLOOKUP(Calculations!E$1,Multipliers!$D$55:$BE$69,B226)</f>
        <v>0.75318366289138794</v>
      </c>
      <c r="I226" s="37">
        <f>HLOOKUP(Calculations!$E$1,Multipliers!$D$72:$BE$86,$B226)</f>
        <v>3.0939433723688126E-2</v>
      </c>
      <c r="J226" s="37">
        <f>HLOOKUP(Calculations!$E$1,Multipliers!$D$89:$BE$103,$B226)</f>
        <v>0.22383598983287811</v>
      </c>
      <c r="K226" s="37">
        <f t="shared" si="1"/>
        <v>1.0079590864479542</v>
      </c>
      <c r="L226" s="37">
        <f>HLOOKUP(Calculations!E$1,Multipliers!$D$106:$BE$120,B226)</f>
        <v>1</v>
      </c>
      <c r="M226" s="37">
        <f>HLOOKUP(Calculations!$E$1,Multipliers!$D$123:$BE$137,$B226)</f>
        <v>9.3724370002746582E-2</v>
      </c>
      <c r="N226" s="37">
        <f>HLOOKUP(Calculations!$E$1,Multipliers!$D$140:$BE$154,$B226)</f>
        <v>0.66904920339584351</v>
      </c>
      <c r="O226" s="37">
        <f t="shared" si="2"/>
        <v>1.7627735733985901</v>
      </c>
      <c r="P226" s="37">
        <f>HLOOKUP(Calculations!$E$1,Multipliers!$D$157:$BE$171,$B226)</f>
        <v>0.921592116355896</v>
      </c>
      <c r="Q226" s="37">
        <f>HLOOKUP(Calculations!$E$1,Multipliers!$D$174:$BE$188,$B226)</f>
        <v>4.9996465444564819E-2</v>
      </c>
      <c r="R226" s="37">
        <f>HLOOKUP(Calculations!$E$1,Multipliers!$D$191:$BE$205,$B226)</f>
        <v>0.3807947039604187</v>
      </c>
      <c r="S226" s="37">
        <f t="shared" si="4"/>
        <v>1.3523832857608795</v>
      </c>
      <c r="U226" s="37">
        <f>HLOOKUP(Calculations!$E$1,'Household Exp'!$D$3:$BE$17,$B226)</f>
        <v>7.4339881667459667E-3</v>
      </c>
    </row>
  </sheetData>
  <sheetProtection password="DFD3" sheet="1" objects="1" scenarios="1"/>
  <customSheetViews>
    <customSheetView guid="{55B80D82-F000-11D6-8735-C8E5A357943D}" showRuler="0" topLeftCell="A13">
      <selection activeCell="A19" sqref="A19"/>
      <pageMargins left="0.75" right="0.75" top="1" bottom="1" header="0.5" footer="0.5"/>
      <pageSetup orientation="portrait" horizontalDpi="0" verticalDpi="0" copies="0" r:id="rId1"/>
      <headerFooter alignWithMargins="0"/>
    </customSheetView>
  </customSheetViews>
  <mergeCells count="1">
    <mergeCell ref="C207:H207"/>
  </mergeCells>
  <phoneticPr fontId="0" type="noConversion"/>
  <pageMargins left="0.75" right="0.75" top="1" bottom="1" header="0.5" footer="0.5"/>
  <pageSetup orientation="portrait" horizontalDpi="4294967293" verticalDpi="300" r:id="rId2"/>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54"/>
  <sheetViews>
    <sheetView workbookViewId="0">
      <selection activeCell="E1" sqref="E1"/>
    </sheetView>
  </sheetViews>
  <sheetFormatPr defaultRowHeight="12.75" x14ac:dyDescent="0.2"/>
  <cols>
    <col min="1" max="1" width="139.85546875" style="228" customWidth="1"/>
    <col min="2" max="2" width="3.85546875" customWidth="1"/>
    <col min="3" max="3" width="36.5703125" customWidth="1"/>
    <col min="4" max="4" width="11.42578125" customWidth="1"/>
    <col min="5" max="5" width="11.42578125" style="439" customWidth="1"/>
    <col min="6" max="7" width="9.7109375" bestFit="1" customWidth="1"/>
    <col min="8" max="8" width="10.7109375" customWidth="1"/>
    <col min="9" max="9" width="12.42578125" bestFit="1" customWidth="1"/>
    <col min="10" max="10" width="13.5703125" bestFit="1" customWidth="1"/>
    <col min="11" max="11" width="14.85546875" customWidth="1"/>
    <col min="12" max="12" width="14.85546875" style="462" customWidth="1"/>
    <col min="13" max="13" width="13.28515625" customWidth="1"/>
  </cols>
  <sheetData>
    <row r="1" spans="1:12" x14ac:dyDescent="0.2">
      <c r="A1" s="224"/>
      <c r="B1" s="1" t="s">
        <v>451</v>
      </c>
    </row>
    <row r="2" spans="1:12" x14ac:dyDescent="0.2">
      <c r="A2" s="224"/>
      <c r="F2" s="11" t="s">
        <v>387</v>
      </c>
      <c r="G2" s="11" t="s">
        <v>387</v>
      </c>
      <c r="H2" s="11" t="s">
        <v>387</v>
      </c>
      <c r="I2" s="11" t="s">
        <v>387</v>
      </c>
      <c r="J2" s="11" t="s">
        <v>388</v>
      </c>
      <c r="K2" s="11" t="s">
        <v>387</v>
      </c>
      <c r="L2" s="11" t="s">
        <v>387</v>
      </c>
    </row>
    <row r="3" spans="1:12" x14ac:dyDescent="0.2">
      <c r="A3" s="224"/>
      <c r="B3">
        <v>1</v>
      </c>
      <c r="D3" s="1" t="s">
        <v>389</v>
      </c>
      <c r="E3" t="str">
        <f>ProjectData!B19</f>
        <v>230 kV AC</v>
      </c>
      <c r="F3" s="11" t="s">
        <v>363</v>
      </c>
      <c r="G3" s="11" t="s">
        <v>364</v>
      </c>
      <c r="H3" s="11" t="s">
        <v>365</v>
      </c>
      <c r="I3" s="11" t="s">
        <v>366</v>
      </c>
      <c r="J3" s="11" t="s">
        <v>417</v>
      </c>
      <c r="K3" s="11" t="s">
        <v>362</v>
      </c>
      <c r="L3" s="11" t="s">
        <v>367</v>
      </c>
    </row>
    <row r="4" spans="1:12" x14ac:dyDescent="0.2">
      <c r="A4" s="224"/>
      <c r="B4">
        <f>B3+1</f>
        <v>2</v>
      </c>
      <c r="K4" s="462"/>
      <c r="L4"/>
    </row>
    <row r="5" spans="1:12" ht="23.25" x14ac:dyDescent="0.35">
      <c r="A5" s="225" t="s">
        <v>220</v>
      </c>
      <c r="B5" s="439">
        <f t="shared" ref="B5:B16" si="0">B4+1</f>
        <v>3</v>
      </c>
      <c r="K5" s="462"/>
      <c r="L5"/>
    </row>
    <row r="6" spans="1:12" x14ac:dyDescent="0.2">
      <c r="A6" s="224"/>
      <c r="B6" s="439">
        <f t="shared" si="0"/>
        <v>4</v>
      </c>
      <c r="C6" t="s">
        <v>390</v>
      </c>
      <c r="F6" t="s">
        <v>391</v>
      </c>
      <c r="G6" t="s">
        <v>391</v>
      </c>
      <c r="H6" t="s">
        <v>391</v>
      </c>
      <c r="I6" t="s">
        <v>392</v>
      </c>
      <c r="J6" t="s">
        <v>392</v>
      </c>
      <c r="K6" s="462" t="s">
        <v>391</v>
      </c>
      <c r="L6" t="s">
        <v>392</v>
      </c>
    </row>
    <row r="7" spans="1:12" ht="15.75" x14ac:dyDescent="0.25">
      <c r="A7" s="226" t="s">
        <v>221</v>
      </c>
      <c r="B7" s="439">
        <f t="shared" si="0"/>
        <v>5</v>
      </c>
      <c r="C7" t="s">
        <v>393</v>
      </c>
      <c r="D7" s="10" t="s">
        <v>394</v>
      </c>
      <c r="E7" s="10"/>
      <c r="F7">
        <v>150</v>
      </c>
      <c r="G7">
        <v>400</v>
      </c>
      <c r="H7">
        <v>900</v>
      </c>
      <c r="I7">
        <v>1500</v>
      </c>
      <c r="J7">
        <v>3000</v>
      </c>
      <c r="K7" s="462">
        <v>75</v>
      </c>
      <c r="L7">
        <v>3000</v>
      </c>
    </row>
    <row r="8" spans="1:12" ht="15" x14ac:dyDescent="0.2">
      <c r="A8" s="227"/>
      <c r="B8" s="439">
        <f t="shared" si="0"/>
        <v>6</v>
      </c>
      <c r="C8" t="s">
        <v>395</v>
      </c>
      <c r="D8" s="10" t="s">
        <v>396</v>
      </c>
      <c r="E8" s="10"/>
      <c r="F8" t="s">
        <v>398</v>
      </c>
      <c r="G8" t="s">
        <v>399</v>
      </c>
      <c r="H8" t="s">
        <v>400</v>
      </c>
      <c r="I8" t="s">
        <v>401</v>
      </c>
      <c r="J8" t="s">
        <v>403</v>
      </c>
      <c r="K8" s="462" t="s">
        <v>397</v>
      </c>
      <c r="L8" t="s">
        <v>402</v>
      </c>
    </row>
    <row r="9" spans="1:12" ht="15.75" x14ac:dyDescent="0.25">
      <c r="A9" s="226" t="s">
        <v>222</v>
      </c>
      <c r="B9" s="439">
        <f t="shared" si="0"/>
        <v>7</v>
      </c>
      <c r="C9" t="s">
        <v>404</v>
      </c>
      <c r="D9" s="10" t="s">
        <v>405</v>
      </c>
      <c r="E9" s="10"/>
      <c r="F9">
        <v>900</v>
      </c>
      <c r="G9">
        <v>1000</v>
      </c>
      <c r="H9">
        <v>1100</v>
      </c>
      <c r="I9">
        <v>1200</v>
      </c>
      <c r="J9">
        <v>1300</v>
      </c>
      <c r="K9" s="462">
        <v>800</v>
      </c>
      <c r="L9">
        <v>1300</v>
      </c>
    </row>
    <row r="10" spans="1:12" ht="15.75" x14ac:dyDescent="0.25">
      <c r="A10" s="226"/>
      <c r="B10" s="439">
        <f t="shared" si="0"/>
        <v>8</v>
      </c>
      <c r="C10" t="s">
        <v>406</v>
      </c>
      <c r="D10" s="10" t="s">
        <v>405</v>
      </c>
      <c r="E10" s="10">
        <f>HLOOKUP($E$3,$F$3:$L$13,B10)</f>
        <v>150</v>
      </c>
      <c r="F10">
        <v>120</v>
      </c>
      <c r="G10">
        <v>150</v>
      </c>
      <c r="H10">
        <v>160</v>
      </c>
      <c r="I10">
        <v>180</v>
      </c>
      <c r="J10">
        <v>200</v>
      </c>
      <c r="K10" s="462">
        <v>100</v>
      </c>
      <c r="L10">
        <v>200</v>
      </c>
    </row>
    <row r="11" spans="1:12" ht="15.75" x14ac:dyDescent="0.25">
      <c r="A11" s="291" t="s">
        <v>223</v>
      </c>
      <c r="B11" s="439">
        <f t="shared" si="0"/>
        <v>9</v>
      </c>
      <c r="C11" t="s">
        <v>407</v>
      </c>
      <c r="D11" s="10" t="s">
        <v>408</v>
      </c>
      <c r="E11" s="10"/>
      <c r="F11" s="21">
        <v>14.5</v>
      </c>
      <c r="G11" s="21">
        <v>18.2</v>
      </c>
      <c r="H11" s="21">
        <v>19.399999999999999</v>
      </c>
      <c r="I11" s="21">
        <v>21.8</v>
      </c>
      <c r="J11" s="21">
        <v>24.2</v>
      </c>
      <c r="K11" s="21">
        <v>12.1</v>
      </c>
      <c r="L11" s="21">
        <v>24.2</v>
      </c>
    </row>
    <row r="12" spans="1:12" x14ac:dyDescent="0.2">
      <c r="A12" s="224"/>
      <c r="B12" s="439">
        <f t="shared" si="0"/>
        <v>10</v>
      </c>
      <c r="C12" t="s">
        <v>409</v>
      </c>
      <c r="D12" s="10" t="s">
        <v>410</v>
      </c>
      <c r="E12" s="10">
        <f>HLOOKUP($E$3,$F$3:$L$13,B12)</f>
        <v>4</v>
      </c>
      <c r="F12" s="21">
        <v>3.5</v>
      </c>
      <c r="G12" s="21">
        <v>4</v>
      </c>
      <c r="H12" s="21">
        <v>4.5</v>
      </c>
      <c r="I12" s="21">
        <v>5</v>
      </c>
      <c r="J12" s="21">
        <v>5</v>
      </c>
      <c r="K12" s="21">
        <v>3</v>
      </c>
      <c r="L12" s="21">
        <v>5</v>
      </c>
    </row>
    <row r="13" spans="1:12" x14ac:dyDescent="0.2">
      <c r="A13" s="224"/>
      <c r="B13" s="439">
        <f t="shared" si="0"/>
        <v>11</v>
      </c>
      <c r="C13" t="s">
        <v>411</v>
      </c>
      <c r="D13" s="10" t="s">
        <v>412</v>
      </c>
      <c r="E13" s="10">
        <f>HLOOKUP($E$3,$F$3:$L$13,B13)</f>
        <v>4</v>
      </c>
      <c r="F13" s="21">
        <v>4</v>
      </c>
      <c r="G13" s="21">
        <v>4</v>
      </c>
      <c r="H13" s="21">
        <v>6</v>
      </c>
      <c r="I13" s="21">
        <v>8</v>
      </c>
      <c r="J13" s="21">
        <v>8</v>
      </c>
      <c r="K13" s="21">
        <v>4</v>
      </c>
      <c r="L13" s="21">
        <v>8</v>
      </c>
    </row>
    <row r="14" spans="1:12" x14ac:dyDescent="0.2">
      <c r="A14" s="224"/>
      <c r="B14" s="439">
        <f t="shared" si="0"/>
        <v>12</v>
      </c>
      <c r="C14" t="s">
        <v>413</v>
      </c>
      <c r="D14" s="10"/>
      <c r="E14" s="10"/>
      <c r="F14" t="s">
        <v>414</v>
      </c>
      <c r="G14" t="s">
        <v>414</v>
      </c>
      <c r="H14" t="s">
        <v>414</v>
      </c>
      <c r="I14" t="s">
        <v>414</v>
      </c>
      <c r="J14" t="s">
        <v>414</v>
      </c>
      <c r="K14" s="462" t="s">
        <v>414</v>
      </c>
      <c r="L14" t="s">
        <v>414</v>
      </c>
    </row>
    <row r="15" spans="1:12" x14ac:dyDescent="0.2">
      <c r="A15" s="224"/>
      <c r="B15" s="439">
        <f t="shared" si="0"/>
        <v>13</v>
      </c>
      <c r="C15" t="s">
        <v>415</v>
      </c>
      <c r="D15" s="10" t="s">
        <v>416</v>
      </c>
      <c r="E15" s="10"/>
      <c r="F15" s="448">
        <v>1</v>
      </c>
      <c r="G15" s="448">
        <v>1</v>
      </c>
      <c r="H15" s="448">
        <v>1</v>
      </c>
      <c r="I15" s="448">
        <v>1</v>
      </c>
      <c r="J15" s="448">
        <v>1</v>
      </c>
      <c r="K15" s="448">
        <v>1</v>
      </c>
      <c r="L15" s="448">
        <v>1</v>
      </c>
    </row>
    <row r="16" spans="1:12" s="439" customFormat="1" x14ac:dyDescent="0.2">
      <c r="A16" s="224"/>
      <c r="B16" s="439">
        <f t="shared" si="0"/>
        <v>14</v>
      </c>
      <c r="C16" s="438" t="s">
        <v>465</v>
      </c>
      <c r="D16" s="10"/>
      <c r="E16" s="10"/>
      <c r="F16" s="453">
        <v>1</v>
      </c>
      <c r="G16" s="453">
        <v>1</v>
      </c>
      <c r="H16" s="453">
        <v>1</v>
      </c>
      <c r="I16" s="453">
        <v>1</v>
      </c>
      <c r="J16" s="453">
        <v>2</v>
      </c>
      <c r="K16" s="453">
        <v>1</v>
      </c>
      <c r="L16" s="453">
        <v>1</v>
      </c>
    </row>
    <row r="17" spans="1:13" s="439" customFormat="1" x14ac:dyDescent="0.2">
      <c r="A17" s="224"/>
      <c r="D17" s="31"/>
      <c r="E17" s="31"/>
      <c r="F17" s="449"/>
      <c r="G17" s="448"/>
      <c r="H17" s="448"/>
      <c r="I17" s="448"/>
      <c r="J17" s="448"/>
      <c r="K17" s="448"/>
      <c r="L17" s="448"/>
      <c r="M17" s="448"/>
    </row>
    <row r="18" spans="1:13" s="439" customFormat="1" x14ac:dyDescent="0.2">
      <c r="A18" s="224"/>
      <c r="E18" s="10"/>
      <c r="F18" s="10"/>
      <c r="G18" s="448"/>
      <c r="H18" s="448"/>
      <c r="I18" s="448"/>
      <c r="J18" s="448"/>
      <c r="K18" s="448"/>
      <c r="L18" s="448"/>
      <c r="M18" s="448"/>
    </row>
    <row r="19" spans="1:13" x14ac:dyDescent="0.2">
      <c r="A19" s="224"/>
    </row>
    <row r="20" spans="1:13" x14ac:dyDescent="0.2">
      <c r="A20" s="224"/>
    </row>
    <row r="21" spans="1:13" ht="15.75" x14ac:dyDescent="0.25">
      <c r="A21" s="226" t="s">
        <v>224</v>
      </c>
      <c r="C21" s="1"/>
    </row>
    <row r="22" spans="1:13" x14ac:dyDescent="0.2">
      <c r="A22" s="224"/>
      <c r="C22" s="438"/>
    </row>
    <row r="23" spans="1:13" x14ac:dyDescent="0.2">
      <c r="A23" s="224"/>
      <c r="C23" s="438"/>
      <c r="D23" s="507"/>
      <c r="G23" s="10"/>
    </row>
    <row r="24" spans="1:13" x14ac:dyDescent="0.2">
      <c r="A24" s="224"/>
    </row>
    <row r="25" spans="1:13" x14ac:dyDescent="0.2">
      <c r="A25" s="224"/>
    </row>
    <row r="26" spans="1:13" x14ac:dyDescent="0.2">
      <c r="A26" s="224"/>
    </row>
    <row r="27" spans="1:13" x14ac:dyDescent="0.2">
      <c r="A27" s="224"/>
      <c r="C27" s="1" t="s">
        <v>467</v>
      </c>
      <c r="F27" s="1" t="s">
        <v>624</v>
      </c>
    </row>
    <row r="28" spans="1:13" x14ac:dyDescent="0.2">
      <c r="A28" s="224"/>
      <c r="C28" s="438" t="s">
        <v>468</v>
      </c>
      <c r="D28" s="31" t="s">
        <v>472</v>
      </c>
      <c r="H28" s="31" t="s">
        <v>472</v>
      </c>
    </row>
    <row r="29" spans="1:13" x14ac:dyDescent="0.2">
      <c r="A29" s="224"/>
      <c r="C29" s="438" t="s">
        <v>469</v>
      </c>
      <c r="D29" s="154">
        <v>2</v>
      </c>
      <c r="F29" s="507" t="s">
        <v>537</v>
      </c>
      <c r="H29" s="154">
        <f>VLOOKUP(DefaultData!$AH4,'Terrain and Pop Multipliers'!B9:D13,3)</f>
        <v>1</v>
      </c>
    </row>
    <row r="30" spans="1:13" x14ac:dyDescent="0.2">
      <c r="A30" s="224"/>
      <c r="C30" s="438" t="s">
        <v>303</v>
      </c>
      <c r="D30" s="154">
        <v>1.2</v>
      </c>
      <c r="F30" s="507" t="s">
        <v>623</v>
      </c>
      <c r="H30" s="154">
        <f>VLOOKUP(DefaultData!$AH5,'Terrain and Pop Multipliers'!B18:D20,3)</f>
        <v>1</v>
      </c>
    </row>
    <row r="31" spans="1:13" x14ac:dyDescent="0.2">
      <c r="A31" s="224"/>
      <c r="C31" s="438" t="s">
        <v>470</v>
      </c>
      <c r="D31" s="154">
        <v>1.2</v>
      </c>
    </row>
    <row r="32" spans="1:13" x14ac:dyDescent="0.2">
      <c r="A32" s="224"/>
      <c r="C32" s="438" t="s">
        <v>471</v>
      </c>
      <c r="D32" s="154">
        <v>1.6</v>
      </c>
    </row>
    <row r="33" spans="1:12" s="462" customFormat="1" x14ac:dyDescent="0.2">
      <c r="A33" s="224"/>
      <c r="C33" s="507" t="s">
        <v>541</v>
      </c>
      <c r="D33" s="27">
        <v>1.65</v>
      </c>
    </row>
    <row r="34" spans="1:12" s="462" customFormat="1" x14ac:dyDescent="0.2">
      <c r="A34" s="224"/>
      <c r="C34" s="507" t="s">
        <v>542</v>
      </c>
      <c r="D34" s="27">
        <v>1.1000000000000001</v>
      </c>
    </row>
    <row r="35" spans="1:12" s="462" customFormat="1" x14ac:dyDescent="0.2">
      <c r="A35" s="224"/>
      <c r="C35" s="438"/>
      <c r="D35" s="154"/>
    </row>
    <row r="36" spans="1:12" x14ac:dyDescent="0.2">
      <c r="A36" s="224"/>
    </row>
    <row r="37" spans="1:12" x14ac:dyDescent="0.2">
      <c r="A37" s="224"/>
      <c r="C37" s="1" t="s">
        <v>477</v>
      </c>
      <c r="E37" s="439" t="s">
        <v>363</v>
      </c>
      <c r="F37" s="439" t="s">
        <v>364</v>
      </c>
      <c r="G37" s="439" t="s">
        <v>365</v>
      </c>
      <c r="H37" s="439" t="s">
        <v>366</v>
      </c>
      <c r="I37" s="438" t="s">
        <v>417</v>
      </c>
      <c r="J37" s="462" t="s">
        <v>362</v>
      </c>
      <c r="K37" s="439" t="s">
        <v>367</v>
      </c>
    </row>
    <row r="38" spans="1:12" x14ac:dyDescent="0.2">
      <c r="A38" s="224"/>
      <c r="D38" s="10">
        <f>HLOOKUP(ProjectData!B$19,E$37:K$39,2)</f>
        <v>1</v>
      </c>
      <c r="E38" s="10">
        <v>1</v>
      </c>
      <c r="F38" s="10">
        <v>1</v>
      </c>
      <c r="G38" s="10">
        <v>1</v>
      </c>
      <c r="H38" s="10">
        <v>1</v>
      </c>
      <c r="I38" s="10">
        <v>1</v>
      </c>
      <c r="J38" s="10">
        <v>1</v>
      </c>
      <c r="K38" s="10">
        <v>1</v>
      </c>
      <c r="L38" s="10"/>
    </row>
    <row r="39" spans="1:12" x14ac:dyDescent="0.2">
      <c r="A39" s="224"/>
      <c r="D39" s="10">
        <f>HLOOKUP(ProjectData!B$19,E$37:K$39,3)</f>
        <v>2</v>
      </c>
      <c r="E39" s="10">
        <v>2</v>
      </c>
      <c r="F39" s="10">
        <v>2</v>
      </c>
      <c r="G39" s="10">
        <v>2</v>
      </c>
      <c r="H39" s="10">
        <v>2</v>
      </c>
      <c r="I39" s="10">
        <v>0</v>
      </c>
      <c r="J39" s="10">
        <v>2</v>
      </c>
      <c r="K39" s="10">
        <v>2</v>
      </c>
      <c r="L39" s="10"/>
    </row>
    <row r="40" spans="1:12" x14ac:dyDescent="0.2">
      <c r="A40" s="224"/>
    </row>
    <row r="41" spans="1:12" x14ac:dyDescent="0.2">
      <c r="A41" s="224"/>
      <c r="C41" s="1" t="s">
        <v>543</v>
      </c>
      <c r="D41" s="10" t="s">
        <v>456</v>
      </c>
      <c r="E41" s="10" t="s">
        <v>351</v>
      </c>
    </row>
    <row r="42" spans="1:12" x14ac:dyDescent="0.2">
      <c r="A42" s="224"/>
      <c r="D42" s="69">
        <f>IF(DefaultData!$AH7=2,100*'Line Config Data'!$D31,100)</f>
        <v>100</v>
      </c>
      <c r="E42" s="69">
        <f>IF(DefaultData!$AH7=2,2000*'Line Config Data'!$D31*H29*H30,2000*H29*H30)</f>
        <v>2000</v>
      </c>
    </row>
    <row r="43" spans="1:12" x14ac:dyDescent="0.2">
      <c r="A43" s="224"/>
    </row>
    <row r="44" spans="1:12" x14ac:dyDescent="0.2">
      <c r="A44" s="224"/>
      <c r="C44" s="1" t="s">
        <v>550</v>
      </c>
      <c r="E44" s="541" t="s">
        <v>385</v>
      </c>
      <c r="F44" s="541" t="s">
        <v>386</v>
      </c>
    </row>
    <row r="45" spans="1:12" x14ac:dyDescent="0.2">
      <c r="A45" s="224"/>
      <c r="D45" s="21">
        <f>IF(ProjectData!B47="Yes",'Line Config Data'!E45,F45)</f>
        <v>1</v>
      </c>
      <c r="E45" s="154">
        <v>1</v>
      </c>
      <c r="F45" s="154">
        <v>0.5</v>
      </c>
    </row>
    <row r="46" spans="1:12" x14ac:dyDescent="0.2">
      <c r="A46" s="224"/>
    </row>
    <row r="47" spans="1:12" x14ac:dyDescent="0.2">
      <c r="A47" s="224"/>
    </row>
    <row r="48" spans="1:12" x14ac:dyDescent="0.2">
      <c r="A48" s="224"/>
    </row>
    <row r="49" spans="1:1" x14ac:dyDescent="0.2">
      <c r="A49" s="224"/>
    </row>
    <row r="50" spans="1:1" x14ac:dyDescent="0.2">
      <c r="A50" s="224"/>
    </row>
    <row r="51" spans="1:1" x14ac:dyDescent="0.2">
      <c r="A51" s="224"/>
    </row>
    <row r="52" spans="1:1" x14ac:dyDescent="0.2">
      <c r="A52" s="224"/>
    </row>
    <row r="53" spans="1:1" x14ac:dyDescent="0.2">
      <c r="A53" s="224"/>
    </row>
    <row r="54" spans="1:1" x14ac:dyDescent="0.2">
      <c r="A54" s="224"/>
    </row>
  </sheetData>
  <sheetProtection password="DFD3"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48"/>
  <sheetViews>
    <sheetView workbookViewId="0">
      <selection activeCell="D1" sqref="D1"/>
    </sheetView>
  </sheetViews>
  <sheetFormatPr defaultRowHeight="12.75" x14ac:dyDescent="0.2"/>
  <cols>
    <col min="1" max="1" width="139.85546875" style="228" customWidth="1"/>
    <col min="6" max="6" width="13.85546875" bestFit="1" customWidth="1"/>
    <col min="7" max="7" width="10.140625" bestFit="1" customWidth="1"/>
    <col min="8" max="8" width="11.7109375" customWidth="1"/>
    <col min="9" max="9" width="12.7109375" bestFit="1" customWidth="1"/>
    <col min="10" max="10" width="13.85546875" bestFit="1" customWidth="1"/>
    <col min="12" max="12" width="9.140625" style="439"/>
    <col min="13" max="13" width="12.7109375" bestFit="1" customWidth="1"/>
    <col min="14" max="18" width="12.5703125" customWidth="1"/>
  </cols>
  <sheetData>
    <row r="1" spans="1:19" x14ac:dyDescent="0.2">
      <c r="A1" s="224"/>
      <c r="B1" s="1" t="s">
        <v>421</v>
      </c>
      <c r="F1" s="507"/>
      <c r="L1" s="439">
        <f>DefaultData!E9</f>
        <v>230</v>
      </c>
      <c r="M1" s="438" t="s">
        <v>434</v>
      </c>
    </row>
    <row r="2" spans="1:19" x14ac:dyDescent="0.2">
      <c r="A2" s="224"/>
      <c r="L2">
        <f>IF(ProjectData!B24="Advanced",ProjectData!B39,ProjectData!Z39)</f>
        <v>115</v>
      </c>
      <c r="M2" s="438" t="s">
        <v>435</v>
      </c>
    </row>
    <row r="3" spans="1:19" x14ac:dyDescent="0.2">
      <c r="A3" s="224"/>
      <c r="B3" s="11" t="s">
        <v>369</v>
      </c>
      <c r="C3" s="11" t="s">
        <v>370</v>
      </c>
      <c r="D3" s="11" t="s">
        <v>394</v>
      </c>
      <c r="E3" s="11" t="s">
        <v>422</v>
      </c>
      <c r="F3" s="11" t="s">
        <v>297</v>
      </c>
      <c r="G3" s="11" t="s">
        <v>64</v>
      </c>
      <c r="H3" s="11" t="s">
        <v>423</v>
      </c>
      <c r="I3" s="11" t="s">
        <v>424</v>
      </c>
      <c r="J3" s="11" t="s">
        <v>4</v>
      </c>
    </row>
    <row r="4" spans="1:19" x14ac:dyDescent="0.2">
      <c r="A4" s="224"/>
      <c r="B4" s="11" t="s">
        <v>371</v>
      </c>
      <c r="C4" s="11" t="s">
        <v>371</v>
      </c>
      <c r="D4" s="11" t="s">
        <v>393</v>
      </c>
      <c r="E4" s="11" t="s">
        <v>393</v>
      </c>
      <c r="F4" s="11" t="s">
        <v>64</v>
      </c>
      <c r="G4" s="11" t="s">
        <v>425</v>
      </c>
      <c r="H4" s="11" t="s">
        <v>426</v>
      </c>
      <c r="I4" s="11" t="s">
        <v>427</v>
      </c>
      <c r="J4" s="11" t="s">
        <v>64</v>
      </c>
      <c r="M4" s="10" t="s">
        <v>297</v>
      </c>
      <c r="N4" s="10" t="s">
        <v>423</v>
      </c>
      <c r="O4" s="10" t="s">
        <v>424</v>
      </c>
    </row>
    <row r="5" spans="1:19" ht="23.25" x14ac:dyDescent="0.35">
      <c r="A5" s="225" t="s">
        <v>220</v>
      </c>
      <c r="M5" s="10" t="s">
        <v>64</v>
      </c>
      <c r="N5" s="10" t="s">
        <v>426</v>
      </c>
      <c r="O5" s="10" t="s">
        <v>427</v>
      </c>
    </row>
    <row r="6" spans="1:19" x14ac:dyDescent="0.2">
      <c r="A6" s="224"/>
      <c r="B6">
        <v>69</v>
      </c>
      <c r="C6">
        <v>115</v>
      </c>
      <c r="D6">
        <v>75</v>
      </c>
      <c r="E6">
        <v>83</v>
      </c>
      <c r="F6" s="8">
        <v>1000000</v>
      </c>
      <c r="G6" s="8">
        <v>12000</v>
      </c>
      <c r="H6" s="10">
        <v>1</v>
      </c>
      <c r="I6" s="8">
        <v>800000</v>
      </c>
      <c r="J6" s="8">
        <v>1800000</v>
      </c>
      <c r="L6">
        <v>69</v>
      </c>
      <c r="M6" s="447" t="str">
        <f>IF($L1=$L6,VLOOKUP($L2,$C$6:$I$10,4),"")</f>
        <v/>
      </c>
      <c r="N6" s="31" t="str">
        <f>IF($L1=$L6,VLOOKUP($L2,$C$6:$I$10,6),"")</f>
        <v/>
      </c>
      <c r="O6" s="447" t="str">
        <f>IF($L1=$L6,VLOOKUP($L2,$C$6:$I$10,7),"")</f>
        <v/>
      </c>
      <c r="P6" s="8"/>
    </row>
    <row r="7" spans="1:19" ht="15.75" x14ac:dyDescent="0.25">
      <c r="A7" s="226" t="s">
        <v>221</v>
      </c>
      <c r="B7">
        <v>69</v>
      </c>
      <c r="C7">
        <v>230</v>
      </c>
      <c r="D7">
        <v>75</v>
      </c>
      <c r="E7">
        <v>83</v>
      </c>
      <c r="F7" s="8">
        <v>1300000</v>
      </c>
      <c r="G7" s="8">
        <v>15600</v>
      </c>
      <c r="H7" s="10">
        <v>1</v>
      </c>
      <c r="I7" s="8">
        <v>1250000</v>
      </c>
      <c r="J7" s="8">
        <v>2550000</v>
      </c>
      <c r="L7">
        <v>115</v>
      </c>
      <c r="M7" s="447" t="str">
        <f>IF($L1=$L7,VLOOKUP($L2,$C$12:$I$16,4),"")</f>
        <v/>
      </c>
      <c r="N7" s="31" t="str">
        <f>IF($L1=$L7,VLOOKUP($L2,$C$12:$I$16,6),"")</f>
        <v/>
      </c>
      <c r="O7" s="447" t="str">
        <f>IF($L1=$L7,VLOOKUP($L2,$C$12:$I$16,7),"")</f>
        <v/>
      </c>
      <c r="P7" s="8"/>
    </row>
    <row r="8" spans="1:19" ht="15" x14ac:dyDescent="0.2">
      <c r="A8" s="227"/>
      <c r="B8">
        <v>69</v>
      </c>
      <c r="C8">
        <v>345</v>
      </c>
      <c r="D8">
        <v>75</v>
      </c>
      <c r="E8">
        <v>83</v>
      </c>
      <c r="F8" s="8">
        <v>2000000</v>
      </c>
      <c r="G8" s="8">
        <v>24000</v>
      </c>
      <c r="H8" s="10">
        <v>1</v>
      </c>
      <c r="I8" s="8">
        <v>3250000</v>
      </c>
      <c r="J8" s="8">
        <v>5250000</v>
      </c>
      <c r="L8">
        <v>230</v>
      </c>
      <c r="M8" s="447">
        <f>IF($L1=$L8,VLOOKUP($L2,$C$18:$I$22,4),"")</f>
        <v>4000000</v>
      </c>
      <c r="N8" s="31">
        <f>IF($L1=$L8,VLOOKUP($L2,$C$18:$I$22,6),"")</f>
        <v>1</v>
      </c>
      <c r="O8" s="447">
        <f>IF($L1=$L8,VLOOKUP($L2,$C$18:$I$22,7),"")</f>
        <v>800000</v>
      </c>
      <c r="P8" s="8"/>
    </row>
    <row r="9" spans="1:19" ht="15.75" x14ac:dyDescent="0.25">
      <c r="A9" s="226" t="s">
        <v>222</v>
      </c>
      <c r="B9">
        <v>69</v>
      </c>
      <c r="C9">
        <v>500</v>
      </c>
      <c r="D9">
        <v>75</v>
      </c>
      <c r="E9">
        <v>83</v>
      </c>
      <c r="F9" s="8">
        <v>2700000</v>
      </c>
      <c r="G9" s="8">
        <v>32400</v>
      </c>
      <c r="H9" s="10">
        <v>1</v>
      </c>
      <c r="I9" s="8">
        <v>3800000</v>
      </c>
      <c r="J9" s="8">
        <v>6500000</v>
      </c>
      <c r="L9">
        <v>345</v>
      </c>
      <c r="M9" s="447" t="str">
        <f>IF($L1=$L9,VLOOKUP($L2,$C$24:$I$28,4),"")</f>
        <v/>
      </c>
      <c r="N9" s="31" t="str">
        <f>IF($L1=$L9,VLOOKUP($L2,$C$24:$I$28,6),"")</f>
        <v/>
      </c>
      <c r="O9" s="447" t="str">
        <f>IF($L1=$L9,VLOOKUP($L2,$C$24:$I$28,7),"")</f>
        <v/>
      </c>
      <c r="P9" s="8"/>
    </row>
    <row r="10" spans="1:19" ht="15.75" x14ac:dyDescent="0.25">
      <c r="A10" s="226"/>
      <c r="B10">
        <v>69</v>
      </c>
      <c r="C10">
        <v>765</v>
      </c>
      <c r="D10">
        <v>75</v>
      </c>
      <c r="E10">
        <v>83</v>
      </c>
      <c r="F10" s="8">
        <v>4000000</v>
      </c>
      <c r="G10" s="8">
        <v>48000</v>
      </c>
      <c r="H10" s="10">
        <v>1</v>
      </c>
      <c r="I10" s="8">
        <v>4900000</v>
      </c>
      <c r="J10" s="8">
        <v>8900000</v>
      </c>
      <c r="L10">
        <v>500</v>
      </c>
      <c r="M10" s="447" t="str">
        <f>IF($L1=$L10,VLOOKUP($L2,$C$30:$I$34,4),"")</f>
        <v/>
      </c>
      <c r="N10" s="31" t="str">
        <f>IF($L1=$L10,VLOOKUP($L2,$C$30:$I$34,6),"")</f>
        <v/>
      </c>
      <c r="O10" s="447" t="str">
        <f>IF($L1=$L10,VLOOKUP($L2,$C$30:$I$34,7),"")</f>
        <v/>
      </c>
      <c r="P10" s="8"/>
    </row>
    <row r="11" spans="1:19" ht="15.75" x14ac:dyDescent="0.25">
      <c r="A11" s="291" t="s">
        <v>223</v>
      </c>
      <c r="F11" s="8"/>
      <c r="G11" s="8"/>
      <c r="H11" s="10"/>
      <c r="I11" s="8"/>
      <c r="J11" s="8"/>
      <c r="L11">
        <v>765</v>
      </c>
      <c r="M11" s="447" t="str">
        <f>IF($L1=$L11,VLOOKUP($L2,$C$36:$I$40,4),"")</f>
        <v/>
      </c>
      <c r="N11" s="31" t="str">
        <f>IF($L1=$L11,VLOOKUP($L2,$C$36:$I$40,6),"")</f>
        <v/>
      </c>
      <c r="O11" s="447" t="str">
        <f>IF($L1=$L11,VLOOKUP($L2,$C$36:$I$40,7),"")</f>
        <v/>
      </c>
      <c r="P11" s="8"/>
    </row>
    <row r="12" spans="1:19" x14ac:dyDescent="0.2">
      <c r="A12" s="224"/>
      <c r="B12">
        <v>115</v>
      </c>
      <c r="C12">
        <v>69</v>
      </c>
      <c r="D12">
        <v>150</v>
      </c>
      <c r="E12">
        <v>167</v>
      </c>
      <c r="F12" s="8">
        <v>1500000</v>
      </c>
      <c r="G12" s="8">
        <v>9000</v>
      </c>
      <c r="H12" s="10">
        <v>1</v>
      </c>
      <c r="I12" s="8">
        <v>650000</v>
      </c>
      <c r="J12" s="8">
        <v>2150000</v>
      </c>
      <c r="M12" s="8">
        <f>SUM(M6:M11)</f>
        <v>4000000</v>
      </c>
      <c r="N12" s="10">
        <f t="shared" ref="N12:O12" si="0">SUM(N6:N11)</f>
        <v>1</v>
      </c>
      <c r="O12" s="8">
        <f t="shared" si="0"/>
        <v>800000</v>
      </c>
      <c r="P12" s="8">
        <f>O12+M12</f>
        <v>4800000</v>
      </c>
    </row>
    <row r="13" spans="1:19" x14ac:dyDescent="0.2">
      <c r="A13" s="224"/>
      <c r="B13">
        <v>115</v>
      </c>
      <c r="C13">
        <v>230</v>
      </c>
      <c r="D13">
        <v>150</v>
      </c>
      <c r="E13">
        <v>167</v>
      </c>
      <c r="F13" s="8">
        <v>1500000</v>
      </c>
      <c r="G13" s="8">
        <v>9000</v>
      </c>
      <c r="H13" s="10">
        <v>1</v>
      </c>
      <c r="I13" s="8">
        <v>1250000</v>
      </c>
      <c r="J13" s="8">
        <v>2750000</v>
      </c>
    </row>
    <row r="14" spans="1:19" x14ac:dyDescent="0.2">
      <c r="A14" s="224"/>
      <c r="B14">
        <v>115</v>
      </c>
      <c r="C14">
        <v>345</v>
      </c>
      <c r="D14">
        <v>150</v>
      </c>
      <c r="E14">
        <v>167</v>
      </c>
      <c r="F14" s="8">
        <v>2100000</v>
      </c>
      <c r="G14" s="8">
        <v>12600</v>
      </c>
      <c r="H14" s="10">
        <v>1</v>
      </c>
      <c r="I14" s="8">
        <v>3250000</v>
      </c>
      <c r="J14" s="8">
        <v>5350000</v>
      </c>
      <c r="M14" s="11" t="s">
        <v>363</v>
      </c>
      <c r="N14" s="11" t="s">
        <v>364</v>
      </c>
      <c r="O14" s="11" t="s">
        <v>365</v>
      </c>
      <c r="P14" s="11" t="s">
        <v>366</v>
      </c>
      <c r="Q14" s="11" t="s">
        <v>417</v>
      </c>
      <c r="R14" s="11" t="s">
        <v>362</v>
      </c>
      <c r="S14" s="11" t="s">
        <v>367</v>
      </c>
    </row>
    <row r="15" spans="1:19" x14ac:dyDescent="0.2">
      <c r="A15" s="224"/>
      <c r="B15">
        <v>115</v>
      </c>
      <c r="C15">
        <v>500</v>
      </c>
      <c r="D15">
        <v>150</v>
      </c>
      <c r="E15">
        <v>167</v>
      </c>
      <c r="F15" s="8">
        <v>2700000</v>
      </c>
      <c r="G15" s="8">
        <v>16200</v>
      </c>
      <c r="H15" s="10">
        <v>1</v>
      </c>
      <c r="I15" s="8">
        <v>3800000</v>
      </c>
      <c r="J15" s="8">
        <v>6500000</v>
      </c>
      <c r="K15">
        <v>2</v>
      </c>
      <c r="L15" s="439">
        <f>HLOOKUP(ProjectData!B$19,'Transformer Data'!M$14:S$19,'Transformer Data'!K15)</f>
        <v>69</v>
      </c>
      <c r="M15" s="439">
        <v>69</v>
      </c>
      <c r="N15" s="439">
        <v>69</v>
      </c>
      <c r="O15" s="439">
        <v>69</v>
      </c>
      <c r="P15" s="439">
        <v>69</v>
      </c>
      <c r="Q15" s="439">
        <v>69</v>
      </c>
      <c r="R15" s="439">
        <v>115</v>
      </c>
      <c r="S15" s="439">
        <v>69</v>
      </c>
    </row>
    <row r="16" spans="1:19" x14ac:dyDescent="0.2">
      <c r="A16" s="224"/>
      <c r="B16">
        <v>115</v>
      </c>
      <c r="C16">
        <v>765</v>
      </c>
      <c r="D16">
        <v>150</v>
      </c>
      <c r="E16">
        <v>167</v>
      </c>
      <c r="F16" s="8">
        <v>4000000</v>
      </c>
      <c r="G16" s="8">
        <v>24000</v>
      </c>
      <c r="H16" s="10">
        <v>1</v>
      </c>
      <c r="I16" s="8">
        <v>4900000</v>
      </c>
      <c r="J16" s="8">
        <v>8900000</v>
      </c>
      <c r="K16">
        <f>K15+1</f>
        <v>3</v>
      </c>
      <c r="L16" s="439">
        <f>HLOOKUP(ProjectData!B$19,'Transformer Data'!M$14:S$19,'Transformer Data'!K16)</f>
        <v>115</v>
      </c>
      <c r="M16" s="439">
        <v>230</v>
      </c>
      <c r="N16" s="439">
        <v>115</v>
      </c>
      <c r="O16" s="439">
        <v>115</v>
      </c>
      <c r="P16" s="439">
        <v>115</v>
      </c>
      <c r="Q16" s="439">
        <v>115</v>
      </c>
      <c r="R16" s="439">
        <v>230</v>
      </c>
      <c r="S16" s="439">
        <v>115</v>
      </c>
    </row>
    <row r="17" spans="1:19" x14ac:dyDescent="0.2">
      <c r="A17" s="224"/>
      <c r="F17" s="8"/>
      <c r="G17" s="8"/>
      <c r="H17" s="10"/>
      <c r="I17" s="8"/>
      <c r="J17" s="8"/>
      <c r="K17" s="439">
        <f t="shared" ref="K17:K19" si="1">K16+1</f>
        <v>4</v>
      </c>
      <c r="L17" s="439">
        <f>HLOOKUP(ProjectData!B$19,'Transformer Data'!M$14:S$19,'Transformer Data'!K17)</f>
        <v>345</v>
      </c>
      <c r="M17" s="439">
        <v>345</v>
      </c>
      <c r="N17" s="439">
        <v>345</v>
      </c>
      <c r="O17" s="439">
        <v>230</v>
      </c>
      <c r="P17" s="439">
        <v>230</v>
      </c>
      <c r="Q17" s="439">
        <v>230</v>
      </c>
      <c r="R17" s="439">
        <v>345</v>
      </c>
      <c r="S17" s="439">
        <v>230</v>
      </c>
    </row>
    <row r="18" spans="1:19" ht="15.75" x14ac:dyDescent="0.25">
      <c r="A18" s="226" t="s">
        <v>224</v>
      </c>
      <c r="B18">
        <v>230</v>
      </c>
      <c r="C18">
        <v>69</v>
      </c>
      <c r="D18">
        <v>400</v>
      </c>
      <c r="E18">
        <v>444</v>
      </c>
      <c r="F18" s="8">
        <v>4200000</v>
      </c>
      <c r="G18" s="8">
        <v>9450</v>
      </c>
      <c r="H18" s="10">
        <v>2</v>
      </c>
      <c r="I18" s="8">
        <v>1300000</v>
      </c>
      <c r="J18" s="8">
        <v>5500000</v>
      </c>
      <c r="K18" s="439">
        <f t="shared" si="1"/>
        <v>5</v>
      </c>
      <c r="L18" s="439">
        <f>HLOOKUP(ProjectData!B$19,'Transformer Data'!M$14:S$19,'Transformer Data'!K18)</f>
        <v>500</v>
      </c>
      <c r="M18" s="439">
        <v>500</v>
      </c>
      <c r="N18" s="439">
        <v>500</v>
      </c>
      <c r="O18" s="439">
        <v>500</v>
      </c>
      <c r="P18" s="439">
        <v>345</v>
      </c>
      <c r="Q18" s="439">
        <v>345</v>
      </c>
      <c r="R18" s="439">
        <v>500</v>
      </c>
      <c r="S18" s="439">
        <v>345</v>
      </c>
    </row>
    <row r="19" spans="1:19" x14ac:dyDescent="0.2">
      <c r="A19" s="224"/>
      <c r="B19">
        <v>230</v>
      </c>
      <c r="C19">
        <v>115</v>
      </c>
      <c r="D19">
        <v>400</v>
      </c>
      <c r="E19">
        <v>444</v>
      </c>
      <c r="F19" s="8">
        <v>4000000</v>
      </c>
      <c r="G19" s="8">
        <v>9000</v>
      </c>
      <c r="H19" s="10">
        <v>1</v>
      </c>
      <c r="I19" s="8">
        <v>800000</v>
      </c>
      <c r="J19" s="8">
        <v>4800000</v>
      </c>
      <c r="K19" s="439">
        <f t="shared" si="1"/>
        <v>6</v>
      </c>
      <c r="L19" s="439">
        <f>HLOOKUP(ProjectData!B$19,'Transformer Data'!M$14:S$19,'Transformer Data'!K19)</f>
        <v>765</v>
      </c>
      <c r="M19" s="439">
        <v>765</v>
      </c>
      <c r="N19" s="439">
        <v>765</v>
      </c>
      <c r="O19" s="439">
        <v>765</v>
      </c>
      <c r="P19" s="439">
        <v>765</v>
      </c>
      <c r="Q19" s="439">
        <v>765</v>
      </c>
      <c r="R19" s="439">
        <v>765</v>
      </c>
      <c r="S19" s="439">
        <v>500</v>
      </c>
    </row>
    <row r="20" spans="1:19" x14ac:dyDescent="0.2">
      <c r="A20" s="224"/>
      <c r="B20">
        <v>230</v>
      </c>
      <c r="C20">
        <v>345</v>
      </c>
      <c r="D20">
        <v>400</v>
      </c>
      <c r="E20">
        <v>444</v>
      </c>
      <c r="F20" s="8">
        <v>5700000</v>
      </c>
      <c r="G20" s="8">
        <v>12825</v>
      </c>
      <c r="H20" s="10">
        <v>1</v>
      </c>
      <c r="I20" s="8">
        <v>3250000</v>
      </c>
      <c r="J20" s="8">
        <v>8950000</v>
      </c>
      <c r="O20" s="439"/>
    </row>
    <row r="21" spans="1:19" x14ac:dyDescent="0.2">
      <c r="A21" s="224"/>
      <c r="B21">
        <v>230</v>
      </c>
      <c r="C21">
        <v>500</v>
      </c>
      <c r="D21">
        <v>400</v>
      </c>
      <c r="E21">
        <v>444</v>
      </c>
      <c r="F21" s="8">
        <v>6600000</v>
      </c>
      <c r="G21" s="8">
        <v>14850</v>
      </c>
      <c r="H21" s="10">
        <v>1</v>
      </c>
      <c r="I21" s="8">
        <v>3800000</v>
      </c>
      <c r="J21" s="8">
        <v>10400000</v>
      </c>
    </row>
    <row r="22" spans="1:19" x14ac:dyDescent="0.2">
      <c r="A22" s="224"/>
      <c r="B22">
        <v>230</v>
      </c>
      <c r="C22">
        <v>765</v>
      </c>
      <c r="D22">
        <v>400</v>
      </c>
      <c r="E22">
        <v>444</v>
      </c>
      <c r="F22" s="8">
        <v>8500000</v>
      </c>
      <c r="G22" s="8">
        <v>19125</v>
      </c>
      <c r="H22" s="10">
        <v>1</v>
      </c>
      <c r="I22" s="8">
        <v>4900000</v>
      </c>
      <c r="J22" s="8">
        <v>13400000</v>
      </c>
    </row>
    <row r="23" spans="1:19" x14ac:dyDescent="0.2">
      <c r="A23" s="224"/>
      <c r="F23" s="8"/>
      <c r="G23" s="8"/>
      <c r="H23" s="10"/>
      <c r="I23" s="8"/>
      <c r="J23" s="8"/>
    </row>
    <row r="24" spans="1:19" x14ac:dyDescent="0.2">
      <c r="A24" s="224"/>
      <c r="B24">
        <v>345</v>
      </c>
      <c r="C24">
        <v>69</v>
      </c>
      <c r="D24">
        <v>900</v>
      </c>
      <c r="E24">
        <v>1000</v>
      </c>
      <c r="F24" s="8">
        <v>14000000</v>
      </c>
      <c r="G24" s="8">
        <v>14000</v>
      </c>
      <c r="H24" s="10">
        <v>3</v>
      </c>
      <c r="I24" s="8">
        <v>1900000</v>
      </c>
      <c r="J24" s="8">
        <v>15900000</v>
      </c>
    </row>
    <row r="25" spans="1:19" x14ac:dyDescent="0.2">
      <c r="A25" s="224"/>
      <c r="B25">
        <v>345</v>
      </c>
      <c r="C25">
        <v>115</v>
      </c>
      <c r="D25">
        <v>900</v>
      </c>
      <c r="E25">
        <v>1000</v>
      </c>
      <c r="F25" s="8">
        <v>13000000</v>
      </c>
      <c r="G25" s="8">
        <v>13000</v>
      </c>
      <c r="H25" s="10">
        <v>2</v>
      </c>
      <c r="I25" s="8">
        <v>1600000</v>
      </c>
      <c r="J25" s="8">
        <v>14600000</v>
      </c>
    </row>
    <row r="26" spans="1:19" x14ac:dyDescent="0.2">
      <c r="A26" s="224"/>
      <c r="B26">
        <v>345</v>
      </c>
      <c r="C26">
        <v>230</v>
      </c>
      <c r="D26">
        <v>900</v>
      </c>
      <c r="E26">
        <v>1000</v>
      </c>
      <c r="F26" s="8">
        <v>13000000</v>
      </c>
      <c r="G26" s="8">
        <v>13000</v>
      </c>
      <c r="H26" s="10">
        <v>1</v>
      </c>
      <c r="I26" s="8">
        <v>1250000</v>
      </c>
      <c r="J26" s="8">
        <v>14250000</v>
      </c>
      <c r="O26" s="439"/>
    </row>
    <row r="27" spans="1:19" x14ac:dyDescent="0.2">
      <c r="A27" s="224"/>
      <c r="B27">
        <v>345</v>
      </c>
      <c r="C27">
        <v>500</v>
      </c>
      <c r="D27">
        <v>900</v>
      </c>
      <c r="E27">
        <v>1000</v>
      </c>
      <c r="F27" s="8">
        <v>17000000</v>
      </c>
      <c r="G27" s="8">
        <v>17000</v>
      </c>
      <c r="H27" s="10">
        <v>1</v>
      </c>
      <c r="I27" s="8">
        <v>3800000</v>
      </c>
      <c r="J27" s="8">
        <v>20800000</v>
      </c>
    </row>
    <row r="28" spans="1:19" x14ac:dyDescent="0.2">
      <c r="A28" s="224"/>
      <c r="B28">
        <v>345</v>
      </c>
      <c r="C28">
        <v>765</v>
      </c>
      <c r="D28">
        <v>900</v>
      </c>
      <c r="E28">
        <v>1000</v>
      </c>
      <c r="F28" s="8">
        <v>21000000</v>
      </c>
      <c r="G28" s="8">
        <v>21000</v>
      </c>
      <c r="H28" s="10">
        <v>1</v>
      </c>
      <c r="I28" s="8">
        <v>4900000</v>
      </c>
      <c r="J28" s="8">
        <v>25900000</v>
      </c>
    </row>
    <row r="29" spans="1:19" x14ac:dyDescent="0.2">
      <c r="A29" s="224"/>
      <c r="F29" s="8"/>
      <c r="G29" s="8"/>
      <c r="H29" s="10"/>
      <c r="I29" s="8"/>
      <c r="J29" s="8"/>
    </row>
    <row r="30" spans="1:19" x14ac:dyDescent="0.2">
      <c r="A30" s="224"/>
      <c r="B30">
        <v>500</v>
      </c>
      <c r="C30">
        <v>69</v>
      </c>
      <c r="D30">
        <v>1500</v>
      </c>
      <c r="E30">
        <v>1667</v>
      </c>
      <c r="F30" s="8">
        <v>35000000</v>
      </c>
      <c r="G30" s="8">
        <v>21000</v>
      </c>
      <c r="H30" s="10">
        <v>5</v>
      </c>
      <c r="I30" s="8">
        <v>3200000</v>
      </c>
      <c r="J30" s="8">
        <v>38200000</v>
      </c>
    </row>
    <row r="31" spans="1:19" x14ac:dyDescent="0.2">
      <c r="A31" s="224"/>
      <c r="B31">
        <v>500</v>
      </c>
      <c r="C31">
        <v>115</v>
      </c>
      <c r="D31">
        <v>1500</v>
      </c>
      <c r="E31">
        <v>1667</v>
      </c>
      <c r="F31" s="8">
        <v>32000000</v>
      </c>
      <c r="G31" s="8">
        <v>19200</v>
      </c>
      <c r="H31" s="10">
        <v>3</v>
      </c>
      <c r="I31" s="8">
        <v>2400000</v>
      </c>
      <c r="J31" s="8">
        <v>34400000</v>
      </c>
    </row>
    <row r="32" spans="1:19" x14ac:dyDescent="0.2">
      <c r="A32" s="224"/>
      <c r="B32">
        <v>500</v>
      </c>
      <c r="C32">
        <v>230</v>
      </c>
      <c r="D32">
        <v>1500</v>
      </c>
      <c r="E32">
        <v>1667</v>
      </c>
      <c r="F32" s="8">
        <v>30000000</v>
      </c>
      <c r="G32" s="8">
        <v>18000</v>
      </c>
      <c r="H32" s="10">
        <v>2</v>
      </c>
      <c r="I32" s="8">
        <v>2500000</v>
      </c>
      <c r="J32" s="8">
        <v>32500000</v>
      </c>
      <c r="O32" s="439"/>
    </row>
    <row r="33" spans="1:10" x14ac:dyDescent="0.2">
      <c r="A33" s="224"/>
      <c r="B33">
        <v>500</v>
      </c>
      <c r="C33">
        <v>345</v>
      </c>
      <c r="D33">
        <v>1500</v>
      </c>
      <c r="E33">
        <v>1667</v>
      </c>
      <c r="F33" s="8">
        <v>28000000</v>
      </c>
      <c r="G33" s="8">
        <v>16800</v>
      </c>
      <c r="H33" s="10">
        <v>1</v>
      </c>
      <c r="I33" s="8">
        <v>3250000</v>
      </c>
      <c r="J33" s="8">
        <v>31250000</v>
      </c>
    </row>
    <row r="34" spans="1:10" x14ac:dyDescent="0.2">
      <c r="A34" s="224"/>
      <c r="B34">
        <v>500</v>
      </c>
      <c r="C34">
        <v>765</v>
      </c>
      <c r="D34">
        <v>1500</v>
      </c>
      <c r="E34">
        <v>1667</v>
      </c>
      <c r="F34" s="8">
        <v>33000000</v>
      </c>
      <c r="G34" s="8">
        <v>19800</v>
      </c>
      <c r="H34" s="10">
        <v>1</v>
      </c>
      <c r="I34" s="8">
        <v>4900000</v>
      </c>
      <c r="J34" s="8">
        <v>37900000</v>
      </c>
    </row>
    <row r="35" spans="1:10" x14ac:dyDescent="0.2">
      <c r="A35" s="224"/>
      <c r="F35" s="8"/>
      <c r="G35" s="8"/>
      <c r="H35" s="10"/>
      <c r="I35" s="8"/>
      <c r="J35" s="8"/>
    </row>
    <row r="36" spans="1:10" x14ac:dyDescent="0.2">
      <c r="A36" s="224"/>
      <c r="B36">
        <v>765</v>
      </c>
      <c r="C36">
        <v>69</v>
      </c>
      <c r="D36">
        <v>3000</v>
      </c>
      <c r="E36">
        <v>3333</v>
      </c>
      <c r="F36" s="8">
        <v>80000000</v>
      </c>
      <c r="G36" s="8">
        <v>24000</v>
      </c>
      <c r="H36" s="10">
        <v>10</v>
      </c>
      <c r="I36" s="8">
        <v>6000000</v>
      </c>
      <c r="J36" s="8">
        <v>86000000</v>
      </c>
    </row>
    <row r="37" spans="1:10" x14ac:dyDescent="0.2">
      <c r="A37" s="224"/>
      <c r="B37">
        <v>765</v>
      </c>
      <c r="C37">
        <v>115</v>
      </c>
      <c r="D37">
        <v>3000</v>
      </c>
      <c r="E37">
        <v>3333</v>
      </c>
      <c r="F37" s="8">
        <v>75000000</v>
      </c>
      <c r="G37" s="8">
        <v>22500</v>
      </c>
      <c r="H37" s="10">
        <v>5</v>
      </c>
      <c r="I37" s="8">
        <v>4000000</v>
      </c>
      <c r="J37" s="8">
        <v>79000000</v>
      </c>
    </row>
    <row r="38" spans="1:10" x14ac:dyDescent="0.2">
      <c r="A38" s="224"/>
      <c r="B38">
        <v>765</v>
      </c>
      <c r="C38">
        <v>230</v>
      </c>
      <c r="D38">
        <v>3000</v>
      </c>
      <c r="E38">
        <v>3333</v>
      </c>
      <c r="F38" s="8">
        <v>70000000</v>
      </c>
      <c r="G38" s="8">
        <v>21000</v>
      </c>
      <c r="H38" s="10">
        <v>3</v>
      </c>
      <c r="I38" s="8">
        <v>3750000</v>
      </c>
      <c r="J38" s="8">
        <v>73750000</v>
      </c>
    </row>
    <row r="39" spans="1:10" x14ac:dyDescent="0.2">
      <c r="A39" s="224"/>
      <c r="B39">
        <v>765</v>
      </c>
      <c r="C39">
        <v>345</v>
      </c>
      <c r="D39">
        <v>3000</v>
      </c>
      <c r="E39">
        <v>3333</v>
      </c>
      <c r="F39" s="8">
        <v>65000000</v>
      </c>
      <c r="G39" s="8">
        <v>19500</v>
      </c>
      <c r="H39" s="10">
        <v>2</v>
      </c>
      <c r="I39" s="8">
        <v>6500000</v>
      </c>
      <c r="J39" s="8">
        <v>71500000</v>
      </c>
    </row>
    <row r="40" spans="1:10" x14ac:dyDescent="0.2">
      <c r="A40" s="224"/>
      <c r="B40">
        <v>765</v>
      </c>
      <c r="C40">
        <v>500</v>
      </c>
      <c r="D40">
        <v>3000</v>
      </c>
      <c r="E40">
        <v>3333</v>
      </c>
      <c r="F40" s="8">
        <v>60000000</v>
      </c>
      <c r="G40" s="8">
        <v>18000</v>
      </c>
      <c r="H40" s="10">
        <v>2</v>
      </c>
      <c r="I40" s="8">
        <v>7600000</v>
      </c>
      <c r="J40" s="8">
        <v>67600000</v>
      </c>
    </row>
    <row r="41" spans="1:10" x14ac:dyDescent="0.2">
      <c r="A41" s="224"/>
    </row>
    <row r="42" spans="1:10" x14ac:dyDescent="0.2">
      <c r="A42" s="224"/>
    </row>
    <row r="43" spans="1:10" x14ac:dyDescent="0.2">
      <c r="A43" s="224"/>
      <c r="B43" t="s">
        <v>428</v>
      </c>
      <c r="C43" t="s">
        <v>429</v>
      </c>
    </row>
    <row r="44" spans="1:10" x14ac:dyDescent="0.2">
      <c r="A44" s="224"/>
      <c r="B44" t="s">
        <v>430</v>
      </c>
      <c r="C44" t="s">
        <v>431</v>
      </c>
    </row>
    <row r="45" spans="1:10" x14ac:dyDescent="0.2">
      <c r="A45" s="224"/>
      <c r="C45" t="s">
        <v>432</v>
      </c>
    </row>
    <row r="46" spans="1:10" x14ac:dyDescent="0.2">
      <c r="A46" s="224"/>
      <c r="C46" t="s">
        <v>433</v>
      </c>
    </row>
    <row r="47" spans="1:10" x14ac:dyDescent="0.2">
      <c r="A47" s="224"/>
    </row>
    <row r="48" spans="1:10" x14ac:dyDescent="0.2">
      <c r="A48" s="224"/>
    </row>
  </sheetData>
  <sheetProtection password="DFD3"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48"/>
  <sheetViews>
    <sheetView workbookViewId="0">
      <selection activeCell="B1" sqref="B1"/>
    </sheetView>
  </sheetViews>
  <sheetFormatPr defaultRowHeight="12.75" x14ac:dyDescent="0.2"/>
  <cols>
    <col min="1" max="1" width="139.85546875" style="228" customWidth="1"/>
    <col min="2" max="2" width="30.140625" customWidth="1"/>
    <col min="3" max="3" width="19.28515625" customWidth="1"/>
    <col min="4" max="4" width="14.5703125" customWidth="1"/>
    <col min="5" max="5" width="13.140625" customWidth="1"/>
  </cols>
  <sheetData>
    <row r="1" spans="1:4" x14ac:dyDescent="0.2">
      <c r="A1" s="224"/>
      <c r="B1" s="1" t="s">
        <v>436</v>
      </c>
    </row>
    <row r="2" spans="1:4" x14ac:dyDescent="0.2">
      <c r="A2" s="224"/>
    </row>
    <row r="3" spans="1:4" x14ac:dyDescent="0.2">
      <c r="A3" s="224"/>
    </row>
    <row r="4" spans="1:4" x14ac:dyDescent="0.2">
      <c r="A4" s="224"/>
      <c r="C4" s="11" t="s">
        <v>437</v>
      </c>
      <c r="D4" s="11" t="s">
        <v>351</v>
      </c>
    </row>
    <row r="5" spans="1:4" ht="23.25" x14ac:dyDescent="0.35">
      <c r="A5" s="225" t="s">
        <v>220</v>
      </c>
      <c r="C5" s="11" t="s">
        <v>438</v>
      </c>
      <c r="D5" s="11" t="s">
        <v>439</v>
      </c>
    </row>
    <row r="6" spans="1:4" x14ac:dyDescent="0.2">
      <c r="A6" s="224"/>
      <c r="C6" s="11" t="s">
        <v>440</v>
      </c>
      <c r="D6" s="11" t="s">
        <v>440</v>
      </c>
    </row>
    <row r="7" spans="1:4" ht="15.75" x14ac:dyDescent="0.25">
      <c r="A7" s="226" t="s">
        <v>221</v>
      </c>
    </row>
    <row r="8" spans="1:4" ht="15" x14ac:dyDescent="0.2">
      <c r="A8" s="227"/>
      <c r="B8" s="1" t="s">
        <v>441</v>
      </c>
    </row>
    <row r="9" spans="1:4" s="462" customFormat="1" ht="15.75" x14ac:dyDescent="0.25">
      <c r="A9" s="226" t="s">
        <v>222</v>
      </c>
      <c r="B9" t="s">
        <v>443</v>
      </c>
      <c r="C9" s="154">
        <v>1.05</v>
      </c>
      <c r="D9" s="154">
        <v>0.5</v>
      </c>
    </row>
    <row r="10" spans="1:4" ht="15.75" x14ac:dyDescent="0.25">
      <c r="A10" s="226"/>
      <c r="B10" t="s">
        <v>442</v>
      </c>
      <c r="C10" s="154">
        <v>1</v>
      </c>
      <c r="D10" s="154">
        <v>2</v>
      </c>
    </row>
    <row r="11" spans="1:4" ht="15.75" x14ac:dyDescent="0.25">
      <c r="A11" s="291" t="s">
        <v>223</v>
      </c>
      <c r="B11" s="438" t="s">
        <v>487</v>
      </c>
      <c r="C11" s="154">
        <v>1</v>
      </c>
      <c r="D11" s="154">
        <v>1</v>
      </c>
    </row>
    <row r="12" spans="1:4" s="462" customFormat="1" x14ac:dyDescent="0.2">
      <c r="A12" s="224"/>
      <c r="B12" t="s">
        <v>445</v>
      </c>
      <c r="C12" s="154">
        <v>1.3</v>
      </c>
      <c r="D12" s="154">
        <v>1</v>
      </c>
    </row>
    <row r="13" spans="1:4" x14ac:dyDescent="0.2">
      <c r="A13" s="224"/>
      <c r="B13" t="s">
        <v>444</v>
      </c>
      <c r="C13" s="154">
        <v>1.1000000000000001</v>
      </c>
      <c r="D13" s="154">
        <v>1</v>
      </c>
    </row>
    <row r="14" spans="1:4" x14ac:dyDescent="0.2">
      <c r="A14" s="224"/>
    </row>
    <row r="15" spans="1:4" x14ac:dyDescent="0.2">
      <c r="A15" s="224"/>
      <c r="B15" t="s">
        <v>446</v>
      </c>
      <c r="C15" s="154"/>
      <c r="D15" s="154"/>
    </row>
    <row r="16" spans="1:4" x14ac:dyDescent="0.2">
      <c r="A16" s="224"/>
      <c r="B16" t="s">
        <v>446</v>
      </c>
      <c r="C16" s="154"/>
      <c r="D16" s="154"/>
    </row>
    <row r="17" spans="1:6" x14ac:dyDescent="0.2">
      <c r="A17" s="224"/>
      <c r="B17" s="1" t="s">
        <v>447</v>
      </c>
      <c r="C17" s="154"/>
      <c r="D17" s="154"/>
    </row>
    <row r="18" spans="1:6" ht="15.75" x14ac:dyDescent="0.25">
      <c r="A18" s="226" t="s">
        <v>224</v>
      </c>
      <c r="B18" t="s">
        <v>450</v>
      </c>
      <c r="C18" s="154">
        <v>1.3</v>
      </c>
      <c r="D18" s="154">
        <v>5</v>
      </c>
    </row>
    <row r="19" spans="1:6" x14ac:dyDescent="0.2">
      <c r="A19" s="224"/>
      <c r="B19" t="s">
        <v>449</v>
      </c>
      <c r="C19" s="154">
        <v>1.1499999999999999</v>
      </c>
      <c r="D19" s="154">
        <v>2</v>
      </c>
    </row>
    <row r="20" spans="1:6" x14ac:dyDescent="0.2">
      <c r="A20" s="224"/>
      <c r="B20" t="s">
        <v>448</v>
      </c>
      <c r="C20" s="154">
        <v>1</v>
      </c>
      <c r="D20" s="154">
        <v>1</v>
      </c>
    </row>
    <row r="21" spans="1:6" x14ac:dyDescent="0.2">
      <c r="A21" s="224"/>
    </row>
    <row r="22" spans="1:6" x14ac:dyDescent="0.2">
      <c r="A22" s="224"/>
      <c r="B22" s="1" t="s">
        <v>474</v>
      </c>
      <c r="C22" s="438" t="s">
        <v>476</v>
      </c>
      <c r="F22">
        <f>ProjectData!B20</f>
        <v>20</v>
      </c>
    </row>
    <row r="23" spans="1:6" s="439" customFormat="1" x14ac:dyDescent="0.2">
      <c r="A23" s="224"/>
      <c r="B23" s="438" t="s">
        <v>475</v>
      </c>
      <c r="C23" s="77">
        <v>1</v>
      </c>
    </row>
    <row r="24" spans="1:6" x14ac:dyDescent="0.2">
      <c r="A24" s="224"/>
      <c r="B24" s="438" t="s">
        <v>473</v>
      </c>
      <c r="C24" s="154">
        <f>2-(F22/20)</f>
        <v>1</v>
      </c>
    </row>
    <row r="25" spans="1:6" x14ac:dyDescent="0.2">
      <c r="A25" s="224"/>
      <c r="B25" s="438" t="s">
        <v>472</v>
      </c>
      <c r="C25" s="154">
        <f>IF(F22&lt;20,C24,C23)</f>
        <v>1</v>
      </c>
    </row>
    <row r="26" spans="1:6" x14ac:dyDescent="0.2">
      <c r="A26" s="224"/>
    </row>
    <row r="27" spans="1:6" x14ac:dyDescent="0.2">
      <c r="A27" s="224"/>
    </row>
    <row r="28" spans="1:6" x14ac:dyDescent="0.2">
      <c r="A28" s="224"/>
    </row>
    <row r="29" spans="1:6" x14ac:dyDescent="0.2">
      <c r="A29" s="224"/>
    </row>
    <row r="30" spans="1:6" x14ac:dyDescent="0.2">
      <c r="A30" s="224"/>
    </row>
    <row r="31" spans="1:6" x14ac:dyDescent="0.2">
      <c r="A31" s="224"/>
    </row>
    <row r="32" spans="1:6" x14ac:dyDescent="0.2">
      <c r="A32" s="224"/>
    </row>
    <row r="33" spans="1:1" x14ac:dyDescent="0.2">
      <c r="A33" s="224"/>
    </row>
    <row r="34" spans="1:1" x14ac:dyDescent="0.2">
      <c r="A34" s="224"/>
    </row>
    <row r="35" spans="1:1" x14ac:dyDescent="0.2">
      <c r="A35" s="224"/>
    </row>
    <row r="36" spans="1:1" x14ac:dyDescent="0.2">
      <c r="A36" s="224"/>
    </row>
    <row r="37" spans="1:1" x14ac:dyDescent="0.2">
      <c r="A37" s="224"/>
    </row>
    <row r="38" spans="1:1" x14ac:dyDescent="0.2">
      <c r="A38" s="224"/>
    </row>
    <row r="39" spans="1:1" x14ac:dyDescent="0.2">
      <c r="A39" s="224"/>
    </row>
    <row r="40" spans="1:1" x14ac:dyDescent="0.2">
      <c r="A40" s="224"/>
    </row>
    <row r="41" spans="1:1" x14ac:dyDescent="0.2">
      <c r="A41" s="224"/>
    </row>
    <row r="42" spans="1:1" x14ac:dyDescent="0.2">
      <c r="A42" s="224"/>
    </row>
    <row r="43" spans="1:1" x14ac:dyDescent="0.2">
      <c r="A43" s="224"/>
    </row>
    <row r="44" spans="1:1" x14ac:dyDescent="0.2">
      <c r="A44" s="224"/>
    </row>
    <row r="45" spans="1:1" x14ac:dyDescent="0.2">
      <c r="A45" s="224"/>
    </row>
    <row r="46" spans="1:1" x14ac:dyDescent="0.2">
      <c r="A46" s="224"/>
    </row>
    <row r="47" spans="1:1" x14ac:dyDescent="0.2">
      <c r="A47" s="224"/>
    </row>
    <row r="48" spans="1:1" x14ac:dyDescent="0.2">
      <c r="A48" s="224"/>
    </row>
  </sheetData>
  <sheetProtection password="DFD3"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E49"/>
  <sheetViews>
    <sheetView workbookViewId="0">
      <selection activeCell="D1" sqref="D1"/>
    </sheetView>
  </sheetViews>
  <sheetFormatPr defaultRowHeight="12.75" x14ac:dyDescent="0.2"/>
  <cols>
    <col min="1" max="1" width="139.85546875" style="228" customWidth="1"/>
    <col min="2" max="2" width="5" style="228" customWidth="1"/>
    <col min="3" max="3" width="5" style="229" customWidth="1"/>
    <col min="4" max="9" width="9.140625" style="492"/>
    <col min="10" max="10" width="11.140625" style="492" customWidth="1"/>
    <col min="11" max="47" width="9.140625" style="492"/>
    <col min="48" max="48" width="9.85546875" style="492" customWidth="1"/>
    <col min="49" max="16384" width="9.140625" style="492"/>
  </cols>
  <sheetData>
    <row r="1" spans="1:57" x14ac:dyDescent="0.2">
      <c r="A1" s="224"/>
      <c r="B1" s="224"/>
      <c r="D1" s="609" t="s">
        <v>589</v>
      </c>
    </row>
    <row r="2" spans="1:57" x14ac:dyDescent="0.2">
      <c r="A2" s="224"/>
      <c r="B2" s="224"/>
    </row>
    <row r="3" spans="1:57" x14ac:dyDescent="0.2">
      <c r="A3" s="224"/>
      <c r="B3" s="224"/>
      <c r="D3" s="605" t="s">
        <v>586</v>
      </c>
    </row>
    <row r="4" spans="1:57" x14ac:dyDescent="0.2">
      <c r="A4" s="224"/>
      <c r="B4" s="224"/>
      <c r="C4" s="607">
        <v>1</v>
      </c>
      <c r="D4" s="492" t="s">
        <v>13</v>
      </c>
      <c r="E4" s="492" t="s">
        <v>14</v>
      </c>
      <c r="F4" s="492" t="s">
        <v>15</v>
      </c>
      <c r="G4" s="492" t="s">
        <v>16</v>
      </c>
      <c r="H4" s="492" t="s">
        <v>17</v>
      </c>
      <c r="I4" s="492" t="s">
        <v>18</v>
      </c>
      <c r="J4" s="492" t="s">
        <v>19</v>
      </c>
      <c r="K4" s="492" t="s">
        <v>20</v>
      </c>
      <c r="L4" s="492" t="s">
        <v>21</v>
      </c>
      <c r="M4" s="492" t="s">
        <v>22</v>
      </c>
      <c r="N4" s="492" t="s">
        <v>23</v>
      </c>
      <c r="O4" s="492" t="s">
        <v>24</v>
      </c>
      <c r="P4" s="492" t="s">
        <v>25</v>
      </c>
      <c r="Q4" s="492" t="s">
        <v>26</v>
      </c>
      <c r="R4" s="492" t="s">
        <v>27</v>
      </c>
      <c r="S4" s="492" t="s">
        <v>28</v>
      </c>
      <c r="T4" s="492" t="s">
        <v>29</v>
      </c>
      <c r="U4" s="492" t="s">
        <v>30</v>
      </c>
      <c r="V4" s="492" t="s">
        <v>31</v>
      </c>
      <c r="W4" s="492" t="s">
        <v>32</v>
      </c>
      <c r="X4" s="492" t="s">
        <v>33</v>
      </c>
      <c r="Y4" s="492" t="s">
        <v>34</v>
      </c>
      <c r="Z4" s="492" t="s">
        <v>35</v>
      </c>
      <c r="AA4" s="492" t="s">
        <v>36</v>
      </c>
      <c r="AB4" s="492" t="s">
        <v>37</v>
      </c>
      <c r="AC4" s="492" t="s">
        <v>38</v>
      </c>
      <c r="AD4" s="492" t="s">
        <v>39</v>
      </c>
      <c r="AE4" s="605" t="s">
        <v>151</v>
      </c>
      <c r="AF4" s="605" t="s">
        <v>150</v>
      </c>
      <c r="AG4" s="492" t="s">
        <v>40</v>
      </c>
      <c r="AH4" s="492" t="s">
        <v>41</v>
      </c>
      <c r="AI4" s="492" t="s">
        <v>42</v>
      </c>
      <c r="AJ4" s="492" t="s">
        <v>43</v>
      </c>
      <c r="AK4" s="492" t="s">
        <v>44</v>
      </c>
      <c r="AL4" s="492" t="s">
        <v>45</v>
      </c>
      <c r="AM4" s="492" t="s">
        <v>46</v>
      </c>
      <c r="AN4" s="492" t="s">
        <v>47</v>
      </c>
      <c r="AO4" s="492" t="s">
        <v>48</v>
      </c>
      <c r="AP4" s="492" t="s">
        <v>49</v>
      </c>
      <c r="AQ4" s="492" t="s">
        <v>50</v>
      </c>
      <c r="AR4" s="492" t="s">
        <v>51</v>
      </c>
      <c r="AS4" s="492" t="s">
        <v>52</v>
      </c>
      <c r="AT4" s="492" t="s">
        <v>53</v>
      </c>
      <c r="AU4" s="492" t="s">
        <v>54</v>
      </c>
      <c r="AV4" s="492" t="s">
        <v>55</v>
      </c>
      <c r="AW4" s="492" t="s">
        <v>56</v>
      </c>
      <c r="AX4" s="492" t="s">
        <v>489</v>
      </c>
      <c r="AY4" s="492" t="s">
        <v>57</v>
      </c>
      <c r="AZ4" s="492" t="s">
        <v>58</v>
      </c>
      <c r="BA4" s="492" t="s">
        <v>59</v>
      </c>
      <c r="BB4" s="492" t="s">
        <v>60</v>
      </c>
      <c r="BC4" s="492" t="s">
        <v>61</v>
      </c>
      <c r="BD4" s="492" t="s">
        <v>62</v>
      </c>
      <c r="BE4" s="492" t="s">
        <v>12</v>
      </c>
    </row>
    <row r="5" spans="1:57" ht="17.25" customHeight="1" x14ac:dyDescent="0.35">
      <c r="A5" s="225" t="s">
        <v>220</v>
      </c>
      <c r="B5" s="225"/>
      <c r="C5" s="608">
        <f>C4+1</f>
        <v>2</v>
      </c>
      <c r="D5" s="492">
        <v>28.84</v>
      </c>
      <c r="E5" s="492">
        <v>35.28</v>
      </c>
      <c r="F5" s="492">
        <v>32.75</v>
      </c>
      <c r="G5" s="492">
        <v>25.95</v>
      </c>
      <c r="H5" s="492">
        <v>42.25</v>
      </c>
      <c r="I5" s="492">
        <v>31.81</v>
      </c>
      <c r="J5" s="492">
        <v>34.869999999999997</v>
      </c>
      <c r="K5" s="492">
        <v>35.04</v>
      </c>
      <c r="L5" s="492">
        <v>30.19</v>
      </c>
      <c r="M5" s="492">
        <v>25.57</v>
      </c>
      <c r="N5" s="492">
        <v>22.98</v>
      </c>
      <c r="O5" s="492">
        <v>36.19</v>
      </c>
      <c r="P5" s="492">
        <v>34.79</v>
      </c>
      <c r="Q5" s="492">
        <v>35.01</v>
      </c>
      <c r="R5" s="492">
        <v>30.49</v>
      </c>
      <c r="S5" s="492">
        <v>27.47</v>
      </c>
      <c r="T5" s="492">
        <v>28.2</v>
      </c>
      <c r="U5" s="492">
        <v>26.51</v>
      </c>
      <c r="V5" s="492">
        <v>24.24</v>
      </c>
      <c r="W5" s="492">
        <v>25.42</v>
      </c>
      <c r="X5" s="492">
        <v>27.94</v>
      </c>
      <c r="Y5" s="492">
        <v>35.82</v>
      </c>
      <c r="Z5" s="492">
        <v>30.27</v>
      </c>
      <c r="AA5" s="492">
        <v>29.29</v>
      </c>
      <c r="AB5" s="492">
        <v>25.46</v>
      </c>
      <c r="AC5" s="492">
        <v>30.84</v>
      </c>
      <c r="AD5" s="492">
        <v>35.1</v>
      </c>
      <c r="AE5" s="492">
        <f>AX5</f>
        <v>29.94</v>
      </c>
      <c r="AF5" s="492">
        <f>AX5</f>
        <v>29.94</v>
      </c>
      <c r="AG5" s="492">
        <v>27.28</v>
      </c>
      <c r="AH5" s="492">
        <v>33.86</v>
      </c>
      <c r="AI5" s="492">
        <v>31.76</v>
      </c>
      <c r="AJ5" s="492">
        <v>37.44</v>
      </c>
      <c r="AK5" s="492">
        <v>26.39</v>
      </c>
      <c r="AL5" s="492">
        <v>36.18</v>
      </c>
      <c r="AM5" s="492">
        <v>25.25</v>
      </c>
      <c r="AN5" s="492">
        <v>28.42</v>
      </c>
      <c r="AO5" s="492">
        <v>26.88</v>
      </c>
      <c r="AP5" s="492">
        <v>23.65</v>
      </c>
      <c r="AQ5" s="492">
        <v>37.32</v>
      </c>
      <c r="AR5" s="492">
        <v>29.65</v>
      </c>
      <c r="AS5" s="492">
        <v>35.380000000000003</v>
      </c>
      <c r="AT5" s="492">
        <v>24.89</v>
      </c>
      <c r="AU5" s="492">
        <v>28.42</v>
      </c>
      <c r="AV5" s="492">
        <v>28.13</v>
      </c>
      <c r="AW5" s="492">
        <v>25.27</v>
      </c>
      <c r="AX5" s="492">
        <v>29.94</v>
      </c>
      <c r="AY5" s="492">
        <v>29.85</v>
      </c>
      <c r="AZ5" s="492">
        <v>30.5</v>
      </c>
      <c r="BA5" s="492">
        <v>25.57</v>
      </c>
      <c r="BB5" s="492">
        <v>38.299999999999997</v>
      </c>
      <c r="BC5" s="492">
        <v>26.14</v>
      </c>
      <c r="BD5" s="492">
        <v>33.15</v>
      </c>
      <c r="BE5" s="492">
        <v>34.630000000000003</v>
      </c>
    </row>
    <row r="6" spans="1:57" x14ac:dyDescent="0.2">
      <c r="A6" s="224"/>
      <c r="B6" s="224"/>
      <c r="C6" s="608">
        <f t="shared" ref="C6:C23" si="0">C5+1</f>
        <v>3</v>
      </c>
      <c r="D6" s="492" t="s">
        <v>584</v>
      </c>
    </row>
    <row r="7" spans="1:57" s="606" customFormat="1" ht="15.75" x14ac:dyDescent="0.25">
      <c r="A7" s="226" t="s">
        <v>221</v>
      </c>
      <c r="B7" s="226"/>
      <c r="C7" s="608">
        <f t="shared" si="0"/>
        <v>4</v>
      </c>
      <c r="D7" s="606">
        <v>0.96</v>
      </c>
      <c r="E7" s="606">
        <v>1.18</v>
      </c>
      <c r="F7" s="606">
        <v>1.0900000000000001</v>
      </c>
      <c r="G7" s="606">
        <v>0.87</v>
      </c>
      <c r="H7" s="606">
        <v>1.41</v>
      </c>
      <c r="I7" s="606">
        <v>1.06</v>
      </c>
      <c r="J7" s="606">
        <v>1.1599999999999999</v>
      </c>
      <c r="K7" s="606">
        <v>1.17</v>
      </c>
      <c r="L7" s="606">
        <v>1.01</v>
      </c>
      <c r="M7" s="606">
        <v>0.85</v>
      </c>
      <c r="N7" s="606">
        <v>0.77</v>
      </c>
      <c r="O7" s="606">
        <v>1.21</v>
      </c>
      <c r="P7" s="606">
        <v>1.1599999999999999</v>
      </c>
      <c r="Q7" s="606">
        <v>1.17</v>
      </c>
      <c r="R7" s="606">
        <v>1.02</v>
      </c>
      <c r="S7" s="606">
        <v>0.92</v>
      </c>
      <c r="T7" s="606">
        <v>0.94</v>
      </c>
      <c r="U7" s="606">
        <v>0.89</v>
      </c>
      <c r="V7" s="606">
        <v>0.81</v>
      </c>
      <c r="W7" s="606">
        <v>0.85</v>
      </c>
      <c r="X7" s="606">
        <v>0.93</v>
      </c>
      <c r="Y7" s="606">
        <v>1.2</v>
      </c>
      <c r="Z7" s="606">
        <v>1.01</v>
      </c>
      <c r="AA7" s="606">
        <v>0.98</v>
      </c>
      <c r="AB7" s="606">
        <v>0.85</v>
      </c>
      <c r="AC7" s="606">
        <v>1.03</v>
      </c>
      <c r="AD7" s="606">
        <v>1.17</v>
      </c>
      <c r="AE7" s="606">
        <v>0</v>
      </c>
      <c r="AF7" s="606">
        <v>0</v>
      </c>
      <c r="AG7" s="606">
        <v>0.91</v>
      </c>
      <c r="AH7" s="606">
        <v>1.1299999999999999</v>
      </c>
      <c r="AI7" s="606">
        <v>1.06</v>
      </c>
      <c r="AJ7" s="606">
        <v>1.25</v>
      </c>
      <c r="AK7" s="606">
        <v>0.88</v>
      </c>
      <c r="AL7" s="606">
        <v>1.21</v>
      </c>
      <c r="AM7" s="606">
        <v>0.84</v>
      </c>
      <c r="AN7" s="606">
        <v>0.95</v>
      </c>
      <c r="AO7" s="606">
        <v>0.9</v>
      </c>
      <c r="AP7" s="606">
        <v>0.79</v>
      </c>
      <c r="AQ7" s="606">
        <v>1.25</v>
      </c>
      <c r="AR7" s="606">
        <v>0.99</v>
      </c>
      <c r="AS7" s="606">
        <v>1.18</v>
      </c>
      <c r="AT7" s="606">
        <v>0.83</v>
      </c>
      <c r="AU7" s="606">
        <v>0.95</v>
      </c>
      <c r="AV7" s="606">
        <v>0.94</v>
      </c>
      <c r="AW7" s="606">
        <v>0.84</v>
      </c>
      <c r="AX7" s="606">
        <v>1</v>
      </c>
      <c r="AY7" s="606">
        <v>1</v>
      </c>
      <c r="AZ7" s="606">
        <v>1.02</v>
      </c>
      <c r="BA7" s="606">
        <v>0.85</v>
      </c>
      <c r="BB7" s="606">
        <v>1.28</v>
      </c>
      <c r="BC7" s="606">
        <v>0.87</v>
      </c>
      <c r="BD7" s="606">
        <v>1.1100000000000001</v>
      </c>
      <c r="BE7" s="606">
        <v>1.1599999999999999</v>
      </c>
    </row>
    <row r="8" spans="1:57" ht="15" x14ac:dyDescent="0.2">
      <c r="A8" s="227"/>
      <c r="B8" s="227"/>
      <c r="C8" s="608">
        <f t="shared" si="0"/>
        <v>5</v>
      </c>
    </row>
    <row r="9" spans="1:57" ht="15.75" x14ac:dyDescent="0.25">
      <c r="A9" s="226" t="s">
        <v>222</v>
      </c>
      <c r="B9" s="226"/>
      <c r="C9" s="608">
        <f t="shared" si="0"/>
        <v>6</v>
      </c>
    </row>
    <row r="10" spans="1:57" ht="15.75" x14ac:dyDescent="0.25">
      <c r="A10" s="226"/>
      <c r="B10" s="226"/>
      <c r="C10" s="608">
        <f t="shared" si="0"/>
        <v>7</v>
      </c>
      <c r="D10" s="605" t="s">
        <v>585</v>
      </c>
    </row>
    <row r="11" spans="1:57" ht="15.75" x14ac:dyDescent="0.25">
      <c r="A11" s="291" t="s">
        <v>223</v>
      </c>
      <c r="B11" s="291"/>
      <c r="C11" s="608">
        <f t="shared" si="0"/>
        <v>8</v>
      </c>
    </row>
    <row r="12" spans="1:57" x14ac:dyDescent="0.2">
      <c r="A12" s="224"/>
      <c r="B12" s="224"/>
      <c r="C12" s="608">
        <f t="shared" si="0"/>
        <v>9</v>
      </c>
      <c r="D12" s="492" t="s">
        <v>13</v>
      </c>
      <c r="E12" s="492" t="s">
        <v>14</v>
      </c>
      <c r="F12" s="492" t="s">
        <v>15</v>
      </c>
      <c r="G12" s="492" t="s">
        <v>16</v>
      </c>
      <c r="H12" s="492" t="s">
        <v>17</v>
      </c>
      <c r="I12" s="492" t="s">
        <v>18</v>
      </c>
      <c r="J12" s="492" t="s">
        <v>19</v>
      </c>
      <c r="K12" s="492" t="s">
        <v>20</v>
      </c>
      <c r="L12" s="492" t="s">
        <v>21</v>
      </c>
      <c r="M12" s="492" t="s">
        <v>22</v>
      </c>
      <c r="N12" s="492" t="s">
        <v>23</v>
      </c>
      <c r="O12" s="492" t="s">
        <v>24</v>
      </c>
      <c r="P12" s="492" t="s">
        <v>25</v>
      </c>
      <c r="Q12" s="492" t="s">
        <v>26</v>
      </c>
      <c r="R12" s="492" t="s">
        <v>27</v>
      </c>
      <c r="S12" s="492" t="s">
        <v>28</v>
      </c>
      <c r="T12" s="492" t="s">
        <v>29</v>
      </c>
      <c r="U12" s="492" t="s">
        <v>30</v>
      </c>
      <c r="V12" s="492" t="s">
        <v>31</v>
      </c>
      <c r="W12" s="492" t="s">
        <v>32</v>
      </c>
      <c r="X12" s="492" t="s">
        <v>33</v>
      </c>
      <c r="Y12" s="492" t="s">
        <v>34</v>
      </c>
      <c r="Z12" s="492" t="s">
        <v>35</v>
      </c>
      <c r="AA12" s="492" t="s">
        <v>36</v>
      </c>
      <c r="AB12" s="492" t="s">
        <v>37</v>
      </c>
      <c r="AC12" s="492" t="s">
        <v>38</v>
      </c>
      <c r="AD12" s="492" t="s">
        <v>39</v>
      </c>
      <c r="AE12" s="605" t="s">
        <v>151</v>
      </c>
      <c r="AF12" s="605" t="s">
        <v>150</v>
      </c>
      <c r="AG12" s="492" t="s">
        <v>40</v>
      </c>
      <c r="AH12" s="492" t="s">
        <v>41</v>
      </c>
      <c r="AI12" s="492" t="s">
        <v>42</v>
      </c>
      <c r="AJ12" s="492" t="s">
        <v>43</v>
      </c>
      <c r="AK12" s="492" t="s">
        <v>44</v>
      </c>
      <c r="AL12" s="492" t="s">
        <v>45</v>
      </c>
      <c r="AM12" s="492" t="s">
        <v>46</v>
      </c>
      <c r="AN12" s="492" t="s">
        <v>47</v>
      </c>
      <c r="AO12" s="492" t="s">
        <v>48</v>
      </c>
      <c r="AP12" s="492" t="s">
        <v>49</v>
      </c>
      <c r="AQ12" s="492" t="s">
        <v>50</v>
      </c>
      <c r="AR12" s="492" t="s">
        <v>51</v>
      </c>
      <c r="AS12" s="492" t="s">
        <v>52</v>
      </c>
      <c r="AT12" s="492" t="s">
        <v>53</v>
      </c>
      <c r="AU12" s="492" t="s">
        <v>54</v>
      </c>
      <c r="AV12" s="492" t="s">
        <v>55</v>
      </c>
      <c r="AW12" s="492" t="s">
        <v>56</v>
      </c>
      <c r="AX12" s="492" t="s">
        <v>489</v>
      </c>
      <c r="AY12" s="492" t="s">
        <v>57</v>
      </c>
      <c r="AZ12" s="492" t="s">
        <v>58</v>
      </c>
      <c r="BA12" s="492" t="s">
        <v>59</v>
      </c>
      <c r="BB12" s="492" t="s">
        <v>60</v>
      </c>
      <c r="BC12" s="492" t="s">
        <v>61</v>
      </c>
      <c r="BD12" s="492" t="s">
        <v>62</v>
      </c>
      <c r="BE12" s="492" t="s">
        <v>12</v>
      </c>
    </row>
    <row r="13" spans="1:57" x14ac:dyDescent="0.2">
      <c r="A13" s="224"/>
      <c r="B13" s="224"/>
      <c r="C13" s="608">
        <f t="shared" si="0"/>
        <v>10</v>
      </c>
      <c r="D13" s="492">
        <v>29.89</v>
      </c>
      <c r="E13" s="492">
        <v>37.92</v>
      </c>
      <c r="F13" s="492">
        <v>35.316000000000003</v>
      </c>
      <c r="G13" s="492">
        <v>31.36</v>
      </c>
      <c r="H13" s="492">
        <v>35.81</v>
      </c>
      <c r="I13" s="492">
        <v>33.78</v>
      </c>
      <c r="J13" s="492">
        <v>36.29</v>
      </c>
      <c r="K13" s="492">
        <v>33.21</v>
      </c>
      <c r="L13" s="492">
        <v>32.723999999999997</v>
      </c>
      <c r="M13" s="492">
        <v>26.66</v>
      </c>
      <c r="N13" s="492">
        <v>31.71</v>
      </c>
      <c r="O13" s="492">
        <v>36.4</v>
      </c>
      <c r="P13" s="492">
        <v>33.520000000000003</v>
      </c>
      <c r="Q13" s="492">
        <v>34.450000000000003</v>
      </c>
      <c r="R13" s="492">
        <v>33.15</v>
      </c>
      <c r="S13" s="492">
        <v>31.21</v>
      </c>
      <c r="T13" s="492">
        <v>32.93</v>
      </c>
      <c r="U13" s="492">
        <v>28.95</v>
      </c>
      <c r="V13" s="492">
        <v>28.38</v>
      </c>
      <c r="W13" s="492">
        <v>27.54</v>
      </c>
      <c r="X13" s="492">
        <v>30.69</v>
      </c>
      <c r="Y13" s="492">
        <v>31.02</v>
      </c>
      <c r="Z13" s="492">
        <v>31.01</v>
      </c>
      <c r="AA13" s="492">
        <v>34.020000000000003</v>
      </c>
      <c r="AB13" s="492">
        <v>30.85</v>
      </c>
      <c r="AC13" s="492">
        <v>34.81</v>
      </c>
      <c r="AD13" s="492">
        <v>39.94</v>
      </c>
      <c r="AE13" s="492">
        <f>AX13</f>
        <v>32.4</v>
      </c>
      <c r="AF13" s="492">
        <f>AX13</f>
        <v>32.4</v>
      </c>
      <c r="AG13" s="492">
        <v>33.22</v>
      </c>
      <c r="AH13" s="492">
        <v>38.69</v>
      </c>
      <c r="AI13" s="492">
        <v>35.28</v>
      </c>
      <c r="AJ13" s="492">
        <v>37.75</v>
      </c>
      <c r="AK13" s="492">
        <v>28.512</v>
      </c>
      <c r="AL13" s="492">
        <v>36.479999999999997</v>
      </c>
      <c r="AM13" s="492">
        <v>29.24</v>
      </c>
      <c r="AN13" s="492">
        <v>38.729999999999997</v>
      </c>
      <c r="AO13" s="492">
        <v>29.59</v>
      </c>
      <c r="AP13" s="492">
        <v>32.01</v>
      </c>
      <c r="AQ13" s="492">
        <v>36.630000000000003</v>
      </c>
      <c r="AR13" s="492">
        <v>31.71</v>
      </c>
      <c r="AS13" s="492">
        <v>36.47</v>
      </c>
      <c r="AT13" s="492">
        <v>26.891999999999996</v>
      </c>
      <c r="AU13" s="492">
        <v>35.770000000000003</v>
      </c>
      <c r="AV13" s="492">
        <v>30.59</v>
      </c>
      <c r="AW13" s="492">
        <v>29.98</v>
      </c>
      <c r="AX13" s="492">
        <v>32.4</v>
      </c>
      <c r="AY13" s="492">
        <v>36.29</v>
      </c>
      <c r="AZ13" s="492">
        <v>33.048000000000002</v>
      </c>
      <c r="BA13" s="492">
        <v>30.76</v>
      </c>
      <c r="BB13" s="492">
        <v>40.18</v>
      </c>
      <c r="BC13" s="492">
        <v>31.71</v>
      </c>
      <c r="BD13" s="492">
        <v>35.25</v>
      </c>
      <c r="BE13" s="492">
        <v>37.79</v>
      </c>
    </row>
    <row r="14" spans="1:57" x14ac:dyDescent="0.2">
      <c r="A14" s="224"/>
      <c r="B14" s="224"/>
      <c r="C14" s="608">
        <f t="shared" si="0"/>
        <v>11</v>
      </c>
      <c r="D14" s="492" t="s">
        <v>584</v>
      </c>
    </row>
    <row r="15" spans="1:57" s="606" customFormat="1" x14ac:dyDescent="0.2">
      <c r="A15" s="224"/>
      <c r="B15" s="224"/>
      <c r="C15" s="608">
        <f t="shared" si="0"/>
        <v>12</v>
      </c>
      <c r="D15" s="606">
        <v>0.92</v>
      </c>
      <c r="E15" s="606">
        <v>1.17</v>
      </c>
      <c r="F15" s="606">
        <v>1.07</v>
      </c>
      <c r="G15" s="606">
        <v>0.97</v>
      </c>
      <c r="H15" s="606">
        <v>1.1100000000000001</v>
      </c>
      <c r="I15" s="606">
        <v>1.04</v>
      </c>
      <c r="J15" s="606">
        <v>1.1200000000000001</v>
      </c>
      <c r="K15" s="606">
        <v>1.03</v>
      </c>
      <c r="L15" s="606">
        <f>L13/$AX13</f>
        <v>1.01</v>
      </c>
      <c r="M15" s="606">
        <v>0.82</v>
      </c>
      <c r="N15" s="606">
        <v>0.98</v>
      </c>
      <c r="O15" s="606">
        <v>1.1200000000000001</v>
      </c>
      <c r="P15" s="606">
        <v>1.03</v>
      </c>
      <c r="Q15" s="606">
        <v>1.06</v>
      </c>
      <c r="R15" s="606">
        <v>1.02</v>
      </c>
      <c r="S15" s="606">
        <v>0.96</v>
      </c>
      <c r="T15" s="606">
        <v>1.02</v>
      </c>
      <c r="U15" s="606">
        <v>0.89</v>
      </c>
      <c r="V15" s="606">
        <v>0.88</v>
      </c>
      <c r="W15" s="606">
        <v>0.85</v>
      </c>
      <c r="X15" s="606">
        <v>0.95</v>
      </c>
      <c r="Y15" s="606">
        <v>0.96</v>
      </c>
      <c r="Z15" s="606">
        <v>0.96</v>
      </c>
      <c r="AA15" s="606">
        <v>1.05</v>
      </c>
      <c r="AB15" s="606">
        <v>0.95</v>
      </c>
      <c r="AC15" s="606">
        <v>1.07</v>
      </c>
      <c r="AD15" s="606">
        <v>1.23</v>
      </c>
      <c r="AE15" s="606">
        <v>0</v>
      </c>
      <c r="AF15" s="606">
        <v>0</v>
      </c>
      <c r="AG15" s="606">
        <v>1.03</v>
      </c>
      <c r="AH15" s="606">
        <v>1.19</v>
      </c>
      <c r="AI15" s="606">
        <v>1.0900000000000001</v>
      </c>
      <c r="AJ15" s="606">
        <v>1.17</v>
      </c>
      <c r="AL15" s="606">
        <v>1.1299999999999999</v>
      </c>
      <c r="AM15" s="606">
        <v>0.9</v>
      </c>
      <c r="AN15" s="606">
        <v>1.2</v>
      </c>
      <c r="AO15" s="606">
        <v>0.91</v>
      </c>
      <c r="AP15" s="606">
        <v>0.99</v>
      </c>
      <c r="AQ15" s="606">
        <v>1.1299999999999999</v>
      </c>
      <c r="AR15" s="606">
        <v>0.98</v>
      </c>
      <c r="AS15" s="606">
        <v>1.1299999999999999</v>
      </c>
      <c r="AU15" s="606">
        <v>1.1000000000000001</v>
      </c>
      <c r="AV15" s="606">
        <v>0.94</v>
      </c>
      <c r="AW15" s="606">
        <v>0.93</v>
      </c>
      <c r="AX15" s="606">
        <v>1</v>
      </c>
      <c r="AY15" s="606">
        <v>1.1200000000000001</v>
      </c>
      <c r="BA15" s="606">
        <v>0.95</v>
      </c>
      <c r="BB15" s="606">
        <v>1.24</v>
      </c>
      <c r="BC15" s="606">
        <v>0.98</v>
      </c>
      <c r="BD15" s="606">
        <v>1.0900000000000001</v>
      </c>
      <c r="BE15" s="606">
        <v>1.17</v>
      </c>
    </row>
    <row r="16" spans="1:57" s="606" customFormat="1" x14ac:dyDescent="0.2">
      <c r="A16" s="224"/>
      <c r="B16" s="224"/>
      <c r="C16" s="608">
        <f t="shared" si="0"/>
        <v>13</v>
      </c>
    </row>
    <row r="17" spans="1:57" x14ac:dyDescent="0.2">
      <c r="A17" s="224"/>
      <c r="B17" s="224"/>
      <c r="C17" s="608">
        <f t="shared" si="0"/>
        <v>14</v>
      </c>
    </row>
    <row r="18" spans="1:57" x14ac:dyDescent="0.2">
      <c r="A18" s="224"/>
      <c r="B18" s="224"/>
      <c r="C18" s="608">
        <f t="shared" si="0"/>
        <v>15</v>
      </c>
      <c r="D18" s="605" t="s">
        <v>594</v>
      </c>
    </row>
    <row r="19" spans="1:57" x14ac:dyDescent="0.2">
      <c r="A19" s="224"/>
      <c r="B19" s="224"/>
      <c r="C19" s="608">
        <f t="shared" si="0"/>
        <v>16</v>
      </c>
      <c r="D19" s="605"/>
    </row>
    <row r="20" spans="1:57" ht="15" customHeight="1" x14ac:dyDescent="0.25">
      <c r="A20" s="226" t="s">
        <v>224</v>
      </c>
      <c r="B20" s="226"/>
      <c r="C20" s="608">
        <f t="shared" si="0"/>
        <v>17</v>
      </c>
      <c r="D20" s="611" t="s">
        <v>13</v>
      </c>
      <c r="E20" s="611" t="s">
        <v>14</v>
      </c>
      <c r="F20" s="611" t="s">
        <v>15</v>
      </c>
      <c r="G20" s="611" t="s">
        <v>16</v>
      </c>
      <c r="H20" s="611" t="s">
        <v>17</v>
      </c>
      <c r="I20" s="611" t="s">
        <v>18</v>
      </c>
      <c r="J20" s="611" t="s">
        <v>19</v>
      </c>
      <c r="K20" s="611" t="s">
        <v>20</v>
      </c>
      <c r="L20" s="611" t="s">
        <v>21</v>
      </c>
      <c r="M20" s="611" t="s">
        <v>22</v>
      </c>
      <c r="N20" s="611" t="s">
        <v>23</v>
      </c>
      <c r="O20" s="611" t="s">
        <v>24</v>
      </c>
      <c r="P20" s="611" t="s">
        <v>25</v>
      </c>
      <c r="Q20" s="611" t="s">
        <v>26</v>
      </c>
      <c r="R20" s="611" t="s">
        <v>27</v>
      </c>
      <c r="S20" s="611" t="s">
        <v>28</v>
      </c>
      <c r="T20" s="611" t="s">
        <v>29</v>
      </c>
      <c r="U20" s="611" t="s">
        <v>30</v>
      </c>
      <c r="V20" s="611" t="s">
        <v>31</v>
      </c>
      <c r="W20" s="611" t="s">
        <v>32</v>
      </c>
      <c r="X20" s="611" t="s">
        <v>33</v>
      </c>
      <c r="Y20" s="611" t="s">
        <v>34</v>
      </c>
      <c r="Z20" s="611" t="s">
        <v>35</v>
      </c>
      <c r="AA20" s="611" t="s">
        <v>36</v>
      </c>
      <c r="AB20" s="611" t="s">
        <v>37</v>
      </c>
      <c r="AC20" s="611" t="s">
        <v>38</v>
      </c>
      <c r="AD20" s="611" t="s">
        <v>39</v>
      </c>
      <c r="AE20" s="605" t="s">
        <v>151</v>
      </c>
      <c r="AF20" s="605" t="s">
        <v>150</v>
      </c>
      <c r="AG20" s="611" t="s">
        <v>40</v>
      </c>
      <c r="AH20" s="611" t="s">
        <v>41</v>
      </c>
      <c r="AI20" s="611" t="s">
        <v>42</v>
      </c>
      <c r="AJ20" s="611" t="s">
        <v>43</v>
      </c>
      <c r="AK20" s="611" t="s">
        <v>44</v>
      </c>
      <c r="AL20" s="611" t="s">
        <v>45</v>
      </c>
      <c r="AM20" s="611" t="s">
        <v>46</v>
      </c>
      <c r="AN20" s="611" t="s">
        <v>47</v>
      </c>
      <c r="AO20" s="611" t="s">
        <v>48</v>
      </c>
      <c r="AP20" s="611" t="s">
        <v>49</v>
      </c>
      <c r="AQ20" s="611" t="s">
        <v>50</v>
      </c>
      <c r="AR20" s="611" t="s">
        <v>51</v>
      </c>
      <c r="AS20" s="611" t="s">
        <v>52</v>
      </c>
      <c r="AT20" s="611" t="s">
        <v>53</v>
      </c>
      <c r="AU20" s="611" t="s">
        <v>54</v>
      </c>
      <c r="AV20" s="611" t="s">
        <v>55</v>
      </c>
      <c r="AW20" s="611" t="s">
        <v>56</v>
      </c>
      <c r="AX20" s="611" t="s">
        <v>489</v>
      </c>
      <c r="AY20" s="611" t="s">
        <v>57</v>
      </c>
      <c r="AZ20" s="611" t="s">
        <v>58</v>
      </c>
      <c r="BA20" s="611" t="s">
        <v>59</v>
      </c>
      <c r="BB20" s="611" t="s">
        <v>60</v>
      </c>
      <c r="BC20" s="611" t="s">
        <v>61</v>
      </c>
      <c r="BD20" s="611" t="s">
        <v>62</v>
      </c>
      <c r="BE20" s="611" t="s">
        <v>12</v>
      </c>
    </row>
    <row r="21" spans="1:57" x14ac:dyDescent="0.2">
      <c r="A21" s="224"/>
      <c r="B21" s="224"/>
      <c r="C21" s="608">
        <f t="shared" si="0"/>
        <v>18</v>
      </c>
      <c r="D21" s="610">
        <v>16.61</v>
      </c>
      <c r="E21" s="610">
        <v>29.77</v>
      </c>
      <c r="F21" s="610">
        <v>20.85</v>
      </c>
      <c r="G21" s="610">
        <v>15.77</v>
      </c>
      <c r="H21" s="610">
        <v>31.31</v>
      </c>
      <c r="I21" s="610">
        <v>21.3</v>
      </c>
      <c r="J21" s="610">
        <v>27.5</v>
      </c>
      <c r="K21" s="610">
        <v>18.96</v>
      </c>
      <c r="L21" s="610">
        <v>26.43</v>
      </c>
      <c r="M21" s="610">
        <v>17.690000000000001</v>
      </c>
      <c r="N21" s="610">
        <v>16.149999999999999</v>
      </c>
      <c r="O21" s="610">
        <v>32.75</v>
      </c>
      <c r="P21" s="610">
        <v>20.32</v>
      </c>
      <c r="Q21" s="610">
        <v>31.48</v>
      </c>
      <c r="R21" s="610">
        <v>25.49</v>
      </c>
      <c r="S21" s="610">
        <v>19.920000000000002</v>
      </c>
      <c r="T21" s="610">
        <v>17.579999999999998</v>
      </c>
      <c r="U21" s="610">
        <v>18.72</v>
      </c>
      <c r="V21" s="610">
        <v>18.34</v>
      </c>
      <c r="W21" s="610">
        <v>18.23</v>
      </c>
      <c r="X21" s="610">
        <v>21.33</v>
      </c>
      <c r="Y21" s="610">
        <v>29.06</v>
      </c>
      <c r="Z21" s="610">
        <v>22.84</v>
      </c>
      <c r="AA21" s="610">
        <v>24.16</v>
      </c>
      <c r="AB21" s="610">
        <v>16.7</v>
      </c>
      <c r="AC21" s="610">
        <v>23.64</v>
      </c>
      <c r="AD21" s="610">
        <v>21.65</v>
      </c>
      <c r="AE21" s="492">
        <f>AX21</f>
        <v>22.24</v>
      </c>
      <c r="AF21" s="492">
        <f>AX21</f>
        <v>22.24</v>
      </c>
      <c r="AG21" s="610">
        <v>18.25</v>
      </c>
      <c r="AH21" s="610">
        <v>25.73</v>
      </c>
      <c r="AI21" s="610">
        <v>21.5</v>
      </c>
      <c r="AJ21" s="610">
        <v>30.32</v>
      </c>
      <c r="AK21" s="610">
        <v>19.16</v>
      </c>
      <c r="AL21" s="610">
        <v>31.77</v>
      </c>
      <c r="AM21" s="610">
        <v>16.47</v>
      </c>
      <c r="AN21" s="610">
        <v>23.01</v>
      </c>
      <c r="AO21" s="610">
        <v>23.36</v>
      </c>
      <c r="AP21" s="610">
        <v>17.920000000000002</v>
      </c>
      <c r="AQ21" s="610">
        <v>24.52</v>
      </c>
      <c r="AR21" s="610">
        <v>22.17</v>
      </c>
      <c r="AS21" s="610">
        <v>24.23</v>
      </c>
      <c r="AT21" s="610">
        <v>17.510000000000002</v>
      </c>
      <c r="AU21" s="610">
        <v>17.829999999999998</v>
      </c>
      <c r="AV21" s="610">
        <v>17.670000000000002</v>
      </c>
      <c r="AW21" s="610">
        <v>17.45</v>
      </c>
      <c r="AX21" s="610">
        <v>22.24</v>
      </c>
      <c r="AY21" s="610">
        <v>21.24</v>
      </c>
      <c r="AZ21" s="610">
        <v>17.71</v>
      </c>
      <c r="BA21" s="610">
        <v>18.920000000000002</v>
      </c>
      <c r="BB21" s="610">
        <v>27.89</v>
      </c>
      <c r="BC21" s="610">
        <v>21.42</v>
      </c>
      <c r="BD21" s="610">
        <v>25.52</v>
      </c>
      <c r="BE21" s="610">
        <v>22.74</v>
      </c>
    </row>
    <row r="22" spans="1:57" x14ac:dyDescent="0.2">
      <c r="A22" s="224"/>
      <c r="B22" s="224"/>
      <c r="C22" s="608">
        <f t="shared" si="0"/>
        <v>19</v>
      </c>
      <c r="D22" s="492" t="s">
        <v>584</v>
      </c>
      <c r="E22" s="610"/>
      <c r="F22" s="610"/>
      <c r="G22" s="610"/>
      <c r="H22" s="610"/>
      <c r="I22" s="610"/>
      <c r="J22" s="610"/>
      <c r="K22" s="610"/>
      <c r="L22" s="610"/>
      <c r="M22" s="610"/>
      <c r="N22" s="610"/>
      <c r="O22" s="610"/>
      <c r="P22" s="610"/>
      <c r="Q22" s="610"/>
      <c r="R22" s="610"/>
      <c r="S22" s="610"/>
      <c r="T22" s="610"/>
      <c r="U22" s="610"/>
      <c r="V22" s="610"/>
      <c r="W22" s="610"/>
      <c r="X22" s="610"/>
      <c r="Y22" s="610"/>
      <c r="Z22" s="610"/>
      <c r="AA22" s="610"/>
      <c r="AB22" s="610"/>
      <c r="AC22" s="610"/>
      <c r="AD22" s="610"/>
      <c r="AE22" s="610"/>
      <c r="AF22" s="610"/>
      <c r="AG22" s="610"/>
      <c r="AH22" s="610"/>
      <c r="AI22" s="610"/>
      <c r="AJ22" s="610"/>
      <c r="AK22" s="610"/>
      <c r="AL22" s="610"/>
      <c r="AM22" s="610"/>
      <c r="AN22" s="610"/>
      <c r="AO22" s="610"/>
      <c r="AP22" s="610"/>
      <c r="AQ22" s="610"/>
      <c r="AR22" s="610"/>
      <c r="AS22" s="610"/>
      <c r="AT22" s="610"/>
      <c r="AU22" s="610"/>
      <c r="AV22" s="610"/>
      <c r="AW22" s="610"/>
      <c r="AX22" s="610"/>
      <c r="AY22" s="610"/>
      <c r="AZ22" s="610"/>
      <c r="BA22" s="610"/>
      <c r="BB22" s="610"/>
      <c r="BC22" s="610"/>
      <c r="BD22" s="610"/>
      <c r="BE22" s="610"/>
    </row>
    <row r="23" spans="1:57" x14ac:dyDescent="0.2">
      <c r="A23" s="224"/>
      <c r="B23" s="224"/>
      <c r="C23" s="608">
        <f t="shared" si="0"/>
        <v>20</v>
      </c>
      <c r="D23" s="606">
        <f>D21/$AX21</f>
        <v>0.74685251798561159</v>
      </c>
      <c r="E23" s="606">
        <f t="shared" ref="E23:BE23" si="1">E21/$AX21</f>
        <v>1.3385791366906477</v>
      </c>
      <c r="F23" s="606">
        <f t="shared" si="1"/>
        <v>0.93750000000000011</v>
      </c>
      <c r="G23" s="606">
        <f t="shared" si="1"/>
        <v>0.70908273381294962</v>
      </c>
      <c r="H23" s="606">
        <f t="shared" si="1"/>
        <v>1.4078237410071943</v>
      </c>
      <c r="I23" s="606">
        <f t="shared" si="1"/>
        <v>0.95773381294964044</v>
      </c>
      <c r="J23" s="606">
        <f t="shared" si="1"/>
        <v>1.2365107913669067</v>
      </c>
      <c r="K23" s="606">
        <f t="shared" si="1"/>
        <v>0.85251798561151093</v>
      </c>
      <c r="L23" s="606">
        <f t="shared" si="1"/>
        <v>1.1883992805755397</v>
      </c>
      <c r="M23" s="606">
        <f t="shared" si="1"/>
        <v>0.79541366906474831</v>
      </c>
      <c r="N23" s="606">
        <f t="shared" si="1"/>
        <v>0.72616906474820142</v>
      </c>
      <c r="O23" s="606">
        <f t="shared" si="1"/>
        <v>1.4725719424460433</v>
      </c>
      <c r="P23" s="606">
        <f t="shared" si="1"/>
        <v>0.91366906474820153</v>
      </c>
      <c r="Q23" s="606">
        <f t="shared" si="1"/>
        <v>1.4154676258992807</v>
      </c>
      <c r="R23" s="606">
        <f t="shared" si="1"/>
        <v>1.1461330935251799</v>
      </c>
      <c r="S23" s="606">
        <f t="shared" si="1"/>
        <v>0.89568345323741017</v>
      </c>
      <c r="T23" s="606">
        <f t="shared" si="1"/>
        <v>0.79046762589928055</v>
      </c>
      <c r="U23" s="606">
        <f t="shared" si="1"/>
        <v>0.84172661870503596</v>
      </c>
      <c r="V23" s="606">
        <f t="shared" si="1"/>
        <v>0.82464028776978426</v>
      </c>
      <c r="W23" s="606">
        <f t="shared" si="1"/>
        <v>0.81969424460431661</v>
      </c>
      <c r="X23" s="606">
        <f t="shared" si="1"/>
        <v>0.95908273381294962</v>
      </c>
      <c r="Y23" s="606">
        <f t="shared" si="1"/>
        <v>1.3066546762589928</v>
      </c>
      <c r="Z23" s="606">
        <f t="shared" si="1"/>
        <v>1.0269784172661871</v>
      </c>
      <c r="AA23" s="606">
        <f t="shared" si="1"/>
        <v>1.0863309352517987</v>
      </c>
      <c r="AB23" s="606">
        <f t="shared" si="1"/>
        <v>0.75089928057553956</v>
      </c>
      <c r="AC23" s="606">
        <f t="shared" si="1"/>
        <v>1.0629496402877698</v>
      </c>
      <c r="AD23" s="606">
        <f t="shared" si="1"/>
        <v>0.97347122302158273</v>
      </c>
      <c r="AE23" s="606">
        <f t="shared" si="1"/>
        <v>1</v>
      </c>
      <c r="AF23" s="606">
        <f t="shared" si="1"/>
        <v>1</v>
      </c>
      <c r="AG23" s="606">
        <f t="shared" si="1"/>
        <v>0.82059352517985618</v>
      </c>
      <c r="AH23" s="606">
        <f t="shared" si="1"/>
        <v>1.1569244604316549</v>
      </c>
      <c r="AI23" s="606">
        <f t="shared" si="1"/>
        <v>0.96672661870503607</v>
      </c>
      <c r="AJ23" s="606">
        <f t="shared" si="1"/>
        <v>1.3633093525179858</v>
      </c>
      <c r="AK23" s="606">
        <f t="shared" si="1"/>
        <v>0.86151079136690656</v>
      </c>
      <c r="AL23" s="606">
        <f t="shared" si="1"/>
        <v>1.4285071942446044</v>
      </c>
      <c r="AM23" s="606">
        <f t="shared" si="1"/>
        <v>0.74055755395683454</v>
      </c>
      <c r="AN23" s="606">
        <f t="shared" si="1"/>
        <v>1.0346223021582734</v>
      </c>
      <c r="AO23" s="606">
        <f t="shared" si="1"/>
        <v>1.050359712230216</v>
      </c>
      <c r="AP23" s="606">
        <f t="shared" si="1"/>
        <v>0.80575539568345333</v>
      </c>
      <c r="AQ23" s="606">
        <f t="shared" si="1"/>
        <v>1.1025179856115108</v>
      </c>
      <c r="AR23" s="606">
        <f t="shared" si="1"/>
        <v>0.9968525179856117</v>
      </c>
      <c r="AS23" s="606">
        <f t="shared" si="1"/>
        <v>1.0894784172661871</v>
      </c>
      <c r="AT23" s="606">
        <f t="shared" si="1"/>
        <v>0.78732014388489224</v>
      </c>
      <c r="AU23" s="606">
        <f t="shared" si="1"/>
        <v>0.80170863309352514</v>
      </c>
      <c r="AV23" s="606">
        <f t="shared" si="1"/>
        <v>0.79451438848920874</v>
      </c>
      <c r="AW23" s="606">
        <f t="shared" si="1"/>
        <v>0.78462230215827344</v>
      </c>
      <c r="AX23" s="606">
        <f t="shared" si="1"/>
        <v>1</v>
      </c>
      <c r="AY23" s="606">
        <f t="shared" si="1"/>
        <v>0.95503597122302153</v>
      </c>
      <c r="AZ23" s="606">
        <f t="shared" si="1"/>
        <v>0.79631294964028787</v>
      </c>
      <c r="BA23" s="606">
        <f t="shared" si="1"/>
        <v>0.85071942446043181</v>
      </c>
      <c r="BB23" s="606">
        <f t="shared" si="1"/>
        <v>1.2540467625899281</v>
      </c>
      <c r="BC23" s="606">
        <f t="shared" si="1"/>
        <v>0.96312949640287782</v>
      </c>
      <c r="BD23" s="606">
        <f t="shared" si="1"/>
        <v>1.1474820143884892</v>
      </c>
      <c r="BE23" s="606">
        <f t="shared" si="1"/>
        <v>1.0224820143884892</v>
      </c>
    </row>
    <row r="24" spans="1:57" x14ac:dyDescent="0.2">
      <c r="A24" s="224"/>
      <c r="B24" s="224"/>
    </row>
    <row r="25" spans="1:57" x14ac:dyDescent="0.2">
      <c r="A25" s="224"/>
      <c r="B25" s="224"/>
    </row>
    <row r="26" spans="1:57" x14ac:dyDescent="0.2">
      <c r="A26" s="224"/>
      <c r="B26" s="224"/>
      <c r="D26" s="605" t="s">
        <v>587</v>
      </c>
    </row>
    <row r="27" spans="1:57" x14ac:dyDescent="0.2">
      <c r="A27" s="224"/>
      <c r="B27" s="224"/>
      <c r="D27" s="492" t="s">
        <v>588</v>
      </c>
    </row>
    <row r="28" spans="1:57" x14ac:dyDescent="0.2">
      <c r="A28" s="224"/>
      <c r="B28" s="224"/>
    </row>
    <row r="29" spans="1:57" x14ac:dyDescent="0.2">
      <c r="A29" s="224"/>
      <c r="B29" s="224"/>
    </row>
    <row r="30" spans="1:57" x14ac:dyDescent="0.2">
      <c r="A30" s="224"/>
      <c r="B30" s="224"/>
      <c r="D30" s="605" t="s">
        <v>592</v>
      </c>
      <c r="G30" s="492" t="str">
        <f>ProjectData!B16</f>
        <v>Texas</v>
      </c>
    </row>
    <row r="31" spans="1:57" x14ac:dyDescent="0.2">
      <c r="A31" s="224"/>
      <c r="B31" s="224"/>
      <c r="D31" s="605" t="s">
        <v>595</v>
      </c>
      <c r="G31" s="492">
        <f>HLOOKUP(ProjectData!B$16,'Wage Data'!D$4:BE$23,C5)</f>
        <v>25.27</v>
      </c>
    </row>
    <row r="32" spans="1:57" x14ac:dyDescent="0.2">
      <c r="A32" s="224"/>
      <c r="B32" s="224"/>
      <c r="D32" s="605" t="s">
        <v>591</v>
      </c>
      <c r="G32" s="606">
        <f>HLOOKUP(ProjectData!B$16,'Wage Data'!D$4:BE$15,C7)</f>
        <v>0.84</v>
      </c>
    </row>
    <row r="33" spans="1:7" x14ac:dyDescent="0.2">
      <c r="A33" s="224"/>
      <c r="B33" s="224"/>
      <c r="D33" s="605" t="s">
        <v>590</v>
      </c>
      <c r="G33" s="492">
        <f>HLOOKUP(ProjectData!B$16,'Wage Data'!D$4:BE$23,C13)</f>
        <v>29.98</v>
      </c>
    </row>
    <row r="34" spans="1:7" x14ac:dyDescent="0.2">
      <c r="A34" s="224"/>
      <c r="B34" s="224"/>
      <c r="D34" s="605" t="s">
        <v>591</v>
      </c>
      <c r="G34" s="606">
        <f>HLOOKUP(ProjectData!B$16,'Wage Data'!D$4:BE$15,C15)</f>
        <v>0.93</v>
      </c>
    </row>
    <row r="35" spans="1:7" x14ac:dyDescent="0.2">
      <c r="A35" s="224"/>
      <c r="B35" s="224"/>
      <c r="D35" s="605" t="s">
        <v>593</v>
      </c>
      <c r="G35" s="492">
        <f>HLOOKUP(ProjectData!B$16,'Wage Data'!D$4:BE$23,C21)</f>
        <v>17.45</v>
      </c>
    </row>
    <row r="36" spans="1:7" x14ac:dyDescent="0.2">
      <c r="A36" s="224"/>
      <c r="B36" s="224"/>
      <c r="D36" s="605" t="s">
        <v>591</v>
      </c>
      <c r="G36" s="606">
        <f>HLOOKUP(ProjectData!B$16,'Wage Data'!D$4:BE$23,C23)</f>
        <v>0.78462230215827344</v>
      </c>
    </row>
    <row r="37" spans="1:7" x14ac:dyDescent="0.2">
      <c r="A37" s="224"/>
      <c r="B37" s="224"/>
    </row>
    <row r="38" spans="1:7" x14ac:dyDescent="0.2">
      <c r="A38" s="224"/>
      <c r="B38" s="224"/>
    </row>
    <row r="39" spans="1:7" x14ac:dyDescent="0.2">
      <c r="A39" s="224"/>
      <c r="B39" s="224"/>
    </row>
    <row r="40" spans="1:7" x14ac:dyDescent="0.2">
      <c r="A40" s="224"/>
      <c r="B40" s="224"/>
    </row>
    <row r="41" spans="1:7" x14ac:dyDescent="0.2">
      <c r="A41" s="224"/>
      <c r="B41" s="224"/>
    </row>
    <row r="42" spans="1:7" x14ac:dyDescent="0.2">
      <c r="A42" s="224"/>
      <c r="B42" s="224"/>
    </row>
    <row r="43" spans="1:7" x14ac:dyDescent="0.2">
      <c r="A43" s="224"/>
      <c r="B43" s="224"/>
    </row>
    <row r="44" spans="1:7" x14ac:dyDescent="0.2">
      <c r="A44" s="224"/>
      <c r="B44" s="224"/>
    </row>
    <row r="45" spans="1:7" x14ac:dyDescent="0.2">
      <c r="A45" s="224"/>
      <c r="B45" s="224"/>
    </row>
    <row r="46" spans="1:7" x14ac:dyDescent="0.2">
      <c r="A46" s="224"/>
      <c r="B46" s="224"/>
    </row>
    <row r="47" spans="1:7" x14ac:dyDescent="0.2">
      <c r="A47" s="224"/>
      <c r="B47" s="224"/>
    </row>
    <row r="48" spans="1:7" x14ac:dyDescent="0.2">
      <c r="A48" s="224"/>
      <c r="B48" s="224"/>
    </row>
    <row r="49" spans="1:2" x14ac:dyDescent="0.2">
      <c r="A49" s="224"/>
      <c r="B49" s="224"/>
    </row>
  </sheetData>
  <sheetProtection password="DFD3"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30</vt:i4>
      </vt:variant>
    </vt:vector>
  </HeadingPairs>
  <TitlesOfParts>
    <vt:vector size="45" baseType="lpstr">
      <vt:lpstr>About JEDI</vt:lpstr>
      <vt:lpstr>Start</vt:lpstr>
      <vt:lpstr>FAQ</vt:lpstr>
      <vt:lpstr>ProjectData</vt:lpstr>
      <vt:lpstr>SummaryResults</vt:lpstr>
      <vt:lpstr>User Add-in Location</vt:lpstr>
      <vt:lpstr>DefaultData</vt:lpstr>
      <vt:lpstr>Calculations</vt:lpstr>
      <vt:lpstr>Deflators</vt:lpstr>
      <vt:lpstr>Household Exp</vt:lpstr>
      <vt:lpstr>Multipliers</vt:lpstr>
      <vt:lpstr>Line Config Data</vt:lpstr>
      <vt:lpstr>Transformer Data</vt:lpstr>
      <vt:lpstr>Terrain and Pop Multipliers</vt:lpstr>
      <vt:lpstr>Wage Data</vt:lpstr>
      <vt:lpstr>Analysis</vt:lpstr>
      <vt:lpstr>Circuits</vt:lpstr>
      <vt:lpstr>Detailed_Project_Data_Costs</vt:lpstr>
      <vt:lpstr>Detailed_Wind_Plant_Project_Data_Costs</vt:lpstr>
      <vt:lpstr>GridSysVoltage</vt:lpstr>
      <vt:lpstr>GridVoltage</vt:lpstr>
      <vt:lpstr>LineVoltages</vt:lpstr>
      <vt:lpstr>Location</vt:lpstr>
      <vt:lpstr>MoneyValue</vt:lpstr>
      <vt:lpstr>Other_Parameters</vt:lpstr>
      <vt:lpstr>PopDensity</vt:lpstr>
      <vt:lpstr>PopulationDensity</vt:lpstr>
      <vt:lpstr>Calculations!Print_Area</vt:lpstr>
      <vt:lpstr>ProjectData!Print_Area</vt:lpstr>
      <vt:lpstr>SummaryResults!Print_Area</vt:lpstr>
      <vt:lpstr>Print_Results</vt:lpstr>
      <vt:lpstr>Project_Cost_Data</vt:lpstr>
      <vt:lpstr>Project_Data</vt:lpstr>
      <vt:lpstr>ProjectConstCostData</vt:lpstr>
      <vt:lpstr>ProjectData</vt:lpstr>
      <vt:lpstr>ProjectOandMData</vt:lpstr>
      <vt:lpstr>Summary_Impacts</vt:lpstr>
      <vt:lpstr>Summary_Results</vt:lpstr>
      <vt:lpstr>Terrain</vt:lpstr>
      <vt:lpstr>Voltage</vt:lpstr>
      <vt:lpstr>Wind_Plant_Annual_OandM_Costs</vt:lpstr>
      <vt:lpstr>Wind_Plant_Annual_Operating_and_Maintenance_Costs</vt:lpstr>
      <vt:lpstr>Year</vt:lpstr>
      <vt:lpstr>Years</vt:lpstr>
      <vt:lpstr>YesNo</vt:lpstr>
    </vt:vector>
  </TitlesOfParts>
  <Company>MRG &amp; Associates, Nevada City,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JEDI Transmission Line Impact Model</dc:title>
  <dc:subject>Economic Impacts of Constructing and Maintaining Transmission Lines</dc:subject>
  <dc:creator>Marshall Goldberg, MRG &amp; Associates</dc:creator>
  <cp:keywords>Economic Impacts, Electricity, Transmission Lines, Power Generation, Renewables, Energy, Distribution</cp:keywords>
  <dc:description>This model was developed for the National Renewable Energy Laboratory.</dc:description>
  <cp:lastModifiedBy>Marshall Goldberg</cp:lastModifiedBy>
  <cp:lastPrinted>2014-11-02T00:05:41Z</cp:lastPrinted>
  <dcterms:created xsi:type="dcterms:W3CDTF">2002-09-23T21:39:43Z</dcterms:created>
  <dcterms:modified xsi:type="dcterms:W3CDTF">2016-12-29T03:18:42Z</dcterms:modified>
  <cp:category>Models</cp:category>
</cp:coreProperties>
</file>