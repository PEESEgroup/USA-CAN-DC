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workbookPassword="DFD3" lockStructure="1"/>
  <bookViews>
    <workbookView xWindow="-15" yWindow="-15" windowWidth="11295" windowHeight="8115" tabRatio="394" activeTab="2"/>
  </bookViews>
  <sheets>
    <sheet name="About JEDI" sheetId="1" r:id="rId1"/>
    <sheet name="FAQ" sheetId="7" r:id="rId2"/>
    <sheet name="Start" sheetId="2" r:id="rId3"/>
    <sheet name="ProjectData" sheetId="3" r:id="rId4"/>
    <sheet name="SummaryResults" sheetId="4" r:id="rId5"/>
    <sheet name="Household Exp" sheetId="5" state="hidden" r:id="rId6"/>
    <sheet name="User Add-in Location" sheetId="6" r:id="rId7"/>
    <sheet name="DefaultData" sheetId="8" r:id="rId8"/>
    <sheet name="Deflators" sheetId="9" r:id="rId9"/>
    <sheet name="Calculations" sheetId="10" r:id="rId10"/>
    <sheet name="Multipliers" sheetId="11" state="hidden" r:id="rId11"/>
  </sheets>
  <definedNames>
    <definedName name="_ftn1" localSheetId="1">FAQ!#REF!</definedName>
    <definedName name="_ftnref1" localSheetId="1">FAQ!$B$11</definedName>
    <definedName name="Detailed_Project_Data_Costs">Calculations!$AB$3:$AD$30</definedName>
    <definedName name="Detailed_Wind_Plant_Project_Data_Costs">SummaryResults!$A$46:$D$127</definedName>
    <definedName name="Location">ProjectData!$O$21:$O$74</definedName>
    <definedName name="Other_Parameters">ProjectData!$A$76</definedName>
    <definedName name="_xlnm.Print_Area" localSheetId="9">Calculations!$AB$3:$AD$75</definedName>
    <definedName name="_xlnm.Print_Area" localSheetId="3">ProjectData!$B$14</definedName>
    <definedName name="_xlnm.Print_Area" localSheetId="4">SummaryResults!$BA$46:$BD$117</definedName>
    <definedName name="Print_Results">SummaryResults!$A$1:$D$45</definedName>
    <definedName name="Project_Cost_Data">ProjectData!$A$31</definedName>
    <definedName name="Project_Data">ProjectData!$A$1</definedName>
    <definedName name="ProjectConstCostData">ProjectData!$A$31:$C$55</definedName>
    <definedName name="ProjectData">ProjectData!$A$1</definedName>
    <definedName name="ProjectOandMData">ProjectData!$A$56:$C$95</definedName>
    <definedName name="Summary_Impacts">SummaryResults!$A$1:$D$45</definedName>
    <definedName name="Summary_Results">SummaryResults!$A$1</definedName>
    <definedName name="Wind_Plant_Annual_OandM_Costs">ProjectData!$A$56</definedName>
    <definedName name="Wind_Plant_Annual_Operating_and_Maintenance_Costs">ProjectData!$B$60</definedName>
    <definedName name="Year">ProjectData!$B$14</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99" i="3" l="1"/>
  <c r="B99" i="3"/>
  <c r="D97" i="3"/>
  <c r="B97" i="3"/>
  <c r="B96" i="3"/>
  <c r="D94" i="3"/>
  <c r="D93" i="3"/>
  <c r="AJ113" i="8"/>
  <c r="D87" i="8"/>
  <c r="B94" i="3"/>
  <c r="B91" i="3"/>
  <c r="B90" i="3"/>
  <c r="B92" i="3"/>
  <c r="B89" i="3"/>
  <c r="B93" i="3"/>
  <c r="B87" i="3"/>
  <c r="B86" i="3"/>
  <c r="D85" i="3"/>
  <c r="D84" i="3"/>
  <c r="D79" i="3"/>
  <c r="B81" i="3"/>
  <c r="B80" i="3"/>
  <c r="B79" i="3"/>
  <c r="E73" i="3"/>
  <c r="B73" i="3"/>
  <c r="B72" i="3"/>
  <c r="B71" i="3"/>
  <c r="E69" i="3"/>
  <c r="E68" i="3"/>
  <c r="E67" i="3"/>
  <c r="B69" i="3"/>
  <c r="B68" i="3"/>
  <c r="B67" i="3"/>
  <c r="E62" i="3"/>
  <c r="E61" i="3"/>
  <c r="E60" i="3"/>
  <c r="B62" i="3"/>
  <c r="B61" i="3"/>
  <c r="B60" i="3"/>
  <c r="B53" i="3"/>
  <c r="E50" i="3"/>
  <c r="E49" i="3"/>
  <c r="E48" i="3"/>
  <c r="E47" i="3"/>
  <c r="E46" i="3"/>
  <c r="E45" i="3"/>
  <c r="B50" i="3"/>
  <c r="B49" i="3"/>
  <c r="B48" i="3"/>
  <c r="B47" i="3"/>
  <c r="B46" i="3"/>
  <c r="B45" i="3"/>
  <c r="E41" i="3"/>
  <c r="E40" i="3"/>
  <c r="E39" i="3"/>
  <c r="B41" i="3"/>
  <c r="B40" i="3"/>
  <c r="B39" i="3"/>
  <c r="E36" i="3"/>
  <c r="E35" i="3"/>
  <c r="E34" i="3"/>
  <c r="B36" i="3"/>
  <c r="B35" i="3"/>
  <c r="B34" i="3"/>
  <c r="E4" i="9"/>
  <c r="D52" i="9"/>
  <c r="D51" i="9"/>
  <c r="E5" i="9"/>
  <c r="F8" i="9"/>
  <c r="F7" i="9"/>
  <c r="AF205" i="11"/>
  <c r="AE205" i="11"/>
  <c r="AF204" i="11"/>
  <c r="AE204" i="11"/>
  <c r="AF203" i="11"/>
  <c r="AE203" i="11"/>
  <c r="AF202" i="11"/>
  <c r="AE202" i="11"/>
  <c r="AF201" i="11"/>
  <c r="AE201" i="11"/>
  <c r="AF200" i="11"/>
  <c r="AE200" i="11"/>
  <c r="AF199" i="11"/>
  <c r="AE199" i="11"/>
  <c r="AF198" i="11"/>
  <c r="AE198" i="11"/>
  <c r="AF197" i="11"/>
  <c r="AE197" i="11"/>
  <c r="AF196" i="11"/>
  <c r="AE196" i="11"/>
  <c r="AF195" i="11"/>
  <c r="AE195" i="11"/>
  <c r="AF194" i="11"/>
  <c r="AE194" i="11"/>
  <c r="AF193" i="11"/>
  <c r="AE193" i="11"/>
  <c r="AF192" i="11"/>
  <c r="AE192" i="11"/>
  <c r="AF188" i="11"/>
  <c r="AE188" i="11"/>
  <c r="AF187" i="11"/>
  <c r="AE187" i="11"/>
  <c r="AF186" i="11"/>
  <c r="AE186" i="11"/>
  <c r="AF185" i="11"/>
  <c r="AE185" i="11"/>
  <c r="AF184" i="11"/>
  <c r="AE184" i="11"/>
  <c r="AF183" i="11"/>
  <c r="AE183" i="11"/>
  <c r="AF182" i="11"/>
  <c r="AE182" i="11"/>
  <c r="AF181" i="11"/>
  <c r="AE181" i="11"/>
  <c r="AF180" i="11"/>
  <c r="AE180" i="11"/>
  <c r="AF179" i="11"/>
  <c r="AE179" i="11"/>
  <c r="AF178" i="11"/>
  <c r="AE178" i="11"/>
  <c r="AF177" i="11"/>
  <c r="AE177" i="11"/>
  <c r="AF176" i="11"/>
  <c r="AE176" i="11"/>
  <c r="AF175" i="11"/>
  <c r="AE175" i="11"/>
  <c r="AF171" i="11"/>
  <c r="AE171" i="11"/>
  <c r="AF170" i="11"/>
  <c r="AE170" i="11"/>
  <c r="AF169" i="11"/>
  <c r="AE169" i="11"/>
  <c r="AF168" i="11"/>
  <c r="AE168" i="11"/>
  <c r="AF167" i="11"/>
  <c r="AE167" i="11"/>
  <c r="AF166" i="11"/>
  <c r="AE166" i="11"/>
  <c r="AF165" i="11"/>
  <c r="AE165" i="11"/>
  <c r="AF164" i="11"/>
  <c r="AE164" i="11"/>
  <c r="AF163" i="11"/>
  <c r="AE163" i="11"/>
  <c r="AF162" i="11"/>
  <c r="AE162" i="11"/>
  <c r="AF161" i="11"/>
  <c r="AE161" i="11"/>
  <c r="AF160" i="11"/>
  <c r="AE160" i="11"/>
  <c r="AF159" i="11"/>
  <c r="AE159" i="11"/>
  <c r="AF158" i="11"/>
  <c r="AE158" i="11"/>
  <c r="AJ98" i="8"/>
  <c r="F5" i="8"/>
  <c r="D5" i="8"/>
  <c r="G5" i="8"/>
  <c r="D27" i="8"/>
  <c r="D28" i="8"/>
  <c r="D29" i="8"/>
  <c r="D30" i="8"/>
  <c r="D31" i="8"/>
  <c r="D32" i="8"/>
  <c r="B51" i="3"/>
  <c r="D21" i="8"/>
  <c r="D22" i="8"/>
  <c r="D23" i="8"/>
  <c r="B42" i="3"/>
  <c r="D16" i="8"/>
  <c r="D17" i="8"/>
  <c r="D18" i="8"/>
  <c r="B37" i="3"/>
  <c r="B43" i="3"/>
  <c r="B52" i="3"/>
  <c r="F78" i="8"/>
  <c r="F71" i="8"/>
  <c r="T73" i="3"/>
  <c r="E9" i="8"/>
  <c r="G2" i="8"/>
  <c r="D44" i="8"/>
  <c r="E45" i="8"/>
  <c r="D45" i="8"/>
  <c r="E46" i="8"/>
  <c r="D46" i="8"/>
  <c r="D47" i="8"/>
  <c r="D48" i="8"/>
  <c r="F9" i="8"/>
  <c r="E54" i="8"/>
  <c r="D2" i="8"/>
  <c r="E5" i="8"/>
  <c r="D54" i="8"/>
  <c r="E55" i="8"/>
  <c r="D55" i="8"/>
  <c r="E2" i="8"/>
  <c r="E1" i="10"/>
  <c r="D243" i="10"/>
  <c r="T20" i="3"/>
  <c r="B20" i="3"/>
  <c r="D9" i="8"/>
  <c r="D57" i="8"/>
  <c r="G55" i="8"/>
  <c r="T12" i="3"/>
  <c r="T69" i="3"/>
  <c r="T68" i="3"/>
  <c r="G53" i="8"/>
  <c r="T67" i="3"/>
  <c r="E53" i="8"/>
  <c r="D53" i="8"/>
  <c r="G49" i="8"/>
  <c r="T62" i="3"/>
  <c r="G48" i="8"/>
  <c r="T61" i="3"/>
  <c r="T60" i="3"/>
  <c r="D49" i="8"/>
  <c r="G32" i="8"/>
  <c r="T50" i="3"/>
  <c r="G31" i="8"/>
  <c r="T49" i="3"/>
  <c r="T48" i="3"/>
  <c r="T47" i="3"/>
  <c r="G28" i="8"/>
  <c r="T46" i="3"/>
  <c r="G27" i="8"/>
  <c r="T45" i="3"/>
  <c r="T41" i="3"/>
  <c r="G22" i="8"/>
  <c r="T40" i="3"/>
  <c r="G21" i="8"/>
  <c r="T39" i="3"/>
  <c r="G18" i="8"/>
  <c r="T36" i="3"/>
  <c r="G17" i="8"/>
  <c r="T35" i="3"/>
  <c r="G16" i="8"/>
  <c r="T34" i="3"/>
  <c r="H57" i="8"/>
  <c r="B21" i="3"/>
  <c r="E53" i="3"/>
  <c r="E71" i="3"/>
  <c r="E72" i="3"/>
  <c r="H58" i="8"/>
  <c r="G57" i="8"/>
  <c r="BF25" i="4"/>
  <c r="D42" i="10"/>
  <c r="P117" i="10"/>
  <c r="T117" i="10"/>
  <c r="X117" i="10"/>
  <c r="G46" i="8"/>
  <c r="E4" i="6"/>
  <c r="E3" i="6"/>
  <c r="P213" i="11"/>
  <c r="F1" i="10"/>
  <c r="AC3" i="10"/>
  <c r="AD3" i="10"/>
  <c r="C6" i="10"/>
  <c r="AB6" i="10"/>
  <c r="C7" i="10"/>
  <c r="AB7" i="10"/>
  <c r="C8" i="10"/>
  <c r="AB8" i="10"/>
  <c r="C9" i="10"/>
  <c r="AB9" i="10"/>
  <c r="C10" i="10"/>
  <c r="AB10" i="10"/>
  <c r="C11" i="10"/>
  <c r="AB11" i="10"/>
  <c r="AD11" i="10"/>
  <c r="C12" i="10"/>
  <c r="AB12" i="10"/>
  <c r="C13" i="10"/>
  <c r="AB13" i="10"/>
  <c r="C14" i="10"/>
  <c r="AB14" i="10"/>
  <c r="C15" i="10"/>
  <c r="AB15" i="10"/>
  <c r="C16" i="10"/>
  <c r="AB16" i="10"/>
  <c r="AD16" i="10"/>
  <c r="C17" i="10"/>
  <c r="AB17" i="10"/>
  <c r="AD17" i="10"/>
  <c r="C18" i="10"/>
  <c r="AB18" i="10"/>
  <c r="C19" i="10"/>
  <c r="AB19" i="10"/>
  <c r="C20" i="10"/>
  <c r="AB20" i="10"/>
  <c r="C21" i="10"/>
  <c r="AB21" i="10"/>
  <c r="C22" i="10"/>
  <c r="AB22" i="10"/>
  <c r="C23" i="10"/>
  <c r="AB23" i="10"/>
  <c r="C24" i="10"/>
  <c r="AB24" i="10"/>
  <c r="C25" i="10"/>
  <c r="AB25" i="10"/>
  <c r="AD25" i="10"/>
  <c r="C26" i="10"/>
  <c r="AB26" i="10"/>
  <c r="C27" i="10"/>
  <c r="AB27" i="10"/>
  <c r="C28" i="10"/>
  <c r="AB28" i="10"/>
  <c r="D46" i="10"/>
  <c r="F46" i="10"/>
  <c r="D47" i="10"/>
  <c r="F47" i="10"/>
  <c r="D49" i="10"/>
  <c r="F49" i="10"/>
  <c r="AB49" i="10"/>
  <c r="D50" i="10"/>
  <c r="F50" i="10"/>
  <c r="D52" i="10"/>
  <c r="F52" i="10"/>
  <c r="AB52" i="10"/>
  <c r="D54" i="10"/>
  <c r="F54" i="10"/>
  <c r="D55" i="10"/>
  <c r="F55" i="10"/>
  <c r="AB56" i="10"/>
  <c r="D57" i="10"/>
  <c r="F57" i="10"/>
  <c r="AB57" i="10"/>
  <c r="AC57" i="10"/>
  <c r="AB58" i="10"/>
  <c r="AC58" i="10"/>
  <c r="AB59" i="10"/>
  <c r="AC59" i="10"/>
  <c r="AB60" i="10"/>
  <c r="AB61" i="10"/>
  <c r="G62" i="10"/>
  <c r="AB62" i="10"/>
  <c r="B84" i="3"/>
  <c r="AC62" i="10"/>
  <c r="AD62" i="10"/>
  <c r="AB63" i="10"/>
  <c r="C64" i="10"/>
  <c r="AB31" i="10"/>
  <c r="AB64" i="10"/>
  <c r="AC64" i="10"/>
  <c r="C65" i="10"/>
  <c r="AB32" i="10"/>
  <c r="AB65" i="10"/>
  <c r="AC65" i="10"/>
  <c r="AB66" i="10"/>
  <c r="C67" i="10"/>
  <c r="AB33" i="10"/>
  <c r="AB67" i="10"/>
  <c r="AC67" i="10"/>
  <c r="AB68" i="10"/>
  <c r="AC68" i="10"/>
  <c r="AB69" i="10"/>
  <c r="AC69" i="10"/>
  <c r="C70" i="10"/>
  <c r="AB70" i="10"/>
  <c r="C71" i="10"/>
  <c r="AB34" i="10"/>
  <c r="AB71" i="10"/>
  <c r="AD71" i="10"/>
  <c r="C72" i="10"/>
  <c r="AB35" i="10"/>
  <c r="AB72" i="10"/>
  <c r="C73" i="10"/>
  <c r="AB36" i="10"/>
  <c r="AB73" i="10"/>
  <c r="AB74" i="10"/>
  <c r="AC74" i="10"/>
  <c r="C75" i="10"/>
  <c r="AB37" i="10"/>
  <c r="AB75" i="10"/>
  <c r="AC75" i="10"/>
  <c r="AD75" i="10"/>
  <c r="C76" i="10"/>
  <c r="AB38" i="10"/>
  <c r="AB76" i="10"/>
  <c r="C77" i="10"/>
  <c r="AB39" i="10"/>
  <c r="AC77" i="10"/>
  <c r="C78" i="10"/>
  <c r="AB40" i="10"/>
  <c r="C79" i="10"/>
  <c r="AB41" i="10"/>
  <c r="C80" i="10"/>
  <c r="AB42" i="10"/>
  <c r="C81" i="10"/>
  <c r="AB43" i="10"/>
  <c r="C82" i="10"/>
  <c r="AB44" i="10"/>
  <c r="D82" i="10"/>
  <c r="AC44" i="10"/>
  <c r="C83" i="10"/>
  <c r="AB45" i="10"/>
  <c r="C84" i="10"/>
  <c r="AB46" i="10"/>
  <c r="C85" i="10"/>
  <c r="AB47" i="10"/>
  <c r="E85" i="10"/>
  <c r="AD47" i="10"/>
  <c r="C86" i="10"/>
  <c r="AB48" i="10"/>
  <c r="E87" i="10"/>
  <c r="AD49" i="10"/>
  <c r="C88" i="10"/>
  <c r="AB50" i="10"/>
  <c r="D88" i="10"/>
  <c r="AC50" i="10"/>
  <c r="E88" i="10"/>
  <c r="AD50" i="10"/>
  <c r="G88" i="10"/>
  <c r="M88" i="10"/>
  <c r="O88" i="10"/>
  <c r="H88" i="10"/>
  <c r="P88" i="10"/>
  <c r="J88" i="10"/>
  <c r="C89" i="10"/>
  <c r="AB51" i="10"/>
  <c r="P97" i="10"/>
  <c r="I99" i="10"/>
  <c r="H118" i="10"/>
  <c r="D119" i="10"/>
  <c r="D120" i="10"/>
  <c r="P140" i="10"/>
  <c r="L159" i="10"/>
  <c r="P159" i="10"/>
  <c r="W160" i="10"/>
  <c r="K162" i="10"/>
  <c r="I178" i="10"/>
  <c r="J178" i="10"/>
  <c r="K178" i="10"/>
  <c r="N178" i="10"/>
  <c r="O178" i="10"/>
  <c r="P178" i="10"/>
  <c r="I179" i="10"/>
  <c r="J179" i="10"/>
  <c r="K179" i="10"/>
  <c r="N179" i="10"/>
  <c r="O179" i="10"/>
  <c r="P179" i="10"/>
  <c r="I180" i="10"/>
  <c r="J180" i="10"/>
  <c r="K180" i="10"/>
  <c r="N180" i="10"/>
  <c r="O180" i="10"/>
  <c r="P180" i="10"/>
  <c r="I181" i="10"/>
  <c r="J181" i="10"/>
  <c r="K181" i="10"/>
  <c r="N181" i="10"/>
  <c r="O181" i="10"/>
  <c r="P181" i="10"/>
  <c r="I182" i="10"/>
  <c r="J182" i="10"/>
  <c r="K182" i="10"/>
  <c r="N182" i="10"/>
  <c r="O182" i="10"/>
  <c r="P182" i="10"/>
  <c r="I183" i="10"/>
  <c r="J183" i="10"/>
  <c r="K183" i="10"/>
  <c r="N183" i="10"/>
  <c r="O183" i="10"/>
  <c r="P183" i="10"/>
  <c r="I184" i="10"/>
  <c r="J184" i="10"/>
  <c r="K184" i="10"/>
  <c r="N184" i="10"/>
  <c r="O184" i="10"/>
  <c r="P184" i="10"/>
  <c r="I185" i="10"/>
  <c r="J185" i="10"/>
  <c r="K185" i="10"/>
  <c r="N185" i="10"/>
  <c r="O185" i="10"/>
  <c r="P185" i="10"/>
  <c r="I186" i="10"/>
  <c r="J186" i="10"/>
  <c r="K186" i="10"/>
  <c r="N186" i="10"/>
  <c r="O186" i="10"/>
  <c r="P186" i="10"/>
  <c r="I187" i="10"/>
  <c r="J187" i="10"/>
  <c r="K187" i="10"/>
  <c r="N187" i="10"/>
  <c r="O187" i="10"/>
  <c r="P187" i="10"/>
  <c r="D188" i="10"/>
  <c r="E188" i="10"/>
  <c r="F188" i="10"/>
  <c r="I188" i="10"/>
  <c r="J188" i="10"/>
  <c r="K188" i="10"/>
  <c r="N188" i="10"/>
  <c r="O188" i="10"/>
  <c r="P188" i="10"/>
  <c r="D189" i="10"/>
  <c r="E189" i="10"/>
  <c r="F189" i="10"/>
  <c r="I189" i="10"/>
  <c r="J189" i="10"/>
  <c r="K189" i="10"/>
  <c r="N189" i="10"/>
  <c r="O189" i="10"/>
  <c r="P189" i="10"/>
  <c r="D190" i="10"/>
  <c r="E190" i="10"/>
  <c r="F190" i="10"/>
  <c r="I190" i="10"/>
  <c r="J190" i="10"/>
  <c r="K190" i="10"/>
  <c r="N190" i="10"/>
  <c r="O190" i="10"/>
  <c r="P190" i="10"/>
  <c r="D191" i="10"/>
  <c r="E191" i="10"/>
  <c r="F191" i="10"/>
  <c r="I191" i="10"/>
  <c r="J191" i="10"/>
  <c r="K191" i="10"/>
  <c r="N191" i="10"/>
  <c r="O191" i="10"/>
  <c r="P191" i="10"/>
  <c r="D192" i="10"/>
  <c r="E192" i="10"/>
  <c r="F192" i="10"/>
  <c r="I192" i="10"/>
  <c r="J192" i="10"/>
  <c r="K192" i="10"/>
  <c r="N192" i="10"/>
  <c r="O192" i="10"/>
  <c r="P192" i="10"/>
  <c r="D193" i="10"/>
  <c r="E193" i="10"/>
  <c r="F193" i="10"/>
  <c r="I193" i="10"/>
  <c r="J193" i="10"/>
  <c r="K193" i="10"/>
  <c r="N193" i="10"/>
  <c r="O193" i="10"/>
  <c r="P193" i="10"/>
  <c r="D194" i="10"/>
  <c r="E194" i="10"/>
  <c r="F194" i="10"/>
  <c r="I194" i="10"/>
  <c r="J194" i="10"/>
  <c r="K194" i="10"/>
  <c r="N194" i="10"/>
  <c r="O194" i="10"/>
  <c r="P194" i="10"/>
  <c r="D195" i="10"/>
  <c r="E195" i="10"/>
  <c r="F195" i="10"/>
  <c r="I195" i="10"/>
  <c r="J195" i="10"/>
  <c r="K195" i="10"/>
  <c r="N195" i="10"/>
  <c r="O195" i="10"/>
  <c r="P195" i="10"/>
  <c r="D196" i="10"/>
  <c r="E196" i="10"/>
  <c r="F196" i="10"/>
  <c r="I196" i="10"/>
  <c r="J196" i="10"/>
  <c r="K196" i="10"/>
  <c r="N196" i="10"/>
  <c r="O196" i="10"/>
  <c r="P196" i="10"/>
  <c r="D197" i="10"/>
  <c r="E197" i="10"/>
  <c r="F197" i="10"/>
  <c r="I197" i="10"/>
  <c r="J197" i="10"/>
  <c r="K197" i="10"/>
  <c r="N197" i="10"/>
  <c r="O197" i="10"/>
  <c r="P197" i="10"/>
  <c r="AE239" i="10"/>
  <c r="AF239" i="10"/>
  <c r="F2" i="8"/>
  <c r="M13" i="8"/>
  <c r="D8" i="10"/>
  <c r="E16" i="8"/>
  <c r="M16" i="8"/>
  <c r="N16" i="8"/>
  <c r="O16" i="8"/>
  <c r="P16" i="8"/>
  <c r="Q16" i="8"/>
  <c r="R16" i="8"/>
  <c r="S16" i="8"/>
  <c r="T16" i="8"/>
  <c r="U16" i="8"/>
  <c r="D9" i="10"/>
  <c r="AC9" i="10"/>
  <c r="E17" i="8"/>
  <c r="M17" i="8"/>
  <c r="N17" i="8"/>
  <c r="O17" i="8"/>
  <c r="P17" i="8"/>
  <c r="Q17" i="8"/>
  <c r="R17" i="8"/>
  <c r="S17" i="8"/>
  <c r="T17" i="8"/>
  <c r="U17" i="8"/>
  <c r="D10" i="10"/>
  <c r="AC10" i="10"/>
  <c r="E18" i="8"/>
  <c r="M18" i="8"/>
  <c r="N18" i="8"/>
  <c r="O18" i="8"/>
  <c r="P18" i="8"/>
  <c r="Q18" i="8"/>
  <c r="R18" i="8"/>
  <c r="S18" i="8"/>
  <c r="T18" i="8"/>
  <c r="U18" i="8"/>
  <c r="D19" i="8"/>
  <c r="E19" i="8"/>
  <c r="F19" i="8"/>
  <c r="M19" i="8"/>
  <c r="N19" i="8"/>
  <c r="O19" i="8"/>
  <c r="P19" i="8"/>
  <c r="Q19" i="8"/>
  <c r="R19" i="8"/>
  <c r="S19" i="8"/>
  <c r="T19" i="8"/>
  <c r="U19" i="8"/>
  <c r="D13" i="10"/>
  <c r="E21" i="8"/>
  <c r="M21" i="8"/>
  <c r="N21" i="8"/>
  <c r="O21" i="8"/>
  <c r="P21" i="8"/>
  <c r="Q21" i="8"/>
  <c r="R21" i="8"/>
  <c r="S21" i="8"/>
  <c r="T21" i="8"/>
  <c r="U21" i="8"/>
  <c r="D14" i="10"/>
  <c r="AC14" i="10"/>
  <c r="E22" i="8"/>
  <c r="M22" i="8"/>
  <c r="N22" i="8"/>
  <c r="O22" i="8"/>
  <c r="P22" i="8"/>
  <c r="Q22" i="8"/>
  <c r="R22" i="8"/>
  <c r="S22" i="8"/>
  <c r="T22" i="8"/>
  <c r="U22" i="8"/>
  <c r="D15" i="10"/>
  <c r="AC15" i="10"/>
  <c r="E23" i="8"/>
  <c r="D24" i="8"/>
  <c r="E24" i="8"/>
  <c r="F24" i="8"/>
  <c r="D25" i="8"/>
  <c r="E25" i="8"/>
  <c r="F25" i="8"/>
  <c r="D19" i="10"/>
  <c r="E27" i="8"/>
  <c r="M27" i="8"/>
  <c r="N27" i="8"/>
  <c r="O27" i="8"/>
  <c r="P27" i="8"/>
  <c r="Q27" i="8"/>
  <c r="R27" i="8"/>
  <c r="S27" i="8"/>
  <c r="T27" i="8"/>
  <c r="U27" i="8"/>
  <c r="D20" i="10"/>
  <c r="AC20" i="10"/>
  <c r="E28" i="8"/>
  <c r="M28" i="8"/>
  <c r="N28" i="8"/>
  <c r="O28" i="8"/>
  <c r="P28" i="8"/>
  <c r="Q28" i="8"/>
  <c r="R28" i="8"/>
  <c r="S28" i="8"/>
  <c r="T28" i="8"/>
  <c r="U28" i="8"/>
  <c r="D21" i="10"/>
  <c r="AC21" i="10"/>
  <c r="E29" i="8"/>
  <c r="M29" i="8"/>
  <c r="N29" i="8"/>
  <c r="O29" i="8"/>
  <c r="P29" i="8"/>
  <c r="Q29" i="8"/>
  <c r="R29" i="8"/>
  <c r="S29" i="8"/>
  <c r="T29" i="8"/>
  <c r="U29" i="8"/>
  <c r="D22" i="10"/>
  <c r="AC22" i="10"/>
  <c r="E30" i="8"/>
  <c r="M30" i="8"/>
  <c r="N30" i="8"/>
  <c r="O30" i="8"/>
  <c r="P30" i="8"/>
  <c r="Q30" i="8"/>
  <c r="R30" i="8"/>
  <c r="S30" i="8"/>
  <c r="T30" i="8"/>
  <c r="U30" i="8"/>
  <c r="D23" i="10"/>
  <c r="AC23" i="10"/>
  <c r="E31" i="8"/>
  <c r="M31" i="8"/>
  <c r="N31" i="8"/>
  <c r="O31" i="8"/>
  <c r="P31" i="8"/>
  <c r="Q31" i="8"/>
  <c r="R31" i="8"/>
  <c r="S31" i="8"/>
  <c r="T31" i="8"/>
  <c r="U31" i="8"/>
  <c r="D24" i="10"/>
  <c r="AC24" i="10"/>
  <c r="E32" i="8"/>
  <c r="M32" i="8"/>
  <c r="N32" i="8"/>
  <c r="O32" i="8"/>
  <c r="P32" i="8"/>
  <c r="Q32" i="8"/>
  <c r="R32" i="8"/>
  <c r="S32" i="8"/>
  <c r="T32" i="8"/>
  <c r="U32" i="8"/>
  <c r="D33" i="8"/>
  <c r="E33" i="8"/>
  <c r="F33" i="8"/>
  <c r="D34" i="8"/>
  <c r="D168" i="10"/>
  <c r="E34" i="8"/>
  <c r="F34" i="8"/>
  <c r="M35" i="8"/>
  <c r="N35" i="8"/>
  <c r="O35" i="8"/>
  <c r="P35" i="8"/>
  <c r="Q35" i="8"/>
  <c r="R35" i="8"/>
  <c r="S35" i="8"/>
  <c r="T35" i="8"/>
  <c r="U35" i="8"/>
  <c r="E44" i="8"/>
  <c r="M44" i="8"/>
  <c r="N44" i="8"/>
  <c r="O44" i="8"/>
  <c r="P44" i="8"/>
  <c r="Q44" i="8"/>
  <c r="R44" i="8"/>
  <c r="S44" i="8"/>
  <c r="T44" i="8"/>
  <c r="U44" i="8"/>
  <c r="M45" i="8"/>
  <c r="N45" i="8"/>
  <c r="O45" i="8"/>
  <c r="P45" i="8"/>
  <c r="Q45" i="8"/>
  <c r="R45" i="8"/>
  <c r="S45" i="8"/>
  <c r="T45" i="8"/>
  <c r="U45" i="8"/>
  <c r="M46" i="8"/>
  <c r="N46" i="8"/>
  <c r="O46" i="8"/>
  <c r="P46" i="8"/>
  <c r="Q46" i="8"/>
  <c r="R46" i="8"/>
  <c r="S46" i="8"/>
  <c r="T46" i="8"/>
  <c r="U46" i="8"/>
  <c r="E47" i="8"/>
  <c r="F47" i="8"/>
  <c r="E48" i="8"/>
  <c r="M48" i="8"/>
  <c r="N48" i="8"/>
  <c r="O48" i="8"/>
  <c r="P48" i="8"/>
  <c r="Q48" i="8"/>
  <c r="R48" i="8"/>
  <c r="S48" i="8"/>
  <c r="T48" i="8"/>
  <c r="U48" i="8"/>
  <c r="E49" i="8"/>
  <c r="M49" i="8"/>
  <c r="N49" i="8"/>
  <c r="O49" i="8"/>
  <c r="P49" i="8"/>
  <c r="Q49" i="8"/>
  <c r="R49" i="8"/>
  <c r="S49" i="8"/>
  <c r="T49" i="8"/>
  <c r="U49" i="8"/>
  <c r="E50" i="8"/>
  <c r="F50" i="8"/>
  <c r="F51" i="8"/>
  <c r="F52" i="8"/>
  <c r="M53" i="8"/>
  <c r="N53" i="8"/>
  <c r="O53" i="8"/>
  <c r="P53" i="8"/>
  <c r="Q53" i="8"/>
  <c r="R53" i="8"/>
  <c r="S53" i="8"/>
  <c r="T53" i="8"/>
  <c r="U53" i="8"/>
  <c r="M54" i="8"/>
  <c r="N54" i="8"/>
  <c r="O54" i="8"/>
  <c r="P54" i="8"/>
  <c r="Q54" i="8"/>
  <c r="R54" i="8"/>
  <c r="S54" i="8"/>
  <c r="T54" i="8"/>
  <c r="U54" i="8"/>
  <c r="M55" i="8"/>
  <c r="N55" i="8"/>
  <c r="O55" i="8"/>
  <c r="P55" i="8"/>
  <c r="Q55" i="8"/>
  <c r="R55" i="8"/>
  <c r="S55" i="8"/>
  <c r="T55" i="8"/>
  <c r="U55" i="8"/>
  <c r="E56" i="8"/>
  <c r="F56" i="8"/>
  <c r="D65" i="8"/>
  <c r="D76" i="8"/>
  <c r="D78" i="8"/>
  <c r="B85" i="3"/>
  <c r="AC63" i="10"/>
  <c r="D85" i="8"/>
  <c r="D86" i="8"/>
  <c r="I88" i="8"/>
  <c r="K88" i="8"/>
  <c r="E91" i="8"/>
  <c r="M93" i="8"/>
  <c r="J89" i="8"/>
  <c r="L88" i="8"/>
  <c r="N88" i="8"/>
  <c r="AH93" i="8"/>
  <c r="AH94" i="8"/>
  <c r="AH95" i="8"/>
  <c r="G96" i="8"/>
  <c r="AH96" i="8"/>
  <c r="AH97" i="8"/>
  <c r="AH98" i="8"/>
  <c r="AH99" i="8"/>
  <c r="AJ99" i="8"/>
  <c r="R100" i="8"/>
  <c r="AH100" i="8"/>
  <c r="K101" i="8"/>
  <c r="R101" i="8"/>
  <c r="AH101" i="8"/>
  <c r="R102" i="8"/>
  <c r="AH102" i="8"/>
  <c r="L103" i="8"/>
  <c r="R103" i="8"/>
  <c r="AH103" i="8"/>
  <c r="R104" i="8"/>
  <c r="AH104" i="8"/>
  <c r="K105" i="8"/>
  <c r="L105" i="8"/>
  <c r="R105" i="8"/>
  <c r="AH105" i="8"/>
  <c r="BK105" i="8"/>
  <c r="BL105" i="8"/>
  <c r="L106" i="8"/>
  <c r="R106" i="8"/>
  <c r="AH106" i="8"/>
  <c r="BK106" i="8"/>
  <c r="BL106" i="8"/>
  <c r="R107" i="8"/>
  <c r="AH107" i="8"/>
  <c r="R108" i="8"/>
  <c r="AH108" i="8"/>
  <c r="L109" i="8"/>
  <c r="R109" i="8"/>
  <c r="R110" i="8"/>
  <c r="R111" i="8"/>
  <c r="AJ111" i="8"/>
  <c r="AJ110" i="8"/>
  <c r="AL110" i="8"/>
  <c r="R112" i="8"/>
  <c r="R113" i="8"/>
  <c r="AJ114" i="8"/>
  <c r="F4" i="9"/>
  <c r="I4" i="9"/>
  <c r="G42" i="10"/>
  <c r="G63" i="10"/>
  <c r="C55" i="9"/>
  <c r="AE4" i="5"/>
  <c r="AF4" i="5"/>
  <c r="AE5" i="5"/>
  <c r="AF5" i="5"/>
  <c r="AE6" i="5"/>
  <c r="AF6" i="5"/>
  <c r="AE7" i="5"/>
  <c r="AF7" i="5"/>
  <c r="AE8" i="5"/>
  <c r="AF8" i="5"/>
  <c r="AE9" i="5"/>
  <c r="AF9" i="5"/>
  <c r="AE10" i="5"/>
  <c r="AF10" i="5"/>
  <c r="AE11" i="5"/>
  <c r="AF11" i="5"/>
  <c r="AE12" i="5"/>
  <c r="AF12" i="5"/>
  <c r="AE13" i="5"/>
  <c r="AF13" i="5"/>
  <c r="AE14" i="5"/>
  <c r="AF14" i="5"/>
  <c r="AE15" i="5"/>
  <c r="AF15" i="5"/>
  <c r="AE16" i="5"/>
  <c r="AF16" i="5"/>
  <c r="AE17" i="5"/>
  <c r="AF17" i="5"/>
  <c r="D18" i="5"/>
  <c r="E18" i="5"/>
  <c r="F18" i="5"/>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AR18" i="5"/>
  <c r="AS18" i="5"/>
  <c r="AT18" i="5"/>
  <c r="AU18" i="5"/>
  <c r="AV18" i="5"/>
  <c r="AW18" i="5"/>
  <c r="AX18" i="5"/>
  <c r="AY18" i="5"/>
  <c r="AZ18" i="5"/>
  <c r="BA18" i="5"/>
  <c r="BB18" i="5"/>
  <c r="BC18" i="5"/>
  <c r="BD18" i="5"/>
  <c r="BE18" i="5"/>
  <c r="C20" i="5"/>
  <c r="AE5" i="11"/>
  <c r="AF5" i="11"/>
  <c r="AE6" i="11"/>
  <c r="AF6" i="11"/>
  <c r="AE7" i="11"/>
  <c r="AF7" i="11"/>
  <c r="AE8" i="11"/>
  <c r="AF8" i="11"/>
  <c r="AE9" i="11"/>
  <c r="AF9" i="11"/>
  <c r="AE10" i="11"/>
  <c r="AF10" i="11"/>
  <c r="AE11" i="11"/>
  <c r="AF11" i="11"/>
  <c r="AE12" i="11"/>
  <c r="AF12" i="11"/>
  <c r="AE13" i="11"/>
  <c r="AF13" i="11"/>
  <c r="AE14" i="11"/>
  <c r="AF14" i="11"/>
  <c r="AE15" i="11"/>
  <c r="AF15" i="11"/>
  <c r="AE16" i="11"/>
  <c r="AF16" i="11"/>
  <c r="AE17" i="11"/>
  <c r="AF17" i="11"/>
  <c r="AE18" i="11"/>
  <c r="AF18" i="11"/>
  <c r="AE22" i="11"/>
  <c r="AF22" i="11"/>
  <c r="AE23" i="11"/>
  <c r="AF23" i="11"/>
  <c r="AE24" i="11"/>
  <c r="AF24" i="11"/>
  <c r="AE25" i="11"/>
  <c r="AF25" i="11"/>
  <c r="AE26" i="11"/>
  <c r="AF26" i="11"/>
  <c r="AE27" i="11"/>
  <c r="AF27" i="11"/>
  <c r="AE28" i="11"/>
  <c r="AF28" i="11"/>
  <c r="AE29" i="11"/>
  <c r="AF29" i="11"/>
  <c r="AE30" i="11"/>
  <c r="AF30" i="11"/>
  <c r="AE31" i="11"/>
  <c r="AF31" i="11"/>
  <c r="AE32" i="11"/>
  <c r="AF32" i="11"/>
  <c r="AE33" i="11"/>
  <c r="AF33" i="11"/>
  <c r="AE34" i="11"/>
  <c r="AF34" i="11"/>
  <c r="AE35" i="11"/>
  <c r="AF35" i="11"/>
  <c r="AE39" i="11"/>
  <c r="AF39" i="11"/>
  <c r="AE40" i="11"/>
  <c r="AF40" i="11"/>
  <c r="AE41" i="11"/>
  <c r="AF41" i="11"/>
  <c r="AE42" i="11"/>
  <c r="AF42" i="11"/>
  <c r="AE43" i="11"/>
  <c r="AF43" i="11"/>
  <c r="AE44" i="11"/>
  <c r="AF44" i="11"/>
  <c r="AE45" i="11"/>
  <c r="AF45" i="11"/>
  <c r="AE46" i="11"/>
  <c r="AF46" i="11"/>
  <c r="AE47" i="11"/>
  <c r="AF47" i="11"/>
  <c r="AE48" i="11"/>
  <c r="AF48" i="11"/>
  <c r="AE49" i="11"/>
  <c r="AF49" i="11"/>
  <c r="AE50" i="11"/>
  <c r="AF50" i="11"/>
  <c r="AE51" i="11"/>
  <c r="AF51" i="11"/>
  <c r="AE52" i="11"/>
  <c r="AF52" i="11"/>
  <c r="AE56" i="11"/>
  <c r="AF56" i="11"/>
  <c r="AE57" i="11"/>
  <c r="AF57" i="11"/>
  <c r="AE58" i="11"/>
  <c r="AF58" i="11"/>
  <c r="AE59" i="11"/>
  <c r="AF59" i="11"/>
  <c r="AE60" i="11"/>
  <c r="AF60" i="11"/>
  <c r="AE61" i="11"/>
  <c r="AF61" i="11"/>
  <c r="AE62" i="11"/>
  <c r="AF62" i="11"/>
  <c r="AE63" i="11"/>
  <c r="AF63" i="11"/>
  <c r="AE64" i="11"/>
  <c r="AF64" i="11"/>
  <c r="AE65" i="11"/>
  <c r="AF65" i="11"/>
  <c r="AE66" i="11"/>
  <c r="AF66" i="11"/>
  <c r="AE67" i="11"/>
  <c r="AF67" i="11"/>
  <c r="AE68" i="11"/>
  <c r="AF68" i="11"/>
  <c r="AE69" i="11"/>
  <c r="AF69" i="11"/>
  <c r="AE73" i="11"/>
  <c r="AF73" i="11"/>
  <c r="AE74" i="11"/>
  <c r="AF74" i="11"/>
  <c r="AE75" i="11"/>
  <c r="AF75" i="11"/>
  <c r="AE76" i="11"/>
  <c r="AF76" i="11"/>
  <c r="AE77" i="11"/>
  <c r="AF77" i="11"/>
  <c r="AE78" i="11"/>
  <c r="AF78" i="11"/>
  <c r="AE79" i="11"/>
  <c r="AF79" i="11"/>
  <c r="AE80" i="11"/>
  <c r="AF80" i="11"/>
  <c r="AE81" i="11"/>
  <c r="AF81" i="11"/>
  <c r="AE82" i="11"/>
  <c r="AF82" i="11"/>
  <c r="AE83" i="11"/>
  <c r="AF83" i="11"/>
  <c r="AE84" i="11"/>
  <c r="AF84" i="11"/>
  <c r="AE85" i="11"/>
  <c r="AF85" i="11"/>
  <c r="AE86" i="11"/>
  <c r="AF86" i="11"/>
  <c r="AE90" i="11"/>
  <c r="AF90" i="11"/>
  <c r="AE91" i="11"/>
  <c r="AF91" i="11"/>
  <c r="AE92" i="11"/>
  <c r="AF92" i="11"/>
  <c r="AE93" i="11"/>
  <c r="AF93" i="11"/>
  <c r="AE94" i="11"/>
  <c r="AF94" i="11"/>
  <c r="AE95" i="11"/>
  <c r="AF95" i="11"/>
  <c r="AE96" i="11"/>
  <c r="AF96" i="11"/>
  <c r="AE97" i="11"/>
  <c r="AF97" i="11"/>
  <c r="AE98" i="11"/>
  <c r="AF98" i="11"/>
  <c r="AE99" i="11"/>
  <c r="AF99" i="11"/>
  <c r="AE100" i="11"/>
  <c r="AF100" i="11"/>
  <c r="AE101" i="11"/>
  <c r="AF101" i="11"/>
  <c r="AE102" i="11"/>
  <c r="AF102" i="11"/>
  <c r="AE103" i="11"/>
  <c r="AF103" i="11"/>
  <c r="AE107" i="11"/>
  <c r="AF107" i="11"/>
  <c r="AE108" i="11"/>
  <c r="AF108" i="11"/>
  <c r="AE109" i="11"/>
  <c r="AF109" i="11"/>
  <c r="AE110" i="11"/>
  <c r="AF110" i="11"/>
  <c r="AE111" i="11"/>
  <c r="AF111" i="11"/>
  <c r="AE112" i="11"/>
  <c r="AF112" i="11"/>
  <c r="AE113" i="11"/>
  <c r="AF113" i="11"/>
  <c r="AE114" i="11"/>
  <c r="AF114" i="11"/>
  <c r="AE115" i="11"/>
  <c r="AF115" i="11"/>
  <c r="AE116" i="11"/>
  <c r="AF116" i="11"/>
  <c r="AE117" i="11"/>
  <c r="AF117" i="11"/>
  <c r="AE118" i="11"/>
  <c r="AF118" i="11"/>
  <c r="AE119" i="11"/>
  <c r="AF119" i="11"/>
  <c r="AE120" i="11"/>
  <c r="AF120" i="11"/>
  <c r="AE124" i="11"/>
  <c r="AF124" i="11"/>
  <c r="AE125" i="11"/>
  <c r="AF125" i="11"/>
  <c r="AE126" i="11"/>
  <c r="AF126" i="11"/>
  <c r="AE127" i="11"/>
  <c r="AF127" i="11"/>
  <c r="AE128" i="11"/>
  <c r="AF128" i="11"/>
  <c r="AE129" i="11"/>
  <c r="AF129" i="11"/>
  <c r="AE130" i="11"/>
  <c r="AF130" i="11"/>
  <c r="AE131" i="11"/>
  <c r="AF131" i="11"/>
  <c r="AE132" i="11"/>
  <c r="AF132" i="11"/>
  <c r="AE133" i="11"/>
  <c r="AF133" i="11"/>
  <c r="AE134" i="11"/>
  <c r="AF134" i="11"/>
  <c r="AE135" i="11"/>
  <c r="AF135" i="11"/>
  <c r="AE136" i="11"/>
  <c r="AF136" i="11"/>
  <c r="AE137" i="11"/>
  <c r="AF137" i="11"/>
  <c r="AE141" i="11"/>
  <c r="AF141" i="11"/>
  <c r="AE142" i="11"/>
  <c r="AF142" i="11"/>
  <c r="AE143" i="11"/>
  <c r="AF143" i="11"/>
  <c r="AE144" i="11"/>
  <c r="AF144" i="11"/>
  <c r="AE145" i="11"/>
  <c r="AF145" i="11"/>
  <c r="AE146" i="11"/>
  <c r="AF146" i="11"/>
  <c r="AE147" i="11"/>
  <c r="AF147" i="11"/>
  <c r="AE148" i="11"/>
  <c r="AF148" i="11"/>
  <c r="AE149" i="11"/>
  <c r="AF149" i="11"/>
  <c r="AE150" i="11"/>
  <c r="AF150" i="11"/>
  <c r="AE151" i="11"/>
  <c r="AF151" i="11"/>
  <c r="AE152" i="11"/>
  <c r="AF152" i="11"/>
  <c r="AE153" i="11"/>
  <c r="AF153" i="11"/>
  <c r="AE154" i="11"/>
  <c r="AF154" i="11"/>
  <c r="C207" i="11"/>
  <c r="D213" i="11"/>
  <c r="E213" i="11"/>
  <c r="F213" i="11"/>
  <c r="G213" i="11"/>
  <c r="H213" i="11"/>
  <c r="I213" i="11"/>
  <c r="J213" i="11"/>
  <c r="K213" i="11"/>
  <c r="M213" i="11"/>
  <c r="N213" i="11"/>
  <c r="U213" i="11"/>
  <c r="D214" i="11"/>
  <c r="E214" i="11"/>
  <c r="F214" i="11"/>
  <c r="G214" i="11"/>
  <c r="H214" i="11"/>
  <c r="I214" i="11"/>
  <c r="J214" i="11"/>
  <c r="K214" i="11"/>
  <c r="L214" i="11"/>
  <c r="M214" i="11"/>
  <c r="N214" i="11"/>
  <c r="O214" i="11"/>
  <c r="U214" i="11"/>
  <c r="D215" i="11"/>
  <c r="E215" i="11"/>
  <c r="F215" i="11"/>
  <c r="G215" i="11"/>
  <c r="H215" i="11"/>
  <c r="I215" i="11"/>
  <c r="J215" i="11"/>
  <c r="K215" i="11"/>
  <c r="L215" i="11"/>
  <c r="M215" i="11"/>
  <c r="N215" i="11"/>
  <c r="O215" i="11"/>
  <c r="U215" i="11"/>
  <c r="D216" i="11"/>
  <c r="E216" i="11"/>
  <c r="F216" i="11"/>
  <c r="G216" i="11"/>
  <c r="H216" i="11"/>
  <c r="I216" i="11"/>
  <c r="J216" i="11"/>
  <c r="K216" i="11"/>
  <c r="L216" i="11"/>
  <c r="M216" i="11"/>
  <c r="N216" i="11"/>
  <c r="O216" i="11"/>
  <c r="U216" i="11"/>
  <c r="D217" i="11"/>
  <c r="E217" i="11"/>
  <c r="F217" i="11"/>
  <c r="G217" i="11"/>
  <c r="H217" i="11"/>
  <c r="I217" i="11"/>
  <c r="J217" i="11"/>
  <c r="K217" i="11"/>
  <c r="L217" i="11"/>
  <c r="M217" i="11"/>
  <c r="N217" i="11"/>
  <c r="O217" i="11"/>
  <c r="U217" i="11"/>
  <c r="D218" i="11"/>
  <c r="E218" i="11"/>
  <c r="F218" i="11"/>
  <c r="G218" i="11"/>
  <c r="H218" i="11"/>
  <c r="I218" i="11"/>
  <c r="J218" i="11"/>
  <c r="K218" i="11"/>
  <c r="L218" i="11"/>
  <c r="M218" i="11"/>
  <c r="N218" i="11"/>
  <c r="O218" i="11"/>
  <c r="U218" i="11"/>
  <c r="D219" i="11"/>
  <c r="E219" i="11"/>
  <c r="F219" i="11"/>
  <c r="G219" i="11"/>
  <c r="H219" i="11"/>
  <c r="I219" i="11"/>
  <c r="J219" i="11"/>
  <c r="K219" i="11"/>
  <c r="L219" i="11"/>
  <c r="M219" i="11"/>
  <c r="N219" i="11"/>
  <c r="O219" i="11"/>
  <c r="U219" i="11"/>
  <c r="D220" i="11"/>
  <c r="E220" i="11"/>
  <c r="F220" i="11"/>
  <c r="G220" i="11"/>
  <c r="H220" i="11"/>
  <c r="I220" i="11"/>
  <c r="J220" i="11"/>
  <c r="K220" i="11"/>
  <c r="L220" i="11"/>
  <c r="M220" i="11"/>
  <c r="N220" i="11"/>
  <c r="O220" i="11"/>
  <c r="U220" i="11"/>
  <c r="D221" i="11"/>
  <c r="E221" i="11"/>
  <c r="F221" i="11"/>
  <c r="G221" i="11"/>
  <c r="H221" i="11"/>
  <c r="I221" i="11"/>
  <c r="J221" i="11"/>
  <c r="K221" i="11"/>
  <c r="L221" i="11"/>
  <c r="M221" i="11"/>
  <c r="N221" i="11"/>
  <c r="O221" i="11"/>
  <c r="U221" i="11"/>
  <c r="D222" i="11"/>
  <c r="E222" i="11"/>
  <c r="F222" i="11"/>
  <c r="G222" i="11"/>
  <c r="H222" i="11"/>
  <c r="I222" i="11"/>
  <c r="J222" i="11"/>
  <c r="K222" i="11"/>
  <c r="L222" i="11"/>
  <c r="M222" i="11"/>
  <c r="N222" i="11"/>
  <c r="O222" i="11"/>
  <c r="U222" i="11"/>
  <c r="D223" i="11"/>
  <c r="E223" i="11"/>
  <c r="F223" i="11"/>
  <c r="G223" i="11"/>
  <c r="H223" i="11"/>
  <c r="I223" i="11"/>
  <c r="J223" i="11"/>
  <c r="K223" i="11"/>
  <c r="L223" i="11"/>
  <c r="M223" i="11"/>
  <c r="N223" i="11"/>
  <c r="O223" i="11"/>
  <c r="U223" i="11"/>
  <c r="D224" i="11"/>
  <c r="E224" i="11"/>
  <c r="F224" i="11"/>
  <c r="G224" i="11"/>
  <c r="H224" i="11"/>
  <c r="I224" i="11"/>
  <c r="J224" i="11"/>
  <c r="K224" i="11"/>
  <c r="L224" i="11"/>
  <c r="M224" i="11"/>
  <c r="N224" i="11"/>
  <c r="O224" i="11"/>
  <c r="U224" i="11"/>
  <c r="D225" i="11"/>
  <c r="E225" i="11"/>
  <c r="F225" i="11"/>
  <c r="G225" i="11"/>
  <c r="H225" i="11"/>
  <c r="I225" i="11"/>
  <c r="J225" i="11"/>
  <c r="K225" i="11"/>
  <c r="L225" i="11"/>
  <c r="M225" i="11"/>
  <c r="N225" i="11"/>
  <c r="O225" i="11"/>
  <c r="U225" i="11"/>
  <c r="D226" i="11"/>
  <c r="E226" i="11"/>
  <c r="F226" i="11"/>
  <c r="G226" i="11"/>
  <c r="H226" i="11"/>
  <c r="I226" i="11"/>
  <c r="J226" i="11"/>
  <c r="K226" i="11"/>
  <c r="L226" i="11"/>
  <c r="M226" i="11"/>
  <c r="N226" i="11"/>
  <c r="O226" i="11"/>
  <c r="U226" i="11"/>
  <c r="C11" i="3"/>
  <c r="C12" i="3"/>
  <c r="C14" i="3"/>
  <c r="C16" i="3"/>
  <c r="O21" i="3"/>
  <c r="O22" i="3"/>
  <c r="C24" i="3"/>
  <c r="C26" i="3"/>
  <c r="E27" i="3"/>
  <c r="A31" i="3"/>
  <c r="A32" i="3"/>
  <c r="A33" i="3"/>
  <c r="A34" i="3"/>
  <c r="C34" i="3"/>
  <c r="AF34" i="3"/>
  <c r="AG34" i="3"/>
  <c r="AI34" i="3"/>
  <c r="A35" i="3"/>
  <c r="C35" i="3"/>
  <c r="AF35" i="3"/>
  <c r="AG35" i="3"/>
  <c r="AI35" i="3"/>
  <c r="A36" i="3"/>
  <c r="C36" i="3"/>
  <c r="AF36" i="3"/>
  <c r="AG36" i="3"/>
  <c r="AI36" i="3"/>
  <c r="A37" i="3"/>
  <c r="C37" i="3"/>
  <c r="T37" i="3"/>
  <c r="AF37" i="3"/>
  <c r="AG37" i="3"/>
  <c r="A38" i="3"/>
  <c r="T38" i="3"/>
  <c r="A39" i="3"/>
  <c r="C39" i="3"/>
  <c r="AF39" i="3"/>
  <c r="AG39" i="3"/>
  <c r="AI39" i="3"/>
  <c r="A40" i="3"/>
  <c r="C40" i="3"/>
  <c r="AF40" i="3"/>
  <c r="AG40" i="3"/>
  <c r="AI40" i="3"/>
  <c r="A41" i="3"/>
  <c r="C41" i="3"/>
  <c r="AF41" i="3"/>
  <c r="AG41" i="3"/>
  <c r="AI41" i="3"/>
  <c r="A42" i="3"/>
  <c r="C42" i="3"/>
  <c r="AF42" i="3"/>
  <c r="AG42" i="3"/>
  <c r="AI42" i="3"/>
  <c r="A43" i="3"/>
  <c r="C43" i="3"/>
  <c r="AF43" i="3"/>
  <c r="AG43" i="3"/>
  <c r="AI43" i="3"/>
  <c r="A44" i="3"/>
  <c r="A45" i="3"/>
  <c r="C45" i="3"/>
  <c r="AF45" i="3"/>
  <c r="AG45" i="3"/>
  <c r="AI45" i="3"/>
  <c r="A46" i="3"/>
  <c r="C46" i="3"/>
  <c r="AF46" i="3"/>
  <c r="AG46" i="3"/>
  <c r="AI46" i="3"/>
  <c r="A47" i="3"/>
  <c r="C47" i="3"/>
  <c r="AF47" i="3"/>
  <c r="AG47" i="3"/>
  <c r="AI47" i="3"/>
  <c r="A48" i="3"/>
  <c r="C48" i="3"/>
  <c r="AF48" i="3"/>
  <c r="AG48" i="3"/>
  <c r="AI48" i="3"/>
  <c r="A49" i="3"/>
  <c r="C49" i="3"/>
  <c r="AF49" i="3"/>
  <c r="AG49" i="3"/>
  <c r="AI49" i="3"/>
  <c r="A50" i="3"/>
  <c r="C50" i="3"/>
  <c r="AF50" i="3"/>
  <c r="AG50" i="3"/>
  <c r="AI50" i="3"/>
  <c r="A51" i="3"/>
  <c r="C51" i="3"/>
  <c r="AF51" i="3"/>
  <c r="AG51" i="3"/>
  <c r="A52" i="3"/>
  <c r="C52" i="3"/>
  <c r="AF52" i="3"/>
  <c r="AH34" i="3"/>
  <c r="AG52" i="3"/>
  <c r="AH52" i="3"/>
  <c r="A53" i="3"/>
  <c r="T53" i="3"/>
  <c r="AI53" i="3"/>
  <c r="A54" i="3"/>
  <c r="A56" i="3"/>
  <c r="A59" i="3"/>
  <c r="A60" i="3"/>
  <c r="AI60" i="3"/>
  <c r="A61" i="3"/>
  <c r="AI61" i="3"/>
  <c r="A62" i="3"/>
  <c r="AI62" i="3"/>
  <c r="A63" i="3"/>
  <c r="A66" i="3"/>
  <c r="A67" i="3"/>
  <c r="AI67" i="3"/>
  <c r="A68" i="3"/>
  <c r="AI68" i="3"/>
  <c r="A69" i="3"/>
  <c r="AI69" i="3"/>
  <c r="A70" i="3"/>
  <c r="A71" i="3"/>
  <c r="T71" i="3"/>
  <c r="AI71" i="3"/>
  <c r="A72" i="3"/>
  <c r="T72" i="3"/>
  <c r="AI72" i="3"/>
  <c r="A73" i="3"/>
  <c r="AF73" i="3"/>
  <c r="AG73" i="3"/>
  <c r="AI73" i="3"/>
  <c r="A74" i="3"/>
  <c r="A76" i="3"/>
  <c r="A77" i="3"/>
  <c r="A78" i="3"/>
  <c r="A79" i="3"/>
  <c r="AD57" i="10"/>
  <c r="D97" i="4"/>
  <c r="BE97" i="4"/>
  <c r="AF79" i="3"/>
  <c r="AH79" i="3"/>
  <c r="A80" i="3"/>
  <c r="C80" i="3"/>
  <c r="AF80" i="3"/>
  <c r="A81" i="3"/>
  <c r="AF81" i="3"/>
  <c r="A82" i="3"/>
  <c r="A83" i="3"/>
  <c r="B83" i="3"/>
  <c r="AC61" i="10"/>
  <c r="C101" i="4"/>
  <c r="BD101" i="4"/>
  <c r="AF83" i="3"/>
  <c r="A84" i="3"/>
  <c r="AF84" i="3"/>
  <c r="AH84" i="3"/>
  <c r="A85" i="3"/>
  <c r="AD63" i="10"/>
  <c r="D103" i="4"/>
  <c r="BE103" i="4"/>
  <c r="AF85" i="3"/>
  <c r="AH85" i="3"/>
  <c r="A86" i="3"/>
  <c r="AF86" i="3"/>
  <c r="A87" i="3"/>
  <c r="C87" i="3"/>
  <c r="AF87" i="3"/>
  <c r="A88" i="3"/>
  <c r="A89" i="3"/>
  <c r="AF89" i="3"/>
  <c r="A90" i="3"/>
  <c r="AF90" i="3"/>
  <c r="A91" i="3"/>
  <c r="AF91" i="3"/>
  <c r="A92" i="3"/>
  <c r="AC70" i="10"/>
  <c r="C110" i="4"/>
  <c r="BD110" i="4"/>
  <c r="AF92" i="3"/>
  <c r="A93" i="3"/>
  <c r="AF93" i="3"/>
  <c r="AH93" i="3"/>
  <c r="A94" i="3"/>
  <c r="AF94" i="3"/>
  <c r="AH94" i="3"/>
  <c r="A95" i="3"/>
  <c r="A96" i="3"/>
  <c r="AF96" i="3"/>
  <c r="A97" i="3"/>
  <c r="AF97" i="3"/>
  <c r="AH97" i="3"/>
  <c r="AF99" i="3"/>
  <c r="A2" i="4"/>
  <c r="C2" i="4"/>
  <c r="BB2" i="4"/>
  <c r="BD2" i="4"/>
  <c r="A3" i="4"/>
  <c r="C3" i="4"/>
  <c r="BB3" i="4"/>
  <c r="BD3" i="4"/>
  <c r="A4" i="4"/>
  <c r="C4" i="4"/>
  <c r="D4" i="4"/>
  <c r="BB4" i="4"/>
  <c r="BD4" i="4"/>
  <c r="A5" i="4"/>
  <c r="C5" i="4"/>
  <c r="BB5" i="4"/>
  <c r="BD5" i="4"/>
  <c r="A6" i="4"/>
  <c r="C6" i="4"/>
  <c r="BB6" i="4"/>
  <c r="BD6" i="4"/>
  <c r="A7" i="4"/>
  <c r="C7" i="4"/>
  <c r="BB7" i="4"/>
  <c r="BD7" i="4"/>
  <c r="A8" i="4"/>
  <c r="BB8" i="4"/>
  <c r="A9" i="4"/>
  <c r="C9" i="4"/>
  <c r="BB9" i="4"/>
  <c r="BD9" i="4"/>
  <c r="A10" i="4"/>
  <c r="BB10" i="4"/>
  <c r="A11" i="4"/>
  <c r="BB11" i="4"/>
  <c r="A12" i="4"/>
  <c r="BB12" i="4"/>
  <c r="A13" i="4"/>
  <c r="C13" i="4"/>
  <c r="BB13" i="4"/>
  <c r="BD13" i="4"/>
  <c r="BB14" i="4"/>
  <c r="BB15" i="4"/>
  <c r="BB16" i="4"/>
  <c r="BB17" i="4"/>
  <c r="BB18" i="4"/>
  <c r="BB19" i="4"/>
  <c r="BB20" i="4"/>
  <c r="BB21" i="4"/>
  <c r="BB22" i="4"/>
  <c r="A23" i="4"/>
  <c r="C23" i="4"/>
  <c r="BB23" i="4"/>
  <c r="BD23" i="4"/>
  <c r="BB24" i="4"/>
  <c r="BC25" i="4"/>
  <c r="BD25" i="4"/>
  <c r="BE25" i="4"/>
  <c r="BB26" i="4"/>
  <c r="BB27" i="4"/>
  <c r="BB28" i="4"/>
  <c r="BB29" i="4"/>
  <c r="BB30" i="4"/>
  <c r="BB31" i="4"/>
  <c r="BB32" i="4"/>
  <c r="BB34" i="4"/>
  <c r="BB35" i="4"/>
  <c r="BB36" i="4"/>
  <c r="BB37" i="4"/>
  <c r="AE38" i="4"/>
  <c r="BB38" i="4"/>
  <c r="A39" i="4"/>
  <c r="BB39" i="4"/>
  <c r="AE40" i="4"/>
  <c r="A1" i="4"/>
  <c r="BB1" i="4"/>
  <c r="BB41" i="4"/>
  <c r="BB42" i="4"/>
  <c r="BB43" i="4"/>
  <c r="A46" i="4"/>
  <c r="C46" i="4"/>
  <c r="BB46" i="4"/>
  <c r="BD46" i="4"/>
  <c r="A48" i="4"/>
  <c r="C48" i="4"/>
  <c r="D48" i="4"/>
  <c r="BB48" i="4"/>
  <c r="BD48" i="4"/>
  <c r="BE48" i="4"/>
  <c r="A49" i="4"/>
  <c r="BB49" i="4"/>
  <c r="A50" i="4"/>
  <c r="BB50" i="4"/>
  <c r="A51" i="4"/>
  <c r="C51" i="4"/>
  <c r="BB51" i="4"/>
  <c r="BD51" i="4"/>
  <c r="A52" i="4"/>
  <c r="C52" i="4"/>
  <c r="BB52" i="4"/>
  <c r="BD52" i="4"/>
  <c r="A53" i="4"/>
  <c r="BB53" i="4"/>
  <c r="A54" i="4"/>
  <c r="BB54" i="4"/>
  <c r="A55" i="4"/>
  <c r="BB55" i="4"/>
  <c r="A56" i="4"/>
  <c r="C56" i="4"/>
  <c r="BB56" i="4"/>
  <c r="BD56" i="4"/>
  <c r="A57" i="4"/>
  <c r="D57" i="4"/>
  <c r="BB57" i="4"/>
  <c r="A58" i="4"/>
  <c r="BB58" i="4"/>
  <c r="A59" i="4"/>
  <c r="BB59" i="4"/>
  <c r="A60" i="4"/>
  <c r="BB60" i="4"/>
  <c r="A61" i="4"/>
  <c r="C61" i="4"/>
  <c r="BB61" i="4"/>
  <c r="BD61" i="4"/>
  <c r="A62" i="4"/>
  <c r="C62" i="4"/>
  <c r="BB62" i="4"/>
  <c r="BD62" i="4"/>
  <c r="A63" i="4"/>
  <c r="C63" i="4"/>
  <c r="BB63" i="4"/>
  <c r="BD63" i="4"/>
  <c r="A64" i="4"/>
  <c r="C64" i="4"/>
  <c r="BB64" i="4"/>
  <c r="BD64" i="4"/>
  <c r="A65" i="4"/>
  <c r="C65" i="4"/>
  <c r="BB65" i="4"/>
  <c r="BD65" i="4"/>
  <c r="A66" i="4"/>
  <c r="BB66" i="4"/>
  <c r="A67" i="4"/>
  <c r="BB67" i="4"/>
  <c r="A68" i="4"/>
  <c r="BB68" i="4"/>
  <c r="A69" i="4"/>
  <c r="BB69" i="4"/>
  <c r="A72" i="4"/>
  <c r="C72" i="4"/>
  <c r="D72" i="4"/>
  <c r="BB72" i="4"/>
  <c r="BD72" i="4"/>
  <c r="BE72" i="4"/>
  <c r="A73" i="4"/>
  <c r="BB73" i="4"/>
  <c r="A74" i="4"/>
  <c r="BB74" i="4"/>
  <c r="A75" i="4"/>
  <c r="BB75" i="4"/>
  <c r="A76" i="4"/>
  <c r="BB76" i="4"/>
  <c r="A77" i="4"/>
  <c r="BB77" i="4"/>
  <c r="A78" i="4"/>
  <c r="BB78" i="4"/>
  <c r="A79" i="4"/>
  <c r="BB79" i="4"/>
  <c r="A80" i="4"/>
  <c r="BB80" i="4"/>
  <c r="A81" i="4"/>
  <c r="BB81" i="4"/>
  <c r="A82" i="4"/>
  <c r="BB82" i="4"/>
  <c r="A83" i="4"/>
  <c r="BB83" i="4"/>
  <c r="A84" i="4"/>
  <c r="C84" i="4"/>
  <c r="BB84" i="4"/>
  <c r="BD84" i="4"/>
  <c r="A85" i="4"/>
  <c r="BB85" i="4"/>
  <c r="A86" i="4"/>
  <c r="BB86" i="4"/>
  <c r="A87" i="4"/>
  <c r="D87" i="4"/>
  <c r="BB87" i="4"/>
  <c r="BE87" i="4"/>
  <c r="A88" i="4"/>
  <c r="BB88" i="4"/>
  <c r="A89" i="4"/>
  <c r="D89" i="4"/>
  <c r="BB89" i="4"/>
  <c r="BE89" i="4"/>
  <c r="A90" i="4"/>
  <c r="C90" i="4"/>
  <c r="D90" i="4"/>
  <c r="BB90" i="4"/>
  <c r="BD90" i="4"/>
  <c r="BE90" i="4"/>
  <c r="A91" i="4"/>
  <c r="BB91" i="4"/>
  <c r="A92" i="4"/>
  <c r="A94" i="4"/>
  <c r="D94" i="4"/>
  <c r="BB94" i="4"/>
  <c r="BE94" i="4"/>
  <c r="A95" i="4"/>
  <c r="BB95" i="4"/>
  <c r="A96" i="4"/>
  <c r="BB96" i="4"/>
  <c r="A97" i="4"/>
  <c r="C97" i="4"/>
  <c r="BB97" i="4"/>
  <c r="BD97" i="4"/>
  <c r="A98" i="4"/>
  <c r="C98" i="4"/>
  <c r="BB98" i="4"/>
  <c r="BD98" i="4"/>
  <c r="A99" i="4"/>
  <c r="C99" i="4"/>
  <c r="BB99" i="4"/>
  <c r="BD99" i="4"/>
  <c r="A100" i="4"/>
  <c r="BB100" i="4"/>
  <c r="A101" i="4"/>
  <c r="BB101" i="4"/>
  <c r="A102" i="4"/>
  <c r="C102" i="4"/>
  <c r="D102" i="4"/>
  <c r="BB102" i="4"/>
  <c r="BD102" i="4"/>
  <c r="BE102" i="4"/>
  <c r="A103" i="4"/>
  <c r="C103" i="4"/>
  <c r="BB103" i="4"/>
  <c r="BD103" i="4"/>
  <c r="A104" i="4"/>
  <c r="C104" i="4"/>
  <c r="BB104" i="4"/>
  <c r="BD104" i="4"/>
  <c r="A105" i="4"/>
  <c r="C105" i="4"/>
  <c r="BB105" i="4"/>
  <c r="A106" i="4"/>
  <c r="BB106" i="4"/>
  <c r="A107" i="4"/>
  <c r="C107" i="4"/>
  <c r="BB107" i="4"/>
  <c r="BD107" i="4"/>
  <c r="A108" i="4"/>
  <c r="C108" i="4"/>
  <c r="BB108" i="4"/>
  <c r="BD108" i="4"/>
  <c r="A109" i="4"/>
  <c r="C109" i="4"/>
  <c r="BB109" i="4"/>
  <c r="BD109" i="4"/>
  <c r="A110" i="4"/>
  <c r="BB110" i="4"/>
  <c r="A111" i="4"/>
  <c r="D111" i="4"/>
  <c r="BB111" i="4"/>
  <c r="BE111" i="4"/>
  <c r="A112" i="4"/>
  <c r="BB112" i="4"/>
  <c r="A113" i="4"/>
  <c r="BB113" i="4"/>
  <c r="A114" i="4"/>
  <c r="C114" i="4"/>
  <c r="BB114" i="4"/>
  <c r="BD114" i="4"/>
  <c r="A115" i="4"/>
  <c r="C115" i="4"/>
  <c r="D115" i="4"/>
  <c r="BB115" i="4"/>
  <c r="BD115" i="4"/>
  <c r="BE115" i="4"/>
  <c r="A116" i="4"/>
  <c r="BB116" i="4"/>
  <c r="BD116" i="4"/>
  <c r="BE116" i="4"/>
  <c r="A117" i="4"/>
  <c r="C117" i="4"/>
  <c r="BB117" i="4"/>
  <c r="BD117" i="4"/>
  <c r="E8" i="6"/>
  <c r="AE3" i="5"/>
  <c r="F8" i="6"/>
  <c r="AF3" i="5"/>
  <c r="E23" i="6"/>
  <c r="F23" i="6"/>
  <c r="B25" i="6"/>
  <c r="B42" i="6"/>
  <c r="C42" i="6"/>
  <c r="B59" i="6"/>
  <c r="C59" i="6"/>
  <c r="B76" i="6"/>
  <c r="C76" i="6"/>
  <c r="B93" i="6"/>
  <c r="C93" i="6"/>
  <c r="B110" i="6"/>
  <c r="C110" i="6"/>
  <c r="B127" i="6"/>
  <c r="C127" i="6"/>
  <c r="B144" i="6"/>
  <c r="C144" i="6"/>
  <c r="O93" i="8"/>
  <c r="E96" i="8"/>
  <c r="AF53" i="3"/>
  <c r="I204" i="10"/>
  <c r="J204" i="10"/>
  <c r="N204" i="10"/>
  <c r="O204" i="10"/>
  <c r="I205" i="10"/>
  <c r="J205" i="10"/>
  <c r="K205" i="10"/>
  <c r="N205" i="10"/>
  <c r="O205" i="10"/>
  <c r="P205" i="10"/>
  <c r="I206" i="10"/>
  <c r="J206" i="10"/>
  <c r="K206" i="10"/>
  <c r="N206" i="10"/>
  <c r="O206" i="10"/>
  <c r="P206" i="10"/>
  <c r="I207" i="10"/>
  <c r="J207" i="10"/>
  <c r="K207" i="10"/>
  <c r="N207" i="10"/>
  <c r="O207" i="10"/>
  <c r="P207" i="10"/>
  <c r="I208" i="10"/>
  <c r="J208" i="10"/>
  <c r="K208" i="10"/>
  <c r="N208" i="10"/>
  <c r="O208" i="10"/>
  <c r="P208" i="10"/>
  <c r="I209" i="10"/>
  <c r="J209" i="10"/>
  <c r="K209" i="10"/>
  <c r="N209" i="10"/>
  <c r="O209" i="10"/>
  <c r="P209" i="10"/>
  <c r="I210" i="10"/>
  <c r="J210" i="10"/>
  <c r="K210" i="10"/>
  <c r="N210" i="10"/>
  <c r="O210" i="10"/>
  <c r="P210" i="10"/>
  <c r="I211" i="10"/>
  <c r="J211" i="10"/>
  <c r="K211" i="10"/>
  <c r="N211" i="10"/>
  <c r="O211" i="10"/>
  <c r="P211" i="10"/>
  <c r="I212" i="10"/>
  <c r="J212" i="10"/>
  <c r="K212" i="10"/>
  <c r="N212" i="10"/>
  <c r="O212" i="10"/>
  <c r="P212" i="10"/>
  <c r="I213" i="10"/>
  <c r="J213" i="10"/>
  <c r="K213" i="10"/>
  <c r="N213" i="10"/>
  <c r="O213" i="10"/>
  <c r="P213" i="10"/>
  <c r="I214" i="10"/>
  <c r="J214" i="10"/>
  <c r="K214" i="10"/>
  <c r="N214" i="10"/>
  <c r="O214" i="10"/>
  <c r="P214" i="10"/>
  <c r="I215" i="10"/>
  <c r="J215" i="10"/>
  <c r="K215" i="10"/>
  <c r="N215" i="10"/>
  <c r="O215" i="10"/>
  <c r="P215" i="10"/>
  <c r="I216" i="10"/>
  <c r="J216" i="10"/>
  <c r="K216" i="10"/>
  <c r="N216" i="10"/>
  <c r="O216" i="10"/>
  <c r="P216" i="10"/>
  <c r="I217" i="10"/>
  <c r="J217" i="10"/>
  <c r="K217" i="10"/>
  <c r="N217" i="10"/>
  <c r="O217" i="10"/>
  <c r="P217" i="10"/>
  <c r="I218" i="10"/>
  <c r="J218" i="10"/>
  <c r="K218" i="10"/>
  <c r="N218" i="10"/>
  <c r="O218" i="10"/>
  <c r="P218" i="10"/>
  <c r="I219" i="10"/>
  <c r="J219" i="10"/>
  <c r="K219" i="10"/>
  <c r="N219" i="10"/>
  <c r="O219" i="10"/>
  <c r="P219" i="10"/>
  <c r="I220" i="10"/>
  <c r="J220" i="10"/>
  <c r="K220" i="10"/>
  <c r="N220" i="10"/>
  <c r="O220" i="10"/>
  <c r="P220" i="10"/>
  <c r="I221" i="10"/>
  <c r="J221" i="10"/>
  <c r="K221" i="10"/>
  <c r="N221" i="10"/>
  <c r="O221" i="10"/>
  <c r="P221" i="10"/>
  <c r="I222" i="10"/>
  <c r="J222" i="10"/>
  <c r="K222" i="10"/>
  <c r="N222" i="10"/>
  <c r="O222" i="10"/>
  <c r="P222" i="10"/>
  <c r="I223" i="10"/>
  <c r="J223" i="10"/>
  <c r="K223" i="10"/>
  <c r="N223" i="10"/>
  <c r="O223" i="10"/>
  <c r="P223" i="10"/>
  <c r="I224" i="10"/>
  <c r="J224" i="10"/>
  <c r="K224" i="10"/>
  <c r="N224" i="10"/>
  <c r="O224" i="10"/>
  <c r="P224" i="10"/>
  <c r="I225" i="10"/>
  <c r="J225" i="10"/>
  <c r="K225" i="10"/>
  <c r="N225" i="10"/>
  <c r="O225" i="10"/>
  <c r="P225" i="10"/>
  <c r="I226" i="10"/>
  <c r="J226" i="10"/>
  <c r="K226" i="10"/>
  <c r="N226" i="10"/>
  <c r="O226" i="10"/>
  <c r="P226" i="10"/>
  <c r="I227" i="10"/>
  <c r="J227" i="10"/>
  <c r="K227" i="10"/>
  <c r="N227" i="10"/>
  <c r="O227" i="10"/>
  <c r="P227" i="10"/>
  <c r="I228" i="10"/>
  <c r="J228" i="10"/>
  <c r="K228" i="10"/>
  <c r="N228" i="10"/>
  <c r="O228" i="10"/>
  <c r="P228" i="10"/>
  <c r="I229" i="10"/>
  <c r="J229" i="10"/>
  <c r="K229" i="10"/>
  <c r="N229" i="10"/>
  <c r="O229" i="10"/>
  <c r="P229" i="10"/>
  <c r="I230" i="10"/>
  <c r="J230" i="10"/>
  <c r="K230" i="10"/>
  <c r="N230" i="10"/>
  <c r="O230" i="10"/>
  <c r="P230" i="10"/>
  <c r="I231" i="10"/>
  <c r="J231" i="10"/>
  <c r="K231" i="10"/>
  <c r="N231" i="10"/>
  <c r="O231" i="10"/>
  <c r="P231" i="10"/>
  <c r="I232" i="10"/>
  <c r="J232" i="10"/>
  <c r="K232" i="10"/>
  <c r="N232" i="10"/>
  <c r="O232" i="10"/>
  <c r="P232" i="10"/>
  <c r="I233" i="10"/>
  <c r="J233" i="10"/>
  <c r="K233" i="10"/>
  <c r="N233" i="10"/>
  <c r="O233" i="10"/>
  <c r="P233" i="10"/>
  <c r="D204" i="10"/>
  <c r="E204" i="10"/>
  <c r="D205" i="10"/>
  <c r="E205" i="10"/>
  <c r="F205" i="10"/>
  <c r="D206" i="10"/>
  <c r="E206" i="10"/>
  <c r="F206" i="10"/>
  <c r="D207" i="10"/>
  <c r="E207" i="10"/>
  <c r="F207" i="10"/>
  <c r="D208" i="10"/>
  <c r="E208" i="10"/>
  <c r="F208" i="10"/>
  <c r="D209" i="10"/>
  <c r="E209" i="10"/>
  <c r="F209" i="10"/>
  <c r="D210" i="10"/>
  <c r="E210" i="10"/>
  <c r="F210" i="10"/>
  <c r="D211" i="10"/>
  <c r="E211" i="10"/>
  <c r="F211" i="10"/>
  <c r="D212" i="10"/>
  <c r="E212" i="10"/>
  <c r="F212" i="10"/>
  <c r="D213" i="10"/>
  <c r="E213" i="10"/>
  <c r="F213" i="10"/>
  <c r="D214" i="10"/>
  <c r="E214" i="10"/>
  <c r="F214" i="10"/>
  <c r="D215" i="10"/>
  <c r="E215" i="10"/>
  <c r="F215" i="10"/>
  <c r="D216" i="10"/>
  <c r="E216" i="10"/>
  <c r="F216" i="10"/>
  <c r="D217" i="10"/>
  <c r="E217" i="10"/>
  <c r="F217" i="10"/>
  <c r="D218" i="10"/>
  <c r="E218" i="10"/>
  <c r="F218" i="10"/>
  <c r="D219" i="10"/>
  <c r="E219" i="10"/>
  <c r="F219" i="10"/>
  <c r="D220" i="10"/>
  <c r="E220" i="10"/>
  <c r="F220" i="10"/>
  <c r="D221" i="10"/>
  <c r="E221" i="10"/>
  <c r="F221" i="10"/>
  <c r="D222" i="10"/>
  <c r="E222" i="10"/>
  <c r="F222" i="10"/>
  <c r="D223" i="10"/>
  <c r="E223" i="10"/>
  <c r="F223" i="10"/>
  <c r="D224" i="10"/>
  <c r="E224" i="10"/>
  <c r="F224" i="10"/>
  <c r="D225" i="10"/>
  <c r="E225" i="10"/>
  <c r="F225" i="10"/>
  <c r="D226" i="10"/>
  <c r="E226" i="10"/>
  <c r="F226" i="10"/>
  <c r="D227" i="10"/>
  <c r="E227" i="10"/>
  <c r="F227" i="10"/>
  <c r="D228" i="10"/>
  <c r="E228" i="10"/>
  <c r="F228" i="10"/>
  <c r="D229" i="10"/>
  <c r="E229" i="10"/>
  <c r="F229" i="10"/>
  <c r="D230" i="10"/>
  <c r="E230" i="10"/>
  <c r="F230" i="10"/>
  <c r="D231" i="10"/>
  <c r="E231" i="10"/>
  <c r="F231" i="10"/>
  <c r="D232" i="10"/>
  <c r="E232" i="10"/>
  <c r="F232" i="10"/>
  <c r="D233" i="10"/>
  <c r="E233" i="10"/>
  <c r="F233" i="10"/>
  <c r="D240" i="10"/>
  <c r="D241" i="10"/>
  <c r="AC72" i="10"/>
  <c r="C112" i="4"/>
  <c r="BD112" i="4"/>
  <c r="D35" i="8"/>
  <c r="D78" i="10"/>
  <c r="AF69" i="3"/>
  <c r="D77" i="10"/>
  <c r="AF68" i="3"/>
  <c r="D76" i="10"/>
  <c r="D56" i="8"/>
  <c r="AF67" i="3"/>
  <c r="E8" i="10"/>
  <c r="E9" i="10"/>
  <c r="E10" i="10"/>
  <c r="E13" i="10"/>
  <c r="E14" i="10"/>
  <c r="E15" i="10"/>
  <c r="E19" i="10"/>
  <c r="E20" i="10"/>
  <c r="E21" i="10"/>
  <c r="E22" i="10"/>
  <c r="E23" i="10"/>
  <c r="E24" i="10"/>
  <c r="E27" i="10"/>
  <c r="E67" i="10"/>
  <c r="AD33" i="10"/>
  <c r="D74" i="4"/>
  <c r="BE74" i="4"/>
  <c r="E71" i="10"/>
  <c r="AD34" i="10"/>
  <c r="D75" i="4"/>
  <c r="BE75" i="4"/>
  <c r="E72" i="10"/>
  <c r="AD35" i="10"/>
  <c r="D76" i="4"/>
  <c r="BE76" i="4"/>
  <c r="E76" i="10"/>
  <c r="AD38" i="10"/>
  <c r="E77" i="10"/>
  <c r="AD39" i="10"/>
  <c r="D79" i="4"/>
  <c r="BE79" i="4"/>
  <c r="E78" i="10"/>
  <c r="AD40" i="10"/>
  <c r="D80" i="4"/>
  <c r="BE80" i="4"/>
  <c r="E80" i="10"/>
  <c r="AD42" i="10"/>
  <c r="E81" i="10"/>
  <c r="AD43" i="10"/>
  <c r="D83" i="4"/>
  <c r="BE83" i="4"/>
  <c r="E82" i="10"/>
  <c r="G46" i="10"/>
  <c r="G47" i="10"/>
  <c r="G49" i="10"/>
  <c r="G50" i="10"/>
  <c r="G52" i="10"/>
  <c r="G54" i="10"/>
  <c r="G55" i="10"/>
  <c r="G57" i="10"/>
  <c r="F42" i="10"/>
  <c r="M43" i="10"/>
  <c r="AC71" i="10"/>
  <c r="C111" i="4"/>
  <c r="BD111" i="4"/>
  <c r="D87" i="10"/>
  <c r="AC19" i="10"/>
  <c r="C60" i="4"/>
  <c r="BD60" i="4"/>
  <c r="D25" i="10"/>
  <c r="AC13" i="10"/>
  <c r="C55" i="4"/>
  <c r="BD55" i="4"/>
  <c r="D16" i="10"/>
  <c r="AC8" i="10"/>
  <c r="C50" i="4"/>
  <c r="BD50" i="4"/>
  <c r="D11" i="10"/>
  <c r="AC11" i="10"/>
  <c r="C53" i="4"/>
  <c r="BD53" i="4"/>
  <c r="AH51" i="3"/>
  <c r="AH50" i="3"/>
  <c r="AH49" i="3"/>
  <c r="AH48" i="3"/>
  <c r="AH47" i="3"/>
  <c r="AH46" i="3"/>
  <c r="AH45" i="3"/>
  <c r="AH43" i="3"/>
  <c r="AH42" i="3"/>
  <c r="AH41" i="3"/>
  <c r="AH40" i="3"/>
  <c r="AH39" i="3"/>
  <c r="AH37" i="3"/>
  <c r="AH36" i="3"/>
  <c r="AH35" i="3"/>
  <c r="C2" i="9"/>
  <c r="G93" i="8"/>
  <c r="E187" i="10"/>
  <c r="D187" i="10"/>
  <c r="E186" i="10"/>
  <c r="D186" i="10"/>
  <c r="E185" i="10"/>
  <c r="D185" i="10"/>
  <c r="E184" i="10"/>
  <c r="D184" i="10"/>
  <c r="E183" i="10"/>
  <c r="D183" i="10"/>
  <c r="E182" i="10"/>
  <c r="D182" i="10"/>
  <c r="E181" i="10"/>
  <c r="D181" i="10"/>
  <c r="E180" i="10"/>
  <c r="D180" i="10"/>
  <c r="E179" i="10"/>
  <c r="D179" i="10"/>
  <c r="E178" i="10"/>
  <c r="D178" i="10"/>
  <c r="O177" i="10"/>
  <c r="N177" i="10"/>
  <c r="J177" i="10"/>
  <c r="I177" i="10"/>
  <c r="E177" i="10"/>
  <c r="D177" i="10"/>
  <c r="O176" i="10"/>
  <c r="N176" i="10"/>
  <c r="J176" i="10"/>
  <c r="I176" i="10"/>
  <c r="E176" i="10"/>
  <c r="D176" i="10"/>
  <c r="O175" i="10"/>
  <c r="N175" i="10"/>
  <c r="J175" i="10"/>
  <c r="I175" i="10"/>
  <c r="E175" i="10"/>
  <c r="D175" i="10"/>
  <c r="O174" i="10"/>
  <c r="N174" i="10"/>
  <c r="J174" i="10"/>
  <c r="I174" i="10"/>
  <c r="E174" i="10"/>
  <c r="D174" i="10"/>
  <c r="O173" i="10"/>
  <c r="N173" i="10"/>
  <c r="J173" i="10"/>
  <c r="I173" i="10"/>
  <c r="E173" i="10"/>
  <c r="D173" i="10"/>
  <c r="O172" i="10"/>
  <c r="N172" i="10"/>
  <c r="J172" i="10"/>
  <c r="I172" i="10"/>
  <c r="E172" i="10"/>
  <c r="D172" i="10"/>
  <c r="O171" i="10"/>
  <c r="N171" i="10"/>
  <c r="J171" i="10"/>
  <c r="I171" i="10"/>
  <c r="E171" i="10"/>
  <c r="D171" i="10"/>
  <c r="O170" i="10"/>
  <c r="N170" i="10"/>
  <c r="J170" i="10"/>
  <c r="I170" i="10"/>
  <c r="E170" i="10"/>
  <c r="D170" i="10"/>
  <c r="O169" i="10"/>
  <c r="N169" i="10"/>
  <c r="J169" i="10"/>
  <c r="I169" i="10"/>
  <c r="E169" i="10"/>
  <c r="D169" i="10"/>
  <c r="D198" i="10"/>
  <c r="D199" i="10"/>
  <c r="O168" i="10"/>
  <c r="N168" i="10"/>
  <c r="N198" i="10"/>
  <c r="N199" i="10"/>
  <c r="J168" i="10"/>
  <c r="I168" i="10"/>
  <c r="I198" i="10"/>
  <c r="I199" i="10"/>
  <c r="E168" i="10"/>
  <c r="F168" i="10"/>
  <c r="E198" i="10"/>
  <c r="K168" i="10"/>
  <c r="J198" i="10"/>
  <c r="P168" i="10"/>
  <c r="O198" i="10"/>
  <c r="AE77" i="10"/>
  <c r="D117" i="4"/>
  <c r="BE117" i="4"/>
  <c r="F93" i="8"/>
  <c r="D93" i="8"/>
  <c r="K93" i="8"/>
  <c r="G94" i="8"/>
  <c r="R93" i="8"/>
  <c r="AH99" i="3"/>
  <c r="AC16" i="10"/>
  <c r="C57" i="4"/>
  <c r="BD57" i="4"/>
  <c r="D17" i="10"/>
  <c r="AC17" i="10"/>
  <c r="C58" i="4"/>
  <c r="BD58" i="4"/>
  <c r="AC25" i="10"/>
  <c r="C66" i="4"/>
  <c r="BD66" i="4"/>
  <c r="D26" i="10"/>
  <c r="AC49" i="10"/>
  <c r="C89" i="4"/>
  <c r="BD89" i="4"/>
  <c r="G87" i="10"/>
  <c r="C22" i="4"/>
  <c r="BD22" i="4"/>
  <c r="Q43" i="10"/>
  <c r="U43" i="10"/>
  <c r="O97" i="10"/>
  <c r="H99" i="10"/>
  <c r="H124" i="10"/>
  <c r="I57" i="10"/>
  <c r="J57" i="10"/>
  <c r="K57" i="10"/>
  <c r="L57" i="10"/>
  <c r="M57" i="10"/>
  <c r="N57" i="10"/>
  <c r="O57" i="10"/>
  <c r="P57" i="10"/>
  <c r="Q57" i="10"/>
  <c r="R57" i="10"/>
  <c r="S57" i="10"/>
  <c r="T57" i="10"/>
  <c r="I55" i="10"/>
  <c r="J55" i="10"/>
  <c r="K55" i="10"/>
  <c r="L55" i="10"/>
  <c r="M55" i="10"/>
  <c r="N55" i="10"/>
  <c r="O55" i="10"/>
  <c r="P55" i="10"/>
  <c r="Q55" i="10"/>
  <c r="R55" i="10"/>
  <c r="S55" i="10"/>
  <c r="T55" i="10"/>
  <c r="I54" i="10"/>
  <c r="J54" i="10"/>
  <c r="K54" i="10"/>
  <c r="L54" i="10"/>
  <c r="M54" i="10"/>
  <c r="N54" i="10"/>
  <c r="O54" i="10"/>
  <c r="P54" i="10"/>
  <c r="Q54" i="10"/>
  <c r="R54" i="10"/>
  <c r="S54" i="10"/>
  <c r="T54" i="10"/>
  <c r="I52" i="10"/>
  <c r="J52" i="10"/>
  <c r="K52" i="10"/>
  <c r="L52" i="10"/>
  <c r="M52" i="10"/>
  <c r="N52" i="10"/>
  <c r="O52" i="10"/>
  <c r="P52" i="10"/>
  <c r="Q52" i="10"/>
  <c r="R52" i="10"/>
  <c r="S52" i="10"/>
  <c r="T52" i="10"/>
  <c r="I50" i="10"/>
  <c r="J50" i="10"/>
  <c r="K50" i="10"/>
  <c r="L50" i="10"/>
  <c r="M50" i="10"/>
  <c r="N50" i="10"/>
  <c r="O50" i="10"/>
  <c r="P50" i="10"/>
  <c r="Q50" i="10"/>
  <c r="R50" i="10"/>
  <c r="S50" i="10"/>
  <c r="T50" i="10"/>
  <c r="I49" i="10"/>
  <c r="J49" i="10"/>
  <c r="K49" i="10"/>
  <c r="L49" i="10"/>
  <c r="M49" i="10"/>
  <c r="N49" i="10"/>
  <c r="O49" i="10"/>
  <c r="P49" i="10"/>
  <c r="Q49" i="10"/>
  <c r="R49" i="10"/>
  <c r="S49" i="10"/>
  <c r="T49" i="10"/>
  <c r="I47" i="10"/>
  <c r="J47" i="10"/>
  <c r="K47" i="10"/>
  <c r="L47" i="10"/>
  <c r="M47" i="10"/>
  <c r="N47" i="10"/>
  <c r="O47" i="10"/>
  <c r="P47" i="10"/>
  <c r="Q47" i="10"/>
  <c r="R47" i="10"/>
  <c r="S47" i="10"/>
  <c r="T47" i="10"/>
  <c r="I46" i="10"/>
  <c r="J46" i="10"/>
  <c r="K46" i="10"/>
  <c r="M46" i="10"/>
  <c r="N46" i="10"/>
  <c r="O46" i="10"/>
  <c r="R46" i="10"/>
  <c r="S46" i="10"/>
  <c r="AD44" i="10"/>
  <c r="D84" i="4"/>
  <c r="BE84" i="4"/>
  <c r="G82" i="10"/>
  <c r="C10" i="4"/>
  <c r="BD10" i="4"/>
  <c r="D82" i="4"/>
  <c r="BE82" i="4"/>
  <c r="AD27" i="10"/>
  <c r="D68" i="4"/>
  <c r="BE68" i="4"/>
  <c r="G24" i="10"/>
  <c r="AD24" i="10"/>
  <c r="D65" i="4"/>
  <c r="BE65" i="4"/>
  <c r="G23" i="10"/>
  <c r="AD23" i="10"/>
  <c r="D64" i="4"/>
  <c r="BE64" i="4"/>
  <c r="G22" i="10"/>
  <c r="AD22" i="10"/>
  <c r="D63" i="4"/>
  <c r="BE63" i="4"/>
  <c r="G21" i="10"/>
  <c r="AD21" i="10"/>
  <c r="D62" i="4"/>
  <c r="BE62" i="4"/>
  <c r="G20" i="10"/>
  <c r="E153" i="10"/>
  <c r="D56" i="10"/>
  <c r="F56" i="10"/>
  <c r="G56" i="10"/>
  <c r="AD20" i="10"/>
  <c r="D61" i="4"/>
  <c r="BE61" i="4"/>
  <c r="G19" i="10"/>
  <c r="AD19" i="10"/>
  <c r="D60" i="4"/>
  <c r="BE60" i="4"/>
  <c r="G15" i="10"/>
  <c r="E150" i="10"/>
  <c r="D53" i="10"/>
  <c r="F53" i="10"/>
  <c r="G53" i="10"/>
  <c r="AD15" i="10"/>
  <c r="G14" i="10"/>
  <c r="AD14" i="10"/>
  <c r="D56" i="4"/>
  <c r="BE56" i="4"/>
  <c r="G13" i="10"/>
  <c r="G16" i="10"/>
  <c r="AD13" i="10"/>
  <c r="D55" i="4"/>
  <c r="BE55" i="4"/>
  <c r="G10" i="10"/>
  <c r="AD10" i="10"/>
  <c r="D52" i="4"/>
  <c r="BE52" i="4"/>
  <c r="G9" i="10"/>
  <c r="E145" i="10"/>
  <c r="AD9" i="10"/>
  <c r="D51" i="4"/>
  <c r="BE51" i="4"/>
  <c r="G8" i="10"/>
  <c r="AD8" i="10"/>
  <c r="D50" i="4"/>
  <c r="BE50" i="4"/>
  <c r="AG67" i="3"/>
  <c r="C67" i="3"/>
  <c r="B70" i="3"/>
  <c r="AC38" i="10"/>
  <c r="G76" i="10"/>
  <c r="D79" i="10"/>
  <c r="AC41" i="10"/>
  <c r="AG68" i="3"/>
  <c r="C68" i="3"/>
  <c r="AC39" i="10"/>
  <c r="C79" i="4"/>
  <c r="BD79" i="4"/>
  <c r="G77" i="10"/>
  <c r="D150" i="10"/>
  <c r="AG69" i="3"/>
  <c r="AF70" i="3"/>
  <c r="C69" i="3"/>
  <c r="AC40" i="10"/>
  <c r="C80" i="4"/>
  <c r="BD80" i="4"/>
  <c r="G78" i="10"/>
  <c r="D146" i="10"/>
  <c r="D27" i="10"/>
  <c r="AC27" i="10"/>
  <c r="C68" i="4"/>
  <c r="BD68" i="4"/>
  <c r="D36" i="8"/>
  <c r="G9" i="8"/>
  <c r="E57" i="8"/>
  <c r="D80" i="10"/>
  <c r="AF71" i="3"/>
  <c r="F204" i="10"/>
  <c r="E234" i="10"/>
  <c r="P204" i="10"/>
  <c r="O234" i="10"/>
  <c r="K204" i="10"/>
  <c r="J234" i="10"/>
  <c r="AG53" i="3"/>
  <c r="AH53" i="3"/>
  <c r="C53" i="3"/>
  <c r="C54" i="3"/>
  <c r="B54" i="3"/>
  <c r="D28" i="10"/>
  <c r="AC28" i="10"/>
  <c r="C69" i="4"/>
  <c r="BD69" i="4"/>
  <c r="F96" i="8"/>
  <c r="D96" i="8"/>
  <c r="P93" i="8"/>
  <c r="N93" i="8"/>
  <c r="F169" i="10"/>
  <c r="K169" i="10"/>
  <c r="P169" i="10"/>
  <c r="F170" i="10"/>
  <c r="K170" i="10"/>
  <c r="P170" i="10"/>
  <c r="F171" i="10"/>
  <c r="K171" i="10"/>
  <c r="P171" i="10"/>
  <c r="F172" i="10"/>
  <c r="K172" i="10"/>
  <c r="P172" i="10"/>
  <c r="F173" i="10"/>
  <c r="K173" i="10"/>
  <c r="P173" i="10"/>
  <c r="F174" i="10"/>
  <c r="K174" i="10"/>
  <c r="P174" i="10"/>
  <c r="F175" i="10"/>
  <c r="K175" i="10"/>
  <c r="P175" i="10"/>
  <c r="F176" i="10"/>
  <c r="K176" i="10"/>
  <c r="P176" i="10"/>
  <c r="F177" i="10"/>
  <c r="K177" i="10"/>
  <c r="P177" i="10"/>
  <c r="F178" i="10"/>
  <c r="F179" i="10"/>
  <c r="F180" i="10"/>
  <c r="F181" i="10"/>
  <c r="F182" i="10"/>
  <c r="F183" i="10"/>
  <c r="F184" i="10"/>
  <c r="F185" i="10"/>
  <c r="F186" i="10"/>
  <c r="F187" i="10"/>
  <c r="D234" i="10"/>
  <c r="D235" i="10"/>
  <c r="N234" i="10"/>
  <c r="N235" i="10"/>
  <c r="I234" i="10"/>
  <c r="I235" i="10"/>
  <c r="H85" i="10"/>
  <c r="D34" i="3"/>
  <c r="D35" i="3"/>
  <c r="D36" i="3"/>
  <c r="D39" i="3"/>
  <c r="D40" i="3"/>
  <c r="D41" i="3"/>
  <c r="D45" i="3"/>
  <c r="D46" i="3"/>
  <c r="D47" i="3"/>
  <c r="D48" i="3"/>
  <c r="D49" i="3"/>
  <c r="D50" i="3"/>
  <c r="K234" i="10"/>
  <c r="J235" i="10"/>
  <c r="K235" i="10"/>
  <c r="P234" i="10"/>
  <c r="O235" i="10"/>
  <c r="P235" i="10"/>
  <c r="F234" i="10"/>
  <c r="E235" i="10"/>
  <c r="F235" i="10"/>
  <c r="AG71" i="3"/>
  <c r="C71" i="3"/>
  <c r="AG70" i="3"/>
  <c r="C12" i="4"/>
  <c r="BD12" i="4"/>
  <c r="C81" i="4"/>
  <c r="BD81" i="4"/>
  <c r="G79" i="10"/>
  <c r="D154" i="10"/>
  <c r="G11" i="10"/>
  <c r="E148" i="10"/>
  <c r="D51" i="10"/>
  <c r="F51" i="10"/>
  <c r="G51" i="10"/>
  <c r="D48" i="10"/>
  <c r="G17" i="10"/>
  <c r="H48" i="10"/>
  <c r="I53" i="10"/>
  <c r="J53" i="10"/>
  <c r="K53" i="10"/>
  <c r="L53" i="10"/>
  <c r="M53" i="10"/>
  <c r="N53" i="10"/>
  <c r="O53" i="10"/>
  <c r="P53" i="10"/>
  <c r="Q53" i="10"/>
  <c r="R53" i="10"/>
  <c r="S53" i="10"/>
  <c r="T53" i="10"/>
  <c r="G25" i="10"/>
  <c r="G26" i="10"/>
  <c r="E155" i="10"/>
  <c r="D58" i="10"/>
  <c r="F58" i="10"/>
  <c r="G58" i="10"/>
  <c r="I56" i="10"/>
  <c r="J56" i="10"/>
  <c r="K56" i="10"/>
  <c r="L56" i="10"/>
  <c r="M56" i="10"/>
  <c r="N56" i="10"/>
  <c r="O56" i="10"/>
  <c r="P56" i="10"/>
  <c r="Q56" i="10"/>
  <c r="R56" i="10"/>
  <c r="S56" i="10"/>
  <c r="T56" i="10"/>
  <c r="P46" i="10"/>
  <c r="L46" i="10"/>
  <c r="AC26" i="10"/>
  <c r="C67" i="4"/>
  <c r="BD67" i="4"/>
  <c r="C14" i="4"/>
  <c r="R92" i="8"/>
  <c r="F118" i="10"/>
  <c r="D67" i="10"/>
  <c r="J67" i="10"/>
  <c r="J70" i="10"/>
  <c r="I67" i="10"/>
  <c r="I70" i="10"/>
  <c r="F67" i="10"/>
  <c r="G67" i="10"/>
  <c r="G70" i="10"/>
  <c r="K70" i="10"/>
  <c r="G116" i="10"/>
  <c r="G118" i="10"/>
  <c r="R91" i="8"/>
  <c r="F117" i="10"/>
  <c r="G117" i="10"/>
  <c r="G119" i="10"/>
  <c r="F94" i="8"/>
  <c r="D94" i="8"/>
  <c r="K94" i="8"/>
  <c r="G95" i="8"/>
  <c r="F95" i="8"/>
  <c r="D95" i="8"/>
  <c r="K95" i="8"/>
  <c r="H93" i="8"/>
  <c r="AF60" i="3"/>
  <c r="P198" i="10"/>
  <c r="O199" i="10"/>
  <c r="P199" i="10"/>
  <c r="D86" i="10"/>
  <c r="K198" i="10"/>
  <c r="J199" i="10"/>
  <c r="K199" i="10"/>
  <c r="D85" i="10"/>
  <c r="F198" i="10"/>
  <c r="E199" i="10"/>
  <c r="F199" i="10"/>
  <c r="D53" i="3"/>
  <c r="C70" i="3"/>
  <c r="G27" i="10"/>
  <c r="E156" i="10"/>
  <c r="D59" i="10"/>
  <c r="F59" i="10"/>
  <c r="G59" i="10"/>
  <c r="J59" i="10"/>
  <c r="K59" i="10"/>
  <c r="L59" i="10"/>
  <c r="N59" i="10"/>
  <c r="O59" i="10"/>
  <c r="P59" i="10"/>
  <c r="R59" i="10"/>
  <c r="S59" i="10"/>
  <c r="T59" i="10"/>
  <c r="D84" i="10"/>
  <c r="D62" i="8"/>
  <c r="AC47" i="10"/>
  <c r="C87" i="4"/>
  <c r="BD87" i="4"/>
  <c r="G85" i="10"/>
  <c r="AC48" i="10"/>
  <c r="C88" i="4"/>
  <c r="BD88" i="4"/>
  <c r="AG60" i="3"/>
  <c r="C60" i="3"/>
  <c r="H96" i="8"/>
  <c r="AC33" i="10"/>
  <c r="C74" i="4"/>
  <c r="BD74" i="4"/>
  <c r="H67" i="10"/>
  <c r="H70" i="10"/>
  <c r="D70" i="10"/>
  <c r="I93" i="8"/>
  <c r="D118" i="10"/>
  <c r="D121" i="10"/>
  <c r="I96" i="8"/>
  <c r="C8" i="4"/>
  <c r="BD8" i="4"/>
  <c r="BD14" i="4"/>
  <c r="I58" i="10"/>
  <c r="I38" i="10"/>
  <c r="AH40" i="10"/>
  <c r="B29" i="4"/>
  <c r="BC29" i="4"/>
  <c r="J58" i="10"/>
  <c r="K58" i="10"/>
  <c r="L58" i="10"/>
  <c r="M58" i="10"/>
  <c r="M38" i="10"/>
  <c r="AI40" i="10"/>
  <c r="C29" i="4"/>
  <c r="BD29" i="4"/>
  <c r="N58" i="10"/>
  <c r="O58" i="10"/>
  <c r="P58" i="10"/>
  <c r="Q58" i="10"/>
  <c r="Q38" i="10"/>
  <c r="AJ40" i="10"/>
  <c r="R58" i="10"/>
  <c r="S58" i="10"/>
  <c r="T58" i="10"/>
  <c r="F48" i="10"/>
  <c r="D60" i="10"/>
  <c r="I51" i="10"/>
  <c r="I40" i="10"/>
  <c r="J51" i="10"/>
  <c r="J40" i="10"/>
  <c r="K51" i="10"/>
  <c r="L51" i="10"/>
  <c r="M51" i="10"/>
  <c r="M40" i="10"/>
  <c r="N51" i="10"/>
  <c r="N40" i="10"/>
  <c r="O51" i="10"/>
  <c r="P51" i="10"/>
  <c r="Q51" i="10"/>
  <c r="Q40" i="10"/>
  <c r="R51" i="10"/>
  <c r="R40" i="10"/>
  <c r="S51" i="10"/>
  <c r="T51" i="10"/>
  <c r="E157" i="10"/>
  <c r="D51" i="3"/>
  <c r="D42" i="3"/>
  <c r="D37" i="3"/>
  <c r="G48" i="10"/>
  <c r="F60" i="10"/>
  <c r="C15" i="4"/>
  <c r="BD15" i="4"/>
  <c r="F70" i="10"/>
  <c r="D72" i="10"/>
  <c r="D50" i="8"/>
  <c r="AF62" i="3"/>
  <c r="D71" i="10"/>
  <c r="D58" i="8"/>
  <c r="AF61" i="3"/>
  <c r="D74" i="8"/>
  <c r="AC46" i="10"/>
  <c r="C86" i="4"/>
  <c r="BD86" i="4"/>
  <c r="D43" i="3"/>
  <c r="D52" i="3"/>
  <c r="D54" i="3"/>
  <c r="D73" i="10"/>
  <c r="H116" i="10"/>
  <c r="AC36" i="10"/>
  <c r="AG61" i="3"/>
  <c r="AF63" i="3"/>
  <c r="C61" i="3"/>
  <c r="D81" i="10"/>
  <c r="AF72" i="3"/>
  <c r="B63" i="3"/>
  <c r="AC34" i="10"/>
  <c r="C75" i="4"/>
  <c r="BD75" i="4"/>
  <c r="G71" i="10"/>
  <c r="D148" i="10"/>
  <c r="AG62" i="3"/>
  <c r="C62" i="3"/>
  <c r="D60" i="8"/>
  <c r="D66" i="8"/>
  <c r="F43" i="8"/>
  <c r="AC35" i="10"/>
  <c r="C76" i="4"/>
  <c r="BD76" i="4"/>
  <c r="G72" i="10"/>
  <c r="D155" i="10"/>
  <c r="I48" i="10"/>
  <c r="J48" i="10"/>
  <c r="J60" i="10"/>
  <c r="K48" i="10"/>
  <c r="N48" i="10"/>
  <c r="N60" i="10"/>
  <c r="N63" i="10"/>
  <c r="O48" i="10"/>
  <c r="Q48" i="10"/>
  <c r="R48" i="10"/>
  <c r="R60" i="10"/>
  <c r="R63" i="10"/>
  <c r="S48" i="10"/>
  <c r="H49" i="10"/>
  <c r="M48" i="10"/>
  <c r="G60" i="10"/>
  <c r="G73" i="10"/>
  <c r="AI39" i="10"/>
  <c r="M60" i="10"/>
  <c r="T48" i="10"/>
  <c r="S60" i="10"/>
  <c r="S63" i="10"/>
  <c r="AJ42" i="10"/>
  <c r="AJ39" i="10"/>
  <c r="AJ38" i="10"/>
  <c r="D27" i="4"/>
  <c r="BE27" i="4"/>
  <c r="P48" i="10"/>
  <c r="P60" i="10"/>
  <c r="P63" i="10"/>
  <c r="O60" i="10"/>
  <c r="O63" i="10"/>
  <c r="AI42" i="10"/>
  <c r="L48" i="10"/>
  <c r="L60" i="10"/>
  <c r="K60" i="10"/>
  <c r="AH42" i="10"/>
  <c r="AH39" i="10"/>
  <c r="I60" i="10"/>
  <c r="I39" i="10"/>
  <c r="AH41" i="10"/>
  <c r="B30" i="4"/>
  <c r="BC30" i="4"/>
  <c r="AG72" i="3"/>
  <c r="B74" i="3"/>
  <c r="AF74" i="3"/>
  <c r="C11" i="4"/>
  <c r="BD11" i="4"/>
  <c r="C77" i="4"/>
  <c r="BD77" i="4"/>
  <c r="C63" i="3"/>
  <c r="AG63" i="3"/>
  <c r="AH73" i="3"/>
  <c r="AH74" i="3"/>
  <c r="AH67" i="3"/>
  <c r="AH68" i="3"/>
  <c r="AH69" i="3"/>
  <c r="AH71" i="3"/>
  <c r="AH70" i="3"/>
  <c r="AH60" i="3"/>
  <c r="AH61" i="3"/>
  <c r="AH62" i="3"/>
  <c r="D73" i="3"/>
  <c r="D67" i="3"/>
  <c r="D68" i="3"/>
  <c r="D69" i="3"/>
  <c r="D71" i="3"/>
  <c r="D60" i="3"/>
  <c r="D61" i="3"/>
  <c r="D62" i="3"/>
  <c r="AH38" i="10"/>
  <c r="B27" i="4"/>
  <c r="BC27" i="4"/>
  <c r="B28" i="4"/>
  <c r="BC28" i="4"/>
  <c r="AH43" i="10"/>
  <c r="B32" i="4"/>
  <c r="B31" i="4"/>
  <c r="BC31" i="4"/>
  <c r="C31" i="4"/>
  <c r="BD31" i="4"/>
  <c r="D31" i="4"/>
  <c r="BE31" i="4"/>
  <c r="M39" i="10"/>
  <c r="AI41" i="10"/>
  <c r="C30" i="4"/>
  <c r="BD30" i="4"/>
  <c r="M63" i="10"/>
  <c r="AI38" i="10"/>
  <c r="C27" i="4"/>
  <c r="BD27" i="4"/>
  <c r="C28" i="4"/>
  <c r="BD28" i="4"/>
  <c r="AH63" i="3"/>
  <c r="D72" i="3"/>
  <c r="AH72" i="3"/>
  <c r="Z27" i="4"/>
  <c r="Z28" i="4"/>
  <c r="A40" i="4"/>
  <c r="BB40" i="4"/>
  <c r="BC32" i="4"/>
  <c r="AI43" i="10"/>
  <c r="C32" i="4"/>
  <c r="BD32" i="4"/>
  <c r="D63" i="3"/>
  <c r="D70" i="3"/>
  <c r="D74" i="3"/>
  <c r="F125" i="10"/>
  <c r="F126" i="10"/>
  <c r="H126" i="10"/>
  <c r="F127" i="10"/>
  <c r="H127" i="10"/>
  <c r="F128" i="10"/>
  <c r="H128" i="10"/>
  <c r="F129" i="10"/>
  <c r="H129" i="10"/>
  <c r="F130" i="10"/>
  <c r="H130" i="10"/>
  <c r="F131" i="10"/>
  <c r="H131" i="10"/>
  <c r="F132" i="10"/>
  <c r="H132" i="10"/>
  <c r="F133" i="10"/>
  <c r="H133" i="10"/>
  <c r="F134" i="10"/>
  <c r="H134" i="10"/>
  <c r="F135" i="10"/>
  <c r="H135" i="10"/>
  <c r="F136" i="10"/>
  <c r="H136" i="10"/>
  <c r="F137" i="10"/>
  <c r="H137" i="10"/>
  <c r="F138" i="10"/>
  <c r="H138" i="10"/>
  <c r="F100" i="10"/>
  <c r="F101" i="10"/>
  <c r="F102" i="10"/>
  <c r="F103" i="10"/>
  <c r="F104" i="10"/>
  <c r="F105" i="10"/>
  <c r="F106" i="10"/>
  <c r="F107" i="10"/>
  <c r="F108" i="10"/>
  <c r="F109" i="10"/>
  <c r="F110" i="10"/>
  <c r="F111" i="10"/>
  <c r="F112" i="10"/>
  <c r="F113" i="10"/>
  <c r="AC43" i="10"/>
  <c r="C83" i="4"/>
  <c r="BD83" i="4"/>
  <c r="G81" i="10"/>
  <c r="D156" i="10"/>
  <c r="AC42" i="10"/>
  <c r="C82" i="4"/>
  <c r="BD82" i="4"/>
  <c r="G80" i="10"/>
  <c r="D83" i="10"/>
  <c r="D90" i="10"/>
  <c r="E86" i="10"/>
  <c r="E84" i="10"/>
  <c r="E100" i="10"/>
  <c r="E101" i="10"/>
  <c r="E102" i="10"/>
  <c r="E103" i="10"/>
  <c r="E104" i="10"/>
  <c r="E105" i="10"/>
  <c r="E106" i="10"/>
  <c r="E107" i="10"/>
  <c r="E108" i="10"/>
  <c r="E109" i="10"/>
  <c r="E110" i="10"/>
  <c r="E111" i="10"/>
  <c r="E112" i="10"/>
  <c r="E113" i="10"/>
  <c r="R226" i="11"/>
  <c r="W59" i="10"/>
  <c r="Q226" i="11"/>
  <c r="V59" i="10"/>
  <c r="P226" i="11"/>
  <c r="S226" i="11"/>
  <c r="R225" i="11"/>
  <c r="W58" i="10"/>
  <c r="Q225" i="11"/>
  <c r="V58" i="10"/>
  <c r="P225" i="11"/>
  <c r="R224" i="11"/>
  <c r="W57" i="10"/>
  <c r="Q224" i="11"/>
  <c r="V57" i="10"/>
  <c r="P224" i="11"/>
  <c r="R223" i="11"/>
  <c r="W56" i="10"/>
  <c r="Q223" i="11"/>
  <c r="V56" i="10"/>
  <c r="P223" i="11"/>
  <c r="R222" i="11"/>
  <c r="W55" i="10"/>
  <c r="Q222" i="11"/>
  <c r="V55" i="10"/>
  <c r="P222" i="11"/>
  <c r="R221" i="11"/>
  <c r="W54" i="10"/>
  <c r="Q221" i="11"/>
  <c r="V54" i="10"/>
  <c r="P221" i="11"/>
  <c r="R220" i="11"/>
  <c r="W53" i="10"/>
  <c r="Q220" i="11"/>
  <c r="V53" i="10"/>
  <c r="P220" i="11"/>
  <c r="R219" i="11"/>
  <c r="W52" i="10"/>
  <c r="Q219" i="11"/>
  <c r="V52" i="10"/>
  <c r="P219" i="11"/>
  <c r="R218" i="11"/>
  <c r="W51" i="10"/>
  <c r="Q218" i="11"/>
  <c r="V51" i="10"/>
  <c r="P218" i="11"/>
  <c r="R217" i="11"/>
  <c r="W50" i="10"/>
  <c r="Q217" i="11"/>
  <c r="V50" i="10"/>
  <c r="P217" i="11"/>
  <c r="R216" i="11"/>
  <c r="W49" i="10"/>
  <c r="Q216" i="11"/>
  <c r="V49" i="10"/>
  <c r="V40" i="10"/>
  <c r="P216" i="11"/>
  <c r="R215" i="11"/>
  <c r="W48" i="10"/>
  <c r="Q215" i="11"/>
  <c r="V48" i="10"/>
  <c r="P215" i="11"/>
  <c r="R214" i="11"/>
  <c r="W47" i="10"/>
  <c r="Q214" i="11"/>
  <c r="V47" i="10"/>
  <c r="P214" i="11"/>
  <c r="R213" i="11"/>
  <c r="W46" i="10"/>
  <c r="Q213" i="11"/>
  <c r="V46" i="10"/>
  <c r="V60" i="10"/>
  <c r="V63" i="10"/>
  <c r="L213" i="11"/>
  <c r="M138" i="10"/>
  <c r="N138" i="10"/>
  <c r="O138" i="10"/>
  <c r="Q138" i="10"/>
  <c r="R138" i="10"/>
  <c r="S138" i="10"/>
  <c r="T138" i="10"/>
  <c r="U138" i="10"/>
  <c r="V138" i="10"/>
  <c r="W138" i="10"/>
  <c r="M137" i="10"/>
  <c r="N137" i="10"/>
  <c r="O137" i="10"/>
  <c r="Q137" i="10"/>
  <c r="R137" i="10"/>
  <c r="S137" i="10"/>
  <c r="T137" i="10"/>
  <c r="U137" i="10"/>
  <c r="V137" i="10"/>
  <c r="W137" i="10"/>
  <c r="M136" i="10"/>
  <c r="N136" i="10"/>
  <c r="O136" i="10"/>
  <c r="Q136" i="10"/>
  <c r="R136" i="10"/>
  <c r="S136" i="10"/>
  <c r="T136" i="10"/>
  <c r="U136" i="10"/>
  <c r="V136" i="10"/>
  <c r="W136" i="10"/>
  <c r="M135" i="10"/>
  <c r="N135" i="10"/>
  <c r="O135" i="10"/>
  <c r="Q135" i="10"/>
  <c r="R135" i="10"/>
  <c r="S135" i="10"/>
  <c r="T135" i="10"/>
  <c r="U135" i="10"/>
  <c r="V135" i="10"/>
  <c r="W135" i="10"/>
  <c r="M134" i="10"/>
  <c r="N134" i="10"/>
  <c r="O134" i="10"/>
  <c r="Q134" i="10"/>
  <c r="R134" i="10"/>
  <c r="S134" i="10"/>
  <c r="T134" i="10"/>
  <c r="U134" i="10"/>
  <c r="V134" i="10"/>
  <c r="W134" i="10"/>
  <c r="M133" i="10"/>
  <c r="N133" i="10"/>
  <c r="O133" i="10"/>
  <c r="Q133" i="10"/>
  <c r="R133" i="10"/>
  <c r="S133" i="10"/>
  <c r="T133" i="10"/>
  <c r="U133" i="10"/>
  <c r="V133" i="10"/>
  <c r="W133" i="10"/>
  <c r="M132" i="10"/>
  <c r="N132" i="10"/>
  <c r="O132" i="10"/>
  <c r="Q132" i="10"/>
  <c r="R132" i="10"/>
  <c r="S132" i="10"/>
  <c r="T132" i="10"/>
  <c r="U132" i="10"/>
  <c r="V132" i="10"/>
  <c r="W132" i="10"/>
  <c r="M131" i="10"/>
  <c r="N131" i="10"/>
  <c r="O131" i="10"/>
  <c r="Q131" i="10"/>
  <c r="R131" i="10"/>
  <c r="S131" i="10"/>
  <c r="T131" i="10"/>
  <c r="U131" i="10"/>
  <c r="V131" i="10"/>
  <c r="W131" i="10"/>
  <c r="M130" i="10"/>
  <c r="N130" i="10"/>
  <c r="O130" i="10"/>
  <c r="Q130" i="10"/>
  <c r="R130" i="10"/>
  <c r="S130" i="10"/>
  <c r="T130" i="10"/>
  <c r="U130" i="10"/>
  <c r="V130" i="10"/>
  <c r="W130" i="10"/>
  <c r="M129" i="10"/>
  <c r="N129" i="10"/>
  <c r="O129" i="10"/>
  <c r="Q129" i="10"/>
  <c r="R129" i="10"/>
  <c r="S129" i="10"/>
  <c r="T129" i="10"/>
  <c r="U129" i="10"/>
  <c r="V129" i="10"/>
  <c r="W129" i="10"/>
  <c r="M128" i="10"/>
  <c r="N128" i="10"/>
  <c r="O128" i="10"/>
  <c r="Q128" i="10"/>
  <c r="R128" i="10"/>
  <c r="S128" i="10"/>
  <c r="T128" i="10"/>
  <c r="U128" i="10"/>
  <c r="V128" i="10"/>
  <c r="W128" i="10"/>
  <c r="M127" i="10"/>
  <c r="N127" i="10"/>
  <c r="O127" i="10"/>
  <c r="Q127" i="10"/>
  <c r="R127" i="10"/>
  <c r="S127" i="10"/>
  <c r="T127" i="10"/>
  <c r="U127" i="10"/>
  <c r="V127" i="10"/>
  <c r="W127" i="10"/>
  <c r="M126" i="10"/>
  <c r="N126" i="10"/>
  <c r="O126" i="10"/>
  <c r="Q126" i="10"/>
  <c r="R126" i="10"/>
  <c r="S126" i="10"/>
  <c r="T126" i="10"/>
  <c r="U126" i="10"/>
  <c r="V126" i="10"/>
  <c r="W126" i="10"/>
  <c r="H125" i="10"/>
  <c r="F139" i="10"/>
  <c r="F114" i="10"/>
  <c r="AD46" i="10"/>
  <c r="D86" i="4"/>
  <c r="BE86" i="4"/>
  <c r="H84" i="10"/>
  <c r="G84" i="10"/>
  <c r="AD48" i="10"/>
  <c r="D88" i="4"/>
  <c r="BE88" i="4"/>
  <c r="H86" i="10"/>
  <c r="G86" i="10"/>
  <c r="AC52" i="10"/>
  <c r="C92" i="4"/>
  <c r="D91" i="10"/>
  <c r="C17" i="4"/>
  <c r="AC45" i="10"/>
  <c r="C85" i="4"/>
  <c r="BD85" i="4"/>
  <c r="D89" i="10"/>
  <c r="D144" i="10"/>
  <c r="G144" i="10"/>
  <c r="H144" i="10"/>
  <c r="H150" i="10"/>
  <c r="H151" i="10"/>
  <c r="G83" i="10"/>
  <c r="G89" i="10"/>
  <c r="G90" i="10"/>
  <c r="C18" i="4"/>
  <c r="BD18" i="4"/>
  <c r="E114" i="10"/>
  <c r="S213" i="11"/>
  <c r="U46" i="10"/>
  <c r="W60" i="10"/>
  <c r="W63" i="10"/>
  <c r="AK42" i="10"/>
  <c r="E31" i="4"/>
  <c r="BF31" i="4"/>
  <c r="X46" i="10"/>
  <c r="S214" i="11"/>
  <c r="U47" i="10"/>
  <c r="X47" i="10"/>
  <c r="S215" i="11"/>
  <c r="U48" i="10"/>
  <c r="AK39" i="10"/>
  <c r="X48" i="10"/>
  <c r="S216" i="11"/>
  <c r="U49" i="10"/>
  <c r="X49" i="10"/>
  <c r="S217" i="11"/>
  <c r="U50" i="10"/>
  <c r="X50" i="10"/>
  <c r="S218" i="11"/>
  <c r="U51" i="10"/>
  <c r="X51" i="10"/>
  <c r="S219" i="11"/>
  <c r="U52" i="10"/>
  <c r="X52" i="10"/>
  <c r="S220" i="11"/>
  <c r="U53" i="10"/>
  <c r="X53" i="10"/>
  <c r="S221" i="11"/>
  <c r="U54" i="10"/>
  <c r="X54" i="10"/>
  <c r="S222" i="11"/>
  <c r="U55" i="10"/>
  <c r="X55" i="10"/>
  <c r="S223" i="11"/>
  <c r="U56" i="10"/>
  <c r="X56" i="10"/>
  <c r="S224" i="11"/>
  <c r="U57" i="10"/>
  <c r="X57" i="10"/>
  <c r="S225" i="11"/>
  <c r="U58" i="10"/>
  <c r="U38" i="10"/>
  <c r="AK40" i="10"/>
  <c r="X58" i="10"/>
  <c r="X59" i="10"/>
  <c r="Y126" i="10"/>
  <c r="Z126" i="10"/>
  <c r="AA126" i="10"/>
  <c r="Y127" i="10"/>
  <c r="Z127" i="10"/>
  <c r="AA127" i="10"/>
  <c r="Y128" i="10"/>
  <c r="Z128" i="10"/>
  <c r="AA128" i="10"/>
  <c r="Y129" i="10"/>
  <c r="Z129" i="10"/>
  <c r="AA129" i="10"/>
  <c r="Y130" i="10"/>
  <c r="Z130" i="10"/>
  <c r="AA130" i="10"/>
  <c r="Y131" i="10"/>
  <c r="Z131" i="10"/>
  <c r="AA131" i="10"/>
  <c r="Y132" i="10"/>
  <c r="Z132" i="10"/>
  <c r="AA132" i="10"/>
  <c r="Y133" i="10"/>
  <c r="Z133" i="10"/>
  <c r="AA133" i="10"/>
  <c r="Y134" i="10"/>
  <c r="Z134" i="10"/>
  <c r="AA134" i="10"/>
  <c r="Y135" i="10"/>
  <c r="Z135" i="10"/>
  <c r="AA135" i="10"/>
  <c r="Y136" i="10"/>
  <c r="Z136" i="10"/>
  <c r="AA136" i="10"/>
  <c r="Y137" i="10"/>
  <c r="Z137" i="10"/>
  <c r="AA137" i="10"/>
  <c r="Y138" i="10"/>
  <c r="Z138" i="10"/>
  <c r="AA138" i="10"/>
  <c r="Y125" i="10"/>
  <c r="Y139" i="10"/>
  <c r="Y141" i="10"/>
  <c r="Z125" i="10"/>
  <c r="O213" i="11"/>
  <c r="Q46" i="10"/>
  <c r="T125" i="10"/>
  <c r="T139" i="10"/>
  <c r="M125" i="10"/>
  <c r="M139" i="10"/>
  <c r="N125" i="10"/>
  <c r="Q125" i="10"/>
  <c r="Q139" i="10"/>
  <c r="Q141" i="10"/>
  <c r="R125" i="10"/>
  <c r="U125" i="10"/>
  <c r="U139" i="10"/>
  <c r="U141" i="10"/>
  <c r="V125" i="10"/>
  <c r="H139" i="10"/>
  <c r="P139" i="10"/>
  <c r="H90" i="10"/>
  <c r="C20" i="4"/>
  <c r="BD20" i="4"/>
  <c r="H157" i="10"/>
  <c r="G157" i="10"/>
  <c r="I144" i="10"/>
  <c r="I157" i="10"/>
  <c r="AC51" i="10"/>
  <c r="C91" i="4"/>
  <c r="BD91" i="4"/>
  <c r="E90" i="10"/>
  <c r="C19" i="4"/>
  <c r="BD19" i="4"/>
  <c r="C16" i="4"/>
  <c r="BD16" i="4"/>
  <c r="BD17" i="4"/>
  <c r="C21" i="4"/>
  <c r="BD21" i="4"/>
  <c r="D153" i="10"/>
  <c r="D100" i="10"/>
  <c r="Z139" i="10"/>
  <c r="AA125" i="10"/>
  <c r="U40" i="10"/>
  <c r="AK38" i="10"/>
  <c r="E27" i="4"/>
  <c r="BF27" i="4"/>
  <c r="X60" i="10"/>
  <c r="X63" i="10"/>
  <c r="U60" i="10"/>
  <c r="T141" i="10"/>
  <c r="AJ47" i="10"/>
  <c r="T46" i="10"/>
  <c r="T60" i="10"/>
  <c r="T63" i="10"/>
  <c r="Q60" i="10"/>
  <c r="X139" i="10"/>
  <c r="P141" i="10"/>
  <c r="AI47" i="10"/>
  <c r="P160" i="10"/>
  <c r="S160" i="10"/>
  <c r="W125" i="10"/>
  <c r="V139" i="10"/>
  <c r="S125" i="10"/>
  <c r="R139" i="10"/>
  <c r="O125" i="10"/>
  <c r="N139" i="10"/>
  <c r="G100" i="10"/>
  <c r="D157" i="10"/>
  <c r="D113" i="10"/>
  <c r="G113" i="10"/>
  <c r="D112" i="10"/>
  <c r="G112" i="10"/>
  <c r="D111" i="10"/>
  <c r="G111" i="10"/>
  <c r="D110" i="10"/>
  <c r="G110" i="10"/>
  <c r="D109" i="10"/>
  <c r="G109" i="10"/>
  <c r="D108" i="10"/>
  <c r="G108" i="10"/>
  <c r="D107" i="10"/>
  <c r="G107" i="10"/>
  <c r="D106" i="10"/>
  <c r="G106" i="10"/>
  <c r="D105" i="10"/>
  <c r="G105" i="10"/>
  <c r="D104" i="10"/>
  <c r="G104" i="10"/>
  <c r="D103" i="10"/>
  <c r="G103" i="10"/>
  <c r="D102" i="10"/>
  <c r="G102" i="10"/>
  <c r="D101" i="10"/>
  <c r="G101" i="10"/>
  <c r="R38" i="10"/>
  <c r="Q39" i="10"/>
  <c r="U63" i="10"/>
  <c r="U39" i="10"/>
  <c r="AK41" i="10"/>
  <c r="V38" i="10"/>
  <c r="Z141" i="10"/>
  <c r="AA139" i="10"/>
  <c r="AA141" i="10"/>
  <c r="AJ41" i="10"/>
  <c r="Q63" i="10"/>
  <c r="AJ46" i="10"/>
  <c r="D35" i="4"/>
  <c r="BE35" i="4"/>
  <c r="S139" i="10"/>
  <c r="S141" i="10"/>
  <c r="R141" i="10"/>
  <c r="V141" i="10"/>
  <c r="W139" i="10"/>
  <c r="W141" i="10"/>
  <c r="AI46" i="10"/>
  <c r="C35" i="4"/>
  <c r="BD35" i="4"/>
  <c r="X160" i="10"/>
  <c r="AA160" i="10"/>
  <c r="X141" i="10"/>
  <c r="AK47" i="10"/>
  <c r="AK46" i="10"/>
  <c r="E35" i="4"/>
  <c r="BF35" i="4"/>
  <c r="H101" i="10"/>
  <c r="I101" i="10"/>
  <c r="H102" i="10"/>
  <c r="I102" i="10"/>
  <c r="H103" i="10"/>
  <c r="I103" i="10"/>
  <c r="H104" i="10"/>
  <c r="I104" i="10"/>
  <c r="H105" i="10"/>
  <c r="I105" i="10"/>
  <c r="H106" i="10"/>
  <c r="I106" i="10"/>
  <c r="H107" i="10"/>
  <c r="I107" i="10"/>
  <c r="H108" i="10"/>
  <c r="I108" i="10"/>
  <c r="H109" i="10"/>
  <c r="I109" i="10"/>
  <c r="H110" i="10"/>
  <c r="I110" i="10"/>
  <c r="H111" i="10"/>
  <c r="I111" i="10"/>
  <c r="H112" i="10"/>
  <c r="I112" i="10"/>
  <c r="H113" i="10"/>
  <c r="I113" i="10"/>
  <c r="D114" i="10"/>
  <c r="G114" i="10"/>
  <c r="H100" i="10"/>
  <c r="I100" i="10"/>
  <c r="AK43" i="10"/>
  <c r="E32" i="4"/>
  <c r="BF32" i="4"/>
  <c r="E30" i="4"/>
  <c r="BF30" i="4"/>
  <c r="D30" i="4"/>
  <c r="BE30" i="4"/>
  <c r="AJ43" i="10"/>
  <c r="D32" i="4"/>
  <c r="BE32" i="4"/>
  <c r="N100" i="10"/>
  <c r="R100" i="10"/>
  <c r="U100" i="10"/>
  <c r="V100" i="10"/>
  <c r="I114" i="10"/>
  <c r="X100" i="10"/>
  <c r="Y100" i="10"/>
  <c r="Z100" i="10"/>
  <c r="T100" i="10"/>
  <c r="L100" i="10"/>
  <c r="M100" i="10"/>
  <c r="P100" i="10"/>
  <c r="Q100" i="10"/>
  <c r="H114" i="10"/>
  <c r="X113" i="10"/>
  <c r="X159" i="10"/>
  <c r="Y113" i="10"/>
  <c r="Y159" i="10"/>
  <c r="Z113" i="10"/>
  <c r="N113" i="10"/>
  <c r="R113" i="10"/>
  <c r="T113" i="10"/>
  <c r="T159" i="10"/>
  <c r="U113" i="10"/>
  <c r="U159" i="10"/>
  <c r="V113" i="10"/>
  <c r="M113" i="10"/>
  <c r="M159" i="10"/>
  <c r="Q113" i="10"/>
  <c r="Q159" i="10"/>
  <c r="X112" i="10"/>
  <c r="X158" i="10"/>
  <c r="Y112" i="10"/>
  <c r="Y158" i="10"/>
  <c r="Z112" i="10"/>
  <c r="N112" i="10"/>
  <c r="R112" i="10"/>
  <c r="T112" i="10"/>
  <c r="T158" i="10"/>
  <c r="U112" i="10"/>
  <c r="U158" i="10"/>
  <c r="V112" i="10"/>
  <c r="L112" i="10"/>
  <c r="L158" i="10"/>
  <c r="M112" i="10"/>
  <c r="M158" i="10"/>
  <c r="P112" i="10"/>
  <c r="P158" i="10"/>
  <c r="Q112" i="10"/>
  <c r="Q158" i="10"/>
  <c r="X111" i="10"/>
  <c r="X157" i="10"/>
  <c r="Y111" i="10"/>
  <c r="Y157" i="10"/>
  <c r="Z111" i="10"/>
  <c r="N111" i="10"/>
  <c r="R111" i="10"/>
  <c r="T111" i="10"/>
  <c r="T157" i="10"/>
  <c r="U111" i="10"/>
  <c r="U157" i="10"/>
  <c r="V111" i="10"/>
  <c r="L111" i="10"/>
  <c r="L157" i="10"/>
  <c r="M111" i="10"/>
  <c r="M157" i="10"/>
  <c r="P111" i="10"/>
  <c r="P157" i="10"/>
  <c r="Q111" i="10"/>
  <c r="Q157" i="10"/>
  <c r="X110" i="10"/>
  <c r="X156" i="10"/>
  <c r="Y110" i="10"/>
  <c r="Y156" i="10"/>
  <c r="Z110" i="10"/>
  <c r="N110" i="10"/>
  <c r="R110" i="10"/>
  <c r="T110" i="10"/>
  <c r="T156" i="10"/>
  <c r="U110" i="10"/>
  <c r="U156" i="10"/>
  <c r="V110" i="10"/>
  <c r="L110" i="10"/>
  <c r="L156" i="10"/>
  <c r="M110" i="10"/>
  <c r="M156" i="10"/>
  <c r="P110" i="10"/>
  <c r="P156" i="10"/>
  <c r="Q110" i="10"/>
  <c r="Q156" i="10"/>
  <c r="X109" i="10"/>
  <c r="X155" i="10"/>
  <c r="Y109" i="10"/>
  <c r="Y155" i="10"/>
  <c r="Z109" i="10"/>
  <c r="N109" i="10"/>
  <c r="R109" i="10"/>
  <c r="T109" i="10"/>
  <c r="T155" i="10"/>
  <c r="U109" i="10"/>
  <c r="U155" i="10"/>
  <c r="V109" i="10"/>
  <c r="L109" i="10"/>
  <c r="L155" i="10"/>
  <c r="M109" i="10"/>
  <c r="M155" i="10"/>
  <c r="P109" i="10"/>
  <c r="P155" i="10"/>
  <c r="Q109" i="10"/>
  <c r="Q155" i="10"/>
  <c r="X108" i="10"/>
  <c r="X154" i="10"/>
  <c r="Y108" i="10"/>
  <c r="Y154" i="10"/>
  <c r="Z108" i="10"/>
  <c r="N108" i="10"/>
  <c r="R108" i="10"/>
  <c r="T108" i="10"/>
  <c r="T154" i="10"/>
  <c r="U108" i="10"/>
  <c r="U154" i="10"/>
  <c r="V108" i="10"/>
  <c r="L108" i="10"/>
  <c r="L154" i="10"/>
  <c r="M108" i="10"/>
  <c r="M154" i="10"/>
  <c r="P108" i="10"/>
  <c r="P154" i="10"/>
  <c r="Q108" i="10"/>
  <c r="Q154" i="10"/>
  <c r="X107" i="10"/>
  <c r="X153" i="10"/>
  <c r="Y107" i="10"/>
  <c r="Y153" i="10"/>
  <c r="Z107" i="10"/>
  <c r="N107" i="10"/>
  <c r="R107" i="10"/>
  <c r="T107" i="10"/>
  <c r="T153" i="10"/>
  <c r="U107" i="10"/>
  <c r="U153" i="10"/>
  <c r="V107" i="10"/>
  <c r="L107" i="10"/>
  <c r="L153" i="10"/>
  <c r="M107" i="10"/>
  <c r="M153" i="10"/>
  <c r="P107" i="10"/>
  <c r="P153" i="10"/>
  <c r="Q107" i="10"/>
  <c r="Q153" i="10"/>
  <c r="X106" i="10"/>
  <c r="X152" i="10"/>
  <c r="Y106" i="10"/>
  <c r="Y152" i="10"/>
  <c r="Z106" i="10"/>
  <c r="N106" i="10"/>
  <c r="R106" i="10"/>
  <c r="T106" i="10"/>
  <c r="T152" i="10"/>
  <c r="U106" i="10"/>
  <c r="U152" i="10"/>
  <c r="V106" i="10"/>
  <c r="L106" i="10"/>
  <c r="L152" i="10"/>
  <c r="M106" i="10"/>
  <c r="M152" i="10"/>
  <c r="P106" i="10"/>
  <c r="P152" i="10"/>
  <c r="Q106" i="10"/>
  <c r="Q152" i="10"/>
  <c r="X105" i="10"/>
  <c r="X151" i="10"/>
  <c r="Y105" i="10"/>
  <c r="Y151" i="10"/>
  <c r="Z105" i="10"/>
  <c r="N105" i="10"/>
  <c r="R105" i="10"/>
  <c r="T105" i="10"/>
  <c r="T151" i="10"/>
  <c r="U105" i="10"/>
  <c r="U151" i="10"/>
  <c r="V105" i="10"/>
  <c r="L105" i="10"/>
  <c r="L151" i="10"/>
  <c r="M105" i="10"/>
  <c r="M151" i="10"/>
  <c r="P105" i="10"/>
  <c r="P151" i="10"/>
  <c r="Q105" i="10"/>
  <c r="Q151" i="10"/>
  <c r="X104" i="10"/>
  <c r="X150" i="10"/>
  <c r="Y104" i="10"/>
  <c r="Y150" i="10"/>
  <c r="Z104" i="10"/>
  <c r="N104" i="10"/>
  <c r="R104" i="10"/>
  <c r="T104" i="10"/>
  <c r="T150" i="10"/>
  <c r="U104" i="10"/>
  <c r="U150" i="10"/>
  <c r="V104" i="10"/>
  <c r="L104" i="10"/>
  <c r="L150" i="10"/>
  <c r="M104" i="10"/>
  <c r="M150" i="10"/>
  <c r="P104" i="10"/>
  <c r="P150" i="10"/>
  <c r="Q104" i="10"/>
  <c r="Q150" i="10"/>
  <c r="X103" i="10"/>
  <c r="X149" i="10"/>
  <c r="Y103" i="10"/>
  <c r="Y149" i="10"/>
  <c r="Z103" i="10"/>
  <c r="N103" i="10"/>
  <c r="R103" i="10"/>
  <c r="T103" i="10"/>
  <c r="T149" i="10"/>
  <c r="U103" i="10"/>
  <c r="U149" i="10"/>
  <c r="V103" i="10"/>
  <c r="L103" i="10"/>
  <c r="L149" i="10"/>
  <c r="M103" i="10"/>
  <c r="M149" i="10"/>
  <c r="P103" i="10"/>
  <c r="P149" i="10"/>
  <c r="Q103" i="10"/>
  <c r="Q149" i="10"/>
  <c r="X102" i="10"/>
  <c r="X148" i="10"/>
  <c r="Y102" i="10"/>
  <c r="Y148" i="10"/>
  <c r="Z102" i="10"/>
  <c r="N102" i="10"/>
  <c r="R102" i="10"/>
  <c r="T102" i="10"/>
  <c r="T148" i="10"/>
  <c r="U102" i="10"/>
  <c r="U148" i="10"/>
  <c r="V102" i="10"/>
  <c r="L102" i="10"/>
  <c r="L148" i="10"/>
  <c r="M102" i="10"/>
  <c r="M148" i="10"/>
  <c r="P102" i="10"/>
  <c r="P148" i="10"/>
  <c r="Q102" i="10"/>
  <c r="Q148" i="10"/>
  <c r="X101" i="10"/>
  <c r="X147" i="10"/>
  <c r="Y101" i="10"/>
  <c r="Y147" i="10"/>
  <c r="Z101" i="10"/>
  <c r="N101" i="10"/>
  <c r="R101" i="10"/>
  <c r="T101" i="10"/>
  <c r="T147" i="10"/>
  <c r="U101" i="10"/>
  <c r="U147" i="10"/>
  <c r="V101" i="10"/>
  <c r="L101" i="10"/>
  <c r="L147" i="10"/>
  <c r="M101" i="10"/>
  <c r="M147" i="10"/>
  <c r="P101" i="10"/>
  <c r="P147" i="10"/>
  <c r="Q101" i="10"/>
  <c r="Q147" i="10"/>
  <c r="W101" i="10"/>
  <c r="V147" i="10"/>
  <c r="W147" i="10"/>
  <c r="S101" i="10"/>
  <c r="R147" i="10"/>
  <c r="S147" i="10"/>
  <c r="O101" i="10"/>
  <c r="N147" i="10"/>
  <c r="O147" i="10"/>
  <c r="Z147" i="10"/>
  <c r="AA147" i="10"/>
  <c r="AA101" i="10"/>
  <c r="W102" i="10"/>
  <c r="V148" i="10"/>
  <c r="W148" i="10"/>
  <c r="S102" i="10"/>
  <c r="R148" i="10"/>
  <c r="S148" i="10"/>
  <c r="O102" i="10"/>
  <c r="N148" i="10"/>
  <c r="O148" i="10"/>
  <c r="Z148" i="10"/>
  <c r="AA148" i="10"/>
  <c r="AA102" i="10"/>
  <c r="W103" i="10"/>
  <c r="V149" i="10"/>
  <c r="W149" i="10"/>
  <c r="S103" i="10"/>
  <c r="R149" i="10"/>
  <c r="S149" i="10"/>
  <c r="O103" i="10"/>
  <c r="N149" i="10"/>
  <c r="O149" i="10"/>
  <c r="Z149" i="10"/>
  <c r="AA149" i="10"/>
  <c r="AA103" i="10"/>
  <c r="W104" i="10"/>
  <c r="V150" i="10"/>
  <c r="W150" i="10"/>
  <c r="S104" i="10"/>
  <c r="R150" i="10"/>
  <c r="S150" i="10"/>
  <c r="O104" i="10"/>
  <c r="N150" i="10"/>
  <c r="O150" i="10"/>
  <c r="Z150" i="10"/>
  <c r="AA150" i="10"/>
  <c r="AA104" i="10"/>
  <c r="W105" i="10"/>
  <c r="V151" i="10"/>
  <c r="W151" i="10"/>
  <c r="S105" i="10"/>
  <c r="R151" i="10"/>
  <c r="S151" i="10"/>
  <c r="O105" i="10"/>
  <c r="N151" i="10"/>
  <c r="O151" i="10"/>
  <c r="Z151" i="10"/>
  <c r="AA151" i="10"/>
  <c r="AA105" i="10"/>
  <c r="W106" i="10"/>
  <c r="V152" i="10"/>
  <c r="W152" i="10"/>
  <c r="S106" i="10"/>
  <c r="R152" i="10"/>
  <c r="S152" i="10"/>
  <c r="O106" i="10"/>
  <c r="N152" i="10"/>
  <c r="O152" i="10"/>
  <c r="Z152" i="10"/>
  <c r="AA152" i="10"/>
  <c r="AA106" i="10"/>
  <c r="W107" i="10"/>
  <c r="V153" i="10"/>
  <c r="W153" i="10"/>
  <c r="S107" i="10"/>
  <c r="R153" i="10"/>
  <c r="S153" i="10"/>
  <c r="O107" i="10"/>
  <c r="N153" i="10"/>
  <c r="O153" i="10"/>
  <c r="Z153" i="10"/>
  <c r="AA153" i="10"/>
  <c r="AA107" i="10"/>
  <c r="W108" i="10"/>
  <c r="V154" i="10"/>
  <c r="W154" i="10"/>
  <c r="S108" i="10"/>
  <c r="R154" i="10"/>
  <c r="S154" i="10"/>
  <c r="O108" i="10"/>
  <c r="N154" i="10"/>
  <c r="O154" i="10"/>
  <c r="Z154" i="10"/>
  <c r="AA154" i="10"/>
  <c r="AA108" i="10"/>
  <c r="W109" i="10"/>
  <c r="V155" i="10"/>
  <c r="W155" i="10"/>
  <c r="S109" i="10"/>
  <c r="R155" i="10"/>
  <c r="S155" i="10"/>
  <c r="O109" i="10"/>
  <c r="N155" i="10"/>
  <c r="O155" i="10"/>
  <c r="Z155" i="10"/>
  <c r="AA155" i="10"/>
  <c r="AA109" i="10"/>
  <c r="W110" i="10"/>
  <c r="V156" i="10"/>
  <c r="W156" i="10"/>
  <c r="S110" i="10"/>
  <c r="R156" i="10"/>
  <c r="S156" i="10"/>
  <c r="O110" i="10"/>
  <c r="N156" i="10"/>
  <c r="O156" i="10"/>
  <c r="Z156" i="10"/>
  <c r="AA156" i="10"/>
  <c r="AA110" i="10"/>
  <c r="W111" i="10"/>
  <c r="V157" i="10"/>
  <c r="W157" i="10"/>
  <c r="S111" i="10"/>
  <c r="R157" i="10"/>
  <c r="S157" i="10"/>
  <c r="O111" i="10"/>
  <c r="N157" i="10"/>
  <c r="O157" i="10"/>
  <c r="Z157" i="10"/>
  <c r="AA157" i="10"/>
  <c r="AA111" i="10"/>
  <c r="W112" i="10"/>
  <c r="V158" i="10"/>
  <c r="W158" i="10"/>
  <c r="S112" i="10"/>
  <c r="R158" i="10"/>
  <c r="S158" i="10"/>
  <c r="O112" i="10"/>
  <c r="N158" i="10"/>
  <c r="O158" i="10"/>
  <c r="Z158" i="10"/>
  <c r="AA158" i="10"/>
  <c r="AA112" i="10"/>
  <c r="W113" i="10"/>
  <c r="V159" i="10"/>
  <c r="W159" i="10"/>
  <c r="S113" i="10"/>
  <c r="R159" i="10"/>
  <c r="S159" i="10"/>
  <c r="O113" i="10"/>
  <c r="N159" i="10"/>
  <c r="O159" i="10"/>
  <c r="Z159" i="10"/>
  <c r="AA159" i="10"/>
  <c r="AA113" i="10"/>
  <c r="Q114" i="10"/>
  <c r="Q146" i="10"/>
  <c r="Q161" i="10"/>
  <c r="Q162" i="10"/>
  <c r="P114" i="10"/>
  <c r="P146" i="10"/>
  <c r="P161" i="10"/>
  <c r="P162" i="10"/>
  <c r="AI48" i="10"/>
  <c r="M114" i="10"/>
  <c r="M118" i="10"/>
  <c r="M119" i="10"/>
  <c r="M146" i="10"/>
  <c r="L114" i="10"/>
  <c r="L118" i="10"/>
  <c r="L146" i="10"/>
  <c r="T114" i="10"/>
  <c r="T146" i="10"/>
  <c r="T161" i="10"/>
  <c r="T162" i="10"/>
  <c r="Z146" i="10"/>
  <c r="AA100" i="10"/>
  <c r="AA114" i="10"/>
  <c r="Z114" i="10"/>
  <c r="Y146" i="10"/>
  <c r="Y161" i="10"/>
  <c r="Y162" i="10"/>
  <c r="Y114" i="10"/>
  <c r="X146" i="10"/>
  <c r="X161" i="10"/>
  <c r="X162" i="10"/>
  <c r="AK48" i="10"/>
  <c r="E36" i="4"/>
  <c r="BF36" i="4"/>
  <c r="X114" i="10"/>
  <c r="V114" i="10"/>
  <c r="V146" i="10"/>
  <c r="W100" i="10"/>
  <c r="W114" i="10"/>
  <c r="U114" i="10"/>
  <c r="U146" i="10"/>
  <c r="U161" i="10"/>
  <c r="U162" i="10"/>
  <c r="S100" i="10"/>
  <c r="S114" i="10"/>
  <c r="R114" i="10"/>
  <c r="R146" i="10"/>
  <c r="O100" i="10"/>
  <c r="O114" i="10"/>
  <c r="O118" i="10"/>
  <c r="N114" i="10"/>
  <c r="N118" i="10"/>
  <c r="N119" i="10"/>
  <c r="N146" i="10"/>
  <c r="O146" i="10"/>
  <c r="N161" i="10"/>
  <c r="AH49" i="10"/>
  <c r="B37" i="4"/>
  <c r="BC37" i="4"/>
  <c r="S146" i="10"/>
  <c r="S161" i="10"/>
  <c r="S162" i="10"/>
  <c r="R161" i="10"/>
  <c r="R162" i="10"/>
  <c r="AI49" i="10"/>
  <c r="C37" i="4"/>
  <c r="BD37" i="4"/>
  <c r="R118" i="10"/>
  <c r="R119" i="10"/>
  <c r="U118" i="10"/>
  <c r="U119" i="10"/>
  <c r="V161" i="10"/>
  <c r="V162" i="10"/>
  <c r="AJ49" i="10"/>
  <c r="D37" i="4"/>
  <c r="BE37" i="4"/>
  <c r="W146" i="10"/>
  <c r="W161" i="10"/>
  <c r="W162" i="10"/>
  <c r="V118" i="10"/>
  <c r="V119" i="10"/>
  <c r="X119" i="10"/>
  <c r="X118" i="10"/>
  <c r="Y119" i="10"/>
  <c r="Y118" i="10"/>
  <c r="Z119" i="10"/>
  <c r="AA119" i="10"/>
  <c r="Z118" i="10"/>
  <c r="AA118" i="10"/>
  <c r="Z161" i="10"/>
  <c r="Z162" i="10"/>
  <c r="AK49" i="10"/>
  <c r="AA146" i="10"/>
  <c r="AA161" i="10"/>
  <c r="AA162" i="10"/>
  <c r="AJ48" i="10"/>
  <c r="T118" i="10"/>
  <c r="W118" i="10"/>
  <c r="T119" i="10"/>
  <c r="W119" i="10"/>
  <c r="L141" i="10"/>
  <c r="L139" i="10"/>
  <c r="M161" i="10"/>
  <c r="C36" i="4"/>
  <c r="BD36" i="4"/>
  <c r="AI50" i="10"/>
  <c r="C38" i="4"/>
  <c r="BD38" i="4"/>
  <c r="P115" i="10"/>
  <c r="P118" i="10"/>
  <c r="P119" i="10"/>
  <c r="Q118" i="10"/>
  <c r="Q119" i="10"/>
  <c r="AH47" i="10"/>
  <c r="L160" i="10"/>
  <c r="P142" i="10"/>
  <c r="O139" i="10"/>
  <c r="O119" i="10"/>
  <c r="L119" i="10"/>
  <c r="D36" i="4"/>
  <c r="BE36" i="4"/>
  <c r="AJ50" i="10"/>
  <c r="D38" i="4"/>
  <c r="BE38" i="4"/>
  <c r="AK50" i="10"/>
  <c r="E38" i="4"/>
  <c r="BF38" i="4"/>
  <c r="E37" i="4"/>
  <c r="BF37" i="4"/>
  <c r="S119" i="10"/>
  <c r="S118" i="10"/>
  <c r="O160" i="10"/>
  <c r="L161" i="10"/>
  <c r="AH46" i="10"/>
  <c r="B35" i="4"/>
  <c r="BC35" i="4"/>
  <c r="AH48" i="10"/>
  <c r="O161" i="10"/>
  <c r="B36" i="4"/>
  <c r="BC36" i="4"/>
  <c r="AH50" i="10"/>
  <c r="B38" i="4"/>
  <c r="BC38" i="4"/>
</calcChain>
</file>

<file path=xl/comments1.xml><?xml version="1.0" encoding="utf-8"?>
<comments xmlns="http://schemas.openxmlformats.org/spreadsheetml/2006/main">
  <authors>
    <author>Marshall Goldberg</author>
    <author xml:space="preserve"> Marshall</author>
  </authors>
  <commentList>
    <comment ref="A13" authorId="0">
      <text>
        <r>
          <rPr>
            <b/>
            <sz val="8"/>
            <color indexed="81"/>
            <rFont val="Tahoma"/>
            <family val="2"/>
          </rPr>
          <t xml:space="preserve">
Project location is state name (or other user add-in location - MyCounty or MyRegion) where power plant is constructed. 
</t>
        </r>
        <r>
          <rPr>
            <b/>
            <sz val="8"/>
            <color indexed="10"/>
            <rFont val="Tahoma"/>
            <family val="2"/>
          </rPr>
          <t>(Entry required -choose from pull-down list)</t>
        </r>
      </text>
    </comment>
    <comment ref="D13" authorId="1">
      <text>
        <r>
          <rPr>
            <sz val="8"/>
            <color indexed="81"/>
            <rFont val="Tahoma"/>
            <family val="2"/>
          </rPr>
          <t xml:space="preserve">
</t>
        </r>
        <r>
          <rPr>
            <b/>
            <sz val="8"/>
            <color indexed="81"/>
            <rFont val="Tahoma"/>
            <family val="2"/>
          </rPr>
          <t>If running a county or regional analysis: area population is required to incorporate appropriate default values for local shares.</t>
        </r>
        <r>
          <rPr>
            <sz val="8"/>
            <color indexed="81"/>
            <rFont val="Tahoma"/>
            <family val="2"/>
          </rPr>
          <t xml:space="preserve">
</t>
        </r>
      </text>
    </comment>
    <comment ref="A14" authorId="0">
      <text>
        <r>
          <rPr>
            <b/>
            <sz val="8"/>
            <color indexed="81"/>
            <rFont val="Tahoma"/>
            <family val="2"/>
          </rPr>
          <t xml:space="preserve">
The value entered here is for reference purposes only, it does not affect the analysis. </t>
        </r>
        <r>
          <rPr>
            <b/>
            <sz val="8"/>
            <color indexed="10"/>
            <rFont val="Tahoma"/>
            <family val="2"/>
          </rPr>
          <t>(Entry required)</t>
        </r>
      </text>
    </comment>
    <comment ref="A22" authorId="0">
      <text>
        <r>
          <rPr>
            <b/>
            <sz val="8"/>
            <color indexed="81"/>
            <rFont val="Tahoma"/>
            <family val="2"/>
          </rPr>
          <t xml:space="preserve">
Annual Fixed Operations and Maintenance Cost includes operator and maintenance labor, administration and management costs and services and material costs.  It does not include costs associated with debt or equity financing, land easement, or taxes.</t>
        </r>
      </text>
    </comment>
    <comment ref="A23" authorId="0">
      <text>
        <r>
          <rPr>
            <b/>
            <sz val="8"/>
            <color indexed="81"/>
            <rFont val="Tahoma"/>
            <family val="2"/>
          </rPr>
          <t xml:space="preserve">
Annual Variable Operations and Maintenance Cost includes consumables costs.  It does not include fuel costs or costs associated with debt or equity financing, land easement, or taxes.</t>
        </r>
      </text>
    </comment>
    <comment ref="A24" authorId="0">
      <text>
        <r>
          <rPr>
            <b/>
            <sz val="8"/>
            <color indexed="81"/>
            <rFont val="Tahoma"/>
            <family val="2"/>
          </rPr>
          <t xml:space="preserve">
Money value refers to the time value of money - accounting for inflationary influences over time.  Thus, the money value dollar year (not to exceed 2030) may be different than the actual year(s) of construction. 
The money value dollar year is used to adjust project expenditures for consistency with the year of the multipliers used in the analysis.
The results (provided in the SummaryResults worksheet) are reported in the original Money Value dollar year entered here.</t>
        </r>
      </text>
    </comment>
    <comment ref="A26" authorId="0">
      <text>
        <r>
          <rPr>
            <b/>
            <sz val="8"/>
            <color indexed="81"/>
            <rFont val="Tahoma"/>
            <family val="2"/>
          </rPr>
          <t xml:space="preserve">
Insert "Y" to run analysis using project description data (entered above) and average cost data (default data is designed for state level analysis); 
Insert "N" to run analysis with user values (entered below) .</t>
        </r>
        <r>
          <rPr>
            <b/>
            <sz val="8"/>
            <color indexed="10"/>
            <rFont val="Tahoma"/>
            <family val="2"/>
          </rPr>
          <t xml:space="preserve">  New values will not be incorporated in the analysis if an "N" is not entered here.
                               (Entry Required) </t>
        </r>
        <r>
          <rPr>
            <b/>
            <sz val="8"/>
            <color indexed="81"/>
            <rFont val="Tahoma"/>
            <family val="2"/>
          </rPr>
          <t xml:space="preserve">
</t>
        </r>
      </text>
    </comment>
    <comment ref="C32" authorId="1">
      <text>
        <r>
          <rPr>
            <sz val="10"/>
            <color indexed="81"/>
            <rFont val="Tahoma"/>
            <family val="2"/>
          </rPr>
          <t xml:space="preserve">
</t>
        </r>
        <r>
          <rPr>
            <b/>
            <sz val="8"/>
            <color indexed="81"/>
            <rFont val="Tahoma"/>
            <family val="2"/>
          </rPr>
          <t>Total Cost per KW does not include Land Easement or debt financing costs.</t>
        </r>
        <r>
          <rPr>
            <sz val="10"/>
            <color indexed="81"/>
            <rFont val="Tahoma"/>
            <family val="2"/>
          </rPr>
          <t xml:space="preserve">
</t>
        </r>
      </text>
    </comment>
    <comment ref="D32" authorId="0">
      <text>
        <r>
          <rPr>
            <b/>
            <sz val="8"/>
            <color indexed="81"/>
            <rFont val="Tahoma"/>
            <family val="2"/>
          </rPr>
          <t xml:space="preserve">
Due to the large variation in land easement arrangements, this calculation (Percent of Total Cost) does not include costs for land easement or debt financing.</t>
        </r>
      </text>
    </comment>
    <comment ref="E32" authorId="0">
      <text>
        <r>
          <rPr>
            <b/>
            <sz val="8"/>
            <color indexed="81"/>
            <rFont val="Tahoma"/>
            <family val="2"/>
          </rPr>
          <t xml:space="preserve">
Local Share is the percentage of expenditure spent in the state or local region where the plant is constructed.</t>
        </r>
      </text>
    </comment>
    <comment ref="AG32" authorId="1">
      <text>
        <r>
          <rPr>
            <sz val="10"/>
            <color indexed="81"/>
            <rFont val="Tahoma"/>
            <family val="2"/>
          </rPr>
          <t xml:space="preserve">
</t>
        </r>
        <r>
          <rPr>
            <b/>
            <sz val="8"/>
            <color indexed="81"/>
            <rFont val="Tahoma"/>
            <family val="2"/>
          </rPr>
          <t>Total Cost per KW does not include Land Easement or debt financing costs.</t>
        </r>
        <r>
          <rPr>
            <sz val="10"/>
            <color indexed="81"/>
            <rFont val="Tahoma"/>
            <family val="2"/>
          </rPr>
          <t xml:space="preserve">
</t>
        </r>
      </text>
    </comment>
    <comment ref="AH32" authorId="0">
      <text>
        <r>
          <rPr>
            <b/>
            <sz val="8"/>
            <color indexed="81"/>
            <rFont val="Tahoma"/>
            <family val="2"/>
          </rPr>
          <t xml:space="preserve">
Due to the large variation in land easement arrangements, this calculation (Percent of Total Cost) does not include costs for land easement or debt financing.</t>
        </r>
      </text>
    </comment>
    <comment ref="AI32" authorId="0">
      <text>
        <r>
          <rPr>
            <b/>
            <sz val="8"/>
            <color indexed="81"/>
            <rFont val="Tahoma"/>
            <family val="2"/>
          </rPr>
          <t xml:space="preserve">
Local Share is the percentage of expenditure spent in the state or local region where the plant is constructed.</t>
        </r>
      </text>
    </comment>
    <comment ref="E53" authorId="0">
      <text>
        <r>
          <rPr>
            <sz val="8"/>
            <color indexed="81"/>
            <rFont val="Tahoma"/>
            <family val="2"/>
          </rPr>
          <t xml:space="preserve">
</t>
        </r>
        <r>
          <rPr>
            <b/>
            <sz val="8"/>
            <color indexed="81"/>
            <rFont val="Tahoma"/>
            <family val="2"/>
          </rPr>
          <t>Local Share value set in Other Parameters, Tax Parameters, below.</t>
        </r>
        <r>
          <rPr>
            <sz val="8"/>
            <color indexed="81"/>
            <rFont val="Tahoma"/>
            <family val="2"/>
          </rPr>
          <t xml:space="preserve">
</t>
        </r>
      </text>
    </comment>
    <comment ref="D58" authorId="0">
      <text>
        <r>
          <rPr>
            <b/>
            <sz val="8"/>
            <color indexed="81"/>
            <rFont val="Tahoma"/>
            <family val="2"/>
          </rPr>
          <t xml:space="preserve">
For purposes of calculating this percentage, the Total Cost does not include costs for land lease/purchase or debt financing.</t>
        </r>
      </text>
    </comment>
    <comment ref="AH58" authorId="0">
      <text>
        <r>
          <rPr>
            <b/>
            <sz val="8"/>
            <color indexed="81"/>
            <rFont val="Tahoma"/>
            <family val="2"/>
          </rPr>
          <t xml:space="preserve">
For purposes of calculating this percentage, the Total Cost does not include costs for land lease/purchase or debt financing.</t>
        </r>
      </text>
    </comment>
    <comment ref="A60" authorId="1">
      <text>
        <r>
          <rPr>
            <b/>
            <sz val="10"/>
            <color indexed="81"/>
            <rFont val="Tahoma"/>
            <family val="2"/>
          </rPr>
          <t xml:space="preserve"> </t>
        </r>
        <r>
          <rPr>
            <b/>
            <sz val="8"/>
            <color indexed="81"/>
            <rFont val="Tahoma"/>
            <family val="2"/>
          </rPr>
          <t xml:space="preserve">
This includes plant operators, maintenance workers, administrative staff and management.</t>
        </r>
      </text>
    </comment>
    <comment ref="AE60" authorId="1">
      <text>
        <r>
          <rPr>
            <b/>
            <sz val="10"/>
            <color indexed="81"/>
            <rFont val="Tahoma"/>
            <family val="2"/>
          </rPr>
          <t xml:space="preserve"> </t>
        </r>
        <r>
          <rPr>
            <b/>
            <sz val="8"/>
            <color indexed="81"/>
            <rFont val="Tahoma"/>
            <family val="2"/>
          </rPr>
          <t xml:space="preserve">
This includes plant operators, maintenance workers, administrative staff and management.</t>
        </r>
      </text>
    </comment>
    <comment ref="A61" authorId="1">
      <text>
        <r>
          <rPr>
            <b/>
            <sz val="10"/>
            <color indexed="81"/>
            <rFont val="Tahoma"/>
            <family val="2"/>
          </rPr>
          <t xml:space="preserve">
</t>
        </r>
        <r>
          <rPr>
            <b/>
            <sz val="8"/>
            <color indexed="81"/>
            <rFont val="Tahoma"/>
            <family val="2"/>
          </rPr>
          <t>This includes all maintenance materials and other supplies.</t>
        </r>
        <r>
          <rPr>
            <b/>
            <sz val="10"/>
            <color indexed="81"/>
            <rFont val="Tahoma"/>
            <family val="2"/>
          </rPr>
          <t xml:space="preserve">
</t>
        </r>
        <r>
          <rPr>
            <sz val="10"/>
            <color indexed="81"/>
            <rFont val="Tahoma"/>
            <family val="2"/>
          </rPr>
          <t xml:space="preserve">
</t>
        </r>
      </text>
    </comment>
    <comment ref="AE61" authorId="1">
      <text>
        <r>
          <rPr>
            <b/>
            <sz val="10"/>
            <color indexed="81"/>
            <rFont val="Tahoma"/>
            <family val="2"/>
          </rPr>
          <t xml:space="preserve">
</t>
        </r>
        <r>
          <rPr>
            <b/>
            <sz val="8"/>
            <color indexed="81"/>
            <rFont val="Tahoma"/>
            <family val="2"/>
          </rPr>
          <t>This includes all maintenance materials and other supplies.</t>
        </r>
        <r>
          <rPr>
            <b/>
            <sz val="10"/>
            <color indexed="81"/>
            <rFont val="Tahoma"/>
            <family val="2"/>
          </rPr>
          <t xml:space="preserve">
</t>
        </r>
        <r>
          <rPr>
            <sz val="10"/>
            <color indexed="81"/>
            <rFont val="Tahoma"/>
            <family val="2"/>
          </rPr>
          <t xml:space="preserve">
</t>
        </r>
      </text>
    </comment>
    <comment ref="A62" authorId="1">
      <text>
        <r>
          <rPr>
            <b/>
            <sz val="10"/>
            <color indexed="81"/>
            <rFont val="Tahoma"/>
            <family val="2"/>
          </rPr>
          <t xml:space="preserve"> 
</t>
        </r>
        <r>
          <rPr>
            <b/>
            <sz val="8"/>
            <color indexed="81"/>
            <rFont val="Tahoma"/>
            <family val="2"/>
          </rPr>
          <t>This includes all contract services and support labor.</t>
        </r>
        <r>
          <rPr>
            <sz val="10"/>
            <color indexed="81"/>
            <rFont val="Tahoma"/>
            <family val="2"/>
          </rPr>
          <t xml:space="preserve">
</t>
        </r>
      </text>
    </comment>
    <comment ref="AE62" authorId="1">
      <text>
        <r>
          <rPr>
            <b/>
            <sz val="10"/>
            <color indexed="81"/>
            <rFont val="Tahoma"/>
            <family val="2"/>
          </rPr>
          <t xml:space="preserve"> 
</t>
        </r>
        <r>
          <rPr>
            <b/>
            <sz val="8"/>
            <color indexed="81"/>
            <rFont val="Tahoma"/>
            <family val="2"/>
          </rPr>
          <t>This includes all contract services and support labor.</t>
        </r>
        <r>
          <rPr>
            <sz val="10"/>
            <color indexed="81"/>
            <rFont val="Tahoma"/>
            <family val="2"/>
          </rPr>
          <t xml:space="preserve">
</t>
        </r>
      </text>
    </comment>
    <comment ref="E71" authorId="0">
      <text>
        <r>
          <rPr>
            <b/>
            <sz val="8"/>
            <color indexed="81"/>
            <rFont val="Tahoma"/>
            <family val="2"/>
          </rPr>
          <t xml:space="preserve">
Local share set above in System Descriptive Data. </t>
        </r>
      </text>
    </comment>
    <comment ref="E72" authorId="0">
      <text>
        <r>
          <rPr>
            <sz val="8"/>
            <color indexed="81"/>
            <rFont val="Tahoma"/>
            <family val="2"/>
          </rPr>
          <t xml:space="preserve">
</t>
        </r>
        <r>
          <rPr>
            <b/>
            <sz val="8"/>
            <color indexed="81"/>
            <rFont val="Tahoma"/>
            <family val="2"/>
          </rPr>
          <t>Local Share value set in Other Parameters, Tax Parameters, below.</t>
        </r>
        <r>
          <rPr>
            <sz val="8"/>
            <color indexed="81"/>
            <rFont val="Tahoma"/>
            <family val="2"/>
          </rPr>
          <t xml:space="preserve">
</t>
        </r>
      </text>
    </comment>
    <comment ref="A73" authorId="0">
      <text>
        <r>
          <rPr>
            <b/>
            <sz val="8"/>
            <color indexed="81"/>
            <rFont val="Tahoma"/>
            <family val="2"/>
          </rPr>
          <t xml:space="preserve">
Other Taxes/Payments includes other costs such as severance taxes or royalties. Property taxes, land lease costs, and financing related costs are addressed elsewhere (below).</t>
        </r>
      </text>
    </comment>
    <comment ref="A79" authorId="0">
      <text>
        <r>
          <rPr>
            <b/>
            <sz val="8"/>
            <color indexed="81"/>
            <rFont val="Tahoma"/>
            <family val="2"/>
          </rPr>
          <t xml:space="preserve">
Percentage financed is the share of project construction cost financed through a loan.
</t>
        </r>
      </text>
    </comment>
    <comment ref="AE79" authorId="0">
      <text>
        <r>
          <rPr>
            <b/>
            <sz val="8"/>
            <color indexed="81"/>
            <rFont val="Tahoma"/>
            <family val="2"/>
          </rPr>
          <t xml:space="preserve">
Percentage financed is the share of project construction cost financed through a loan.
</t>
        </r>
      </text>
    </comment>
    <comment ref="A80" authorId="0">
      <text>
        <r>
          <rPr>
            <b/>
            <sz val="8"/>
            <color indexed="81"/>
            <rFont val="Tahoma"/>
            <family val="2"/>
          </rPr>
          <t xml:space="preserve">
Percentage financed is the share of project construction cost financed through a loan.
</t>
        </r>
      </text>
    </comment>
    <comment ref="AE80" authorId="0">
      <text>
        <r>
          <rPr>
            <b/>
            <sz val="8"/>
            <color indexed="81"/>
            <rFont val="Tahoma"/>
            <family val="2"/>
          </rPr>
          <t xml:space="preserve">
Percentage financed is the share of project construction cost financed through a loan.
</t>
        </r>
      </text>
    </comment>
    <comment ref="A81" authorId="0">
      <text>
        <r>
          <rPr>
            <b/>
            <sz val="8"/>
            <color indexed="81"/>
            <rFont val="Tahoma"/>
            <family val="2"/>
          </rPr>
          <t xml:space="preserve">
Percentage financed is the share of project construction cost financed through a loan.
</t>
        </r>
      </text>
    </comment>
    <comment ref="AE81" authorId="0">
      <text>
        <r>
          <rPr>
            <b/>
            <sz val="8"/>
            <color indexed="81"/>
            <rFont val="Tahoma"/>
            <family val="2"/>
          </rPr>
          <t xml:space="preserve">
Percentage financed is the share of project construction cost financed through a loan.
</t>
        </r>
      </text>
    </comment>
    <comment ref="A8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4"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4"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5"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5"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6"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6"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7"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7"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9" authorId="0">
      <text>
        <r>
          <rPr>
            <b/>
            <sz val="8"/>
            <color indexed="81"/>
            <rFont val="Tahoma"/>
            <family val="2"/>
          </rPr>
          <t xml:space="preserve">
The default property tax rate is set to 0%, it is not specific to the state or region being analyzed.  Users are encouraged to revise this rate to reflect a more localized tax calculation.</t>
        </r>
        <r>
          <rPr>
            <sz val="8"/>
            <color indexed="81"/>
            <rFont val="Tahoma"/>
            <family val="2"/>
          </rPr>
          <t xml:space="preserve">
</t>
        </r>
      </text>
    </comment>
    <comment ref="A90" authorId="0">
      <text>
        <r>
          <rPr>
            <b/>
            <sz val="8"/>
            <color indexed="81"/>
            <rFont val="Tahoma"/>
            <family val="2"/>
          </rPr>
          <t xml:space="preserve">
The default property tax rate is set to 0%, it is not specific to the state or region being analyzed.  Users are encouraged to revise this rate to reflect a more localized tax calculation.</t>
        </r>
        <r>
          <rPr>
            <sz val="8"/>
            <color indexed="81"/>
            <rFont val="Tahoma"/>
            <family val="2"/>
          </rPr>
          <t xml:space="preserve">
</t>
        </r>
      </text>
    </comment>
    <comment ref="A91" authorId="0">
      <text>
        <r>
          <rPr>
            <b/>
            <sz val="8"/>
            <color indexed="81"/>
            <rFont val="Tahoma"/>
            <family val="2"/>
          </rPr>
          <t xml:space="preserve">
The default property tax rate is set to 0%, it is not specific to the state or region being analyzed.  Users are encouraged to revise this rate to reflect a more localized tax calculation.</t>
        </r>
      </text>
    </comment>
    <comment ref="A93" authorId="0">
      <text>
        <r>
          <rPr>
            <b/>
            <sz val="8"/>
            <color indexed="81"/>
            <rFont val="Tahoma"/>
            <family val="2"/>
          </rPr>
          <t xml:space="preserve">
Entry Required if Local Taxes are not calculated using the tax rate, assessed and market value parameters entered above.</t>
        </r>
        <r>
          <rPr>
            <sz val="8"/>
            <color indexed="81"/>
            <rFont val="Tahoma"/>
            <family val="2"/>
          </rPr>
          <t xml:space="preserve">
</t>
        </r>
      </text>
    </comment>
    <comment ref="A94" authorId="0">
      <text>
        <r>
          <rPr>
            <b/>
            <sz val="8"/>
            <color indexed="81"/>
            <rFont val="Tahoma"/>
            <family val="2"/>
          </rPr>
          <t>Default Local Sales Tax Rate is state rate only. It does not include additional city or county tax rates (which can be added if applicable).</t>
        </r>
      </text>
    </comment>
    <comment ref="B98"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laobr personnel costs and/or hourly labor rates and employer payroll costs will impact (increase or decrease) the total number of O&amp;M employees reported (calculated) in the results. </t>
        </r>
      </text>
    </comment>
    <comment ref="D98"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O&amp;M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t>
        </r>
        <r>
          <rPr>
            <b/>
            <sz val="8"/>
            <color indexed="81"/>
            <rFont val="Tahoma"/>
            <family val="2"/>
          </rPr>
          <t xml:space="preserve">
</t>
        </r>
      </text>
    </comment>
  </commentList>
</comments>
</file>

<file path=xl/comments2.xml><?xml version="1.0" encoding="utf-8"?>
<comments xmlns="http://schemas.openxmlformats.org/spreadsheetml/2006/main">
  <authors>
    <author>Marshall Goldberg</author>
    <author xml:space="preserve"> </author>
  </authors>
  <commentList>
    <comment ref="A15" authorId="0">
      <text>
        <r>
          <rPr>
            <b/>
            <sz val="8"/>
            <color indexed="81"/>
            <rFont val="Tahoma"/>
            <family val="2"/>
          </rPr>
          <t xml:space="preserve">
Local Spending refers to the actual dollars spent on goods and services in the state (or  local county or region) where the plant is built</t>
        </r>
      </text>
    </comment>
    <comment ref="B25" authorId="0">
      <text>
        <r>
          <rPr>
            <b/>
            <sz val="8"/>
            <color indexed="81"/>
            <rFont val="Tahoma"/>
            <family val="2"/>
          </rPr>
          <t xml:space="preserve">
Construction period jobs refers to full-time equivalent jobs for the entire construction period.  Operating year jobs refers to ongoing or permanent full-time equivalent jobs for a full year.</t>
        </r>
      </text>
    </comment>
    <comment ref="C25" authorId="0">
      <text>
        <r>
          <rPr>
            <b/>
            <sz val="8"/>
            <color indexed="81"/>
            <rFont val="Tahoma"/>
            <family val="2"/>
          </rPr>
          <t xml:space="preserve">
Earnings refers to wage and salary compensation paid to workers.</t>
        </r>
      </text>
    </comment>
    <comment ref="D25" authorId="0">
      <text>
        <r>
          <rPr>
            <b/>
            <sz val="8"/>
            <color indexed="81"/>
            <rFont val="Tahoma"/>
            <family val="2"/>
          </rPr>
          <t xml:space="preserve">
Output refers to economic activity or the value of production in the state or local economy.</t>
        </r>
      </text>
    </comment>
    <comment ref="E25"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7" authorId="0">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29" authorId="1">
      <text>
        <r>
          <rPr>
            <b/>
            <sz val="8"/>
            <color indexed="81"/>
            <rFont val="Tahoma"/>
            <family val="2"/>
          </rPr>
          <t xml:space="preserve">
Construction Related Services includes engineering, design, and other professional services for project development.</t>
        </r>
        <r>
          <rPr>
            <sz val="8"/>
            <color indexed="81"/>
            <rFont val="Tahoma"/>
            <family val="2"/>
          </rPr>
          <t xml:space="preserve">
</t>
        </r>
      </text>
    </comment>
    <comment ref="A30" authorId="0">
      <text>
        <r>
          <rPr>
            <b/>
            <sz val="8"/>
            <color indexed="81"/>
            <rFont val="Tahoma"/>
            <family val="2"/>
          </rPr>
          <t xml:space="preserve">
Power Generation and Supply Chain Impacts refers to the changes in inter-industry purchases resulting from the direct final demand (i.e., construction and development spending on materials and equipment and other purchases of goods and offsite services) changes.</t>
        </r>
      </text>
    </comment>
    <comment ref="A31" authorId="0">
      <text>
        <r>
          <rPr>
            <sz val="8"/>
            <color indexed="81"/>
            <rFont val="Tahoma"/>
            <family val="2"/>
          </rPr>
          <t xml:space="preserve">
</t>
        </r>
        <r>
          <rPr>
            <b/>
            <sz val="8"/>
            <color indexed="81"/>
            <rFont val="Tahoma"/>
            <family val="2"/>
          </rPr>
          <t>Induced Impacts refers to the changes  that occur in household spending as household income increases or decreases as a result of the direct and indirect effects from direct final demand  (i.e., purchases of goods and services) changes.</t>
        </r>
        <r>
          <rPr>
            <sz val="8"/>
            <color indexed="81"/>
            <rFont val="Tahoma"/>
            <family val="2"/>
          </rPr>
          <t xml:space="preserve">
</t>
        </r>
      </text>
    </comment>
    <comment ref="A35" authorId="1">
      <text>
        <r>
          <rPr>
            <b/>
            <sz val="8"/>
            <color indexed="81"/>
            <rFont val="Tahoma"/>
            <family val="2"/>
          </rPr>
          <t>Onsite Labor Impacts refers to the final demand changes that occur in the onsite spending for plant workers (i.e., spending on technicians, operators, administration and management) .</t>
        </r>
        <r>
          <rPr>
            <sz val="8"/>
            <color indexed="81"/>
            <rFont val="Tahoma"/>
            <family val="2"/>
          </rPr>
          <t xml:space="preserve">
</t>
        </r>
      </text>
    </comment>
    <comment ref="A36" authorId="1">
      <text>
        <r>
          <rPr>
            <b/>
            <sz val="8"/>
            <color indexed="81"/>
            <rFont val="Tahoma"/>
            <family val="2"/>
          </rPr>
          <t xml:space="preserve">
Local Revenue includes property tax and landowner leases as well as any return on investment paid to local owners; Supply chain impacts include all components and off-site labor for the plant</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Marshall Goldberg</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text>
        <r>
          <rPr>
            <b/>
            <sz val="8"/>
            <color indexed="81"/>
            <rFont val="Tahoma"/>
            <family val="2"/>
          </rPr>
          <t xml:space="preserve">
To use MyRegion multipliers and PCE (once they are imported) name of region and year of data (cell to the right) must be entered.</t>
        </r>
      </text>
    </comment>
  </commentList>
</comments>
</file>

<file path=xl/comments4.xml><?xml version="1.0" encoding="utf-8"?>
<comments xmlns="http://schemas.openxmlformats.org/spreadsheetml/2006/main">
  <authors>
    <author>Marshall Goldberg</author>
  </authors>
  <commentList>
    <comment ref="C71" authorId="0">
      <text>
        <r>
          <rPr>
            <b/>
            <sz val="8"/>
            <color indexed="81"/>
            <rFont val="Tahoma"/>
            <family val="2"/>
          </rPr>
          <t xml:space="preserve">
Percentage financed is the share of project construction cost financed through a loan.
</t>
        </r>
      </text>
    </comment>
    <comment ref="C72" authorId="0">
      <text>
        <r>
          <rPr>
            <b/>
            <sz val="8"/>
            <color indexed="81"/>
            <rFont val="Tahoma"/>
            <family val="2"/>
          </rPr>
          <t xml:space="preserve">
Years financed is the number of years required to payback the financing (loan).</t>
        </r>
      </text>
    </comment>
    <comment ref="C73" authorId="0">
      <text>
        <r>
          <rPr>
            <b/>
            <sz val="8"/>
            <color indexed="81"/>
            <rFont val="Tahoma"/>
            <family val="2"/>
          </rPr>
          <t xml:space="preserve">
Interest rate refers to the annual rate charged by the lender. (Example: 10 = 10%)</t>
        </r>
      </text>
    </comment>
    <comment ref="C76"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L90"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comments5.xml><?xml version="1.0" encoding="utf-8"?>
<comments xmlns="http://schemas.openxmlformats.org/spreadsheetml/2006/main">
  <authors>
    <author>Marshall Goldberg</author>
  </authors>
  <commentList>
    <comment ref="F66" authorId="0">
      <text>
        <r>
          <rPr>
            <b/>
            <sz val="8"/>
            <color indexed="81"/>
            <rFont val="Tahoma"/>
            <family val="2"/>
          </rPr>
          <t>Refers to total personnel cost minus employer costs (ssi, health benefits, retirement, etc.)</t>
        </r>
      </text>
    </comment>
    <comment ref="H66" authorId="0">
      <text>
        <r>
          <rPr>
            <b/>
            <sz val="8"/>
            <color indexed="81"/>
            <rFont val="Tahoma"/>
            <family val="2"/>
          </rPr>
          <t>Refers to total personnel cost minus employer costs (ssi, health benefits, retirement, etc.)</t>
        </r>
      </text>
    </comment>
  </commentList>
</comments>
</file>

<file path=xl/sharedStrings.xml><?xml version="1.0" encoding="utf-8"?>
<sst xmlns="http://schemas.openxmlformats.org/spreadsheetml/2006/main" count="2132" uniqueCount="535">
  <si>
    <t>Total</t>
  </si>
  <si>
    <t>Local Share</t>
  </si>
  <si>
    <t>Other Costs</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</si>
  <si>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</si>
  <si>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</si>
  <si>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</si>
  <si>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</si>
  <si>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</si>
  <si>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</si>
  <si>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</si>
  <si>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</si>
  <si>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</si>
  <si>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</si>
  <si>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</si>
  <si>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</si>
  <si>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</si>
  <si>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</si>
  <si>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</si>
  <si>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KENTUCKY</t>
  </si>
  <si>
    <t>MAINE</t>
  </si>
  <si>
    <t>MARYLAND</t>
  </si>
  <si>
    <t>MASSACHUSETTS</t>
  </si>
  <si>
    <t>MICHIGAN</t>
  </si>
  <si>
    <t>MINNESOTA</t>
  </si>
  <si>
    <t>MISSISSIPPI</t>
  </si>
  <si>
    <t>MISSOURI</t>
  </si>
  <si>
    <t>MONTANA</t>
  </si>
  <si>
    <t>NEBRASKA</t>
  </si>
  <si>
    <t>NEVADA</t>
  </si>
  <si>
    <t>NEW HAMPSHIRE</t>
  </si>
  <si>
    <t>NEW JERSEY</t>
  </si>
  <si>
    <t>OKLAHOMA</t>
  </si>
  <si>
    <t>OREGON</t>
  </si>
  <si>
    <t>PENNSYLVANIA</t>
  </si>
  <si>
    <t>RHODE ISLAND</t>
  </si>
  <si>
    <t>TEXAS</t>
  </si>
  <si>
    <t>UTAH</t>
  </si>
  <si>
    <t>VERMONT</t>
  </si>
  <si>
    <t xml:space="preserve">VIRGINIA </t>
  </si>
  <si>
    <t>WASHINGTON</t>
  </si>
  <si>
    <t>WEST VIRGINIA</t>
  </si>
  <si>
    <t>WISCONSIN</t>
  </si>
  <si>
    <t>WYOMING</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</si>
  <si>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</si>
  <si>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</si>
  <si>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</si>
  <si>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</si>
  <si>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</si>
  <si>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</si>
  <si>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</si>
  <si>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</si>
  <si>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</si>
  <si>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</si>
  <si>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</si>
  <si>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</si>
  <si>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</si>
  <si>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</si>
  <si>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</si>
  <si>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</si>
  <si>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</si>
  <si>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</si>
  <si>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</si>
  <si>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</si>
  <si>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</si>
  <si>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</si>
  <si>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</si>
  <si>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</si>
  <si>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</si>
  <si>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</si>
  <si>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</si>
  <si>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</si>
  <si>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</si>
  <si>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</si>
  <si>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</si>
  <si>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</si>
  <si>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</si>
  <si>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</si>
  <si>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</si>
  <si>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</si>
  <si>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</si>
  <si>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</si>
  <si>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</si>
  <si>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</si>
  <si>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</si>
  <si>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</si>
  <si>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</si>
  <si>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</si>
  <si>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</si>
  <si>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</si>
  <si>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</si>
  <si>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</si>
  <si>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</si>
  <si>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</si>
  <si>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</si>
  <si>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</si>
  <si>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</si>
  <si>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</si>
  <si>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</si>
  <si>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</si>
  <si>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</si>
  <si>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</si>
  <si>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</si>
  <si>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</si>
  <si>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</si>
  <si>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</si>
  <si>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</si>
  <si>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</si>
  <si>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</si>
  <si>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</si>
  <si>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</si>
  <si>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</si>
  <si>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</si>
  <si>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</si>
  <si>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</si>
  <si>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</si>
  <si>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</si>
  <si>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</si>
  <si>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</si>
  <si>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</si>
  <si>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</si>
  <si>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</si>
  <si>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</si>
  <si>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</si>
  <si>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</si>
  <si>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Local $ Spending</t>
  </si>
  <si>
    <t>Purchased Local</t>
  </si>
  <si>
    <t>Other Parameters</t>
  </si>
  <si>
    <t xml:space="preserve">     Direct Impacts</t>
  </si>
  <si>
    <t xml:space="preserve">     Total Impacts (Direct, Indirect, Induced)</t>
  </si>
  <si>
    <t xml:space="preserve">  During construction period</t>
  </si>
  <si>
    <t>Land Lease</t>
  </si>
  <si>
    <t>wage/hour</t>
  </si>
  <si>
    <t>Plant Employees</t>
  </si>
  <si>
    <t>Default</t>
  </si>
  <si>
    <t xml:space="preserve">  Total</t>
  </si>
  <si>
    <t>User Revised</t>
  </si>
  <si>
    <t>Direct Plant Employees</t>
  </si>
  <si>
    <t>Project Construction Cost</t>
  </si>
  <si>
    <t xml:space="preserve">  Local Spending</t>
  </si>
  <si>
    <t>Dollars</t>
  </si>
  <si>
    <t>Inflator to</t>
  </si>
  <si>
    <t xml:space="preserve">Inflate to </t>
  </si>
  <si>
    <t>Cost Per KW</t>
  </si>
  <si>
    <t>Project Cost</t>
  </si>
  <si>
    <t>Earnings Direct Multipliers</t>
  </si>
  <si>
    <t>Earnings</t>
  </si>
  <si>
    <t>Output</t>
  </si>
  <si>
    <t>Local Economic Impacts - Summary Results</t>
  </si>
  <si>
    <t xml:space="preserve"> Payroll Cost</t>
  </si>
  <si>
    <t>Tax Parameters</t>
  </si>
  <si>
    <t>Land Lease Parameters</t>
  </si>
  <si>
    <t xml:space="preserve">  Land Lease (total cost)</t>
  </si>
  <si>
    <t>With Plant Employees</t>
  </si>
  <si>
    <t xml:space="preserve">  Local Taxes</t>
  </si>
  <si>
    <t xml:space="preserve">     Indirect Impacts</t>
  </si>
  <si>
    <t xml:space="preserve">     Induced Impacts</t>
  </si>
  <si>
    <t xml:space="preserve">PCE </t>
  </si>
  <si>
    <t>Plant Emp</t>
  </si>
  <si>
    <t>Plant Employee Spending</t>
  </si>
  <si>
    <t>Without Plant Employees</t>
  </si>
  <si>
    <t>Plant Employees Only</t>
  </si>
  <si>
    <t xml:space="preserve"> Multipliers For Economic Input-Output Analysis</t>
  </si>
  <si>
    <t>Interest Pmt</t>
  </si>
  <si>
    <t>Principal Pmt</t>
  </si>
  <si>
    <t>Total Pmt</t>
  </si>
  <si>
    <t>Loan Repayment Schedule</t>
  </si>
  <si>
    <t>Percent</t>
  </si>
  <si>
    <t>of Cost</t>
  </si>
  <si>
    <t>Default Values - Based on Cost Per KW from Project Data sheet</t>
  </si>
  <si>
    <t>Debt - Loan Repayment Schedule</t>
  </si>
  <si>
    <t>Debt Financing</t>
  </si>
  <si>
    <t xml:space="preserve">  Percentage equity</t>
  </si>
  <si>
    <t xml:space="preserve">  Return on equity</t>
  </si>
  <si>
    <t xml:space="preserve">  Individual Investors (percent of equity)</t>
  </si>
  <si>
    <t xml:space="preserve">  Corporate Investors (percent of equity)</t>
  </si>
  <si>
    <t xml:space="preserve">  Repayment term (years)</t>
  </si>
  <si>
    <t xml:space="preserve">  Average Annual Payment (Interest and Principal)</t>
  </si>
  <si>
    <t>Percent of</t>
  </si>
  <si>
    <t>Total Cost</t>
  </si>
  <si>
    <t>AvgAnn</t>
  </si>
  <si>
    <t>F</t>
  </si>
  <si>
    <t>Debt Pmt - Local share Avg Ann Interest</t>
  </si>
  <si>
    <t>Financing (avg ann debt payment)</t>
  </si>
  <si>
    <t>From DefaultData</t>
  </si>
  <si>
    <t>User Modified (from Project Data worksheet - based on loan parameters)</t>
  </si>
  <si>
    <t>w/o Plant Empl</t>
  </si>
  <si>
    <t>PCE-Land Lease</t>
  </si>
  <si>
    <t>PCE -Equity</t>
  </si>
  <si>
    <t>To Individuals</t>
  </si>
  <si>
    <t>To Farm/House</t>
  </si>
  <si>
    <t>Equity Payment - Individuals (avg ann payment)</t>
  </si>
  <si>
    <t>Equity Payment - Corporations (avg ann payment)</t>
  </si>
  <si>
    <t>Equity Pmt - Individual Share Avg Ann Interest</t>
  </si>
  <si>
    <t>Equity Pmt - Corporate Share Avg Ann Interest</t>
  </si>
  <si>
    <t>User Modified (from Project Data worksheet - based on equity investment parameters)</t>
  </si>
  <si>
    <t>Equity - Individual Investment Repayment Schedule</t>
  </si>
  <si>
    <t>Equity - Corporate Investment Repayment Schedule</t>
  </si>
  <si>
    <t>Total cost per KW</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</si>
  <si>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</si>
  <si>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</si>
  <si>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</si>
  <si>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</si>
  <si>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</si>
  <si>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</si>
  <si>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</si>
  <si>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</si>
  <si>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</si>
  <si>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</si>
  <si>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</si>
  <si>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</si>
  <si>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Lease Payment Recipient (F = farmer/household, O = Other)</t>
  </si>
  <si>
    <t xml:space="preserve">    Local Spending</t>
  </si>
  <si>
    <t xml:space="preserve">  Other Annual Costs</t>
  </si>
  <si>
    <t xml:space="preserve">      Property Taxes</t>
  </si>
  <si>
    <t xml:space="preserve">  Taxable Value</t>
  </si>
  <si>
    <t xml:space="preserve">  Local Property/Other Tax Rate (percent of taxable value)</t>
  </si>
  <si>
    <t xml:space="preserve">  Taxable Value (percent of assessed value)</t>
  </si>
  <si>
    <t xml:space="preserve">  Assessed Value (percent of construction cost)</t>
  </si>
  <si>
    <t>Equity Financing/Repayment</t>
  </si>
  <si>
    <t xml:space="preserve">      Debt and Equity Payments </t>
  </si>
  <si>
    <t xml:space="preserve">  Direct Operating and Maintenance Costs</t>
  </si>
  <si>
    <t>Total Annual Operational Expenses</t>
  </si>
  <si>
    <t xml:space="preserve">Cost </t>
  </si>
  <si>
    <t>Per KW</t>
  </si>
  <si>
    <t>Construction Costs Local Demand</t>
  </si>
  <si>
    <t xml:space="preserve">                               Only those cells with a white background can accept new values.  </t>
  </si>
  <si>
    <t>Inflator</t>
  </si>
  <si>
    <t>Margins</t>
  </si>
  <si>
    <t>Other Services</t>
  </si>
  <si>
    <t>Other Manufacturing</t>
  </si>
  <si>
    <t>Annual O&amp;M Costs Local Demand</t>
  </si>
  <si>
    <t>Annual Operations and Maintenance Costs Local Demand - margined</t>
  </si>
  <si>
    <t>MyRegion</t>
  </si>
  <si>
    <t>MyCounty</t>
  </si>
  <si>
    <t xml:space="preserve">INSTRUCTIONS:      Begin by entering Project Location (from pull-down list) and other Descriptive Data.  </t>
  </si>
  <si>
    <t xml:space="preserve">                               Additional information is available by pointing to the red triangles located in cell corners.</t>
  </si>
  <si>
    <t xml:space="preserve">  Utilize Model Default Values (below)?     (Y or N)</t>
  </si>
  <si>
    <t>MyCounty (name)</t>
  </si>
  <si>
    <t>MyRegion (includes)</t>
  </si>
  <si>
    <t>Payroll Parameters</t>
  </si>
  <si>
    <t xml:space="preserve">  During operating years (annual)</t>
  </si>
  <si>
    <t>Payroll expense</t>
  </si>
  <si>
    <t>Govt</t>
  </si>
  <si>
    <t>Health/Ins/Misc</t>
  </si>
  <si>
    <t>Empl Earnings</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</si>
  <si>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</si>
  <si>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</si>
  <si>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</si>
  <si>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</si>
  <si>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</si>
  <si>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</si>
  <si>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</si>
  <si>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</si>
  <si>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</si>
  <si>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</si>
  <si>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</si>
  <si>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</si>
  <si>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</si>
  <si>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Jobs and Economic Development Model (JEDI)</t>
  </si>
  <si>
    <t>How do I know if I have the most current version of the JEDI model?</t>
  </si>
  <si>
    <t xml:space="preserve">                               After inserting required data press enter (or cursor to the next cell) to continue.</t>
  </si>
  <si>
    <t xml:space="preserve">I am interested in viewing and possibly editting internal formulas within the model, how do I access them?  </t>
  </si>
  <si>
    <t>How do I run a county or regional level analysis?</t>
  </si>
  <si>
    <t>time you open a file.  Alternately, the model can be successfully run with the macros disabled.</t>
  </si>
  <si>
    <t>Is there a mailing list I can get on to be notified by email when new versions of JEDI are released?</t>
  </si>
  <si>
    <t xml:space="preserve">Where can I get more information on input-output modeling and using the JEDI model?  </t>
  </si>
  <si>
    <t xml:space="preserve">can run the model with the macros enabled?  </t>
  </si>
  <si>
    <t>Is additional technical support available?</t>
  </si>
  <si>
    <t>How can I determine which version of the JEDI model I have?</t>
  </si>
  <si>
    <t xml:space="preserve">Running a county or regional level analysis is similar to running a state level analysis, although there are two key differences users must keep in mind.  First, the model </t>
  </si>
  <si>
    <t xml:space="preserve">County level multipliers and personal consumption expenditure patterns are available from a number of sources.  Users familiar with IMPLAN or input-output modeling can </t>
  </si>
  <si>
    <t>purchase the raw county level data and derive the multipliers themselves, purchase them from someone familiar with input-output modeling, purchase them directly from</t>
  </si>
  <si>
    <t>cutting and pasting the data into their respective locations.  With the data installed it is also necessary to insert the county or region name and the year of the data.</t>
  </si>
  <si>
    <t>does not contain county or regional level multipliers, thus users must obtain these and add them into the model. (See FAQ on obtaining county or regional level</t>
  </si>
  <si>
    <t>What does the "local share" refer to?</t>
  </si>
  <si>
    <t>Since the "local share" is directly related to the availability of local businesses and services and their ability to meet the construction and annual operating demands</t>
  </si>
  <si>
    <t>Where can I get county or regional level data to add-in to the model to run a county or region specific analysis?</t>
  </si>
  <si>
    <t>How do I add in county or regional level multipliers and the personal consumption expenditure data?</t>
  </si>
  <si>
    <t xml:space="preserve">Adding-in county or regional level multipliers and personal consumtption expenditure data involves going to the "User Add-in Location" worksheet in this model and </t>
  </si>
  <si>
    <t>Personal Consumption Expenditures (PCE)</t>
  </si>
  <si>
    <t>area.  The population provides a reference for the model to automatically insert 'local share" defaults for the analysis.</t>
  </si>
  <si>
    <t>multipliers and how to add in the data)  Second, to run a county or regional level analysis users must enter the county or regional population in the Project Description</t>
  </si>
  <si>
    <t>Adj Demand - Million</t>
  </si>
  <si>
    <t xml:space="preserve">advocates, government officials, decision makers and other potential users, to easily identify the local economic impacts associated with constructing and operating </t>
  </si>
  <si>
    <t xml:space="preserve">a web site. </t>
  </si>
  <si>
    <t xml:space="preserve">     Consistent with these goals, a strong emphasis was placed on designing the model in a user-friendly format that could be easily modified - reflecting different </t>
  </si>
  <si>
    <t xml:space="preserve"> levels of project specific information and user skill. This insures the greatest flexibility, for inexperienced spreadsheet users, those unfamiliar with economic impact </t>
  </si>
  <si>
    <t xml:space="preserve">analysis, and more experienced and knowledgeable users who have a need for this specific type of analysis. </t>
  </si>
  <si>
    <t xml:space="preserve">The message you are receiving is related to the level of security you have chosen in your Excel™ set up.  To change the setting for opening files, open Excel™, on the </t>
  </si>
  <si>
    <t>top toolbar, click on "tools," then "macros" then "security."  Reset the security level to "medium," this will enable you to choose to enable or disable macros each</t>
  </si>
  <si>
    <t>Installation Costs Local Demand - margined</t>
  </si>
  <si>
    <t>System Descriptive Data</t>
  </si>
  <si>
    <t xml:space="preserve">  Project Location</t>
  </si>
  <si>
    <t xml:space="preserve"> Land</t>
  </si>
  <si>
    <t xml:space="preserve"> Engineering</t>
  </si>
  <si>
    <t xml:space="preserve"> Construction insurance</t>
  </si>
  <si>
    <t xml:space="preserve"> Grid intertie</t>
  </si>
  <si>
    <t>Construction Costs</t>
  </si>
  <si>
    <t xml:space="preserve">   Construction Labor</t>
  </si>
  <si>
    <t xml:space="preserve">   General facilities</t>
  </si>
  <si>
    <t xml:space="preserve">   Power Generation</t>
  </si>
  <si>
    <t xml:space="preserve"> Facility and Equipment</t>
  </si>
  <si>
    <t xml:space="preserve"> Labor</t>
  </si>
  <si>
    <t xml:space="preserve">   Facility and Equipment Subtotal</t>
  </si>
  <si>
    <t xml:space="preserve">   Labor Subtotal</t>
  </si>
  <si>
    <t xml:space="preserve"> Construction Subtotal</t>
  </si>
  <si>
    <t>Project Cost Data - Default Values</t>
  </si>
  <si>
    <t xml:space="preserve"> Other Subtotal</t>
  </si>
  <si>
    <t xml:space="preserve">   Project management</t>
  </si>
  <si>
    <t xml:space="preserve">  Year Construction Starts </t>
  </si>
  <si>
    <t xml:space="preserve">  Project Size - Nameplate Capacity (MW)</t>
  </si>
  <si>
    <t xml:space="preserve">  Capacity Factor (Percentage)</t>
  </si>
  <si>
    <t xml:space="preserve">  Cost of Fuel ($/mmbtu)</t>
  </si>
  <si>
    <t xml:space="preserve">  Plant Construction Cost ($/KW)</t>
  </si>
  <si>
    <t xml:space="preserve">  Construction Period (Months)</t>
  </si>
  <si>
    <t xml:space="preserve">  Heat Rate (Btu per kWh)</t>
  </si>
  <si>
    <t>Heat Rate</t>
  </si>
  <si>
    <t>Construction Period</t>
  </si>
  <si>
    <t>Capacity Factor</t>
  </si>
  <si>
    <t>Total MW</t>
  </si>
  <si>
    <t xml:space="preserve">  Fixed Operations and Maintenance Cost ($/kW)</t>
  </si>
  <si>
    <t>Fixed Costs</t>
  </si>
  <si>
    <t>Variable Costs</t>
  </si>
  <si>
    <t xml:space="preserve">  Maintenance</t>
  </si>
  <si>
    <t>Total MWH</t>
  </si>
  <si>
    <t>Fuel</t>
  </si>
  <si>
    <t>Cost Per MWH</t>
  </si>
  <si>
    <t>Total KW</t>
  </si>
  <si>
    <t xml:space="preserve">Fuel </t>
  </si>
  <si>
    <t>Cost Per mmbtu</t>
  </si>
  <si>
    <t xml:space="preserve">  Variable Operations and Maintenance Cost ($/MWh)</t>
  </si>
  <si>
    <t>Per MWh</t>
  </si>
  <si>
    <t>Fixed O&amp;M</t>
  </si>
  <si>
    <t>Variable O&amp;M</t>
  </si>
  <si>
    <t>Cost Per MWh</t>
  </si>
  <si>
    <t xml:space="preserve"> Water</t>
  </si>
  <si>
    <t xml:space="preserve"> Catalysts &amp; chemicals</t>
  </si>
  <si>
    <t xml:space="preserve"> Variable Subtotal</t>
  </si>
  <si>
    <t>Fuel Cost</t>
  </si>
  <si>
    <t>Total (with financing)</t>
  </si>
  <si>
    <t xml:space="preserve">                               Once Descriptive Data is complete, choose "Y" or "N" on Line 26 to continue.</t>
  </si>
  <si>
    <t xml:space="preserve">                                    To utilize changed/editted default values you must enter an "N" in "Utilize Model Default Values?" - Line 26.</t>
  </si>
  <si>
    <t xml:space="preserve">  Labor Subtotal</t>
  </si>
  <si>
    <t xml:space="preserve"> Materials</t>
  </si>
  <si>
    <t xml:space="preserve"> Fixed Subtotal</t>
  </si>
  <si>
    <t xml:space="preserve"> Services</t>
  </si>
  <si>
    <t xml:space="preserve">                                    Enter "Y" to accept Project Cost defaults or "N" to review/edit Cost default values below.</t>
  </si>
  <si>
    <t xml:space="preserve"> Spare Parts</t>
  </si>
  <si>
    <t>O</t>
  </si>
  <si>
    <t xml:space="preserve">  Plant Operators</t>
  </si>
  <si>
    <t xml:space="preserve">  Manangement &amp; Administration</t>
  </si>
  <si>
    <t>Property Tax</t>
  </si>
  <si>
    <t>To House</t>
  </si>
  <si>
    <t>To FIRE</t>
  </si>
  <si>
    <t>Y</t>
  </si>
  <si>
    <t>Default Land Lease (below)</t>
  </si>
  <si>
    <t>User Land Lease (below)</t>
  </si>
  <si>
    <t>Gross minus employer costs</t>
  </si>
  <si>
    <t>Gross incl benefits</t>
  </si>
  <si>
    <t>Avg earning/job</t>
  </si>
  <si>
    <t xml:space="preserve">When I open up the model I receive a security alert message stating "the macros in the file have been disabled," how do I change the security setting so I </t>
  </si>
  <si>
    <t xml:space="preserve">I want to make my analysis as accurate as possible, where can I get information to adjust the default "local share" values (in the ProjectData worksheet) </t>
  </si>
  <si>
    <t>for my state or county?</t>
  </si>
  <si>
    <t xml:space="preserve">of the project, it is important to have an accurate picture of these local resources.  This can be obtained in a number of ways: contacting experienced and knowlegeable </t>
  </si>
  <si>
    <t>persons in the area, contacting local business and contractor organizations and/or the local chamber of commerce, among others.</t>
  </si>
  <si>
    <t xml:space="preserve">  Labor (average for all plant workers)</t>
  </si>
  <si>
    <t xml:space="preserve"> includes operators, maintenance, administration and management.  Economic impacts "During operating years"</t>
  </si>
  <si>
    <t xml:space="preserve"> represent impacts that occur from plant operations/expenditures.  The analysis does not include impacts associated</t>
  </si>
  <si>
    <t>with spending of plant "profits" and assumes no tax abatement unless noted. Totals may not add up due to independent rounding.</t>
  </si>
  <si>
    <t xml:space="preserve">   Plant Equipment</t>
  </si>
  <si>
    <t>Annual Operating and Maintenance Costs</t>
  </si>
  <si>
    <t>Total (without debt, equity,taxes, lease payments)</t>
  </si>
  <si>
    <t xml:space="preserve">    Produced Locally (Percent) </t>
  </si>
  <si>
    <t>Govt Share</t>
  </si>
  <si>
    <t>Health Ben, etc.</t>
  </si>
  <si>
    <t>Employee - (SSI, Medicare, etc.)</t>
  </si>
  <si>
    <t>Other benefits</t>
  </si>
  <si>
    <t>Earnings (minus taxes, benefits, etc)</t>
  </si>
  <si>
    <t xml:space="preserve">Detailed Gas Project Data </t>
  </si>
  <si>
    <t xml:space="preserve">power plants. The second goal was to facilitate broad access and usage of the model by making it adaptable to a web based application that can be put on  </t>
  </si>
  <si>
    <t xml:space="preserve">gas power plants in the United States.  The primary goal in developing the state level model was to provide a tool for power plant developers, renewable energy  </t>
  </si>
  <si>
    <t xml:space="preserve">     The Jobs and Economic Development Impact Model (JEDI) for gas was developed in 2005 to demonstrate the economic benefits associated with developing</t>
  </si>
  <si>
    <t>KANSAS</t>
  </si>
  <si>
    <t>IOWA</t>
  </si>
  <si>
    <t>NEW MEXICO</t>
  </si>
  <si>
    <t>NEW YORK</t>
  </si>
  <si>
    <t>NORTH CAROLINA</t>
  </si>
  <si>
    <t>NORTH DAKOTO</t>
  </si>
  <si>
    <t>OHIO</t>
  </si>
  <si>
    <t>LOUISIANA</t>
  </si>
  <si>
    <t>SOUTH CAROLINA</t>
  </si>
  <si>
    <t>SOUTH DAKOTO</t>
  </si>
  <si>
    <t>TENNESSEE</t>
  </si>
  <si>
    <t>Per MW</t>
  </si>
  <si>
    <t>United States</t>
  </si>
  <si>
    <t>2007$</t>
  </si>
  <si>
    <t>2008$</t>
  </si>
  <si>
    <t>Const</t>
  </si>
  <si>
    <t>Manufacturing Jobs</t>
  </si>
  <si>
    <t>User defined price (adj. to multiplier year) - dollars per mmbtu</t>
  </si>
  <si>
    <t>State Natural Gas Price</t>
  </si>
  <si>
    <t>Natural Gas Price - in year of Data ($/mmbtu)</t>
  </si>
  <si>
    <t xml:space="preserve">Fuel Cost </t>
  </si>
  <si>
    <t>Fuel Cost Impact Adj</t>
  </si>
  <si>
    <t>Price Adj</t>
  </si>
  <si>
    <t>Multiplier Yr Fuel Price Impact Adj.</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</si>
  <si>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</si>
  <si>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</si>
  <si>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</si>
  <si>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</si>
  <si>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</si>
  <si>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The JEDI model contains several intermediate worksheets that are an integral part of the model analysis. These worksheets are not designed to be changed by users.</t>
  </si>
  <si>
    <t>Several of these worksheets, including default data, calculations, and deflators may be viewed by merely clicking on the respective worksheet and scrolling to the right.</t>
  </si>
  <si>
    <t>Although these sheets may be viewed by users they are protected and can not be editted.  The model contains two additional worksheets: multipliers and household</t>
  </si>
  <si>
    <t>expenditures.  These worksheets are hidden to protect proprietary data derived from IMPLAN (Minnesota Implan Group).</t>
  </si>
  <si>
    <t xml:space="preserve">  Labor (average wage per hour for all plant workers)</t>
  </si>
  <si>
    <t>IMPLAN (www.implan.com), or contact MRG &amp; Associates (mrgassociates@earthlink.net), the model developer.</t>
  </si>
  <si>
    <t xml:space="preserve">     Persons wishing more information on how and/or where the model is being used or the role of the National Renewable Energy Laboratory in analyzing </t>
  </si>
  <si>
    <t xml:space="preserve">     The model was developed by Marshall Goldberg of MRG &amp; Associates, under contract with the National Renewable Energy Laboratory.  Persons wishing </t>
  </si>
  <si>
    <t xml:space="preserve">more information on the methodology or data in the model should contact him at: </t>
  </si>
  <si>
    <t xml:space="preserve">       Onsite Construction Only (labor and interconnection)</t>
  </si>
  <si>
    <t xml:space="preserve">       Other Onsite Construction Related Services (Engin. and Prof. Services)</t>
  </si>
  <si>
    <t>Eng. &amp; Prof. Svcs.</t>
  </si>
  <si>
    <t>Other Sectors (not Construction)</t>
  </si>
  <si>
    <t>Mfg W&amp;S Earnings</t>
  </si>
  <si>
    <t>Mfg Output</t>
  </si>
  <si>
    <t xml:space="preserve">       Onsite Plant Labor Only </t>
  </si>
  <si>
    <t xml:space="preserve"> JEDI - Natural GAS</t>
  </si>
  <si>
    <t>JEDI - NATURAL GAS</t>
  </si>
  <si>
    <t xml:space="preserve">     Project Development and Onsite Labor Impacts</t>
  </si>
  <si>
    <t xml:space="preserve">       Construction Related Services</t>
  </si>
  <si>
    <t xml:space="preserve">       Construction and Interconnection Labor</t>
  </si>
  <si>
    <t xml:space="preserve">     Power Generation and Supply Chain Impacts</t>
  </si>
  <si>
    <t xml:space="preserve">     Local Revenue and Supply Chain Impacts</t>
  </si>
  <si>
    <t xml:space="preserve">     Onsite Labor Impacts</t>
  </si>
  <si>
    <t>2009$</t>
  </si>
  <si>
    <t>2010$</t>
  </si>
  <si>
    <t xml:space="preserve">  Local Sales Tax Rate</t>
  </si>
  <si>
    <t>Comm</t>
  </si>
  <si>
    <t>Prop Tax Exemption</t>
  </si>
  <si>
    <t>Tax Rate</t>
  </si>
  <si>
    <t>Offset</t>
  </si>
  <si>
    <t>Sales Tax Rate</t>
  </si>
  <si>
    <t>Sales Tax updated 2010</t>
  </si>
  <si>
    <t xml:space="preserve">Sales Tax Rate </t>
  </si>
  <si>
    <t>PropertyTax Exemption</t>
  </si>
  <si>
    <t>Subtotal All Costs (without sales tax)</t>
  </si>
  <si>
    <t>Sales Tax (Materials &amp; Equipment Purchases)</t>
  </si>
  <si>
    <t>Total Project Cost</t>
  </si>
  <si>
    <t>Other Taxes/Payments</t>
  </si>
  <si>
    <t>Total (with Sales Tax and Other Taxes/Payments</t>
  </si>
  <si>
    <t xml:space="preserve">  Money Value (Dollar Year) </t>
  </si>
  <si>
    <t xml:space="preserve"> Labor and Management</t>
  </si>
  <si>
    <t xml:space="preserve">   Subtotal</t>
  </si>
  <si>
    <t xml:space="preserve">   Construction Utilities</t>
  </si>
  <si>
    <t xml:space="preserve"> Engineering/Design</t>
  </si>
  <si>
    <t xml:space="preserve">   Project management (contruction and owner's)</t>
  </si>
  <si>
    <t xml:space="preserve"> Permitting Fees</t>
  </si>
  <si>
    <t>Natural Gas Combined Cycle Plant Project Data</t>
  </si>
  <si>
    <t xml:space="preserve"> Routine Turbine Maintenance</t>
  </si>
  <si>
    <t>MW</t>
  </si>
  <si>
    <t>Wage per hour</t>
  </si>
  <si>
    <t>Employer Payroll Overhead</t>
  </si>
  <si>
    <t>Local Adj</t>
  </si>
  <si>
    <t>Electric Utility Natural Gas price in 2009 (dollars per mmbtu)</t>
  </si>
  <si>
    <t>Adjustment factor for fuel price impact consistency</t>
  </si>
  <si>
    <t>Project Cost Data</t>
  </si>
  <si>
    <t>Sales Tax</t>
  </si>
  <si>
    <t>Other Tax/Payments</t>
  </si>
  <si>
    <t>Sales Tax Rate (percentage)</t>
  </si>
  <si>
    <t>2011$</t>
  </si>
  <si>
    <t>2012$</t>
  </si>
  <si>
    <t>2013$</t>
  </si>
  <si>
    <t>2014$</t>
  </si>
  <si>
    <t>2015$</t>
  </si>
  <si>
    <t xml:space="preserve">The most current version of the JEDI model is available on the National Renewable Energy Laboratory web site at http://www.nrel.gov/analysis/jedi/.  Click on "Download   </t>
  </si>
  <si>
    <t xml:space="preserve"> JEDI" on the left side of the page.  Once there, choose the "Jobs and Economic Development Impact (JEDI) Model" you wish to download.  Click on the link to initiate  </t>
  </si>
  <si>
    <t>the download.  (See also, getting on the JEDI mailing list, in FAQ.)</t>
  </si>
  <si>
    <t xml:space="preserve"> </t>
  </si>
  <si>
    <t xml:space="preserve">The version (release number) of the model you are currently using is listed in the "About JEDI" worksheet contained in this model and is contained in the model's file </t>
  </si>
  <si>
    <t xml:space="preserve">name.  </t>
  </si>
  <si>
    <t xml:space="preserve"> be placed on the JEDI mailing list. </t>
  </si>
  <si>
    <t>Yes.  Prior to downloading, all users are required to register with their contact information and accept our User Agreement.  You may elect to “Opt-In” and</t>
  </si>
  <si>
    <t>Results" or "Publications" from the lisgt on the left side of the page.</t>
  </si>
  <si>
    <t>To view and/or download JEDI related publications go to the National Renewable Energy Laboratory web site at http://www.nrel.gov/analysis/jedi/.  Click on "Interpreting</t>
  </si>
  <si>
    <t>Yes, technical support is available.  Please see our JEDI Help Web page (http://www.nrel.gov/analysis/jedi/help.html) and select the appropriate contact based on the</t>
  </si>
  <si>
    <t>technology and type of support being sought.</t>
  </si>
  <si>
    <t xml:space="preserve">The "local share" refers to the percentage of each expenditure that is actually spent locally (i.e., in the state,  county or region being analyzed).  </t>
  </si>
  <si>
    <t>is 50 percent.</t>
  </si>
  <si>
    <t>For example, if $1 million is going to be spent on construction materials and half ($500,000) of this total will be purchased from local suppliers, the "local share"</t>
  </si>
  <si>
    <t xml:space="preserve">     The JEDI model utilizes multipliers derived from IMPLAN data using the IMPLAN Version 3.0 Social Accounting &amp; Impact Analysis software.</t>
  </si>
  <si>
    <t xml:space="preserve">     Total Impacts</t>
  </si>
  <si>
    <t>15013 Denver West Parkway</t>
  </si>
  <si>
    <t>National Renewable Energy Laboratory</t>
  </si>
  <si>
    <t>Golden, Colorado, 80401</t>
  </si>
  <si>
    <t>Email: jedisupport@nrel.gov</t>
  </si>
  <si>
    <t>MRG &amp; Associates</t>
  </si>
  <si>
    <t>17935 Starduster Dr.</t>
  </si>
  <si>
    <t>Nevada City, California, 95959</t>
  </si>
  <si>
    <t>Tel.: 530.432.9373</t>
  </si>
  <si>
    <t>Email: MRGAssociates@earthlink.net</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</si>
  <si>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</si>
  <si>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</si>
  <si>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</si>
  <si>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</si>
  <si>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</si>
  <si>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</si>
  <si>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</si>
  <si>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</si>
  <si>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</si>
  <si>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</si>
  <si>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natural gas and other conventional and renewable technologies should contact NREL at:</t>
  </si>
  <si>
    <t>Persons wishing more information on the IMPLAN data or the software should contact the IMPLAN Group.</t>
  </si>
  <si>
    <t xml:space="preserve">IMPLAN Group, LLC </t>
  </si>
  <si>
    <t>16740 Birkdale Commons Parkway Suite 206</t>
  </si>
  <si>
    <t>Huntersville, North Carolina 28078</t>
  </si>
  <si>
    <t xml:space="preserve">Tel: 651.439.4421 </t>
  </si>
  <si>
    <t xml:space="preserve">www.implan.com </t>
  </si>
  <si>
    <t>UNITED STATES</t>
  </si>
  <si>
    <t>Value Added</t>
  </si>
  <si>
    <t>N</t>
  </si>
  <si>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below.  </t>
    </r>
    <r>
      <rPr>
        <b/>
        <i/>
        <sz val="9"/>
        <rFont val="Arial"/>
        <family val="2"/>
      </rPr>
      <t>Note: it is not necessary to restore defaults to incorporate default Project Cost Data in system analysis (simply enter a "Y" in cell B26 above).</t>
    </r>
    <r>
      <rPr>
        <b/>
        <sz val="10"/>
        <rFont val="Arial"/>
        <family val="2"/>
      </rPr>
      <t xml:space="preserve">  </t>
    </r>
  </si>
  <si>
    <t xml:space="preserve">  Value Added Direct Multipliers</t>
  </si>
  <si>
    <t xml:space="preserve">  Value Added Indirect Multipliers</t>
  </si>
  <si>
    <t xml:space="preserve">  Value Added Induced Multipliers</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</si>
  <si>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</si>
  <si>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</si>
  <si>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</si>
  <si>
    <t>2016$</t>
  </si>
  <si>
    <t>2017$</t>
  </si>
  <si>
    <t>2018$</t>
  </si>
  <si>
    <t>2019$</t>
  </si>
  <si>
    <t>2020$</t>
  </si>
  <si>
    <t>Population (entry required)</t>
  </si>
  <si>
    <t>Release Number: NG4.17.17</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</si>
</sst>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64" formatCode="&quot;$&quot;#,##0_);\(&quot;$&quot;#,##0\)"/>
    <numFmt numFmtId="165" formatCode="&quot;$&quot;#,##0.00_);\(&quot;$&quot;#,##0.00\)"/>
    <numFmt numFmtId="166" formatCode="_(&quot;$&quot;* #,##0.00_);_(&quot;$&quot;* \(#,##0.00\);_(&quot;$&quot;* &quot;-&quot;??_);_(@_)"/>
    <numFmt numFmtId="167" formatCode="_(* #,##0.00_);_(* \(#,##0.00\);_(* &quot;-&quot;??_);_(@_)"/>
    <numFmt numFmtId="168" formatCode="0.0"/>
    <numFmt numFmtId="169" formatCode="&quot;$&quot;#,##0"/>
    <numFmt numFmtId="170" formatCode="#,##0.0"/>
    <numFmt numFmtId="171" formatCode="&quot;$&quot;#,##0.0"/>
    <numFmt numFmtId="172" formatCode="0.000"/>
    <numFmt numFmtId="173" formatCode="&quot;$&quot;#,##0.00"/>
    <numFmt numFmtId="174" formatCode="&quot;$&quot;#,##0.000"/>
    <numFmt numFmtId="175" formatCode="0.0%"/>
    <numFmt numFmtId="176" formatCode="0.0000"/>
    <numFmt numFmtId="177" formatCode="&quot;$&quot;#,##0.0000"/>
    <numFmt numFmtId="178" formatCode="#,##0.000"/>
    <numFmt numFmtId="179" formatCode="_(&quot;$&quot;* #,##0_);_(&quot;$&quot;* \(#,##0\);_(&quot;$&quot;* &quot;-&quot;??_);_(@_)"/>
    <numFmt numFmtId="180" formatCode="_(* #,##0_);_(* \(#,##0\);_(* &quot;-&quot;??_);_(@_)"/>
    <numFmt numFmtId="181" formatCode="0.000%"/>
    <numFmt numFmtId="182" formatCode="_(* #,##0.0000_);_(* \(#,##0.0000\);_(* &quot;-&quot;??_);_(@_)"/>
    <numFmt numFmtId="183" formatCode="0.00000"/>
    <numFmt numFmtId="184" formatCode="&quot;$&quot;#,##0.00000"/>
    <numFmt numFmtId="185" formatCode="0.000000"/>
    <numFmt numFmtId="186" formatCode="0_);\(0\)"/>
  </numFmts>
  <fonts count="67"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sz val="10"/>
      <color indexed="12"/>
      <name val="Arial"/>
      <family val="2"/>
    </font>
    <font>
      <b/>
      <i/>
      <sz val="10"/>
      <name val="Arial"/>
      <family val="2"/>
    </font>
    <font>
      <sz val="10"/>
      <color indexed="9"/>
      <name val="Arial"/>
      <family val="2"/>
    </font>
    <font>
      <sz val="12"/>
      <name val="Times New Roman"/>
      <family val="1"/>
    </font>
    <font>
      <sz val="12"/>
      <name val="Arial"/>
      <family val="2"/>
    </font>
    <font>
      <sz val="8"/>
      <name val="Arial"/>
      <family val="2"/>
    </font>
    <font>
      <b/>
      <sz val="18"/>
      <color indexed="10"/>
      <name val="Arial"/>
      <family val="2"/>
    </font>
    <font>
      <sz val="10"/>
      <name val="Times New Roman"/>
      <family val="1"/>
    </font>
    <font>
      <b/>
      <sz val="12"/>
      <color indexed="10"/>
      <name val="Arial"/>
      <family val="2"/>
    </font>
    <font>
      <sz val="12"/>
      <name val="Arial"/>
      <family val="2"/>
    </font>
    <font>
      <b/>
      <i/>
      <sz val="9"/>
      <name val="Arial"/>
      <family val="2"/>
    </font>
    <font>
      <sz val="12"/>
      <color indexed="8"/>
      <name val="Times New Roman"/>
      <family val="2"/>
    </font>
    <font>
      <sz val="12"/>
      <color indexed="9"/>
      <name val="Times New Roman"/>
      <family val="2"/>
    </font>
    <font>
      <sz val="12"/>
      <color indexed="20"/>
      <name val="Times New Roman"/>
      <family val="2"/>
    </font>
    <font>
      <b/>
      <sz val="12"/>
      <color indexed="52"/>
      <name val="Times New Roman"/>
      <family val="2"/>
    </font>
    <font>
      <b/>
      <sz val="12"/>
      <color indexed="9"/>
      <name val="Times New Roman"/>
      <family val="2"/>
    </font>
    <font>
      <sz val="11"/>
      <color indexed="8"/>
      <name val="Calibri"/>
      <family val="2"/>
    </font>
    <font>
      <i/>
      <sz val="12"/>
      <color indexed="23"/>
      <name val="Times New Roman"/>
      <family val="2"/>
    </font>
    <font>
      <sz val="12"/>
      <color indexed="17"/>
      <name val="Times New Roman"/>
      <family val="2"/>
    </font>
    <font>
      <b/>
      <sz val="15"/>
      <color indexed="56"/>
      <name val="Times New Roman"/>
      <family val="2"/>
    </font>
    <font>
      <b/>
      <sz val="13"/>
      <color indexed="56"/>
      <name val="Times New Roman"/>
      <family val="2"/>
    </font>
    <font>
      <b/>
      <sz val="11"/>
      <color indexed="56"/>
      <name val="Times New Roman"/>
      <family val="2"/>
    </font>
    <font>
      <sz val="12"/>
      <color indexed="62"/>
      <name val="Times New Roman"/>
      <family val="2"/>
    </font>
    <font>
      <sz val="12"/>
      <color indexed="52"/>
      <name val="Times New Roman"/>
      <family val="2"/>
    </font>
    <font>
      <sz val="12"/>
      <color indexed="60"/>
      <name val="Times New Roman"/>
      <family val="2"/>
    </font>
    <font>
      <b/>
      <sz val="12"/>
      <color indexed="63"/>
      <name val="Times New Roman"/>
      <family val="2"/>
    </font>
    <font>
      <b/>
      <sz val="18"/>
      <color indexed="56"/>
      <name val="Cambria"/>
      <family val="2"/>
    </font>
    <font>
      <b/>
      <sz val="12"/>
      <color indexed="8"/>
      <name val="Times New Roman"/>
      <family val="2"/>
    </font>
    <font>
      <sz val="12"/>
      <color indexed="10"/>
      <name val="Times New Roman"/>
      <family val="2"/>
    </font>
    <font>
      <sz val="11"/>
      <color indexed="8"/>
      <name val="Arial"/>
      <family val="2"/>
    </font>
    <font>
      <sz val="10"/>
      <color indexed="8"/>
      <name val="Arial"/>
      <family val="2"/>
    </font>
    <font>
      <sz val="11"/>
      <name val="Arial"/>
      <family val="2"/>
    </font>
    <font>
      <u/>
      <sz val="10"/>
      <color indexed="12"/>
      <name val="Arial"/>
      <family val="2"/>
    </font>
    <font>
      <sz val="8"/>
      <color indexed="81"/>
      <name val="Tahoma"/>
      <family val="2"/>
    </font>
    <font>
      <sz val="10"/>
      <color indexed="81"/>
      <name val="Tahoma"/>
      <family val="2"/>
    </font>
    <font>
      <b/>
      <sz val="10"/>
      <color indexed="81"/>
      <name val="Tahoma"/>
      <family val="2"/>
    </font>
    <font>
      <b/>
      <sz val="14"/>
      <color rgb="FF000000"/>
      <name val="Arial"/>
      <family val="2"/>
    </font>
    <font>
      <sz val="14"/>
      <color rgb="FF000000"/>
      <name val="Arial"/>
      <family val="2"/>
    </font>
    <font>
      <sz val="10"/>
      <color rgb="FF000000"/>
      <name val="Arial"/>
      <family val="2"/>
    </font>
    <font>
      <sz val="12"/>
      <color rgb="FF0000FF"/>
      <name val="Times New Roman"/>
      <family val="1"/>
    </font>
    <font>
      <sz val="12"/>
      <color indexed="12"/>
      <name val="Times New Roman"/>
      <family val="1"/>
    </font>
    <font>
      <b/>
      <sz val="10"/>
      <name val="Times New Roman"/>
      <family val="1"/>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theme="0"/>
        <bgColor indexed="64"/>
      </patternFill>
    </fill>
    <fill>
      <patternFill patternType="solid">
        <fgColor rgb="FF00FFFF"/>
        <bgColor indexed="64"/>
      </patternFill>
    </fill>
    <fill>
      <patternFill patternType="solid">
        <fgColor rgb="FFFFFF00"/>
        <bgColor indexed="64"/>
      </patternFill>
    </fill>
  </fills>
  <borders count="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55">
    <xf numFmtId="185" fontId="0" fillId="0" borderId="0">
      <alignment horizontal="left" wrapText="1"/>
    </xf>
    <xf numFmtId="0" fontId="36" fillId="2" borderId="0" applyNumberFormat="0" applyBorder="0" applyAlignment="0" applyProtection="0"/>
    <xf numFmtId="0" fontId="36" fillId="3" borderId="0" applyNumberFormat="0" applyBorder="0" applyAlignment="0" applyProtection="0"/>
    <xf numFmtId="0" fontId="36" fillId="4" borderId="0" applyNumberFormat="0" applyBorder="0" applyAlignment="0" applyProtection="0"/>
    <xf numFmtId="0" fontId="36"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5" borderId="0" applyNumberFormat="0" applyBorder="0" applyAlignment="0" applyProtection="0"/>
    <xf numFmtId="0" fontId="36" fillId="8" borderId="0" applyNumberFormat="0" applyBorder="0" applyAlignment="0" applyProtection="0"/>
    <xf numFmtId="0" fontId="36" fillId="11"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9" borderId="0" applyNumberFormat="0" applyBorder="0" applyAlignment="0" applyProtection="0"/>
    <xf numFmtId="0" fontId="38" fillId="3" borderId="0" applyNumberFormat="0" applyBorder="0" applyAlignment="0" applyProtection="0"/>
    <xf numFmtId="0" fontId="39" fillId="20" borderId="1" applyNumberFormat="0" applyAlignment="0" applyProtection="0"/>
    <xf numFmtId="0" fontId="40" fillId="21" borderId="2" applyNumberFormat="0" applyAlignment="0" applyProtection="0"/>
    <xf numFmtId="167" fontId="1" fillId="0" borderId="0" applyFont="0" applyFill="0" applyBorder="0" applyAlignment="0" applyProtection="0"/>
    <xf numFmtId="166" fontId="1" fillId="0" borderId="0" applyFont="0" applyFill="0" applyBorder="0" applyAlignment="0" applyProtection="0"/>
    <xf numFmtId="0" fontId="42" fillId="0" borderId="0" applyNumberFormat="0" applyFill="0" applyBorder="0" applyAlignment="0" applyProtection="0"/>
    <xf numFmtId="0" fontId="43" fillId="4" borderId="0" applyNumberFormat="0" applyBorder="0" applyAlignment="0" applyProtection="0"/>
    <xf numFmtId="0" fontId="44" fillId="0" borderId="3" applyNumberFormat="0" applyFill="0" applyAlignment="0" applyProtection="0"/>
    <xf numFmtId="0" fontId="45" fillId="0" borderId="4" applyNumberFormat="0" applyFill="0" applyAlignment="0" applyProtection="0"/>
    <xf numFmtId="0" fontId="46" fillId="0" borderId="5" applyNumberFormat="0" applyFill="0" applyAlignment="0" applyProtection="0"/>
    <xf numFmtId="0" fontId="46" fillId="0" borderId="0" applyNumberFormat="0" applyFill="0" applyBorder="0" applyAlignment="0" applyProtection="0"/>
    <xf numFmtId="0" fontId="8"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47" fillId="7" borderId="1" applyNumberFormat="0" applyAlignment="0" applyProtection="0"/>
    <xf numFmtId="0" fontId="48" fillId="0" borderId="6" applyNumberFormat="0" applyFill="0" applyAlignment="0" applyProtection="0"/>
    <xf numFmtId="0" fontId="49" fillId="22" borderId="0" applyNumberFormat="0" applyBorder="0" applyAlignment="0" applyProtection="0"/>
    <xf numFmtId="0" fontId="41" fillId="0" borderId="0"/>
    <xf numFmtId="0" fontId="41" fillId="0" borderId="0"/>
    <xf numFmtId="0" fontId="55" fillId="0" borderId="0"/>
    <xf numFmtId="0" fontId="29" fillId="0" borderId="0"/>
    <xf numFmtId="0" fontId="41" fillId="0" borderId="0"/>
    <xf numFmtId="185" fontId="1" fillId="0" borderId="0">
      <alignment horizontal="left" wrapText="1"/>
    </xf>
    <xf numFmtId="171" fontId="4" fillId="0" borderId="0">
      <alignment horizontal="left" wrapText="1"/>
    </xf>
    <xf numFmtId="0" fontId="41" fillId="23" borderId="7" applyNumberFormat="0" applyFont="0" applyAlignment="0" applyProtection="0"/>
    <xf numFmtId="0" fontId="50" fillId="20" borderId="8" applyNumberFormat="0" applyAlignment="0" applyProtection="0"/>
    <xf numFmtId="9" fontId="1" fillId="0" borderId="0" applyFont="0" applyFill="0" applyBorder="0" applyAlignment="0" applyProtection="0"/>
    <xf numFmtId="0" fontId="51" fillId="0" borderId="0" applyNumberFormat="0" applyFill="0" applyBorder="0" applyAlignment="0" applyProtection="0"/>
    <xf numFmtId="0" fontId="52" fillId="0" borderId="9" applyNumberFormat="0" applyFill="0" applyAlignment="0" applyProtection="0"/>
    <xf numFmtId="0" fontId="53" fillId="0" borderId="0" applyNumberFormat="0" applyFill="0" applyBorder="0" applyAlignment="0" applyProtection="0"/>
    <xf numFmtId="185" fontId="1" fillId="0" borderId="0">
      <alignment horizontal="left" wrapText="1"/>
    </xf>
  </cellStyleXfs>
  <cellXfs count="441">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center" vertical="top" wrapText="1"/>
    </xf>
    <xf numFmtId="1" fontId="7" fillId="0" borderId="0" xfId="0" applyNumberFormat="1" applyFont="1" applyAlignment="1">
      <alignment horizontal="left" vertical="top" wrapText="1"/>
    </xf>
    <xf numFmtId="9" fontId="0" fillId="0" borderId="0" xfId="0" applyNumberFormat="1" applyAlignment="1"/>
    <xf numFmtId="169" fontId="0" fillId="0" borderId="0" xfId="0" applyNumberFormat="1" applyAlignment="1"/>
    <xf numFmtId="171"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2" fontId="0" fillId="0" borderId="0" xfId="0" applyNumberFormat="1" applyAlignment="1">
      <alignment horizontal="center"/>
    </xf>
    <xf numFmtId="1" fontId="2" fillId="0" borderId="0" xfId="0" quotePrefix="1" applyNumberFormat="1" applyFont="1" applyAlignment="1">
      <alignment horizontal="left"/>
    </xf>
    <xf numFmtId="174" fontId="0" fillId="0" borderId="0" xfId="0" applyNumberFormat="1" applyAlignment="1"/>
    <xf numFmtId="1" fontId="0" fillId="0" borderId="0" xfId="0" quotePrefix="1" applyNumberFormat="1" applyAlignment="1">
      <alignment horizontal="center"/>
    </xf>
    <xf numFmtId="173" fontId="0" fillId="0" borderId="0" xfId="0" applyNumberFormat="1" applyAlignment="1"/>
    <xf numFmtId="170" fontId="0" fillId="0" borderId="0" xfId="0" applyNumberFormat="1" applyAlignment="1"/>
    <xf numFmtId="168"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4" fontId="4" fillId="0" borderId="0" xfId="0" applyNumberFormat="1" applyFont="1" applyAlignment="1">
      <alignment horizontal="center"/>
    </xf>
    <xf numFmtId="1" fontId="7" fillId="0" borderId="0" xfId="0" quotePrefix="1" applyNumberFormat="1" applyFont="1" applyAlignment="1">
      <alignment horizontal="left" vertical="top" wrapText="1"/>
    </xf>
    <xf numFmtId="172" fontId="0" fillId="0" borderId="0" xfId="0" applyNumberFormat="1" applyAlignment="1"/>
    <xf numFmtId="1" fontId="0" fillId="24" borderId="0" xfId="0" applyNumberFormat="1" applyFill="1" applyAlignment="1"/>
    <xf numFmtId="1" fontId="6" fillId="24" borderId="0" xfId="0" quotePrefix="1" applyNumberFormat="1" applyFont="1" applyFill="1" applyAlignment="1">
      <alignment horizontal="left"/>
    </xf>
    <xf numFmtId="1" fontId="5" fillId="24" borderId="0" xfId="0" applyNumberFormat="1" applyFont="1" applyFill="1" applyAlignment="1"/>
    <xf numFmtId="1" fontId="2" fillId="24" borderId="0" xfId="0" applyNumberFormat="1" applyFont="1" applyFill="1" applyAlignment="1">
      <alignment horizontal="center"/>
    </xf>
    <xf numFmtId="170" fontId="0" fillId="24" borderId="0" xfId="0" applyNumberFormat="1" applyFill="1" applyAlignment="1">
      <alignment horizontal="center"/>
    </xf>
    <xf numFmtId="169" fontId="0" fillId="24" borderId="0" xfId="0" applyNumberFormat="1" applyFill="1" applyAlignment="1">
      <alignment horizontal="center"/>
    </xf>
    <xf numFmtId="1" fontId="4" fillId="24" borderId="0" xfId="0" applyNumberFormat="1" applyFont="1" applyFill="1" applyAlignment="1"/>
    <xf numFmtId="1" fontId="0" fillId="24" borderId="0" xfId="0" applyNumberFormat="1" applyFill="1" applyAlignment="1">
      <alignment horizontal="center"/>
    </xf>
    <xf numFmtId="169" fontId="0" fillId="24" borderId="0" xfId="0" applyNumberFormat="1" applyFill="1" applyAlignment="1"/>
    <xf numFmtId="9" fontId="0" fillId="24" borderId="0" xfId="0" applyNumberFormat="1" applyFill="1" applyAlignment="1"/>
    <xf numFmtId="1" fontId="0" fillId="24" borderId="0" xfId="0" quotePrefix="1" applyNumberFormat="1" applyFill="1" applyAlignment="1">
      <alignment horizontal="left"/>
    </xf>
    <xf numFmtId="3" fontId="0" fillId="24" borderId="0" xfId="0" applyNumberFormat="1" applyFill="1" applyAlignment="1">
      <alignment horizontal="center"/>
    </xf>
    <xf numFmtId="171" fontId="0" fillId="24" borderId="0" xfId="0" applyNumberFormat="1" applyFill="1" applyAlignment="1">
      <alignment horizontal="center"/>
    </xf>
    <xf numFmtId="174" fontId="0" fillId="24" borderId="0" xfId="0" applyNumberFormat="1" applyFill="1" applyAlignment="1">
      <alignment horizontal="center"/>
    </xf>
    <xf numFmtId="1" fontId="2" fillId="0" borderId="0" xfId="0" applyNumberFormat="1" applyFont="1" applyFill="1" applyAlignment="1" applyProtection="1">
      <alignment horizontal="center"/>
      <protection locked="0"/>
    </xf>
    <xf numFmtId="170"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169" fontId="0" fillId="0" borderId="0" xfId="0" applyNumberFormat="1" applyFill="1" applyAlignment="1" applyProtection="1">
      <protection locked="0"/>
    </xf>
    <xf numFmtId="1" fontId="13" fillId="24" borderId="0" xfId="0" quotePrefix="1" applyNumberFormat="1" applyFont="1" applyFill="1" applyAlignment="1">
      <alignment horizontal="left"/>
    </xf>
    <xf numFmtId="169" fontId="14" fillId="24" borderId="0" xfId="0" applyNumberFormat="1" applyFont="1" applyFill="1" applyAlignment="1">
      <alignment horizontal="center"/>
    </xf>
    <xf numFmtId="1" fontId="0" fillId="24" borderId="0" xfId="0" applyNumberFormat="1" applyFill="1" applyBorder="1" applyAlignment="1"/>
    <xf numFmtId="1" fontId="12" fillId="24" borderId="0" xfId="0" applyNumberFormat="1" applyFont="1" applyFill="1" applyAlignment="1">
      <alignment horizontal="center"/>
    </xf>
    <xf numFmtId="1" fontId="0" fillId="24" borderId="0" xfId="0" applyNumberFormat="1" applyFill="1" applyAlignment="1" applyProtection="1">
      <protection locked="0"/>
    </xf>
    <xf numFmtId="1" fontId="9" fillId="0" borderId="0" xfId="0" applyNumberFormat="1" applyFont="1" applyAlignment="1" applyProtection="1">
      <alignment horizontal="center" vertical="top" wrapText="1"/>
      <protection locked="0"/>
    </xf>
    <xf numFmtId="176" fontId="0" fillId="0" borderId="0" xfId="0" applyNumberFormat="1" applyAlignment="1"/>
    <xf numFmtId="1" fontId="2" fillId="24" borderId="0" xfId="0" applyNumberFormat="1" applyFont="1" applyFill="1" applyAlignment="1"/>
    <xf numFmtId="1" fontId="2" fillId="24" borderId="0" xfId="0" quotePrefix="1" applyNumberFormat="1" applyFont="1" applyFill="1" applyAlignment="1">
      <alignment horizontal="left"/>
    </xf>
    <xf numFmtId="1" fontId="6" fillId="24" borderId="0" xfId="0" quotePrefix="1" applyNumberFormat="1" applyFont="1" applyFill="1" applyAlignment="1" applyProtection="1">
      <alignment horizontal="left"/>
    </xf>
    <xf numFmtId="1" fontId="6" fillId="24" borderId="0" xfId="0" applyNumberFormat="1" applyFont="1" applyFill="1" applyAlignment="1" applyProtection="1"/>
    <xf numFmtId="172" fontId="4" fillId="0" borderId="0" xfId="0" applyNumberFormat="1" applyFont="1" applyAlignment="1">
      <alignment horizontal="center"/>
    </xf>
    <xf numFmtId="177" fontId="0" fillId="0" borderId="0" xfId="0" applyNumberFormat="1" applyAlignment="1">
      <alignment horizontal="center"/>
    </xf>
    <xf numFmtId="169" fontId="0" fillId="0" borderId="0" xfId="0" applyNumberFormat="1" applyAlignment="1">
      <alignment horizontal="center"/>
    </xf>
    <xf numFmtId="169" fontId="0" fillId="0" borderId="0" xfId="0" applyNumberFormat="1" applyFill="1" applyAlignment="1" applyProtection="1">
      <alignment horizontal="center"/>
      <protection locked="0"/>
    </xf>
    <xf numFmtId="173" fontId="0" fillId="24" borderId="0" xfId="0" applyNumberFormat="1" applyFill="1" applyAlignment="1">
      <alignment horizontal="center"/>
    </xf>
    <xf numFmtId="173" fontId="0" fillId="24" borderId="0" xfId="0" applyNumberFormat="1" applyFill="1" applyAlignment="1"/>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5" fontId="0" fillId="0" borderId="0" xfId="0" applyNumberFormat="1" applyAlignment="1">
      <alignment horizontal="center"/>
    </xf>
    <xf numFmtId="1" fontId="0" fillId="24" borderId="0" xfId="0" applyNumberFormat="1" applyFill="1" applyAlignment="1">
      <alignment horizontal="left"/>
    </xf>
    <xf numFmtId="168" fontId="4" fillId="0" borderId="0" xfId="0" applyNumberFormat="1" applyFont="1" applyAlignment="1">
      <alignment horizontal="center"/>
    </xf>
    <xf numFmtId="2" fontId="4" fillId="0" borderId="0" xfId="0" applyNumberFormat="1" applyFont="1" applyAlignment="1">
      <alignment horizontal="center"/>
    </xf>
    <xf numFmtId="174" fontId="0" fillId="0" borderId="0" xfId="0" applyNumberFormat="1" applyAlignment="1">
      <alignment horizontal="center"/>
    </xf>
    <xf numFmtId="175" fontId="0" fillId="0" borderId="0" xfId="0" applyNumberFormat="1" applyAlignment="1"/>
    <xf numFmtId="4" fontId="0" fillId="24" borderId="0" xfId="0" applyNumberFormat="1" applyFill="1" applyAlignment="1">
      <alignment horizontal="center"/>
    </xf>
    <xf numFmtId="1" fontId="6" fillId="0" borderId="0" xfId="0" applyNumberFormat="1" applyFont="1" applyAlignment="1"/>
    <xf numFmtId="3" fontId="2" fillId="24" borderId="0" xfId="0" applyNumberFormat="1" applyFont="1" applyFill="1" applyAlignment="1">
      <alignment horizontal="center"/>
    </xf>
    <xf numFmtId="173" fontId="2" fillId="24" borderId="0" xfId="0" applyNumberFormat="1" applyFont="1" applyFill="1" applyAlignment="1">
      <alignment horizontal="center"/>
    </xf>
    <xf numFmtId="9" fontId="0" fillId="0" borderId="0" xfId="0" applyNumberFormat="1" applyAlignment="1">
      <alignment horizontal="right"/>
    </xf>
    <xf numFmtId="179" fontId="0" fillId="0" borderId="0" xfId="29" applyNumberFormat="1" applyFont="1" applyAlignment="1">
      <alignment horizontal="center"/>
    </xf>
    <xf numFmtId="179" fontId="0" fillId="0" borderId="0" xfId="29" applyNumberFormat="1" applyFont="1"/>
    <xf numFmtId="9" fontId="0" fillId="0" borderId="0" xfId="50" applyFont="1"/>
    <xf numFmtId="1" fontId="4" fillId="0" borderId="0" xfId="0" quotePrefix="1" applyNumberFormat="1" applyFont="1" applyAlignment="1">
      <alignment horizontal="left"/>
    </xf>
    <xf numFmtId="1" fontId="4" fillId="24" borderId="0" xfId="0" quotePrefix="1" applyNumberFormat="1" applyFont="1" applyFill="1" applyAlignment="1" applyProtection="1">
      <alignment horizontal="left"/>
    </xf>
    <xf numFmtId="164" fontId="0" fillId="0" borderId="0" xfId="29" applyNumberFormat="1" applyFont="1" applyAlignment="1">
      <alignment horizontal="right"/>
    </xf>
    <xf numFmtId="169" fontId="2" fillId="0" borderId="0" xfId="29" applyNumberFormat="1" applyFont="1" applyFill="1" applyAlignment="1" applyProtection="1">
      <alignment horizontal="center"/>
      <protection locked="0"/>
    </xf>
    <xf numFmtId="10" fontId="0" fillId="0" borderId="0" xfId="50" applyNumberFormat="1" applyFont="1"/>
    <xf numFmtId="1" fontId="4" fillId="0" borderId="0" xfId="0" applyNumberFormat="1" applyFont="1" applyAlignment="1">
      <alignment horizontal="left"/>
    </xf>
    <xf numFmtId="9" fontId="0" fillId="0" borderId="0" xfId="50" applyFont="1" applyAlignment="1">
      <alignment horizontal="center"/>
    </xf>
    <xf numFmtId="1" fontId="0" fillId="0" borderId="0" xfId="28" applyNumberFormat="1" applyFont="1" applyAlignment="1">
      <alignment horizontal="center"/>
    </xf>
    <xf numFmtId="1" fontId="5" fillId="0" borderId="0" xfId="0" applyNumberFormat="1" applyFont="1" applyFill="1" applyAlignment="1"/>
    <xf numFmtId="9" fontId="2" fillId="0" borderId="0" xfId="0" applyNumberFormat="1" applyFont="1" applyAlignment="1">
      <alignment horizontal="center"/>
    </xf>
    <xf numFmtId="9" fontId="0" fillId="0" borderId="0" xfId="50" applyFont="1" applyFill="1" applyAlignment="1" applyProtection="1">
      <alignment horizontal="center"/>
      <protection locked="0"/>
    </xf>
    <xf numFmtId="1" fontId="7" fillId="0" borderId="0" xfId="0" applyNumberFormat="1" applyFont="1" applyAlignment="1" applyProtection="1">
      <alignment horizontal="left" vertical="top" wrapText="1"/>
      <protection locked="0" hidden="1"/>
    </xf>
    <xf numFmtId="165" fontId="0" fillId="0" borderId="0" xfId="29" applyNumberFormat="1" applyFont="1" applyAlignment="1">
      <alignment horizontal="center"/>
    </xf>
    <xf numFmtId="9" fontId="0" fillId="0" borderId="0" xfId="50" applyFont="1" applyAlignment="1">
      <alignment horizontal="right"/>
    </xf>
    <xf numFmtId="175" fontId="0" fillId="25" borderId="0" xfId="50" applyNumberFormat="1" applyFont="1" applyFill="1" applyAlignment="1">
      <alignment horizontal="center"/>
    </xf>
    <xf numFmtId="175" fontId="0" fillId="24" borderId="0" xfId="50" applyNumberFormat="1" applyFont="1" applyFill="1" applyAlignment="1">
      <alignment horizontal="center"/>
    </xf>
    <xf numFmtId="9" fontId="0" fillId="24" borderId="0" xfId="0" applyNumberFormat="1" applyFill="1" applyAlignment="1">
      <alignment horizontal="center"/>
    </xf>
    <xf numFmtId="1" fontId="0" fillId="25" borderId="0" xfId="0" applyNumberFormat="1" applyFill="1" applyAlignment="1"/>
    <xf numFmtId="1" fontId="2" fillId="25" borderId="0" xfId="0" applyNumberFormat="1" applyFont="1" applyFill="1" applyAlignment="1">
      <alignment horizontal="center"/>
    </xf>
    <xf numFmtId="9" fontId="0" fillId="25" borderId="0" xfId="0" applyNumberFormat="1" applyFill="1" applyAlignment="1"/>
    <xf numFmtId="173" fontId="2" fillId="24" borderId="0" xfId="0" applyNumberFormat="1" applyFont="1" applyFill="1" applyAlignment="1"/>
    <xf numFmtId="1" fontId="4" fillId="25" borderId="0" xfId="0" quotePrefix="1" applyNumberFormat="1" applyFont="1" applyFill="1" applyAlignment="1">
      <alignment horizontal="left"/>
    </xf>
    <xf numFmtId="9" fontId="4" fillId="24" borderId="0" xfId="50" applyFont="1" applyFill="1" applyAlignment="1">
      <alignment horizontal="center"/>
    </xf>
    <xf numFmtId="169" fontId="0" fillId="25" borderId="0" xfId="0" applyNumberFormat="1" applyFill="1" applyAlignment="1"/>
    <xf numFmtId="1" fontId="0" fillId="25" borderId="0" xfId="0" quotePrefix="1" applyNumberFormat="1" applyFill="1" applyAlignment="1">
      <alignment horizontal="left"/>
    </xf>
    <xf numFmtId="169" fontId="0" fillId="0" borderId="0" xfId="29" applyNumberFormat="1" applyFont="1"/>
    <xf numFmtId="181" fontId="0" fillId="0" borderId="0" xfId="50" applyNumberFormat="1" applyFont="1"/>
    <xf numFmtId="0" fontId="2" fillId="0" borderId="0" xfId="0" applyNumberFormat="1" applyFont="1" applyAlignment="1">
      <alignment horizontal="center"/>
    </xf>
    <xf numFmtId="3" fontId="0" fillId="0" borderId="0" xfId="0" applyNumberFormat="1" applyAlignment="1">
      <alignment horizontal="center"/>
    </xf>
    <xf numFmtId="165" fontId="0" fillId="0" borderId="0" xfId="29" applyNumberFormat="1" applyFont="1"/>
    <xf numFmtId="1" fontId="4" fillId="0" borderId="0" xfId="0" quotePrefix="1" applyNumberFormat="1" applyFont="1" applyFill="1" applyAlignment="1">
      <alignment horizontal="left"/>
    </xf>
    <xf numFmtId="1" fontId="2" fillId="0" borderId="0" xfId="0" quotePrefix="1" applyNumberFormat="1" applyFont="1" applyAlignment="1"/>
    <xf numFmtId="1" fontId="15" fillId="0" borderId="0" xfId="0" quotePrefix="1" applyNumberFormat="1" applyFont="1" applyAlignment="1">
      <alignment horizontal="left" vertical="top" wrapText="1"/>
    </xf>
    <xf numFmtId="1" fontId="15" fillId="0" borderId="0" xfId="0" quotePrefix="1" applyNumberFormat="1" applyFont="1" applyAlignment="1">
      <alignment horizontal="center" vertical="top" wrapText="1"/>
    </xf>
    <xf numFmtId="1" fontId="15" fillId="0" borderId="0" xfId="0" quotePrefix="1" applyNumberFormat="1" applyFont="1" applyAlignment="1">
      <alignment horizontal="left"/>
    </xf>
    <xf numFmtId="173" fontId="0" fillId="0" borderId="0" xfId="0" applyNumberFormat="1" applyAlignment="1">
      <alignment horizontal="center"/>
    </xf>
    <xf numFmtId="1" fontId="16" fillId="24" borderId="0" xfId="0" quotePrefix="1" applyNumberFormat="1" applyFont="1" applyFill="1" applyAlignment="1">
      <alignment horizontal="left"/>
    </xf>
    <xf numFmtId="1" fontId="6" fillId="24" borderId="0" xfId="0" applyNumberFormat="1" applyFont="1" applyFill="1" applyAlignment="1"/>
    <xf numFmtId="169" fontId="0" fillId="25" borderId="0" xfId="0" applyNumberFormat="1" applyFill="1" applyAlignment="1">
      <alignment horizontal="center"/>
    </xf>
    <xf numFmtId="173" fontId="0" fillId="25" borderId="0" xfId="0" applyNumberFormat="1" applyFill="1" applyAlignment="1">
      <alignment horizontal="center"/>
    </xf>
    <xf numFmtId="1" fontId="2" fillId="25" borderId="0" xfId="0" quotePrefix="1" applyNumberFormat="1" applyFont="1" applyFill="1" applyAlignment="1">
      <alignment horizontal="left"/>
    </xf>
    <xf numFmtId="1" fontId="2" fillId="26" borderId="0" xfId="0" quotePrefix="1" applyNumberFormat="1" applyFont="1" applyFill="1" applyAlignment="1">
      <alignment horizontal="left"/>
    </xf>
    <xf numFmtId="1" fontId="0" fillId="26" borderId="0" xfId="0" applyNumberFormat="1" applyFill="1" applyAlignment="1"/>
    <xf numFmtId="169" fontId="0" fillId="0" borderId="0" xfId="29" applyNumberFormat="1" applyFont="1" applyAlignment="1">
      <alignment horizontal="center"/>
    </xf>
    <xf numFmtId="1" fontId="0" fillId="0" borderId="0" xfId="0" quotePrefix="1" applyNumberFormat="1" applyFill="1" applyAlignment="1">
      <alignment horizontal="left"/>
    </xf>
    <xf numFmtId="167" fontId="0" fillId="0" borderId="0" xfId="28" applyFont="1" applyAlignment="1">
      <alignment horizontal="center"/>
    </xf>
    <xf numFmtId="164" fontId="0" fillId="0" borderId="0" xfId="28" applyNumberFormat="1" applyFont="1" applyAlignment="1">
      <alignment horizontal="center"/>
    </xf>
    <xf numFmtId="182" fontId="0" fillId="0" borderId="0" xfId="28" applyNumberFormat="1" applyFont="1"/>
    <xf numFmtId="3" fontId="2" fillId="0" borderId="0" xfId="0" applyNumberFormat="1" applyFont="1" applyFill="1" applyBorder="1" applyAlignment="1" applyProtection="1">
      <alignment horizontal="center"/>
      <protection locked="0"/>
    </xf>
    <xf numFmtId="173" fontId="2" fillId="0" borderId="0" xfId="29" applyNumberFormat="1" applyFont="1" applyFill="1" applyBorder="1" applyAlignment="1" applyProtection="1">
      <alignment horizontal="center"/>
      <protection locked="0"/>
    </xf>
    <xf numFmtId="1" fontId="4" fillId="0" borderId="0" xfId="0" applyNumberFormat="1" applyFont="1" applyAlignment="1" applyProtection="1">
      <alignment horizontal="left" vertical="top" wrapText="1"/>
      <protection locked="0" hidden="1"/>
    </xf>
    <xf numFmtId="1" fontId="3" fillId="24" borderId="0" xfId="0" quotePrefix="1" applyNumberFormat="1" applyFont="1" applyFill="1" applyAlignment="1">
      <alignment horizontal="left"/>
    </xf>
    <xf numFmtId="172" fontId="0" fillId="0" borderId="0" xfId="0" applyNumberFormat="1" applyAlignment="1" applyProtection="1">
      <protection locked="0"/>
    </xf>
    <xf numFmtId="1" fontId="6" fillId="25" borderId="0" xfId="0" applyNumberFormat="1" applyFont="1" applyFill="1" applyAlignment="1"/>
    <xf numFmtId="1" fontId="15" fillId="25" borderId="0" xfId="0" quotePrefix="1" applyNumberFormat="1" applyFont="1" applyFill="1" applyAlignment="1">
      <alignment horizontal="left"/>
    </xf>
    <xf numFmtId="1" fontId="7" fillId="25" borderId="0" xfId="0" applyNumberFormat="1" applyFont="1" applyFill="1" applyAlignment="1">
      <alignment horizontal="left" vertical="top" wrapText="1"/>
    </xf>
    <xf numFmtId="1" fontId="15" fillId="25" borderId="0" xfId="0" quotePrefix="1" applyNumberFormat="1" applyFont="1" applyFill="1" applyAlignment="1">
      <alignment horizontal="center" vertical="top" wrapText="1"/>
    </xf>
    <xf numFmtId="1" fontId="7" fillId="25" borderId="0" xfId="0" applyNumberFormat="1" applyFont="1" applyFill="1" applyAlignment="1">
      <alignment horizontal="center" vertical="top" wrapText="1"/>
    </xf>
    <xf numFmtId="1" fontId="15" fillId="25" borderId="0" xfId="0" quotePrefix="1" applyNumberFormat="1" applyFont="1" applyFill="1" applyAlignment="1">
      <alignment horizontal="left" vertical="top" wrapText="1"/>
    </xf>
    <xf numFmtId="1" fontId="2" fillId="25" borderId="0" xfId="0" quotePrefix="1" applyNumberFormat="1" applyFont="1" applyFill="1" applyAlignment="1"/>
    <xf numFmtId="1" fontId="0" fillId="0" borderId="0" xfId="0" applyNumberFormat="1" applyFill="1" applyAlignment="1"/>
    <xf numFmtId="1" fontId="0" fillId="25" borderId="0" xfId="0" applyNumberFormat="1" applyFill="1" applyAlignment="1">
      <alignment horizontal="right"/>
    </xf>
    <xf numFmtId="176" fontId="0" fillId="25" borderId="0" xfId="0" applyNumberFormat="1" applyFill="1" applyAlignment="1"/>
    <xf numFmtId="172" fontId="0" fillId="25" borderId="0" xfId="0" applyNumberFormat="1" applyFill="1" applyAlignment="1"/>
    <xf numFmtId="172" fontId="0" fillId="25" borderId="0" xfId="0" applyNumberFormat="1" applyFill="1" applyAlignment="1" applyProtection="1">
      <protection locked="0"/>
    </xf>
    <xf numFmtId="1" fontId="2" fillId="0" borderId="0" xfId="0" applyNumberFormat="1" applyFont="1" applyAlignment="1">
      <alignment horizontal="right"/>
    </xf>
    <xf numFmtId="1" fontId="12" fillId="24" borderId="0" xfId="0" applyNumberFormat="1" applyFont="1" applyFill="1" applyAlignment="1">
      <alignment horizontal="left"/>
    </xf>
    <xf numFmtId="1" fontId="0" fillId="25" borderId="0" xfId="0" applyNumberFormat="1" applyFill="1" applyAlignment="1" applyProtection="1"/>
    <xf numFmtId="1" fontId="0" fillId="25" borderId="0" xfId="0" applyNumberFormat="1" applyFill="1" applyAlignment="1" applyProtection="1">
      <alignment horizontal="right"/>
    </xf>
    <xf numFmtId="1" fontId="0" fillId="25" borderId="0" xfId="0" applyNumberFormat="1" applyFill="1" applyAlignment="1" applyProtection="1">
      <alignment horizontal="right"/>
      <protection locked="0"/>
    </xf>
    <xf numFmtId="169" fontId="0" fillId="24" borderId="0" xfId="0" applyNumberFormat="1" applyFill="1" applyAlignment="1">
      <alignment horizontal="right"/>
    </xf>
    <xf numFmtId="1" fontId="4" fillId="25" borderId="0" xfId="0" quotePrefix="1" applyNumberFormat="1" applyFont="1" applyFill="1" applyAlignment="1" applyProtection="1">
      <alignment horizontal="left"/>
    </xf>
    <xf numFmtId="1" fontId="2" fillId="24" borderId="0" xfId="0" quotePrefix="1" applyNumberFormat="1" applyFont="1" applyFill="1" applyAlignment="1">
      <alignment horizontal="center"/>
    </xf>
    <xf numFmtId="1" fontId="13" fillId="24" borderId="0" xfId="0" applyNumberFormat="1" applyFont="1" applyFill="1" applyAlignment="1">
      <alignment horizontal="left"/>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9" fontId="0" fillId="0" borderId="0" xfId="0" applyNumberFormat="1" applyFill="1" applyAlignment="1">
      <alignment horizontal="center"/>
    </xf>
    <xf numFmtId="1" fontId="0" fillId="0" borderId="0" xfId="0" applyNumberFormat="1" applyFill="1" applyAlignment="1" applyProtection="1">
      <protection locked="0"/>
    </xf>
    <xf numFmtId="1" fontId="18" fillId="25" borderId="0" xfId="0" applyNumberFormat="1" applyFont="1" applyFill="1" applyAlignment="1"/>
    <xf numFmtId="172" fontId="4" fillId="0" borderId="0" xfId="0" applyNumberFormat="1" applyFont="1" applyAlignment="1"/>
    <xf numFmtId="1" fontId="18" fillId="0" borderId="0" xfId="0" applyNumberFormat="1" applyFont="1" applyAlignment="1"/>
    <xf numFmtId="169" fontId="2" fillId="24" borderId="0" xfId="0" applyNumberFormat="1" applyFont="1" applyFill="1" applyAlignment="1">
      <alignment horizontal="center"/>
    </xf>
    <xf numFmtId="1" fontId="4" fillId="0" borderId="0" xfId="0" quotePrefix="1" applyNumberFormat="1" applyFont="1" applyFill="1" applyAlignment="1">
      <alignment horizontal="right"/>
    </xf>
    <xf numFmtId="1" fontId="13" fillId="25" borderId="0" xfId="0" quotePrefix="1" applyNumberFormat="1" applyFont="1" applyFill="1" applyAlignment="1">
      <alignment horizontal="left"/>
    </xf>
    <xf numFmtId="168" fontId="0" fillId="0" borderId="0" xfId="0" applyNumberFormat="1" applyAlignment="1">
      <alignment horizontal="center"/>
    </xf>
    <xf numFmtId="1" fontId="2" fillId="25" borderId="0" xfId="0" applyNumberFormat="1" applyFont="1" applyFill="1" applyAlignment="1"/>
    <xf numFmtId="1" fontId="17" fillId="25" borderId="0" xfId="0" applyNumberFormat="1" applyFont="1" applyFill="1" applyAlignment="1">
      <alignment horizontal="center"/>
    </xf>
    <xf numFmtId="1" fontId="19" fillId="25" borderId="0" xfId="0" applyNumberFormat="1" applyFont="1" applyFill="1" applyAlignment="1"/>
    <xf numFmtId="1" fontId="12" fillId="24" borderId="0" xfId="0" applyNumberFormat="1" applyFont="1" applyFill="1" applyAlignment="1"/>
    <xf numFmtId="180" fontId="2" fillId="0" borderId="0" xfId="28" applyNumberFormat="1" applyFont="1" applyAlignment="1">
      <alignment horizontal="center"/>
    </xf>
    <xf numFmtId="9" fontId="0" fillId="0" borderId="0" xfId="0" applyNumberFormat="1" applyFill="1" applyAlignment="1">
      <alignment horizontal="center"/>
    </xf>
    <xf numFmtId="9" fontId="0" fillId="0" borderId="0" xfId="0" applyNumberFormat="1" applyFill="1" applyAlignment="1"/>
    <xf numFmtId="1" fontId="2" fillId="0" borderId="0" xfId="0" applyNumberFormat="1" applyFont="1" applyFill="1" applyAlignment="1">
      <alignment horizontal="center"/>
    </xf>
    <xf numFmtId="1" fontId="23" fillId="24" borderId="0" xfId="0" applyNumberFormat="1" applyFont="1" applyFill="1" applyAlignment="1">
      <alignment horizontal="center"/>
    </xf>
    <xf numFmtId="1" fontId="21" fillId="24" borderId="0" xfId="0" applyNumberFormat="1" applyFont="1" applyFill="1" applyAlignment="1">
      <alignment horizontal="center"/>
    </xf>
    <xf numFmtId="1" fontId="20" fillId="24" borderId="0" xfId="0" applyNumberFormat="1" applyFont="1" applyFill="1" applyAlignment="1">
      <alignment horizontal="center"/>
    </xf>
    <xf numFmtId="1" fontId="20" fillId="0" borderId="0" xfId="0" applyNumberFormat="1" applyFont="1" applyFill="1" applyAlignment="1">
      <alignment horizontal="center"/>
    </xf>
    <xf numFmtId="9" fontId="4" fillId="0" borderId="0" xfId="50" applyFont="1"/>
    <xf numFmtId="1" fontId="27" fillId="0" borderId="0" xfId="0" applyNumberFormat="1" applyFont="1" applyFill="1" applyAlignment="1" applyProtection="1"/>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2"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173" fontId="2" fillId="0" borderId="0" xfId="0" applyNumberFormat="1" applyFont="1" applyFill="1" applyAlignment="1">
      <alignment horizontal="center"/>
    </xf>
    <xf numFmtId="173" fontId="0" fillId="0" borderId="0" xfId="0" applyNumberFormat="1" applyFill="1" applyAlignment="1">
      <alignment horizontal="center"/>
    </xf>
    <xf numFmtId="173" fontId="0" fillId="0" borderId="0" xfId="0" applyNumberFormat="1" applyFill="1" applyAlignment="1"/>
    <xf numFmtId="9" fontId="2" fillId="0" borderId="0" xfId="50" applyFont="1" applyFill="1" applyAlignment="1">
      <alignment horizontal="center"/>
    </xf>
    <xf numFmtId="9" fontId="4" fillId="0" borderId="0" xfId="50" applyFont="1" applyFill="1" applyAlignment="1">
      <alignment horizontal="center"/>
    </xf>
    <xf numFmtId="169" fontId="0" fillId="0" borderId="0" xfId="0" applyNumberFormat="1" applyFill="1" applyAlignment="1"/>
    <xf numFmtId="9" fontId="0" fillId="0" borderId="0" xfId="50" applyFont="1" applyFill="1" applyAlignment="1">
      <alignment horizontal="center"/>
    </xf>
    <xf numFmtId="1" fontId="0" fillId="0" borderId="0" xfId="0" applyNumberFormat="1" applyFill="1" applyAlignment="1">
      <alignment horizontal="center"/>
    </xf>
    <xf numFmtId="175" fontId="0" fillId="0" borderId="0" xfId="50" applyNumberFormat="1" applyFont="1" applyFill="1" applyAlignment="1">
      <alignment horizontal="center"/>
    </xf>
    <xf numFmtId="169" fontId="0" fillId="0" borderId="0" xfId="50" applyNumberFormat="1" applyFont="1" applyFill="1" applyAlignment="1">
      <alignment horizontal="center"/>
    </xf>
    <xf numFmtId="173" fontId="0" fillId="0" borderId="0" xfId="50" applyNumberFormat="1" applyFont="1" applyFill="1" applyAlignment="1">
      <alignment horizontal="center"/>
    </xf>
    <xf numFmtId="1" fontId="0" fillId="0" borderId="0" xfId="0" applyNumberFormat="1" applyBorder="1" applyAlignment="1"/>
    <xf numFmtId="1" fontId="22" fillId="24" borderId="0" xfId="0" applyNumberFormat="1" applyFont="1" applyFill="1" applyAlignment="1"/>
    <xf numFmtId="1" fontId="12" fillId="24" borderId="0" xfId="0" applyNumberFormat="1" applyFont="1" applyFill="1" applyBorder="1" applyAlignment="1">
      <alignment horizontal="left"/>
    </xf>
    <xf numFmtId="1" fontId="12" fillId="24" borderId="0" xfId="0" applyNumberFormat="1" applyFont="1" applyFill="1" applyBorder="1" applyAlignment="1"/>
    <xf numFmtId="1" fontId="2" fillId="24" borderId="0" xfId="0" applyNumberFormat="1" applyFont="1" applyFill="1" applyAlignment="1">
      <alignment horizontal="left"/>
    </xf>
    <xf numFmtId="1" fontId="2" fillId="0" borderId="0" xfId="0" applyNumberFormat="1" applyFont="1" applyAlignment="1" applyProtection="1"/>
    <xf numFmtId="169" fontId="2" fillId="0" borderId="0" xfId="0" applyNumberFormat="1" applyFont="1" applyAlignment="1"/>
    <xf numFmtId="9" fontId="2" fillId="0" borderId="0" xfId="50" applyFont="1" applyFill="1" applyAlignment="1" applyProtection="1">
      <alignment horizontal="center"/>
      <protection locked="0"/>
    </xf>
    <xf numFmtId="10" fontId="0" fillId="0" borderId="0" xfId="50" applyNumberFormat="1" applyFont="1" applyAlignment="1">
      <alignment horizontal="center"/>
    </xf>
    <xf numFmtId="1" fontId="0" fillId="24" borderId="0" xfId="0" quotePrefix="1" applyNumberFormat="1" applyFill="1" applyAlignment="1">
      <alignment horizontal="center"/>
    </xf>
    <xf numFmtId="3" fontId="0" fillId="24" borderId="0" xfId="0" quotePrefix="1" applyNumberFormat="1" applyFill="1" applyAlignment="1">
      <alignment horizontal="center"/>
    </xf>
    <xf numFmtId="173" fontId="0" fillId="24" borderId="0" xfId="0" quotePrefix="1" applyNumberFormat="1" applyFill="1" applyAlignment="1">
      <alignment horizontal="center"/>
    </xf>
    <xf numFmtId="1" fontId="6" fillId="0" borderId="0" xfId="0" applyNumberFormat="1" applyFont="1" applyAlignment="1" applyProtection="1">
      <alignment horizontal="left"/>
    </xf>
    <xf numFmtId="165" fontId="2" fillId="0" borderId="0" xfId="29" applyNumberFormat="1" applyFont="1" applyFill="1" applyBorder="1" applyAlignment="1" applyProtection="1">
      <alignment horizontal="center"/>
      <protection locked="0"/>
    </xf>
    <xf numFmtId="37" fontId="0" fillId="0" borderId="0" xfId="28" applyNumberFormat="1" applyFont="1" applyAlignment="1">
      <alignment horizontal="center"/>
    </xf>
    <xf numFmtId="3" fontId="0" fillId="0" borderId="0" xfId="28" applyNumberFormat="1" applyFont="1" applyAlignment="1">
      <alignment horizontal="center"/>
    </xf>
    <xf numFmtId="1" fontId="5" fillId="24" borderId="0" xfId="0" quotePrefix="1" applyNumberFormat="1" applyFont="1" applyFill="1" applyAlignment="1" applyProtection="1">
      <alignment horizontal="left"/>
    </xf>
    <xf numFmtId="173" fontId="2" fillId="0" borderId="0" xfId="0" applyNumberFormat="1" applyFont="1" applyAlignment="1">
      <alignment horizontal="center"/>
    </xf>
    <xf numFmtId="169" fontId="0" fillId="24" borderId="0" xfId="0" quotePrefix="1" applyNumberFormat="1" applyFill="1" applyAlignment="1">
      <alignment horizontal="center"/>
    </xf>
    <xf numFmtId="1" fontId="6" fillId="24" borderId="0" xfId="0" applyNumberFormat="1" applyFont="1" applyFill="1" applyAlignment="1">
      <alignment horizontal="left"/>
    </xf>
    <xf numFmtId="0" fontId="0" fillId="24" borderId="0" xfId="28" quotePrefix="1" applyNumberFormat="1" applyFont="1" applyFill="1" applyAlignment="1">
      <alignment horizontal="center"/>
    </xf>
    <xf numFmtId="169" fontId="0" fillId="24" borderId="0" xfId="0" applyNumberFormat="1" applyFill="1" applyAlignment="1" applyProtection="1"/>
    <xf numFmtId="9" fontId="0" fillId="24" borderId="0" xfId="0" applyNumberFormat="1" applyFill="1" applyAlignment="1" applyProtection="1">
      <alignment horizontal="center"/>
    </xf>
    <xf numFmtId="169" fontId="0" fillId="24" borderId="0" xfId="0" applyNumberFormat="1" applyFill="1" applyAlignment="1" applyProtection="1">
      <alignment horizontal="center"/>
    </xf>
    <xf numFmtId="175" fontId="0" fillId="24" borderId="0" xfId="50" applyNumberFormat="1" applyFont="1" applyFill="1" applyAlignment="1" applyProtection="1">
      <alignment horizontal="center"/>
    </xf>
    <xf numFmtId="1" fontId="2" fillId="24" borderId="0" xfId="0" applyNumberFormat="1" applyFont="1" applyFill="1" applyAlignment="1" applyProtection="1">
      <alignment horizontal="center"/>
    </xf>
    <xf numFmtId="1" fontId="0" fillId="24" borderId="0" xfId="0" applyNumberFormat="1" applyFill="1" applyAlignment="1" applyProtection="1"/>
    <xf numFmtId="9" fontId="0" fillId="24" borderId="0" xfId="50" quotePrefix="1" applyFont="1" applyFill="1" applyAlignment="1">
      <alignment horizontal="center"/>
    </xf>
    <xf numFmtId="173" fontId="4" fillId="0" borderId="0" xfId="0" applyNumberFormat="1" applyFont="1" applyAlignment="1">
      <alignment horizontal="center"/>
    </xf>
    <xf numFmtId="180" fontId="0" fillId="0" borderId="0" xfId="28" applyNumberFormat="1" applyFont="1"/>
    <xf numFmtId="169" fontId="0" fillId="24" borderId="0" xfId="29" applyNumberFormat="1" applyFont="1" applyFill="1"/>
    <xf numFmtId="169" fontId="4" fillId="0" borderId="0" xfId="0" applyNumberFormat="1" applyFont="1" applyAlignment="1"/>
    <xf numFmtId="1" fontId="4" fillId="24" borderId="0" xfId="0" applyNumberFormat="1" applyFont="1" applyFill="1" applyAlignment="1">
      <alignment horizontal="left"/>
    </xf>
    <xf numFmtId="169" fontId="4" fillId="24" borderId="0" xfId="0" applyNumberFormat="1" applyFont="1" applyFill="1" applyAlignment="1">
      <alignment horizontal="center"/>
    </xf>
    <xf numFmtId="9" fontId="4" fillId="24" borderId="0" xfId="0" applyNumberFormat="1" applyFont="1" applyFill="1" applyAlignment="1">
      <alignment horizontal="center"/>
    </xf>
    <xf numFmtId="9" fontId="2" fillId="24" borderId="0" xfId="0" applyNumberFormat="1" applyFont="1" applyFill="1" applyAlignment="1">
      <alignment horizontal="center"/>
    </xf>
    <xf numFmtId="169" fontId="4" fillId="24" borderId="0" xfId="0" applyNumberFormat="1" applyFont="1" applyFill="1" applyAlignment="1">
      <alignment horizontal="right"/>
    </xf>
    <xf numFmtId="1" fontId="16" fillId="24" borderId="0" xfId="0" applyNumberFormat="1" applyFont="1" applyFill="1" applyAlignment="1">
      <alignment horizontal="left"/>
    </xf>
    <xf numFmtId="169" fontId="4" fillId="0" borderId="0" xfId="0" applyNumberFormat="1" applyFont="1" applyAlignment="1" applyProtection="1"/>
    <xf numFmtId="9" fontId="4" fillId="0" borderId="0" xfId="0" applyNumberFormat="1" applyFont="1" applyAlignment="1" applyProtection="1">
      <alignment horizontal="center"/>
    </xf>
    <xf numFmtId="183" fontId="0" fillId="0" borderId="0" xfId="0" applyNumberFormat="1" applyAlignment="1"/>
    <xf numFmtId="184" fontId="0" fillId="0" borderId="0" xfId="0" applyNumberFormat="1" applyAlignment="1">
      <alignment horizontal="center"/>
    </xf>
    <xf numFmtId="9" fontId="4" fillId="24" borderId="0" xfId="50" applyFont="1" applyFill="1" applyAlignment="1">
      <alignment horizontal="right"/>
    </xf>
    <xf numFmtId="180" fontId="4" fillId="24" borderId="0" xfId="28" applyNumberFormat="1" applyFont="1" applyFill="1" applyAlignment="1">
      <alignment horizontal="right"/>
    </xf>
    <xf numFmtId="167" fontId="0" fillId="0" borderId="0" xfId="0" applyNumberFormat="1" applyAlignment="1"/>
    <xf numFmtId="1" fontId="0" fillId="0" borderId="0" xfId="0" applyNumberFormat="1" applyFill="1" applyAlignment="1" applyProtection="1">
      <protection hidden="1"/>
    </xf>
    <xf numFmtId="1" fontId="2" fillId="0" borderId="0" xfId="0" applyNumberFormat="1" applyFont="1" applyAlignment="1" applyProtection="1">
      <alignment horizontal="center"/>
      <protection locked="0"/>
    </xf>
    <xf numFmtId="9" fontId="2" fillId="0" borderId="0" xfId="50" applyFont="1" applyAlignment="1" applyProtection="1">
      <alignment horizontal="center"/>
      <protection locked="0"/>
    </xf>
    <xf numFmtId="173" fontId="2" fillId="0" borderId="0" xfId="0" applyNumberFormat="1" applyFont="1" applyAlignment="1" applyProtection="1">
      <alignment horizontal="center"/>
      <protection locked="0"/>
    </xf>
    <xf numFmtId="169" fontId="0" fillId="0" borderId="0" xfId="0" applyNumberFormat="1" applyFill="1" applyAlignment="1" applyProtection="1"/>
    <xf numFmtId="173" fontId="0" fillId="25" borderId="0" xfId="0" applyNumberFormat="1" applyFill="1" applyAlignment="1" applyProtection="1">
      <alignment horizontal="center"/>
    </xf>
    <xf numFmtId="165" fontId="0" fillId="24" borderId="0" xfId="29" applyNumberFormat="1" applyFont="1" applyFill="1" applyAlignment="1" applyProtection="1">
      <alignment horizontal="center"/>
    </xf>
    <xf numFmtId="9" fontId="0" fillId="0" borderId="0" xfId="50" applyFont="1" applyFill="1"/>
    <xf numFmtId="164" fontId="0" fillId="0" borderId="0" xfId="29" applyNumberFormat="1" applyFont="1" applyFill="1" applyAlignment="1">
      <alignment horizontal="center"/>
    </xf>
    <xf numFmtId="1" fontId="4" fillId="0" borderId="0" xfId="0" applyNumberFormat="1" applyFont="1" applyFill="1" applyAlignment="1">
      <alignment horizontal="center"/>
    </xf>
    <xf numFmtId="1" fontId="0" fillId="0" borderId="0" xfId="28" applyNumberFormat="1" applyFont="1" applyFill="1" applyAlignment="1">
      <alignment horizontal="center"/>
    </xf>
    <xf numFmtId="180" fontId="0" fillId="0" borderId="0" xfId="28" applyNumberFormat="1" applyFont="1" applyProtection="1"/>
    <xf numFmtId="9" fontId="0" fillId="24" borderId="0" xfId="50" applyFont="1" applyFill="1"/>
    <xf numFmtId="178" fontId="0" fillId="24" borderId="0" xfId="0" applyNumberFormat="1" applyFill="1" applyAlignment="1">
      <alignment horizontal="center"/>
    </xf>
    <xf numFmtId="1" fontId="29" fillId="0" borderId="0" xfId="0" applyNumberFormat="1" applyFont="1" applyAlignment="1"/>
    <xf numFmtId="165" fontId="0" fillId="24" borderId="0" xfId="29" applyNumberFormat="1" applyFont="1" applyFill="1" applyAlignment="1" applyProtection="1">
      <alignment horizontal="center"/>
      <protection locked="0"/>
    </xf>
    <xf numFmtId="1" fontId="30" fillId="0" borderId="0" xfId="0" applyNumberFormat="1" applyFont="1" applyFill="1" applyAlignment="1"/>
    <xf numFmtId="171" fontId="0" fillId="0" borderId="0" xfId="0" applyNumberFormat="1" applyFill="1" applyAlignment="1">
      <alignment horizontal="center"/>
    </xf>
    <xf numFmtId="3" fontId="0" fillId="0" borderId="0" xfId="0" applyNumberFormat="1" applyFill="1" applyAlignment="1">
      <alignment horizontal="center"/>
    </xf>
    <xf numFmtId="1" fontId="31" fillId="25" borderId="0" xfId="0" applyNumberFormat="1" applyFont="1" applyFill="1" applyAlignment="1"/>
    <xf numFmtId="185" fontId="1" fillId="0" borderId="0" xfId="0" applyFont="1" applyAlignment="1">
      <alignment horizontal="center" wrapText="1"/>
    </xf>
    <xf numFmtId="2" fontId="1" fillId="0" borderId="0" xfId="0" applyNumberFormat="1" applyFont="1" applyAlignment="1">
      <alignment horizontal="center" wrapText="1"/>
    </xf>
    <xf numFmtId="185" fontId="1" fillId="0" borderId="0" xfId="0" applyFont="1">
      <alignment horizontal="left" wrapText="1"/>
    </xf>
    <xf numFmtId="0" fontId="1" fillId="0" borderId="0" xfId="0" applyNumberFormat="1" applyFont="1">
      <alignment horizontal="left" wrapText="1"/>
    </xf>
    <xf numFmtId="169" fontId="1" fillId="0" borderId="0" xfId="0" applyNumberFormat="1" applyFont="1" applyAlignment="1">
      <alignment horizontal="center"/>
    </xf>
    <xf numFmtId="171" fontId="1" fillId="0" borderId="0" xfId="0" applyNumberFormat="1" applyFont="1" applyAlignment="1">
      <alignment horizontal="center"/>
    </xf>
    <xf numFmtId="173" fontId="32" fillId="0" borderId="0" xfId="0" applyNumberFormat="1" applyFont="1" applyAlignment="1">
      <alignment horizontal="right" wrapText="1"/>
    </xf>
    <xf numFmtId="185" fontId="2" fillId="25" borderId="0" xfId="0" applyFont="1" applyFill="1">
      <alignment horizontal="left" wrapText="1"/>
    </xf>
    <xf numFmtId="173" fontId="1" fillId="0" borderId="0" xfId="0" applyNumberFormat="1" applyFont="1" applyFill="1" applyAlignment="1" applyProtection="1">
      <alignment horizontal="right" wrapText="1"/>
      <protection locked="0"/>
    </xf>
    <xf numFmtId="1" fontId="4" fillId="0" borderId="0" xfId="0" applyNumberFormat="1" applyFont="1" applyFill="1" applyAlignment="1" applyProtection="1">
      <protection locked="0"/>
    </xf>
    <xf numFmtId="1" fontId="4" fillId="0" borderId="0" xfId="0" applyNumberFormat="1" applyFont="1" applyAlignment="1" applyProtection="1">
      <alignment horizontal="left"/>
      <protection locked="0"/>
    </xf>
    <xf numFmtId="185" fontId="1" fillId="27" borderId="0" xfId="0" applyFont="1" applyFill="1">
      <alignment horizontal="left" wrapText="1"/>
    </xf>
    <xf numFmtId="185" fontId="31" fillId="27" borderId="0" xfId="0" applyFont="1" applyFill="1" applyAlignment="1">
      <alignment horizontal="center"/>
    </xf>
    <xf numFmtId="185" fontId="33" fillId="27" borderId="0" xfId="0" applyFont="1" applyFill="1" applyAlignment="1">
      <alignment horizontal="center"/>
    </xf>
    <xf numFmtId="185" fontId="34" fillId="27" borderId="0" xfId="0" applyFont="1" applyFill="1">
      <alignment horizontal="left" wrapText="1"/>
    </xf>
    <xf numFmtId="172" fontId="1" fillId="0" borderId="0" xfId="0" applyNumberFormat="1" applyFont="1">
      <alignment horizontal="left" wrapText="1"/>
    </xf>
    <xf numFmtId="176" fontId="1" fillId="0" borderId="0" xfId="0" applyNumberFormat="1" applyFont="1" applyAlignment="1">
      <alignment horizontal="right" wrapText="1"/>
    </xf>
    <xf numFmtId="1" fontId="4" fillId="24" borderId="0" xfId="0" applyNumberFormat="1" applyFont="1" applyFill="1" applyAlignment="1" applyProtection="1">
      <alignment horizontal="left"/>
    </xf>
    <xf numFmtId="173" fontId="0" fillId="0" borderId="0" xfId="0" applyNumberFormat="1" applyFill="1" applyAlignment="1" applyProtection="1">
      <alignment horizontal="center"/>
      <protection locked="0"/>
    </xf>
    <xf numFmtId="1" fontId="4" fillId="0" borderId="0" xfId="0" applyNumberFormat="1" applyFont="1" applyFill="1" applyAlignment="1" applyProtection="1">
      <alignment horizontal="left"/>
    </xf>
    <xf numFmtId="165" fontId="0" fillId="0" borderId="0" xfId="28" applyNumberFormat="1" applyFont="1" applyAlignment="1">
      <alignment horizontal="center"/>
    </xf>
    <xf numFmtId="185" fontId="1" fillId="0" borderId="0" xfId="0" applyFont="1" applyFill="1">
      <alignment horizontal="left" wrapText="1"/>
    </xf>
    <xf numFmtId="9" fontId="0" fillId="0" borderId="0" xfId="29" applyNumberFormat="1" applyFont="1" applyFill="1" applyAlignment="1">
      <alignment horizontal="center"/>
    </xf>
    <xf numFmtId="185" fontId="34" fillId="0" borderId="0" xfId="0" quotePrefix="1" applyFont="1" applyFill="1" applyAlignment="1">
      <alignment horizontal="left"/>
    </xf>
    <xf numFmtId="185" fontId="2" fillId="0" borderId="0" xfId="0" applyFont="1" applyFill="1" applyAlignment="1">
      <alignment horizontal="center"/>
    </xf>
    <xf numFmtId="185" fontId="4" fillId="0" borderId="0" xfId="0" applyFont="1" applyFill="1" applyAlignment="1">
      <alignment horizontal="center"/>
    </xf>
    <xf numFmtId="185" fontId="4" fillId="0" borderId="0" xfId="0" quotePrefix="1" applyFont="1" applyFill="1" applyAlignment="1">
      <alignment horizontal="left"/>
    </xf>
    <xf numFmtId="185" fontId="4" fillId="0" borderId="0" xfId="0" applyFont="1" applyFill="1">
      <alignment horizontal="left" wrapText="1"/>
    </xf>
    <xf numFmtId="171" fontId="1" fillId="0" borderId="0" xfId="0" applyNumberFormat="1" applyFont="1" applyFill="1" applyAlignment="1">
      <alignment horizontal="center"/>
    </xf>
    <xf numFmtId="185" fontId="1" fillId="0" borderId="0" xfId="0" quotePrefix="1" applyFont="1" applyFill="1" applyAlignment="1">
      <alignment horizontal="left"/>
    </xf>
    <xf numFmtId="185" fontId="1" fillId="0" borderId="0" xfId="0" applyFont="1" applyFill="1" applyAlignment="1">
      <alignment horizontal="left"/>
    </xf>
    <xf numFmtId="171" fontId="4" fillId="0" borderId="0" xfId="0" applyNumberFormat="1" applyFont="1" applyFill="1" applyAlignment="1">
      <alignment horizontal="center"/>
    </xf>
    <xf numFmtId="185" fontId="2" fillId="0" borderId="0" xfId="0" applyFont="1" applyFill="1">
      <alignment horizontal="left" wrapText="1"/>
    </xf>
    <xf numFmtId="171" fontId="1" fillId="0" borderId="0" xfId="0" applyNumberFormat="1" applyFont="1" applyFill="1">
      <alignment horizontal="left" wrapText="1"/>
    </xf>
    <xf numFmtId="170" fontId="1" fillId="0" borderId="0" xfId="0" applyNumberFormat="1" applyFont="1" applyFill="1" applyAlignment="1">
      <alignment horizontal="center"/>
    </xf>
    <xf numFmtId="170" fontId="1" fillId="0" borderId="0" xfId="0" applyNumberFormat="1" applyFont="1" applyAlignment="1">
      <alignment horizontal="center"/>
    </xf>
    <xf numFmtId="170" fontId="4" fillId="0" borderId="0" xfId="0" applyNumberFormat="1" applyFont="1" applyFill="1" applyAlignment="1">
      <alignment horizontal="center"/>
    </xf>
    <xf numFmtId="170" fontId="1" fillId="0" borderId="0" xfId="0" applyNumberFormat="1" applyFont="1" applyFill="1">
      <alignment horizontal="left" wrapText="1"/>
    </xf>
    <xf numFmtId="185" fontId="1" fillId="0" borderId="0" xfId="0" applyFont="1" applyAlignment="1">
      <alignment horizontal="left"/>
    </xf>
    <xf numFmtId="174" fontId="1" fillId="0" borderId="0" xfId="0" applyNumberFormat="1" applyFont="1" applyAlignment="1">
      <alignment horizontal="left"/>
    </xf>
    <xf numFmtId="171" fontId="1" fillId="0" borderId="0" xfId="0" applyNumberFormat="1" applyFont="1" applyAlignment="1">
      <alignment horizontal="left"/>
    </xf>
    <xf numFmtId="185" fontId="1" fillId="24" borderId="0" xfId="0" quotePrefix="1" applyFont="1" applyFill="1" applyAlignment="1">
      <alignment horizontal="left"/>
    </xf>
    <xf numFmtId="185" fontId="1" fillId="24" borderId="0" xfId="0" applyFont="1" applyFill="1">
      <alignment horizontal="left" wrapText="1"/>
    </xf>
    <xf numFmtId="169" fontId="0" fillId="0" borderId="0" xfId="0" applyNumberFormat="1" applyFill="1" applyAlignment="1" applyProtection="1">
      <alignment horizontal="center"/>
    </xf>
    <xf numFmtId="175" fontId="0" fillId="0" borderId="0" xfId="50" applyNumberFormat="1" applyFont="1" applyFill="1" applyAlignment="1" applyProtection="1">
      <alignment horizontal="center"/>
    </xf>
    <xf numFmtId="9" fontId="0" fillId="0" borderId="0" xfId="0" applyNumberFormat="1" applyFill="1" applyAlignment="1" applyProtection="1">
      <alignment horizontal="center"/>
    </xf>
    <xf numFmtId="1" fontId="6" fillId="0" borderId="0" xfId="0" quotePrefix="1" applyNumberFormat="1" applyFont="1" applyFill="1" applyAlignment="1" applyProtection="1">
      <alignment horizontal="left"/>
    </xf>
    <xf numFmtId="1" fontId="5" fillId="0" borderId="0" xfId="0" quotePrefix="1" applyNumberFormat="1" applyFont="1" applyFill="1" applyAlignment="1" applyProtection="1">
      <alignment horizontal="left"/>
    </xf>
    <xf numFmtId="1" fontId="4" fillId="0" borderId="0" xfId="0" quotePrefix="1" applyNumberFormat="1" applyFont="1" applyFill="1" applyAlignment="1" applyProtection="1">
      <alignment horizontal="left"/>
    </xf>
    <xf numFmtId="173" fontId="2" fillId="0" borderId="0" xfId="0" applyNumberFormat="1" applyFont="1" applyFill="1" applyAlignment="1"/>
    <xf numFmtId="1" fontId="6" fillId="0" borderId="0" xfId="0" applyNumberFormat="1" applyFont="1" applyFill="1" applyAlignment="1" applyProtection="1"/>
    <xf numFmtId="9" fontId="0" fillId="0" borderId="0" xfId="50" applyFont="1" applyFill="1" applyAlignment="1" applyProtection="1">
      <alignment horizontal="center"/>
    </xf>
    <xf numFmtId="1" fontId="2" fillId="0" borderId="0" xfId="0" applyNumberFormat="1" applyFont="1" applyFill="1" applyAlignment="1">
      <alignment horizontal="left"/>
    </xf>
    <xf numFmtId="186" fontId="0" fillId="0" borderId="0" xfId="28" applyNumberFormat="1" applyFont="1" applyFill="1" applyAlignment="1" applyProtection="1">
      <alignment horizontal="center"/>
      <protection locked="0"/>
    </xf>
    <xf numFmtId="9" fontId="0" fillId="24" borderId="0" xfId="50" applyFont="1" applyFill="1" applyAlignment="1" applyProtection="1">
      <alignment horizontal="center"/>
    </xf>
    <xf numFmtId="185" fontId="1" fillId="24" borderId="0" xfId="0" applyFont="1" applyFill="1" applyAlignment="1">
      <alignment horizontal="left"/>
    </xf>
    <xf numFmtId="172" fontId="4" fillId="0" borderId="0" xfId="0" applyNumberFormat="1" applyFont="1" applyAlignment="1">
      <alignment horizontal="right" wrapText="1"/>
    </xf>
    <xf numFmtId="176" fontId="1" fillId="0" borderId="0" xfId="0" applyNumberFormat="1" applyFont="1">
      <alignment horizontal="left" wrapText="1"/>
    </xf>
    <xf numFmtId="2" fontId="1" fillId="0" borderId="0" xfId="0" applyNumberFormat="1" applyFont="1">
      <alignment horizontal="left" wrapText="1"/>
    </xf>
    <xf numFmtId="1" fontId="33" fillId="27" borderId="0" xfId="0" applyNumberFormat="1" applyFont="1" applyFill="1" applyAlignment="1">
      <alignment horizontal="center"/>
    </xf>
    <xf numFmtId="1" fontId="1" fillId="0" borderId="0" xfId="0" applyNumberFormat="1" applyFont="1">
      <alignment horizontal="left" wrapText="1"/>
    </xf>
    <xf numFmtId="1" fontId="1" fillId="0" borderId="0" xfId="0" applyNumberFormat="1" applyFont="1" applyAlignment="1">
      <alignment horizontal="right"/>
    </xf>
    <xf numFmtId="9" fontId="12" fillId="24" borderId="0" xfId="0" applyNumberFormat="1" applyFont="1" applyFill="1" applyAlignment="1"/>
    <xf numFmtId="9" fontId="1" fillId="0" borderId="0" xfId="0" applyNumberFormat="1" applyFont="1" applyAlignment="1"/>
    <xf numFmtId="1" fontId="1" fillId="0" borderId="0" xfId="0" applyNumberFormat="1" applyFont="1" applyAlignment="1"/>
    <xf numFmtId="1" fontId="1" fillId="0" borderId="0" xfId="0" applyNumberFormat="1" applyFont="1" applyAlignment="1">
      <alignment horizontal="center"/>
    </xf>
    <xf numFmtId="168" fontId="1" fillId="0" borderId="0" xfId="0" applyNumberFormat="1" applyFont="1">
      <alignment horizontal="left" wrapText="1"/>
    </xf>
    <xf numFmtId="185" fontId="1" fillId="0" borderId="0" xfId="0" applyNumberFormat="1" applyFont="1" applyAlignment="1">
      <alignment horizontal="left" wrapText="1"/>
    </xf>
    <xf numFmtId="168" fontId="1" fillId="0" borderId="0" xfId="0" applyNumberFormat="1" applyFont="1" applyAlignment="1"/>
    <xf numFmtId="169" fontId="1" fillId="0" borderId="0" xfId="0" applyNumberFormat="1" applyFont="1" applyAlignment="1"/>
    <xf numFmtId="176" fontId="1" fillId="0" borderId="0" xfId="0" applyNumberFormat="1" applyFont="1" applyFill="1">
      <alignment horizontal="left" wrapText="1"/>
    </xf>
    <xf numFmtId="10" fontId="0" fillId="0" borderId="0" xfId="50" applyNumberFormat="1" applyFont="1" applyFill="1" applyAlignment="1" applyProtection="1">
      <alignment horizontal="center"/>
      <protection locked="0"/>
    </xf>
    <xf numFmtId="1" fontId="4" fillId="0" borderId="0" xfId="0" applyNumberFormat="1" applyFont="1" applyFill="1" applyProtection="1">
      <alignment horizontal="left" wrapText="1"/>
    </xf>
    <xf numFmtId="1" fontId="2" fillId="0" borderId="0" xfId="0" applyNumberFormat="1" applyFont="1" applyFill="1" applyProtection="1">
      <alignment horizontal="left" wrapText="1"/>
    </xf>
    <xf numFmtId="1" fontId="56" fillId="0" borderId="0" xfId="0" applyNumberFormat="1" applyFont="1" applyAlignment="1"/>
    <xf numFmtId="9" fontId="0" fillId="0" borderId="0" xfId="0" applyNumberFormat="1" applyFill="1" applyBorder="1" applyAlignment="1"/>
    <xf numFmtId="181" fontId="1" fillId="0" borderId="0" xfId="50" applyNumberFormat="1" applyAlignment="1"/>
    <xf numFmtId="175" fontId="0" fillId="0" borderId="0" xfId="50" applyNumberFormat="1" applyFont="1" applyFill="1" applyAlignment="1" applyProtection="1">
      <alignment horizontal="center"/>
      <protection locked="0"/>
    </xf>
    <xf numFmtId="185" fontId="2" fillId="24" borderId="0" xfId="0" applyFont="1" applyFill="1" applyAlignment="1">
      <alignment horizontal="center"/>
    </xf>
    <xf numFmtId="9" fontId="1" fillId="24" borderId="0" xfId="0" applyNumberFormat="1" applyFont="1" applyFill="1" applyAlignment="1" applyProtection="1">
      <alignment horizontal="center"/>
      <protection locked="0"/>
    </xf>
    <xf numFmtId="175" fontId="0" fillId="0" borderId="0" xfId="50" applyNumberFormat="1" applyFont="1"/>
    <xf numFmtId="173" fontId="4" fillId="0" borderId="0" xfId="44" applyNumberFormat="1" applyFont="1"/>
    <xf numFmtId="185" fontId="7" fillId="0" borderId="0" xfId="0" quotePrefix="1" applyFont="1" applyAlignment="1">
      <alignment horizontal="left" vertical="top"/>
    </xf>
    <xf numFmtId="175" fontId="0" fillId="0" borderId="0" xfId="50" applyNumberFormat="1" applyFont="1" applyAlignment="1">
      <alignment horizontal="center"/>
    </xf>
    <xf numFmtId="185" fontId="16" fillId="24" borderId="0" xfId="0" quotePrefix="1" applyFont="1" applyFill="1" applyAlignment="1">
      <alignment horizontal="left"/>
    </xf>
    <xf numFmtId="173" fontId="4" fillId="24" borderId="0" xfId="0" applyNumberFormat="1" applyFont="1" applyFill="1" applyAlignment="1">
      <alignment horizontal="center"/>
    </xf>
    <xf numFmtId="185" fontId="2" fillId="24" borderId="0" xfId="0" applyFont="1" applyFill="1" applyAlignment="1">
      <alignment horizontal="left"/>
    </xf>
    <xf numFmtId="175" fontId="2" fillId="0" borderId="0" xfId="50" applyNumberFormat="1" applyFont="1" applyFill="1" applyAlignment="1">
      <alignment horizontal="center"/>
    </xf>
    <xf numFmtId="173" fontId="2" fillId="0" borderId="0" xfId="0" applyNumberFormat="1" applyFont="1" applyFill="1" applyAlignment="1">
      <alignment horizontal="left"/>
    </xf>
    <xf numFmtId="1" fontId="2" fillId="0" borderId="0" xfId="0" applyNumberFormat="1" applyFont="1" applyFill="1" applyAlignment="1" applyProtection="1">
      <alignment horizontal="left"/>
    </xf>
    <xf numFmtId="175" fontId="54" fillId="0" borderId="0" xfId="45" applyNumberFormat="1" applyFont="1" applyFill="1" applyAlignment="1">
      <alignment horizontal="center"/>
    </xf>
    <xf numFmtId="10" fontId="55" fillId="0" borderId="0" xfId="45" applyNumberFormat="1" applyFont="1" applyFill="1" applyBorder="1" applyAlignment="1">
      <alignment horizontal="center"/>
    </xf>
    <xf numFmtId="10" fontId="0" fillId="0" borderId="0" xfId="50" applyNumberFormat="1" applyFont="1" applyBorder="1" applyAlignment="1">
      <alignment horizontal="center"/>
    </xf>
    <xf numFmtId="9" fontId="55" fillId="0" borderId="0" xfId="45" applyNumberFormat="1" applyFont="1" applyFill="1" applyBorder="1" applyAlignment="1">
      <alignment horizontal="center"/>
    </xf>
    <xf numFmtId="9" fontId="1" fillId="0" borderId="0" xfId="50" applyFill="1" applyAlignment="1" applyProtection="1">
      <alignment horizontal="right" wrapText="1"/>
      <protection locked="0"/>
    </xf>
    <xf numFmtId="176" fontId="2" fillId="0" borderId="0" xfId="0" applyNumberFormat="1" applyFont="1" applyAlignment="1">
      <alignment horizontal="center"/>
    </xf>
    <xf numFmtId="175" fontId="4" fillId="24" borderId="0" xfId="50" applyNumberFormat="1" applyFont="1" applyFill="1" applyAlignment="1">
      <alignment horizontal="right"/>
    </xf>
    <xf numFmtId="185" fontId="4" fillId="0" borderId="0" xfId="47" applyNumberFormat="1" applyFont="1" applyAlignment="1">
      <alignment horizontal="left" wrapText="1"/>
    </xf>
    <xf numFmtId="172" fontId="4" fillId="0" borderId="0" xfId="47" applyNumberFormat="1" applyFont="1" applyAlignment="1">
      <alignment horizontal="right" wrapText="1"/>
    </xf>
    <xf numFmtId="1" fontId="1" fillId="0" borderId="0" xfId="46" applyNumberFormat="1" applyAlignment="1"/>
    <xf numFmtId="1" fontId="1" fillId="0" borderId="0" xfId="46" applyNumberFormat="1" applyFont="1">
      <alignment horizontal="left" wrapText="1"/>
    </xf>
    <xf numFmtId="0" fontId="4" fillId="0" borderId="0" xfId="47" applyNumberFormat="1" applyFont="1" applyAlignment="1">
      <alignment horizontal="left" wrapText="1"/>
    </xf>
    <xf numFmtId="0" fontId="28" fillId="0" borderId="0" xfId="47" applyNumberFormat="1" applyFont="1" applyAlignment="1">
      <alignment horizontal="left" wrapText="1"/>
    </xf>
    <xf numFmtId="1" fontId="4" fillId="0" borderId="0" xfId="47" applyNumberFormat="1" applyAlignment="1"/>
    <xf numFmtId="172" fontId="4" fillId="0" borderId="0" xfId="47" applyNumberFormat="1" applyAlignment="1"/>
    <xf numFmtId="2" fontId="4" fillId="0" borderId="0" xfId="47" applyNumberFormat="1" applyAlignment="1"/>
    <xf numFmtId="1" fontId="4" fillId="0" borderId="0" xfId="47" quotePrefix="1" applyNumberFormat="1" applyFont="1" applyFill="1" applyAlignment="1">
      <alignment horizontal="left"/>
    </xf>
    <xf numFmtId="1" fontId="4" fillId="0" borderId="0" xfId="47" applyNumberFormat="1" applyFont="1" applyAlignment="1">
      <alignment horizontal="center" wrapText="1"/>
    </xf>
    <xf numFmtId="172" fontId="4" fillId="0" borderId="0" xfId="47" applyNumberFormat="1" applyFont="1" applyAlignment="1">
      <alignment horizontal="left" wrapText="1"/>
    </xf>
    <xf numFmtId="1" fontId="0" fillId="0" borderId="0" xfId="0" applyNumberFormat="1" applyAlignment="1"/>
    <xf numFmtId="1" fontId="7" fillId="0" borderId="0" xfId="0" applyNumberFormat="1" applyFont="1" applyAlignment="1"/>
    <xf numFmtId="1" fontId="9" fillId="0" borderId="0" xfId="0" applyNumberFormat="1" applyFont="1" applyAlignment="1"/>
    <xf numFmtId="176" fontId="2" fillId="0" borderId="0" xfId="0" applyNumberFormat="1" applyFont="1" applyAlignment="1"/>
    <xf numFmtId="176" fontId="1" fillId="0" borderId="0" xfId="0" applyNumberFormat="1" applyFont="1" applyAlignment="1"/>
    <xf numFmtId="176" fontId="2" fillId="0" borderId="0" xfId="0" quotePrefix="1" applyNumberFormat="1" applyFont="1" applyAlignment="1">
      <alignment horizontal="left"/>
    </xf>
    <xf numFmtId="176" fontId="2" fillId="0" borderId="0" xfId="0" quotePrefix="1" applyNumberFormat="1" applyFont="1" applyAlignment="1"/>
    <xf numFmtId="1" fontId="16" fillId="28" borderId="0" xfId="0" applyNumberFormat="1" applyFont="1" applyFill="1" applyAlignment="1">
      <alignment horizontal="center"/>
    </xf>
    <xf numFmtId="1" fontId="0" fillId="28" borderId="0" xfId="0" applyNumberFormat="1" applyFill="1" applyAlignment="1"/>
    <xf numFmtId="1" fontId="28" fillId="28" borderId="0" xfId="0" applyNumberFormat="1" applyFont="1" applyFill="1" applyAlignment="1"/>
    <xf numFmtId="185" fontId="28" fillId="28" borderId="0" xfId="0" applyFont="1" applyFill="1">
      <alignment horizontal="left" wrapText="1"/>
    </xf>
    <xf numFmtId="185" fontId="28" fillId="28" borderId="0" xfId="0" applyFont="1" applyFill="1" applyAlignment="1">
      <alignment horizontal="center"/>
    </xf>
    <xf numFmtId="185" fontId="28" fillId="28" borderId="0" xfId="0" applyFont="1" applyFill="1" applyAlignment="1">
      <alignment horizontal="center" wrapText="1"/>
    </xf>
    <xf numFmtId="1" fontId="8" fillId="28" borderId="0" xfId="36" applyNumberFormat="1" applyFill="1" applyAlignment="1" applyProtection="1"/>
    <xf numFmtId="185" fontId="1" fillId="28" borderId="0" xfId="0" applyFont="1" applyFill="1">
      <alignment horizontal="left" wrapText="1"/>
    </xf>
    <xf numFmtId="1" fontId="65" fillId="28" borderId="0" xfId="37" applyNumberFormat="1" applyFont="1" applyFill="1" applyAlignment="1" applyProtection="1">
      <alignment horizontal="center"/>
    </xf>
    <xf numFmtId="1" fontId="0" fillId="0" borderId="0" xfId="0" applyNumberFormat="1" applyAlignment="1"/>
    <xf numFmtId="1" fontId="28" fillId="28" borderId="0" xfId="0" applyNumberFormat="1" applyFont="1" applyFill="1" applyAlignment="1">
      <alignment horizontal="center" vertical="center" readingOrder="1"/>
    </xf>
    <xf numFmtId="1" fontId="64" fillId="28" borderId="0" xfId="0" applyNumberFormat="1" applyFont="1" applyFill="1" applyAlignment="1">
      <alignment horizontal="center" vertical="center" readingOrder="1"/>
    </xf>
    <xf numFmtId="173" fontId="1" fillId="0" borderId="0" xfId="0" applyNumberFormat="1" applyFont="1" applyAlignment="1">
      <alignment horizontal="left"/>
    </xf>
    <xf numFmtId="185" fontId="1" fillId="0" borderId="0" xfId="0" applyFont="1" applyFill="1" applyAlignment="1">
      <alignment horizontal="center"/>
    </xf>
    <xf numFmtId="1" fontId="0" fillId="29" borderId="0" xfId="0" applyNumberFormat="1" applyFill="1" applyAlignment="1"/>
    <xf numFmtId="175" fontId="4" fillId="24" borderId="0" xfId="50" applyNumberFormat="1" applyFont="1" applyFill="1" applyAlignment="1">
      <alignment horizontal="center"/>
    </xf>
    <xf numFmtId="9" fontId="0" fillId="29" borderId="0" xfId="0" applyNumberFormat="1" applyFill="1" applyAlignment="1" applyProtection="1">
      <alignment horizontal="center"/>
    </xf>
    <xf numFmtId="9" fontId="0" fillId="0" borderId="0" xfId="50" applyFont="1" applyAlignment="1"/>
    <xf numFmtId="1" fontId="0" fillId="0" borderId="0" xfId="0" applyNumberFormat="1" applyAlignment="1"/>
    <xf numFmtId="1" fontId="2" fillId="25" borderId="0" xfId="54" quotePrefix="1" applyNumberFormat="1" applyFont="1" applyFill="1" applyAlignment="1"/>
    <xf numFmtId="172" fontId="1" fillId="25" borderId="0" xfId="54" applyNumberFormat="1" applyFill="1" applyAlignment="1"/>
    <xf numFmtId="1" fontId="15" fillId="25" borderId="0" xfId="54" quotePrefix="1" applyNumberFormat="1" applyFont="1" applyFill="1" applyAlignment="1">
      <alignment horizontal="left" vertical="top" wrapText="1"/>
    </xf>
    <xf numFmtId="1" fontId="1" fillId="25" borderId="0" xfId="54" applyNumberFormat="1" applyFill="1" applyAlignment="1" applyProtection="1">
      <alignment horizontal="center"/>
    </xf>
    <xf numFmtId="1" fontId="7" fillId="25" borderId="0" xfId="54" applyNumberFormat="1" applyFont="1" applyFill="1" applyAlignment="1">
      <alignment horizontal="left" vertical="top" wrapText="1"/>
    </xf>
    <xf numFmtId="172" fontId="1" fillId="0" borderId="0" xfId="54" applyNumberFormat="1" applyAlignment="1" applyProtection="1">
      <protection locked="0"/>
    </xf>
    <xf numFmtId="1" fontId="1" fillId="25" borderId="0" xfId="54" applyNumberFormat="1" applyFill="1" applyAlignment="1"/>
    <xf numFmtId="172" fontId="1" fillId="25" borderId="0" xfId="54" applyNumberFormat="1" applyFill="1" applyAlignment="1" applyProtection="1">
      <protection locked="0"/>
    </xf>
    <xf numFmtId="1" fontId="0" fillId="30" borderId="0" xfId="0" applyNumberFormat="1" applyFill="1" applyAlignment="1"/>
    <xf numFmtId="1" fontId="1" fillId="0" borderId="0" xfId="46" quotePrefix="1" applyNumberFormat="1" applyAlignment="1">
      <alignment horizontal="left"/>
    </xf>
    <xf numFmtId="1" fontId="1" fillId="0" borderId="0" xfId="46" quotePrefix="1" applyNumberFormat="1" applyFont="1" applyFill="1" applyAlignment="1">
      <alignment horizontal="left"/>
    </xf>
    <xf numFmtId="185" fontId="0" fillId="0" borderId="0" xfId="0" applyAlignment="1"/>
    <xf numFmtId="0" fontId="0" fillId="0" borderId="0" xfId="0" applyNumberFormat="1" applyAlignment="1"/>
    <xf numFmtId="1" fontId="1" fillId="0" borderId="0" xfId="0" applyNumberFormat="1" applyFont="1" applyAlignment="1">
      <alignment horizontal="center" wrapText="1"/>
    </xf>
    <xf numFmtId="172" fontId="32" fillId="0" borderId="0" xfId="0" applyNumberFormat="1" applyFont="1" applyAlignment="1"/>
    <xf numFmtId="0" fontId="66" fillId="0" borderId="0" xfId="0" applyNumberFormat="1" applyFont="1" applyAlignment="1"/>
    <xf numFmtId="0" fontId="32" fillId="0" borderId="0" xfId="0" applyNumberFormat="1" applyFont="1" applyAlignment="1"/>
    <xf numFmtId="185" fontId="26" fillId="28" borderId="0" xfId="0" applyFont="1" applyFill="1">
      <alignment horizontal="left" wrapText="1"/>
    </xf>
    <xf numFmtId="185" fontId="24" fillId="28" borderId="0" xfId="0" applyFont="1" applyFill="1" applyAlignment="1"/>
    <xf numFmtId="185" fontId="24" fillId="28" borderId="0" xfId="0" applyFont="1" applyFill="1" applyBorder="1">
      <alignment horizontal="left" wrapText="1"/>
    </xf>
    <xf numFmtId="1" fontId="25" fillId="28" borderId="0" xfId="36" applyNumberFormat="1" applyFont="1" applyFill="1" applyAlignment="1" applyProtection="1"/>
    <xf numFmtId="185" fontId="25" fillId="28" borderId="0" xfId="0" applyFont="1" applyFill="1">
      <alignment horizontal="left" wrapText="1"/>
    </xf>
    <xf numFmtId="185" fontId="24" fillId="28" borderId="0" xfId="0" applyFont="1" applyFill="1">
      <alignment horizontal="left" wrapText="1"/>
    </xf>
    <xf numFmtId="185" fontId="24" fillId="28" borderId="0" xfId="0" applyFont="1" applyFill="1" applyAlignment="1">
      <alignment wrapText="1"/>
    </xf>
    <xf numFmtId="185" fontId="22" fillId="28" borderId="0" xfId="0" applyFont="1" applyFill="1">
      <alignment horizontal="left" wrapText="1"/>
    </xf>
    <xf numFmtId="185" fontId="24" fillId="28" borderId="0" xfId="0" applyFont="1" applyFill="1" applyAlignment="1">
      <alignment horizontal="left" indent="4"/>
    </xf>
    <xf numFmtId="10" fontId="1" fillId="0" borderId="0" xfId="50" applyNumberFormat="1" applyFont="1" applyFill="1" applyBorder="1" applyAlignment="1">
      <alignment horizontal="right" wrapText="1"/>
    </xf>
    <xf numFmtId="10" fontId="1" fillId="0" borderId="0" xfId="50" applyNumberFormat="1" applyFont="1" applyFill="1" applyBorder="1" applyAlignment="1">
      <alignment horizontal="left" wrapText="1"/>
    </xf>
    <xf numFmtId="10" fontId="1" fillId="0" borderId="0" xfId="50" applyNumberFormat="1" applyFont="1" applyFill="1" applyBorder="1" applyAlignment="1"/>
    <xf numFmtId="185" fontId="2" fillId="26" borderId="0" xfId="0" applyFont="1" applyFill="1" applyAlignment="1">
      <alignment vertical="center" wrapText="1"/>
    </xf>
    <xf numFmtId="185" fontId="1" fillId="0" borderId="0" xfId="0" applyFont="1" applyAlignment="1">
      <alignment vertical="center" wrapText="1"/>
    </xf>
    <xf numFmtId="1" fontId="7" fillId="0" borderId="0" xfId="0" quotePrefix="1" applyNumberFormat="1" applyFont="1" applyAlignment="1">
      <alignment horizontal="left" vertical="top" wrapText="1"/>
    </xf>
    <xf numFmtId="1" fontId="0" fillId="0" borderId="0" xfId="0" applyNumberFormat="1" applyAlignment="1"/>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Hyperlink_About JEDI" xfId="37"/>
    <cellStyle name="Input" xfId="38" builtinId="20" customBuiltin="1"/>
    <cellStyle name="Linked Cell" xfId="39" builtinId="24" customBuiltin="1"/>
    <cellStyle name="Neutral" xfId="40" builtinId="28" customBuiltin="1"/>
    <cellStyle name="Normal" xfId="0" builtinId="0"/>
    <cellStyle name="Normal 2" xfId="41"/>
    <cellStyle name="Normal 3" xfId="42"/>
    <cellStyle name="Normal 4" xfId="43"/>
    <cellStyle name="Normal_Calculations_1" xfId="44"/>
    <cellStyle name="Normal_DefaultData" xfId="45"/>
    <cellStyle name="Normal_Deflators" xfId="46"/>
    <cellStyle name="Normal_Deflators_1" xfId="47"/>
    <cellStyle name="Normal_Sheet2" xfId="54"/>
    <cellStyle name="Note" xfId="48" builtinId="10" customBuiltin="1"/>
    <cellStyle name="Output" xfId="49" builtinId="21" customBuiltin="1"/>
    <cellStyle name="Percent" xfId="50" builtinId="5"/>
    <cellStyle name="Title" xfId="51" builtinId="15" customBuiltin="1"/>
    <cellStyle name="Total" xfId="52" builtinId="25" customBuiltin="1"/>
    <cellStyle name="Warning Text" xfId="53" builtinId="11" customBuiltin="1"/>
  </cellStyles>
  <dxfs count="1">
    <dxf>
      <font>
        <color rgb="FF00FFFF"/>
      </font>
      <fill>
        <patternFill>
          <bgColor rgb="FF00FFFF"/>
        </patternFill>
      </fill>
    </dxf>
  </dxfs>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361950</xdr:colOff>
      <xdr:row>4</xdr:row>
      <xdr:rowOff>95250</xdr:rowOff>
    </xdr:from>
    <xdr:to>
      <xdr:col>13</xdr:col>
      <xdr:colOff>200025</xdr:colOff>
      <xdr:row>24</xdr:row>
      <xdr:rowOff>57150</xdr:rowOff>
    </xdr:to>
    <xdr:sp macro="" textlink="">
      <xdr:nvSpPr>
        <xdr:cNvPr id="1025" name="Text Box 1"/>
        <xdr:cNvSpPr txBox="1">
          <a:spLocks noChangeArrowheads="1"/>
        </xdr:cNvSpPr>
      </xdr:nvSpPr>
      <xdr:spPr bwMode="auto">
        <a:xfrm>
          <a:off x="1466850" y="1647825"/>
          <a:ext cx="6543675" cy="3200400"/>
        </a:xfrm>
        <a:prstGeom prst="rect">
          <a:avLst/>
        </a:prstGeom>
        <a:solidFill>
          <a:schemeClr val="bg1"/>
        </a:solidFill>
        <a:ln w="12700">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This demonstration model is designed to estimate the statewide economic impacts associated with developing natural gas power electric generation facilities.  The economic impacts identified include jobs, earnings, output and value added for the construction period and annually once the plant is up and running.  A user defined "add-in" location (e.g., county or region) option is also available.    </a:t>
          </a:r>
        </a:p>
        <a:p>
          <a:pPr algn="l" rtl="0">
            <a:defRPr sz="1000"/>
          </a:pPr>
          <a:endParaRPr lang="en-US" sz="1000" b="0" i="0" strike="noStrike">
            <a:solidFill>
              <a:srgbClr val="000000"/>
            </a:solidFill>
            <a:latin typeface="Helv"/>
          </a:endParaRPr>
        </a:p>
        <a:p>
          <a:pPr algn="l" rtl="0">
            <a:defRPr sz="1000"/>
          </a:pPr>
          <a:r>
            <a:rPr lang="en-US" sz="1100" b="1" i="0" strike="noStrike">
              <a:solidFill>
                <a:srgbClr val="000000"/>
              </a:solidFill>
              <a:latin typeface="Helv"/>
            </a:rPr>
            <a:t>Steps to complete an economic impact analysis:</a:t>
          </a:r>
          <a:endParaRPr lang="en-US" sz="1000" b="1"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1.  Enter project descriptive data</a:t>
          </a:r>
        </a:p>
        <a:p>
          <a:pPr algn="l" rtl="0">
            <a:defRPr sz="1000"/>
          </a:pPr>
          <a:r>
            <a:rPr lang="en-US" sz="1000" b="0" i="0" strike="noStrike">
              <a:solidFill>
                <a:srgbClr val="000000"/>
              </a:solidFill>
              <a:latin typeface="Helv"/>
            </a:rPr>
            <a:t>   2.  Choose to accept default project cost data (based on project description and average cost data for coal plants)</a:t>
          </a:r>
        </a:p>
        <a:p>
          <a:pPr algn="l" rtl="0">
            <a:defRPr sz="1000"/>
          </a:pPr>
          <a:r>
            <a:rPr lang="en-US" sz="1000" b="0" i="0" strike="noStrike">
              <a:solidFill>
                <a:srgbClr val="000000"/>
              </a:solidFill>
              <a:latin typeface="Helv"/>
            </a:rPr>
            <a:t>         or review and enter new project data.  </a:t>
          </a:r>
        </a:p>
        <a:p>
          <a:pPr algn="l" rtl="0">
            <a:defRPr sz="1000"/>
          </a:pPr>
          <a:r>
            <a:rPr lang="en-US" sz="1000" b="0" i="0" strike="noStrike">
              <a:solidFill>
                <a:srgbClr val="000000"/>
              </a:solidFill>
              <a:latin typeface="Helv"/>
            </a:rPr>
            <a:t>   3.  If you accept default values go directly to SUMMARY RESULTS to view and/or print results.</a:t>
          </a:r>
        </a:p>
        <a:p>
          <a:pPr algn="l" rtl="0">
            <a:defRPr sz="1000"/>
          </a:pPr>
          <a:r>
            <a:rPr lang="en-US" sz="1000" b="0" i="0" strike="noStrike">
              <a:solidFill>
                <a:srgbClr val="000000"/>
              </a:solidFill>
              <a:latin typeface="Helv"/>
            </a:rPr>
            <a:t>   4.  If you choose to enter new values make sure to enter an "N" in the designated cell before proceeding.                             </a:t>
          </a:r>
        </a:p>
        <a:p>
          <a:pPr algn="l" rtl="0">
            <a:defRPr sz="1000"/>
          </a:pPr>
          <a:endParaRPr lang="en-US" sz="1000" b="0" i="0" strike="noStrike">
            <a:solidFill>
              <a:srgbClr val="000000"/>
            </a:solidFill>
            <a:latin typeface="Helv"/>
          </a:endParaRPr>
        </a:p>
        <a:p>
          <a:pPr algn="l" rtl="0">
            <a:defRPr sz="1000"/>
          </a:pPr>
          <a:r>
            <a:rPr lang="en-US" sz="1000" b="1" i="0" strike="noStrike">
              <a:solidFill>
                <a:srgbClr val="000000"/>
              </a:solidFill>
              <a:latin typeface="Helv"/>
            </a:rPr>
            <a:t>To begin analysis press Start button</a:t>
          </a: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a:t>
          </a:r>
        </a:p>
        <a:p>
          <a:pPr algn="l" rtl="0">
            <a:defRPr sz="1000"/>
          </a:pPr>
          <a:endParaRPr lang="en-US" sz="1000" b="0" i="0" strike="noStrike">
            <a:solidFill>
              <a:srgbClr val="000000"/>
            </a:solidFill>
            <a:latin typeface="Helv"/>
          </a:endParaRPr>
        </a:p>
        <a:p>
          <a:pPr algn="l" rtl="0">
            <a:defRPr sz="1000"/>
          </a:pPr>
          <a:r>
            <a:rPr lang="en-US" sz="1000" b="0" i="0" strike="noStrike">
              <a:solidFill>
                <a:srgbClr val="000000"/>
              </a:solidFill>
              <a:latin typeface="Helv"/>
            </a:rPr>
            <a:t>          </a:t>
          </a:r>
        </a:p>
        <a:p>
          <a:pPr algn="l" rtl="0">
            <a:defRPr sz="1000"/>
          </a:pPr>
          <a:r>
            <a:rPr lang="en-US" sz="1000" b="0" i="0" strike="noStrike">
              <a:solidFill>
                <a:srgbClr val="000000"/>
              </a:solidFill>
              <a:latin typeface="Helv"/>
            </a:rPr>
            <a:t>                                                                                        </a:t>
          </a:r>
          <a:r>
            <a:rPr lang="en-US" sz="1000" b="1" i="0" strike="noStrike">
              <a:solidFill>
                <a:srgbClr val="000000"/>
              </a:solidFill>
              <a:latin typeface="Helv"/>
            </a:rPr>
            <a:t> </a:t>
          </a: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a:p>
          <a:pPr algn="l" rtl="0">
            <a:defRPr sz="1000"/>
          </a:pPr>
          <a:endParaRPr lang="en-US" sz="1000" b="0" i="0" strike="noStrike">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6</xdr:col>
          <xdr:colOff>552450</xdr:colOff>
          <xdr:row>18</xdr:row>
          <xdr:rowOff>76200</xdr:rowOff>
        </xdr:from>
        <xdr:to>
          <xdr:col>9</xdr:col>
          <xdr:colOff>371475</xdr:colOff>
          <xdr:row>21</xdr:row>
          <xdr:rowOff>38100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102</xdr:row>
          <xdr:rowOff>0</xdr:rowOff>
        </xdr:from>
        <xdr:to>
          <xdr:col>0</xdr:col>
          <xdr:colOff>2228850</xdr:colOff>
          <xdr:row>104</xdr:row>
          <xdr:rowOff>152400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2514600</xdr:colOff>
          <xdr:row>102</xdr:row>
          <xdr:rowOff>0</xdr:rowOff>
        </xdr:from>
        <xdr:to>
          <xdr:col>1</xdr:col>
          <xdr:colOff>1466850</xdr:colOff>
          <xdr:row>104</xdr:row>
          <xdr:rowOff>152400</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3181350</xdr:colOff>
          <xdr:row>26</xdr:row>
          <xdr:rowOff>76200</xdr:rowOff>
        </xdr:from>
        <xdr:to>
          <xdr:col>2</xdr:col>
          <xdr:colOff>361950</xdr:colOff>
          <xdr:row>27</xdr:row>
          <xdr:rowOff>85725</xdr:rowOff>
        </xdr:to>
        <xdr:sp macro="" textlink="">
          <xdr:nvSpPr>
            <xdr:cNvPr id="2109" name="Button 61" hidden="1">
              <a:extLst>
                <a:ext uri="{63B3BB69-23CF-44E3-9099-C40C66FF867C}">
                  <a14:compatExt spid="_x0000_s2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1752600</xdr:colOff>
          <xdr:row>102</xdr:row>
          <xdr:rowOff>0</xdr:rowOff>
        </xdr:from>
        <xdr:to>
          <xdr:col>4</xdr:col>
          <xdr:colOff>504825</xdr:colOff>
          <xdr:row>104</xdr:row>
          <xdr:rowOff>152400</xdr:rowOff>
        </xdr:to>
        <xdr:sp macro="" textlink="">
          <xdr:nvSpPr>
            <xdr:cNvPr id="2193" name="Button 145" hidden="1">
              <a:extLst>
                <a:ext uri="{63B3BB69-23CF-44E3-9099-C40C66FF867C}">
                  <a14:compatExt spid="_x0000_s2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9</xdr:row>
          <xdr:rowOff>9525</xdr:rowOff>
        </xdr:from>
        <xdr:to>
          <xdr:col>5</xdr:col>
          <xdr:colOff>1819275</xdr:colOff>
          <xdr:row>13</xdr:row>
          <xdr:rowOff>76200</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1</xdr:row>
          <xdr:rowOff>114300</xdr:rowOff>
        </xdr:from>
        <xdr:to>
          <xdr:col>5</xdr:col>
          <xdr:colOff>1800225</xdr:colOff>
          <xdr:row>7</xdr:row>
          <xdr:rowOff>28575</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22</xdr:row>
          <xdr:rowOff>9525</xdr:rowOff>
        </xdr:from>
        <xdr:to>
          <xdr:col>5</xdr:col>
          <xdr:colOff>1828800</xdr:colOff>
          <xdr:row>28</xdr:row>
          <xdr:rowOff>85725</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15</xdr:row>
          <xdr:rowOff>95250</xdr:rowOff>
        </xdr:from>
        <xdr:to>
          <xdr:col>5</xdr:col>
          <xdr:colOff>1838325</xdr:colOff>
          <xdr:row>19</xdr:row>
          <xdr:rowOff>123825</xdr:rowOff>
        </xdr:to>
        <xdr:sp macro="" textlink="">
          <xdr:nvSpPr>
            <xdr:cNvPr id="5161" name="Button 41" hidden="1">
              <a:extLst>
                <a:ext uri="{63B3BB69-23CF-44E3-9099-C40C66FF867C}">
                  <a14:compatExt spid="_x0000_s5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68"/>
  <sheetViews>
    <sheetView workbookViewId="0">
      <selection activeCell="F9" sqref="F9"/>
    </sheetView>
  </sheetViews>
  <sheetFormatPr defaultRowHeight="12.75" x14ac:dyDescent="0.2"/>
  <cols>
    <col min="1" max="1" width="31.5703125" style="407" customWidth="1"/>
    <col min="2" max="2" width="145" customWidth="1"/>
    <col min="3" max="3" width="43.42578125" style="407" customWidth="1"/>
  </cols>
  <sheetData>
    <row r="1" spans="1:3" x14ac:dyDescent="0.2">
      <c r="A1" s="403"/>
      <c r="B1" s="39"/>
      <c r="C1" s="403"/>
    </row>
    <row r="2" spans="1:3" x14ac:dyDescent="0.2">
      <c r="A2" s="403"/>
      <c r="B2" s="39"/>
      <c r="C2" s="403"/>
    </row>
    <row r="3" spans="1:3" ht="23.25" x14ac:dyDescent="0.35">
      <c r="A3" s="403"/>
      <c r="B3" s="186" t="s">
        <v>428</v>
      </c>
      <c r="C3" s="403"/>
    </row>
    <row r="4" spans="1:3" x14ac:dyDescent="0.2">
      <c r="A4" s="403"/>
      <c r="B4" s="209"/>
      <c r="C4" s="403"/>
    </row>
    <row r="5" spans="1:3" ht="23.25" x14ac:dyDescent="0.35">
      <c r="A5" s="403"/>
      <c r="B5" s="186" t="s">
        <v>258</v>
      </c>
      <c r="C5" s="403"/>
    </row>
    <row r="6" spans="1:3" ht="23.25" x14ac:dyDescent="0.35">
      <c r="A6" s="403"/>
      <c r="B6" s="188"/>
      <c r="C6" s="403"/>
    </row>
    <row r="7" spans="1:3" ht="23.25" x14ac:dyDescent="0.35">
      <c r="A7" s="403"/>
      <c r="B7" s="188"/>
      <c r="C7" s="403"/>
    </row>
    <row r="8" spans="1:3" ht="23.25" x14ac:dyDescent="0.35">
      <c r="A8" s="390"/>
      <c r="B8" s="189"/>
      <c r="C8" s="390"/>
    </row>
    <row r="9" spans="1:3" ht="18" x14ac:dyDescent="0.25">
      <c r="A9" s="390"/>
      <c r="B9" s="389" t="s">
        <v>534</v>
      </c>
      <c r="C9" s="390"/>
    </row>
    <row r="10" spans="1:3" x14ac:dyDescent="0.2">
      <c r="A10" s="390"/>
      <c r="B10" s="390"/>
      <c r="C10" s="390"/>
    </row>
    <row r="11" spans="1:3" x14ac:dyDescent="0.2">
      <c r="A11" s="390"/>
      <c r="B11" s="390"/>
      <c r="C11" s="390"/>
    </row>
    <row r="12" spans="1:3" ht="15.75" x14ac:dyDescent="0.25">
      <c r="A12" s="390"/>
      <c r="B12" s="391" t="s">
        <v>381</v>
      </c>
      <c r="C12" s="390"/>
    </row>
    <row r="13" spans="1:3" ht="15.75" x14ac:dyDescent="0.25">
      <c r="A13" s="390"/>
      <c r="B13" s="391" t="s">
        <v>380</v>
      </c>
      <c r="C13" s="390"/>
    </row>
    <row r="14" spans="1:3" ht="15.75" x14ac:dyDescent="0.25">
      <c r="A14" s="390"/>
      <c r="B14" s="391" t="s">
        <v>283</v>
      </c>
      <c r="C14" s="390"/>
    </row>
    <row r="15" spans="1:3" ht="15.75" x14ac:dyDescent="0.25">
      <c r="A15" s="390"/>
      <c r="B15" s="391" t="s">
        <v>379</v>
      </c>
      <c r="C15" s="390"/>
    </row>
    <row r="16" spans="1:3" ht="15.75" x14ac:dyDescent="0.25">
      <c r="A16" s="390"/>
      <c r="B16" s="391" t="s">
        <v>284</v>
      </c>
      <c r="C16" s="390"/>
    </row>
    <row r="17" spans="1:3" ht="15.75" x14ac:dyDescent="0.25">
      <c r="A17" s="390"/>
      <c r="B17" s="391" t="s">
        <v>285</v>
      </c>
      <c r="C17" s="390"/>
    </row>
    <row r="18" spans="1:3" ht="15.75" x14ac:dyDescent="0.25">
      <c r="A18" s="390"/>
      <c r="B18" s="391" t="s">
        <v>286</v>
      </c>
      <c r="C18" s="390"/>
    </row>
    <row r="19" spans="1:3" ht="15.75" x14ac:dyDescent="0.25">
      <c r="A19" s="390"/>
      <c r="B19" s="391" t="s">
        <v>287</v>
      </c>
      <c r="C19" s="390"/>
    </row>
    <row r="20" spans="1:3" ht="15.75" x14ac:dyDescent="0.25">
      <c r="A20" s="390"/>
      <c r="B20" s="392" t="s">
        <v>417</v>
      </c>
      <c r="C20" s="390"/>
    </row>
    <row r="21" spans="1:3" ht="15.75" x14ac:dyDescent="0.25">
      <c r="A21" s="390"/>
      <c r="B21" s="392" t="s">
        <v>511</v>
      </c>
      <c r="C21" s="390"/>
    </row>
    <row r="22" spans="1:3" ht="15.75" x14ac:dyDescent="0.25">
      <c r="A22" s="390"/>
      <c r="B22" s="392"/>
      <c r="C22" s="390"/>
    </row>
    <row r="23" spans="1:3" ht="15.75" x14ac:dyDescent="0.25">
      <c r="A23" s="390"/>
      <c r="B23" s="393" t="s">
        <v>493</v>
      </c>
      <c r="C23" s="390"/>
    </row>
    <row r="24" spans="1:3" ht="15.75" x14ac:dyDescent="0.25">
      <c r="A24" s="390"/>
      <c r="B24" s="394" t="s">
        <v>492</v>
      </c>
      <c r="C24" s="390"/>
    </row>
    <row r="25" spans="1:3" ht="15.75" x14ac:dyDescent="0.25">
      <c r="A25" s="390"/>
      <c r="B25" s="394" t="s">
        <v>494</v>
      </c>
      <c r="C25" s="390"/>
    </row>
    <row r="26" spans="1:3" ht="15.75" x14ac:dyDescent="0.25">
      <c r="A26" s="390"/>
      <c r="B26" s="397" t="s">
        <v>495</v>
      </c>
      <c r="C26" s="390"/>
    </row>
    <row r="27" spans="1:3" x14ac:dyDescent="0.2">
      <c r="A27" s="390"/>
      <c r="B27" s="395"/>
      <c r="C27" s="390"/>
    </row>
    <row r="28" spans="1:3" ht="16.5" customHeight="1" x14ac:dyDescent="0.25">
      <c r="A28" s="390"/>
      <c r="B28" s="392" t="s">
        <v>418</v>
      </c>
      <c r="C28" s="390"/>
    </row>
    <row r="29" spans="1:3" ht="15.75" x14ac:dyDescent="0.25">
      <c r="A29" s="390"/>
      <c r="B29" s="392" t="s">
        <v>419</v>
      </c>
      <c r="C29" s="390"/>
    </row>
    <row r="30" spans="1:3" ht="15.75" x14ac:dyDescent="0.25">
      <c r="A30" s="390"/>
      <c r="B30" s="392"/>
      <c r="C30" s="390"/>
    </row>
    <row r="31" spans="1:3" ht="15.75" x14ac:dyDescent="0.25">
      <c r="A31" s="390"/>
      <c r="B31" s="393" t="s">
        <v>496</v>
      </c>
      <c r="C31" s="390"/>
    </row>
    <row r="32" spans="1:3" ht="15.75" x14ac:dyDescent="0.25">
      <c r="A32" s="390"/>
      <c r="B32" s="393" t="s">
        <v>497</v>
      </c>
      <c r="C32" s="390"/>
    </row>
    <row r="33" spans="1:3" ht="15.75" x14ac:dyDescent="0.25">
      <c r="A33" s="390"/>
      <c r="B33" s="393" t="s">
        <v>498</v>
      </c>
      <c r="C33" s="390"/>
    </row>
    <row r="34" spans="1:3" ht="15.75" x14ac:dyDescent="0.25">
      <c r="A34" s="390"/>
      <c r="B34" s="393" t="s">
        <v>499</v>
      </c>
      <c r="C34" s="390"/>
    </row>
    <row r="35" spans="1:3" ht="15.75" x14ac:dyDescent="0.25">
      <c r="A35" s="390"/>
      <c r="B35" s="397" t="s">
        <v>500</v>
      </c>
      <c r="C35" s="390"/>
    </row>
    <row r="36" spans="1:3" x14ac:dyDescent="0.2">
      <c r="A36" s="390"/>
      <c r="B36" s="396"/>
      <c r="C36" s="390"/>
    </row>
    <row r="37" spans="1:3" ht="15" customHeight="1" x14ac:dyDescent="0.25">
      <c r="A37" s="390"/>
      <c r="B37" s="392" t="s">
        <v>490</v>
      </c>
      <c r="C37" s="390"/>
    </row>
    <row r="38" spans="1:3" ht="15.75" x14ac:dyDescent="0.25">
      <c r="A38" s="390"/>
      <c r="B38" s="392" t="s">
        <v>512</v>
      </c>
      <c r="C38" s="390"/>
    </row>
    <row r="39" spans="1:3" ht="15.75" x14ac:dyDescent="0.25">
      <c r="A39" s="390"/>
      <c r="B39" s="392"/>
      <c r="C39" s="390"/>
    </row>
    <row r="40" spans="1:3" ht="15.75" x14ac:dyDescent="0.2">
      <c r="A40" s="390"/>
      <c r="B40" s="399" t="s">
        <v>513</v>
      </c>
      <c r="C40" s="390"/>
    </row>
    <row r="41" spans="1:3" ht="15.75" x14ac:dyDescent="0.2">
      <c r="A41" s="390"/>
      <c r="B41" s="399" t="s">
        <v>514</v>
      </c>
      <c r="C41" s="390"/>
    </row>
    <row r="42" spans="1:3" ht="15.75" x14ac:dyDescent="0.2">
      <c r="A42" s="390"/>
      <c r="B42" s="399" t="s">
        <v>515</v>
      </c>
      <c r="C42" s="390"/>
    </row>
    <row r="43" spans="1:3" ht="15.75" x14ac:dyDescent="0.2">
      <c r="A43" s="390"/>
      <c r="B43" s="399" t="s">
        <v>516</v>
      </c>
      <c r="C43" s="390"/>
    </row>
    <row r="44" spans="1:3" ht="15.75" x14ac:dyDescent="0.2">
      <c r="A44" s="390"/>
      <c r="B44" s="400" t="s">
        <v>517</v>
      </c>
      <c r="C44" s="390"/>
    </row>
    <row r="45" spans="1:3" x14ac:dyDescent="0.2">
      <c r="A45" s="390"/>
      <c r="B45" s="390"/>
      <c r="C45" s="390"/>
    </row>
    <row r="46" spans="1:3" x14ac:dyDescent="0.2">
      <c r="A46" s="390"/>
      <c r="B46" s="390"/>
      <c r="C46" s="390"/>
    </row>
    <row r="47" spans="1:3" x14ac:dyDescent="0.2">
      <c r="A47" s="390"/>
      <c r="B47" s="390"/>
      <c r="C47" s="390"/>
    </row>
    <row r="48" spans="1:3" x14ac:dyDescent="0.2">
      <c r="A48" s="390"/>
      <c r="B48" s="390"/>
      <c r="C48" s="390"/>
    </row>
    <row r="49" spans="1:3" x14ac:dyDescent="0.2">
      <c r="A49" s="390"/>
      <c r="B49" s="390"/>
      <c r="C49" s="390"/>
    </row>
    <row r="50" spans="1:3" x14ac:dyDescent="0.2">
      <c r="A50" s="390"/>
      <c r="B50" s="390"/>
      <c r="C50" s="390"/>
    </row>
    <row r="51" spans="1:3" x14ac:dyDescent="0.2">
      <c r="A51" s="390"/>
      <c r="B51" s="390"/>
      <c r="C51" s="390"/>
    </row>
    <row r="52" spans="1:3" x14ac:dyDescent="0.2">
      <c r="A52" s="390"/>
      <c r="B52" s="390"/>
      <c r="C52" s="390"/>
    </row>
    <row r="53" spans="1:3" x14ac:dyDescent="0.2">
      <c r="A53" s="390"/>
      <c r="C53" s="390"/>
    </row>
    <row r="54" spans="1:3" x14ac:dyDescent="0.2">
      <c r="A54" s="403"/>
      <c r="B54" s="403"/>
      <c r="C54" s="403"/>
    </row>
    <row r="55" spans="1:3" x14ac:dyDescent="0.2">
      <c r="A55" s="403"/>
      <c r="B55" s="403"/>
      <c r="C55" s="403"/>
    </row>
    <row r="56" spans="1:3" x14ac:dyDescent="0.2">
      <c r="A56" s="403"/>
      <c r="B56" s="403"/>
      <c r="C56" s="403"/>
    </row>
    <row r="57" spans="1:3" x14ac:dyDescent="0.2">
      <c r="A57" s="403"/>
      <c r="B57" s="403"/>
      <c r="C57" s="403"/>
    </row>
    <row r="58" spans="1:3" x14ac:dyDescent="0.2">
      <c r="A58" s="403"/>
      <c r="B58" s="403"/>
      <c r="C58" s="403"/>
    </row>
    <row r="59" spans="1:3" x14ac:dyDescent="0.2">
      <c r="A59" s="403"/>
      <c r="B59" s="403"/>
      <c r="C59" s="403"/>
    </row>
    <row r="60" spans="1:3" x14ac:dyDescent="0.2">
      <c r="A60" s="403"/>
      <c r="B60" s="403"/>
      <c r="C60" s="403"/>
    </row>
    <row r="61" spans="1:3" x14ac:dyDescent="0.2">
      <c r="A61" s="403"/>
      <c r="B61" s="403"/>
      <c r="C61" s="403"/>
    </row>
    <row r="62" spans="1:3" x14ac:dyDescent="0.2">
      <c r="A62" s="403"/>
      <c r="B62" s="403"/>
      <c r="C62" s="403"/>
    </row>
    <row r="63" spans="1:3" x14ac:dyDescent="0.2">
      <c r="A63" s="403"/>
      <c r="B63" s="403"/>
      <c r="C63" s="403"/>
    </row>
    <row r="64" spans="1:3" x14ac:dyDescent="0.2">
      <c r="A64" s="403"/>
      <c r="B64" s="403"/>
      <c r="C64" s="403"/>
    </row>
    <row r="65" spans="1:3" x14ac:dyDescent="0.2">
      <c r="A65" s="403"/>
      <c r="B65" s="403"/>
      <c r="C65" s="403"/>
    </row>
    <row r="66" spans="1:3" x14ac:dyDescent="0.2">
      <c r="A66" s="403"/>
      <c r="B66" s="403"/>
      <c r="C66" s="403"/>
    </row>
    <row r="67" spans="1:3" x14ac:dyDescent="0.2">
      <c r="A67" s="403"/>
      <c r="B67" s="403"/>
      <c r="C67" s="403"/>
    </row>
    <row r="68" spans="1:3" x14ac:dyDescent="0.2">
      <c r="A68" s="403"/>
      <c r="B68" s="403"/>
      <c r="C68" s="403"/>
    </row>
  </sheetData>
  <sheetProtection password="DFD3" sheet="1" objects="1" scenarios="1"/>
  <phoneticPr fontId="0" type="noConversion"/>
  <pageMargins left="0.75" right="0.75" top="1" bottom="1" header="0.5" footer="0.5"/>
  <pageSetup orientation="portrait" horizontalDpi="4294967293"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84"/>
  <sheetViews>
    <sheetView workbookViewId="0">
      <selection activeCell="T2" sqref="T2"/>
    </sheetView>
  </sheetViews>
  <sheetFormatPr defaultRowHeight="12.75" x14ac:dyDescent="0.2"/>
  <cols>
    <col min="1" max="1" width="32.5703125" style="407" customWidth="1"/>
    <col min="2" max="2" width="146.140625" customWidth="1"/>
    <col min="3" max="3" width="31.5703125" style="407" customWidth="1"/>
  </cols>
  <sheetData>
    <row r="1" spans="1:3" x14ac:dyDescent="0.2">
      <c r="A1" s="403"/>
      <c r="B1" s="39"/>
      <c r="C1" s="403"/>
    </row>
    <row r="2" spans="1:3" ht="23.25" x14ac:dyDescent="0.35">
      <c r="A2" s="403"/>
      <c r="B2" s="186" t="s">
        <v>428</v>
      </c>
      <c r="C2" s="403"/>
    </row>
    <row r="3" spans="1:3" x14ac:dyDescent="0.2">
      <c r="A3" s="403"/>
      <c r="B3" s="39"/>
      <c r="C3" s="403"/>
    </row>
    <row r="4" spans="1:3" ht="23.25" x14ac:dyDescent="0.35">
      <c r="A4" s="403"/>
      <c r="B4" s="186" t="s">
        <v>258</v>
      </c>
      <c r="C4" s="403"/>
    </row>
    <row r="5" spans="1:3" ht="23.25" x14ac:dyDescent="0.35">
      <c r="A5" s="403"/>
      <c r="B5" s="186"/>
      <c r="C5" s="403"/>
    </row>
    <row r="6" spans="1:3" ht="20.25" x14ac:dyDescent="0.3">
      <c r="A6" s="403"/>
      <c r="B6" s="187" t="s">
        <v>257</v>
      </c>
      <c r="C6" s="403"/>
    </row>
    <row r="7" spans="1:3" x14ac:dyDescent="0.2">
      <c r="A7" s="403"/>
      <c r="B7" s="39"/>
      <c r="C7" s="403"/>
    </row>
    <row r="8" spans="1:3" x14ac:dyDescent="0.2">
      <c r="A8" s="390"/>
      <c r="B8" s="396"/>
      <c r="C8" s="390"/>
    </row>
    <row r="9" spans="1:3" x14ac:dyDescent="0.2">
      <c r="A9" s="390"/>
      <c r="B9" s="425" t="s">
        <v>259</v>
      </c>
      <c r="C9" s="390"/>
    </row>
    <row r="10" spans="1:3" x14ac:dyDescent="0.2">
      <c r="A10" s="390"/>
      <c r="B10" s="426" t="s">
        <v>475</v>
      </c>
      <c r="C10" s="390"/>
    </row>
    <row r="11" spans="1:3" x14ac:dyDescent="0.2">
      <c r="A11" s="390"/>
      <c r="B11" s="426" t="s">
        <v>476</v>
      </c>
      <c r="C11" s="390"/>
    </row>
    <row r="12" spans="1:3" x14ac:dyDescent="0.2">
      <c r="A12" s="390"/>
      <c r="B12" s="426" t="s">
        <v>477</v>
      </c>
      <c r="C12" s="390"/>
    </row>
    <row r="13" spans="1:3" x14ac:dyDescent="0.2">
      <c r="A13" s="390"/>
      <c r="B13" s="426"/>
      <c r="C13" s="390"/>
    </row>
    <row r="14" spans="1:3" x14ac:dyDescent="0.2">
      <c r="A14" s="390"/>
      <c r="B14" s="425" t="s">
        <v>268</v>
      </c>
      <c r="C14" s="390"/>
    </row>
    <row r="15" spans="1:3" x14ac:dyDescent="0.2">
      <c r="A15" s="390"/>
      <c r="B15" s="426" t="s">
        <v>479</v>
      </c>
      <c r="C15" s="390"/>
    </row>
    <row r="16" spans="1:3" x14ac:dyDescent="0.2">
      <c r="A16" s="390"/>
      <c r="B16" s="426" t="s">
        <v>480</v>
      </c>
      <c r="C16" s="390"/>
    </row>
    <row r="17" spans="1:3" x14ac:dyDescent="0.2">
      <c r="A17" s="390"/>
      <c r="B17" s="426"/>
      <c r="C17" s="390"/>
    </row>
    <row r="18" spans="1:3" x14ac:dyDescent="0.2">
      <c r="A18" s="390"/>
      <c r="B18" s="425" t="s">
        <v>264</v>
      </c>
      <c r="C18" s="390"/>
    </row>
    <row r="19" spans="1:3" x14ac:dyDescent="0.2">
      <c r="A19" s="390"/>
      <c r="B19" s="426" t="s">
        <v>482</v>
      </c>
      <c r="C19" s="390"/>
    </row>
    <row r="20" spans="1:3" x14ac:dyDescent="0.2">
      <c r="A20" s="390"/>
      <c r="B20" s="426" t="s">
        <v>481</v>
      </c>
      <c r="C20" s="390"/>
    </row>
    <row r="21" spans="1:3" x14ac:dyDescent="0.2">
      <c r="A21" s="390"/>
      <c r="B21" s="427" t="s">
        <v>478</v>
      </c>
      <c r="C21" s="390"/>
    </row>
    <row r="22" spans="1:3" ht="15.75" customHeight="1" x14ac:dyDescent="0.2">
      <c r="A22" s="390"/>
      <c r="B22" s="425" t="s">
        <v>360</v>
      </c>
      <c r="C22" s="390"/>
    </row>
    <row r="23" spans="1:3" x14ac:dyDescent="0.2">
      <c r="A23" s="390"/>
      <c r="B23" s="425" t="s">
        <v>266</v>
      </c>
      <c r="C23" s="390"/>
    </row>
    <row r="24" spans="1:3" x14ac:dyDescent="0.2">
      <c r="A24" s="390"/>
      <c r="B24" s="428" t="s">
        <v>288</v>
      </c>
      <c r="C24" s="390"/>
    </row>
    <row r="25" spans="1:3" x14ac:dyDescent="0.2">
      <c r="A25" s="390"/>
      <c r="B25" s="429" t="s">
        <v>289</v>
      </c>
      <c r="C25" s="390"/>
    </row>
    <row r="26" spans="1:3" x14ac:dyDescent="0.2">
      <c r="A26" s="390"/>
      <c r="B26" s="429" t="s">
        <v>263</v>
      </c>
      <c r="C26" s="390"/>
    </row>
    <row r="27" spans="1:3" x14ac:dyDescent="0.2">
      <c r="A27" s="390"/>
      <c r="B27" s="429"/>
      <c r="C27" s="390"/>
    </row>
    <row r="28" spans="1:3" x14ac:dyDescent="0.2">
      <c r="A28" s="390"/>
      <c r="B28" s="425" t="s">
        <v>265</v>
      </c>
      <c r="C28" s="390"/>
    </row>
    <row r="29" spans="1:3" x14ac:dyDescent="0.2">
      <c r="A29" s="390"/>
      <c r="B29" s="426" t="s">
        <v>484</v>
      </c>
      <c r="C29" s="390"/>
    </row>
    <row r="30" spans="1:3" x14ac:dyDescent="0.2">
      <c r="A30" s="390"/>
      <c r="B30" s="426" t="s">
        <v>483</v>
      </c>
      <c r="C30" s="390"/>
    </row>
    <row r="31" spans="1:3" x14ac:dyDescent="0.2">
      <c r="A31" s="390"/>
      <c r="B31" s="396"/>
      <c r="C31" s="390"/>
    </row>
    <row r="32" spans="1:3" x14ac:dyDescent="0.2">
      <c r="A32" s="390"/>
      <c r="B32" s="425" t="s">
        <v>262</v>
      </c>
      <c r="C32" s="390"/>
    </row>
    <row r="33" spans="1:3" ht="15" customHeight="1" x14ac:dyDescent="0.2">
      <c r="A33" s="390"/>
      <c r="B33" s="430" t="s">
        <v>269</v>
      </c>
      <c r="C33" s="390"/>
    </row>
    <row r="34" spans="1:3" x14ac:dyDescent="0.2">
      <c r="A34" s="390"/>
      <c r="B34" s="430" t="s">
        <v>273</v>
      </c>
      <c r="C34" s="390"/>
    </row>
    <row r="35" spans="1:3" ht="14.25" customHeight="1" x14ac:dyDescent="0.2">
      <c r="A35" s="390"/>
      <c r="B35" s="430" t="s">
        <v>281</v>
      </c>
      <c r="C35" s="390"/>
    </row>
    <row r="36" spans="1:3" x14ac:dyDescent="0.2">
      <c r="A36" s="390"/>
      <c r="B36" s="430" t="s">
        <v>280</v>
      </c>
      <c r="C36" s="390"/>
    </row>
    <row r="37" spans="1:3" x14ac:dyDescent="0.2">
      <c r="A37" s="390"/>
      <c r="B37" s="430"/>
      <c r="C37" s="390"/>
    </row>
    <row r="38" spans="1:3" x14ac:dyDescent="0.2">
      <c r="A38" s="390"/>
      <c r="B38" s="425" t="s">
        <v>276</v>
      </c>
      <c r="C38" s="390"/>
    </row>
    <row r="39" spans="1:3" ht="15" customHeight="1" x14ac:dyDescent="0.2">
      <c r="A39" s="390"/>
      <c r="B39" s="430" t="s">
        <v>270</v>
      </c>
      <c r="C39" s="390"/>
    </row>
    <row r="40" spans="1:3" ht="15" customHeight="1" x14ac:dyDescent="0.2">
      <c r="A40" s="390"/>
      <c r="B40" s="430" t="s">
        <v>271</v>
      </c>
      <c r="C40" s="390"/>
    </row>
    <row r="41" spans="1:3" x14ac:dyDescent="0.2">
      <c r="A41" s="390"/>
      <c r="B41" s="430" t="s">
        <v>416</v>
      </c>
      <c r="C41" s="390"/>
    </row>
    <row r="42" spans="1:3" x14ac:dyDescent="0.2">
      <c r="A42" s="390"/>
      <c r="B42" s="430"/>
      <c r="C42" s="390"/>
    </row>
    <row r="43" spans="1:3" x14ac:dyDescent="0.2">
      <c r="A43" s="390"/>
      <c r="B43" s="425" t="s">
        <v>277</v>
      </c>
      <c r="C43" s="390"/>
    </row>
    <row r="44" spans="1:3" x14ac:dyDescent="0.2">
      <c r="A44" s="390"/>
      <c r="B44" s="430" t="s">
        <v>278</v>
      </c>
      <c r="C44" s="390"/>
    </row>
    <row r="45" spans="1:3" ht="15" customHeight="1" x14ac:dyDescent="0.2">
      <c r="A45" s="390"/>
      <c r="B45" s="430" t="s">
        <v>272</v>
      </c>
      <c r="C45" s="390"/>
    </row>
    <row r="46" spans="1:3" x14ac:dyDescent="0.2">
      <c r="A46" s="390"/>
      <c r="B46" s="430"/>
      <c r="C46" s="390"/>
    </row>
    <row r="47" spans="1:3" x14ac:dyDescent="0.2">
      <c r="A47" s="390"/>
      <c r="B47" s="425" t="s">
        <v>274</v>
      </c>
      <c r="C47" s="390"/>
    </row>
    <row r="48" spans="1:3" ht="14.25" customHeight="1" x14ac:dyDescent="0.2">
      <c r="A48" s="390"/>
      <c r="B48" s="431" t="s">
        <v>487</v>
      </c>
      <c r="C48" s="390"/>
    </row>
    <row r="49" spans="1:3" x14ac:dyDescent="0.2">
      <c r="A49" s="390"/>
      <c r="B49" s="430" t="s">
        <v>489</v>
      </c>
      <c r="C49" s="390"/>
    </row>
    <row r="50" spans="1:3" x14ac:dyDescent="0.2">
      <c r="A50" s="390"/>
      <c r="B50" s="430" t="s">
        <v>488</v>
      </c>
      <c r="C50" s="390"/>
    </row>
    <row r="51" spans="1:3" x14ac:dyDescent="0.2">
      <c r="A51" s="390"/>
      <c r="B51" s="430"/>
      <c r="C51" s="390"/>
    </row>
    <row r="52" spans="1:3" x14ac:dyDescent="0.2">
      <c r="A52" s="390"/>
      <c r="B52" s="425" t="s">
        <v>361</v>
      </c>
      <c r="C52" s="390"/>
    </row>
    <row r="53" spans="1:3" x14ac:dyDescent="0.2">
      <c r="A53" s="390"/>
      <c r="B53" s="425" t="s">
        <v>362</v>
      </c>
      <c r="C53" s="390"/>
    </row>
    <row r="54" spans="1:3" ht="14.25" customHeight="1" x14ac:dyDescent="0.2">
      <c r="A54" s="403"/>
      <c r="B54" s="430" t="s">
        <v>275</v>
      </c>
      <c r="C54" s="403"/>
    </row>
    <row r="55" spans="1:3" ht="15.75" customHeight="1" x14ac:dyDescent="0.2">
      <c r="A55" s="403"/>
      <c r="B55" s="430" t="s">
        <v>363</v>
      </c>
      <c r="C55" s="403"/>
    </row>
    <row r="56" spans="1:3" x14ac:dyDescent="0.2">
      <c r="A56" s="403"/>
      <c r="B56" s="430" t="s">
        <v>364</v>
      </c>
      <c r="C56" s="403"/>
    </row>
    <row r="57" spans="1:3" ht="14.25" customHeight="1" x14ac:dyDescent="0.2">
      <c r="A57" s="403"/>
      <c r="B57" s="432"/>
      <c r="C57" s="403"/>
    </row>
    <row r="58" spans="1:3" ht="14.25" customHeight="1" x14ac:dyDescent="0.2">
      <c r="A58" s="403"/>
      <c r="B58" s="425" t="s">
        <v>261</v>
      </c>
      <c r="C58" s="403"/>
    </row>
    <row r="59" spans="1:3" ht="14.25" customHeight="1" x14ac:dyDescent="0.2">
      <c r="A59" s="403"/>
      <c r="B59" s="430" t="s">
        <v>411</v>
      </c>
      <c r="C59" s="403"/>
    </row>
    <row r="60" spans="1:3" ht="14.25" customHeight="1" x14ac:dyDescent="0.2">
      <c r="A60" s="403"/>
      <c r="B60" s="430" t="s">
        <v>412</v>
      </c>
      <c r="C60" s="403"/>
    </row>
    <row r="61" spans="1:3" ht="15.75" customHeight="1" x14ac:dyDescent="0.2">
      <c r="A61" s="403"/>
      <c r="B61" s="430" t="s">
        <v>413</v>
      </c>
      <c r="C61" s="403"/>
    </row>
    <row r="62" spans="1:3" x14ac:dyDescent="0.2">
      <c r="A62" s="403"/>
      <c r="B62" s="430" t="s">
        <v>414</v>
      </c>
      <c r="C62" s="403"/>
    </row>
    <row r="63" spans="1:3" x14ac:dyDescent="0.2">
      <c r="A63" s="403"/>
      <c r="B63" s="433"/>
      <c r="C63" s="403"/>
    </row>
    <row r="64" spans="1:3" x14ac:dyDescent="0.2">
      <c r="A64" s="403"/>
      <c r="B64" s="425" t="s">
        <v>267</v>
      </c>
      <c r="C64" s="403"/>
    </row>
    <row r="65" spans="1:3" ht="15.75" customHeight="1" x14ac:dyDescent="0.2">
      <c r="A65" s="403"/>
      <c r="B65" s="429" t="s">
        <v>485</v>
      </c>
      <c r="C65" s="403"/>
    </row>
    <row r="66" spans="1:3" x14ac:dyDescent="0.2">
      <c r="A66" s="403"/>
      <c r="B66" s="429" t="s">
        <v>486</v>
      </c>
      <c r="C66" s="403"/>
    </row>
    <row r="67" spans="1:3" x14ac:dyDescent="0.2">
      <c r="A67" s="403"/>
      <c r="B67" s="390"/>
      <c r="C67" s="403"/>
    </row>
    <row r="68" spans="1:3" x14ac:dyDescent="0.2">
      <c r="A68" s="403"/>
      <c r="B68" s="390"/>
      <c r="C68" s="403"/>
    </row>
    <row r="69" spans="1:3" x14ac:dyDescent="0.2">
      <c r="A69" s="403"/>
      <c r="C69" s="403"/>
    </row>
    <row r="70" spans="1:3" x14ac:dyDescent="0.2">
      <c r="A70" s="403"/>
      <c r="B70" s="403"/>
      <c r="C70" s="403"/>
    </row>
    <row r="71" spans="1:3" x14ac:dyDescent="0.2">
      <c r="A71" s="403"/>
      <c r="B71" s="403"/>
      <c r="C71" s="403"/>
    </row>
    <row r="72" spans="1:3" x14ac:dyDescent="0.2">
      <c r="A72" s="403"/>
      <c r="B72" s="403"/>
      <c r="C72" s="403"/>
    </row>
    <row r="73" spans="1:3" x14ac:dyDescent="0.2">
      <c r="A73" s="403"/>
      <c r="B73" s="403"/>
      <c r="C73" s="403"/>
    </row>
    <row r="74" spans="1:3" x14ac:dyDescent="0.2">
      <c r="A74" s="403"/>
      <c r="B74" s="403"/>
      <c r="C74" s="403"/>
    </row>
    <row r="75" spans="1:3" x14ac:dyDescent="0.2">
      <c r="A75" s="403"/>
      <c r="B75" s="403"/>
      <c r="C75" s="403"/>
    </row>
    <row r="76" spans="1:3" x14ac:dyDescent="0.2">
      <c r="A76" s="403"/>
      <c r="B76" s="403"/>
      <c r="C76" s="403"/>
    </row>
    <row r="77" spans="1:3" x14ac:dyDescent="0.2">
      <c r="A77" s="403"/>
      <c r="B77" s="403"/>
      <c r="C77" s="403"/>
    </row>
    <row r="78" spans="1:3" x14ac:dyDescent="0.2">
      <c r="A78" s="403"/>
      <c r="B78" s="403"/>
      <c r="C78" s="403"/>
    </row>
    <row r="79" spans="1:3" x14ac:dyDescent="0.2">
      <c r="A79" s="403"/>
      <c r="B79" s="403"/>
      <c r="C79" s="403"/>
    </row>
    <row r="80" spans="1:3" x14ac:dyDescent="0.2">
      <c r="A80" s="403"/>
      <c r="B80" s="403"/>
      <c r="C80" s="403"/>
    </row>
    <row r="81" spans="1:3" x14ac:dyDescent="0.2">
      <c r="A81" s="403"/>
      <c r="B81" s="403"/>
      <c r="C81" s="403"/>
    </row>
    <row r="82" spans="1:3" x14ac:dyDescent="0.2">
      <c r="A82" s="403"/>
      <c r="B82" s="403"/>
      <c r="C82" s="403"/>
    </row>
    <row r="83" spans="1:3" x14ac:dyDescent="0.2">
      <c r="A83" s="403"/>
      <c r="B83" s="403"/>
      <c r="C83" s="403"/>
    </row>
    <row r="84" spans="1:3" x14ac:dyDescent="0.2">
      <c r="A84" s="403"/>
      <c r="B84" s="403"/>
    </row>
  </sheetData>
  <sheetProtection password="DFD3" sheet="1" objects="1" scenarios="1"/>
  <phoneticPr fontId="0" type="noConversion"/>
  <pageMargins left="0.75" right="0.75" top="1" bottom="1" header="0.5" footer="0.5"/>
  <pageSetup orientation="portrait" horizontalDpi="4294967293"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5"/>
  <sheetViews>
    <sheetView tabSelected="1" workbookViewId="0">
      <selection activeCell="AB25" sqref="AB25"/>
    </sheetView>
  </sheetViews>
  <sheetFormatPr defaultRowHeight="12.75" x14ac:dyDescent="0.2"/>
  <cols>
    <col min="1" max="1" width="43" customWidth="1"/>
    <col min="2" max="2" width="7.42578125" customWidth="1"/>
  </cols>
  <sheetData>
    <row r="1" spans="1:24" x14ac:dyDescent="0.2">
      <c r="A1" s="110"/>
      <c r="B1" s="110"/>
      <c r="C1" s="110"/>
      <c r="D1" s="110"/>
      <c r="E1" s="110"/>
      <c r="F1" s="110"/>
      <c r="G1" s="110"/>
      <c r="H1" s="110"/>
      <c r="I1" s="110"/>
      <c r="J1" s="110"/>
      <c r="K1" s="110"/>
      <c r="L1" s="110"/>
      <c r="M1" s="110"/>
      <c r="N1" s="110"/>
      <c r="O1" s="110"/>
      <c r="P1" s="110"/>
      <c r="Q1" s="110"/>
      <c r="R1" s="110"/>
      <c r="S1" s="403"/>
      <c r="T1" s="403"/>
      <c r="U1" s="403"/>
      <c r="V1" s="403"/>
      <c r="W1" s="403"/>
      <c r="X1" s="403"/>
    </row>
    <row r="2" spans="1:24" ht="23.25" x14ac:dyDescent="0.35">
      <c r="A2" s="110"/>
      <c r="B2" s="110"/>
      <c r="C2" s="110"/>
      <c r="D2" s="110"/>
      <c r="E2" s="110"/>
      <c r="F2" s="110"/>
      <c r="G2" s="110"/>
      <c r="H2" s="272"/>
      <c r="I2" s="110"/>
      <c r="J2" s="110"/>
      <c r="K2" s="110"/>
      <c r="L2" s="110"/>
      <c r="M2" s="110"/>
      <c r="N2" s="110"/>
      <c r="O2" s="110"/>
      <c r="P2" s="110"/>
      <c r="Q2" s="110"/>
      <c r="R2" s="110"/>
      <c r="S2" s="403"/>
      <c r="T2" s="403"/>
      <c r="U2" s="403"/>
      <c r="V2" s="403"/>
      <c r="W2" s="403"/>
      <c r="X2" s="403"/>
    </row>
    <row r="3" spans="1:24" ht="60" x14ac:dyDescent="0.8">
      <c r="A3" s="110"/>
      <c r="B3" s="110"/>
      <c r="C3" s="110"/>
      <c r="D3" s="180" t="s">
        <v>427</v>
      </c>
      <c r="E3" s="39"/>
      <c r="F3" s="39"/>
      <c r="G3" s="39"/>
      <c r="H3" s="110"/>
      <c r="I3" s="110"/>
      <c r="J3" s="110"/>
      <c r="K3" s="110"/>
      <c r="L3" s="110"/>
      <c r="M3" s="110"/>
      <c r="N3" s="110"/>
      <c r="O3" s="110"/>
      <c r="P3" s="110"/>
      <c r="Q3" s="110"/>
      <c r="R3" s="110"/>
      <c r="S3" s="403"/>
      <c r="T3" s="403"/>
      <c r="U3" s="403"/>
      <c r="V3" s="403"/>
      <c r="W3" s="403"/>
      <c r="X3" s="403"/>
    </row>
    <row r="4" spans="1:24" ht="26.25" x14ac:dyDescent="0.4">
      <c r="A4" s="110"/>
      <c r="B4" s="110"/>
      <c r="C4" s="39"/>
      <c r="D4" s="144" t="s">
        <v>250</v>
      </c>
      <c r="E4" s="144"/>
      <c r="F4" s="39"/>
      <c r="G4" s="39"/>
      <c r="H4" s="39"/>
      <c r="I4" s="39"/>
      <c r="J4" s="39"/>
      <c r="K4" s="39"/>
      <c r="L4" s="39"/>
      <c r="M4" s="39"/>
      <c r="N4" s="39"/>
      <c r="O4" s="110"/>
      <c r="P4" s="110"/>
      <c r="Q4" s="110"/>
      <c r="R4" s="110"/>
      <c r="S4" s="403"/>
      <c r="T4" s="403"/>
      <c r="U4" s="403"/>
      <c r="V4" s="403"/>
      <c r="W4" s="403"/>
      <c r="X4" s="403"/>
    </row>
    <row r="5" spans="1:24" x14ac:dyDescent="0.2">
      <c r="A5" s="110"/>
      <c r="B5" s="110"/>
      <c r="C5" s="39"/>
      <c r="D5" s="39"/>
      <c r="E5" s="39"/>
      <c r="F5" s="39"/>
      <c r="G5" s="39"/>
      <c r="H5" s="39"/>
      <c r="I5" s="39"/>
      <c r="J5" s="39"/>
      <c r="K5" s="39"/>
      <c r="L5" s="39"/>
      <c r="M5" s="39"/>
      <c r="N5" s="39"/>
      <c r="O5" s="110"/>
      <c r="P5" s="110"/>
      <c r="Q5" s="110"/>
      <c r="R5" s="110"/>
      <c r="S5" s="403"/>
      <c r="T5" s="403"/>
      <c r="U5" s="403"/>
      <c r="V5" s="403"/>
      <c r="W5" s="403"/>
      <c r="X5" s="403"/>
    </row>
    <row r="6" spans="1:24" x14ac:dyDescent="0.2">
      <c r="A6" s="110"/>
      <c r="B6" s="110"/>
      <c r="C6" s="39"/>
      <c r="D6" s="39"/>
      <c r="E6" s="39"/>
      <c r="F6" s="39"/>
      <c r="G6" s="39"/>
      <c r="H6" s="39"/>
      <c r="I6" s="39"/>
      <c r="J6" s="39"/>
      <c r="K6" s="39"/>
      <c r="L6" s="39"/>
      <c r="M6" s="39"/>
      <c r="N6" s="39"/>
      <c r="O6" s="110"/>
      <c r="P6" s="110"/>
      <c r="Q6" s="110"/>
      <c r="R6" s="110"/>
      <c r="S6" s="403"/>
      <c r="T6" s="403"/>
      <c r="U6" s="403"/>
      <c r="V6" s="403"/>
      <c r="W6" s="403"/>
      <c r="X6" s="403"/>
    </row>
    <row r="7" spans="1:24" x14ac:dyDescent="0.2">
      <c r="A7" s="110"/>
      <c r="B7" s="110"/>
      <c r="C7" s="39"/>
      <c r="D7" s="39"/>
      <c r="E7" s="39"/>
      <c r="F7" s="39"/>
      <c r="G7" s="39"/>
      <c r="H7" s="39"/>
      <c r="I7" s="39"/>
      <c r="J7" s="39"/>
      <c r="K7" s="39"/>
      <c r="L7" s="39"/>
      <c r="M7" s="39"/>
      <c r="N7" s="39"/>
      <c r="O7" s="110"/>
      <c r="P7" s="110"/>
      <c r="Q7" s="110"/>
      <c r="R7" s="110"/>
      <c r="S7" s="403"/>
      <c r="T7" s="403"/>
      <c r="U7" s="403"/>
      <c r="V7" s="403"/>
      <c r="W7" s="403"/>
      <c r="X7" s="403"/>
    </row>
    <row r="8" spans="1:24" x14ac:dyDescent="0.2">
      <c r="A8" s="110"/>
      <c r="B8" s="110"/>
      <c r="C8" s="39"/>
      <c r="D8" s="39"/>
      <c r="E8" s="39"/>
      <c r="F8" s="39"/>
      <c r="G8" s="39"/>
      <c r="H8" s="39"/>
      <c r="I8" s="39"/>
      <c r="J8" s="39"/>
      <c r="K8" s="39"/>
      <c r="L8" s="39"/>
      <c r="M8" s="39"/>
      <c r="N8" s="39"/>
      <c r="O8" s="110"/>
      <c r="P8" s="110"/>
      <c r="Q8" s="110"/>
      <c r="R8" s="110"/>
      <c r="S8" s="403"/>
      <c r="T8" s="403"/>
      <c r="U8" s="403"/>
      <c r="V8" s="403"/>
      <c r="W8" s="403"/>
      <c r="X8" s="403"/>
    </row>
    <row r="9" spans="1:24" x14ac:dyDescent="0.2">
      <c r="A9" s="110"/>
      <c r="B9" s="110"/>
      <c r="C9" s="39"/>
      <c r="D9" s="39"/>
      <c r="E9" s="39"/>
      <c r="F9" s="39"/>
      <c r="G9" s="39"/>
      <c r="H9" s="39"/>
      <c r="I9" s="39"/>
      <c r="J9" s="39"/>
      <c r="K9" s="39"/>
      <c r="L9" s="39"/>
      <c r="M9" s="39"/>
      <c r="N9" s="39"/>
      <c r="O9" s="110"/>
      <c r="P9" s="110"/>
      <c r="Q9" s="110"/>
      <c r="R9" s="110"/>
      <c r="S9" s="403"/>
      <c r="T9" s="403"/>
      <c r="U9" s="403"/>
      <c r="V9" s="403"/>
      <c r="W9" s="403"/>
      <c r="X9" s="403"/>
    </row>
    <row r="10" spans="1:24" x14ac:dyDescent="0.2">
      <c r="A10" s="110"/>
      <c r="B10" s="110"/>
      <c r="C10" s="39"/>
      <c r="D10" s="39"/>
      <c r="E10" s="39"/>
      <c r="F10" s="39"/>
      <c r="G10" s="39"/>
      <c r="H10" s="39"/>
      <c r="I10" s="39"/>
      <c r="J10" s="39"/>
      <c r="K10" s="39"/>
      <c r="L10" s="39"/>
      <c r="M10" s="39"/>
      <c r="N10" s="39"/>
      <c r="O10" s="110"/>
      <c r="P10" s="110"/>
      <c r="Q10" s="110"/>
      <c r="R10" s="110"/>
      <c r="S10" s="403"/>
      <c r="T10" s="403"/>
      <c r="U10" s="403"/>
      <c r="V10" s="403"/>
      <c r="W10" s="403"/>
      <c r="X10" s="403"/>
    </row>
    <row r="11" spans="1:24" x14ac:dyDescent="0.2">
      <c r="A11" s="110"/>
      <c r="B11" s="110"/>
      <c r="C11" s="39"/>
      <c r="D11" s="39"/>
      <c r="E11" s="39"/>
      <c r="F11" s="39"/>
      <c r="G11" s="39"/>
      <c r="H11" s="39"/>
      <c r="I11" s="39"/>
      <c r="J11" s="39"/>
      <c r="K11" s="39"/>
      <c r="L11" s="39"/>
      <c r="M11" s="39"/>
      <c r="N11" s="39"/>
      <c r="O11" s="110"/>
      <c r="P11" s="110"/>
      <c r="Q11" s="110"/>
      <c r="R11" s="110"/>
      <c r="S11" s="403"/>
      <c r="T11" s="403"/>
      <c r="U11" s="403"/>
      <c r="V11" s="403"/>
      <c r="W11" s="403"/>
      <c r="X11" s="403"/>
    </row>
    <row r="12" spans="1:24" x14ac:dyDescent="0.2">
      <c r="A12" s="110"/>
      <c r="B12" s="110"/>
      <c r="C12" s="39"/>
      <c r="D12" s="39"/>
      <c r="E12" s="39"/>
      <c r="F12" s="39"/>
      <c r="G12" s="39"/>
      <c r="H12" s="39"/>
      <c r="I12" s="39"/>
      <c r="J12" s="39"/>
      <c r="K12" s="39"/>
      <c r="L12" s="39"/>
      <c r="M12" s="39"/>
      <c r="N12" s="39"/>
      <c r="O12" s="110"/>
      <c r="P12" s="110"/>
      <c r="Q12" s="110"/>
      <c r="R12" s="110"/>
      <c r="S12" s="403"/>
      <c r="T12" s="403"/>
      <c r="U12" s="403"/>
      <c r="V12" s="403"/>
      <c r="W12" s="403"/>
      <c r="X12" s="403"/>
    </row>
    <row r="13" spans="1:24" x14ac:dyDescent="0.2">
      <c r="A13" s="110"/>
      <c r="B13" s="110"/>
      <c r="C13" s="39"/>
      <c r="D13" s="39"/>
      <c r="E13" s="39"/>
      <c r="F13" s="39"/>
      <c r="G13" s="39"/>
      <c r="H13" s="39"/>
      <c r="I13" s="39"/>
      <c r="J13" s="39"/>
      <c r="K13" s="39"/>
      <c r="L13" s="39"/>
      <c r="M13" s="39"/>
      <c r="N13" s="39"/>
      <c r="O13" s="110"/>
      <c r="P13" s="110"/>
      <c r="Q13" s="110"/>
      <c r="R13" s="110"/>
      <c r="S13" s="403"/>
      <c r="T13" s="403"/>
      <c r="U13" s="403"/>
      <c r="V13" s="403"/>
      <c r="W13" s="403"/>
      <c r="X13" s="403"/>
    </row>
    <row r="14" spans="1:24" x14ac:dyDescent="0.2">
      <c r="A14" s="110"/>
      <c r="B14" s="110"/>
      <c r="C14" s="39"/>
      <c r="D14" s="39"/>
      <c r="E14" s="39"/>
      <c r="F14" s="39"/>
      <c r="G14" s="39"/>
      <c r="H14" s="39"/>
      <c r="I14" s="39"/>
      <c r="J14" s="39"/>
      <c r="K14" s="39"/>
      <c r="L14" s="39"/>
      <c r="M14" s="39"/>
      <c r="N14" s="39"/>
      <c r="O14" s="110"/>
      <c r="P14" s="110"/>
      <c r="Q14" s="110"/>
      <c r="R14" s="110"/>
      <c r="S14" s="403"/>
      <c r="T14" s="403"/>
      <c r="U14" s="403"/>
      <c r="V14" s="403"/>
      <c r="W14" s="403"/>
      <c r="X14" s="403"/>
    </row>
    <row r="15" spans="1:24" x14ac:dyDescent="0.2">
      <c r="A15" s="110"/>
      <c r="B15" s="110"/>
      <c r="C15" s="39"/>
      <c r="D15" s="39"/>
      <c r="E15" s="39"/>
      <c r="F15" s="39"/>
      <c r="G15" s="39"/>
      <c r="H15" s="39"/>
      <c r="I15" s="39"/>
      <c r="J15" s="39"/>
      <c r="K15" s="39"/>
      <c r="L15" s="39"/>
      <c r="M15" s="39"/>
      <c r="N15" s="39"/>
      <c r="O15" s="110"/>
      <c r="P15" s="110"/>
      <c r="Q15" s="110"/>
      <c r="R15" s="110"/>
      <c r="S15" s="403"/>
      <c r="T15" s="403"/>
      <c r="U15" s="403"/>
      <c r="V15" s="403"/>
      <c r="W15" s="403"/>
      <c r="X15" s="403"/>
    </row>
    <row r="16" spans="1:24" x14ac:dyDescent="0.2">
      <c r="A16" s="110"/>
      <c r="B16" s="110"/>
      <c r="C16" s="39"/>
      <c r="D16" s="39"/>
      <c r="E16" s="39"/>
      <c r="F16" s="39"/>
      <c r="G16" s="39"/>
      <c r="H16" s="39"/>
      <c r="I16" s="39"/>
      <c r="J16" s="39"/>
      <c r="K16" s="39"/>
      <c r="L16" s="39"/>
      <c r="M16" s="39"/>
      <c r="N16" s="39"/>
      <c r="O16" s="110"/>
      <c r="P16" s="110"/>
      <c r="Q16" s="110"/>
      <c r="R16" s="110"/>
      <c r="S16" s="403"/>
      <c r="T16" s="403"/>
      <c r="U16" s="403"/>
      <c r="V16" s="403"/>
      <c r="W16" s="403"/>
      <c r="X16" s="403"/>
    </row>
    <row r="17" spans="1:24" x14ac:dyDescent="0.2">
      <c r="A17" s="110"/>
      <c r="B17" s="110"/>
      <c r="C17" s="39"/>
      <c r="D17" s="39"/>
      <c r="E17" s="39"/>
      <c r="F17" s="39"/>
      <c r="G17" s="39"/>
      <c r="H17" s="39"/>
      <c r="I17" s="39"/>
      <c r="J17" s="39"/>
      <c r="K17" s="39"/>
      <c r="L17" s="39"/>
      <c r="M17" s="39"/>
      <c r="N17" s="39"/>
      <c r="O17" s="110"/>
      <c r="P17" s="110"/>
      <c r="Q17" s="110"/>
      <c r="R17" s="110"/>
      <c r="S17" s="403"/>
      <c r="T17" s="403"/>
      <c r="U17" s="403"/>
      <c r="V17" s="403"/>
      <c r="W17" s="403"/>
      <c r="X17" s="403"/>
    </row>
    <row r="18" spans="1:24" x14ac:dyDescent="0.2">
      <c r="A18" s="110"/>
      <c r="B18" s="110"/>
      <c r="C18" s="39"/>
      <c r="D18" s="39"/>
      <c r="E18" s="39"/>
      <c r="F18" s="39"/>
      <c r="G18" s="39"/>
      <c r="H18" s="39"/>
      <c r="I18" s="39"/>
      <c r="J18" s="39"/>
      <c r="K18" s="39"/>
      <c r="L18" s="39"/>
      <c r="M18" s="39"/>
      <c r="N18" s="39"/>
      <c r="O18" s="110"/>
      <c r="P18" s="110"/>
      <c r="Q18" s="110"/>
      <c r="R18" s="110"/>
      <c r="S18" s="403"/>
      <c r="T18" s="403"/>
      <c r="U18" s="403"/>
      <c r="V18" s="403"/>
      <c r="W18" s="403"/>
      <c r="X18" s="403"/>
    </row>
    <row r="19" spans="1:24" x14ac:dyDescent="0.2">
      <c r="A19" s="110"/>
      <c r="B19" s="110"/>
      <c r="C19" s="39"/>
      <c r="D19" s="39"/>
      <c r="E19" s="39"/>
      <c r="F19" s="39"/>
      <c r="G19" s="39"/>
      <c r="H19" s="39"/>
      <c r="I19" s="39"/>
      <c r="J19" s="39"/>
      <c r="K19" s="39"/>
      <c r="L19" s="39"/>
      <c r="M19" s="39"/>
      <c r="N19" s="39"/>
      <c r="O19" s="110"/>
      <c r="P19" s="110"/>
      <c r="Q19" s="110"/>
      <c r="R19" s="110"/>
      <c r="S19" s="403"/>
      <c r="T19" s="403"/>
      <c r="U19" s="403"/>
      <c r="V19" s="403"/>
      <c r="W19" s="403"/>
      <c r="X19" s="403"/>
    </row>
    <row r="20" spans="1:24" x14ac:dyDescent="0.2">
      <c r="A20" s="110"/>
      <c r="B20" s="110"/>
      <c r="C20" s="39"/>
      <c r="D20" s="39"/>
      <c r="E20" s="39"/>
      <c r="F20" s="39"/>
      <c r="G20" s="39"/>
      <c r="H20" s="39"/>
      <c r="I20" s="39"/>
      <c r="J20" s="39"/>
      <c r="K20" s="39"/>
      <c r="L20" s="39"/>
      <c r="M20" s="39"/>
      <c r="N20" s="39"/>
      <c r="O20" s="110"/>
      <c r="P20" s="110"/>
      <c r="Q20" s="110"/>
      <c r="R20" s="110"/>
      <c r="S20" s="403"/>
      <c r="T20" s="403"/>
      <c r="U20" s="403"/>
      <c r="V20" s="403"/>
      <c r="W20" s="403"/>
      <c r="X20" s="403"/>
    </row>
    <row r="21" spans="1:24" x14ac:dyDescent="0.2">
      <c r="A21" s="110"/>
      <c r="B21" s="110"/>
      <c r="C21" s="39"/>
      <c r="D21" s="39"/>
      <c r="E21" s="39"/>
      <c r="F21" s="39"/>
      <c r="G21" s="39"/>
      <c r="H21" s="39"/>
      <c r="I21" s="39"/>
      <c r="J21" s="39"/>
      <c r="K21" s="39"/>
      <c r="L21" s="39"/>
      <c r="M21" s="39"/>
      <c r="N21" s="39"/>
      <c r="O21" s="110"/>
      <c r="P21" s="110"/>
      <c r="Q21" s="110"/>
      <c r="R21" s="110"/>
      <c r="S21" s="403"/>
      <c r="T21" s="403"/>
      <c r="U21" s="403"/>
      <c r="V21" s="403"/>
      <c r="W21" s="403"/>
      <c r="X21" s="403"/>
    </row>
    <row r="22" spans="1:24" x14ac:dyDescent="0.2">
      <c r="A22" s="110"/>
      <c r="B22" s="110"/>
      <c r="C22" s="39"/>
      <c r="D22" s="39"/>
      <c r="E22" s="39"/>
      <c r="F22" s="39"/>
      <c r="G22" s="39"/>
      <c r="H22" s="39"/>
      <c r="I22" s="39"/>
      <c r="J22" s="39"/>
      <c r="K22" s="39"/>
      <c r="L22" s="39"/>
      <c r="M22" s="39"/>
      <c r="N22" s="39"/>
      <c r="O22" s="110"/>
      <c r="P22" s="110"/>
      <c r="Q22" s="110"/>
      <c r="R22" s="110"/>
      <c r="S22" s="403"/>
      <c r="T22" s="403"/>
      <c r="U22" s="403"/>
      <c r="V22" s="403"/>
      <c r="W22" s="403"/>
      <c r="X22" s="403"/>
    </row>
    <row r="23" spans="1:24" x14ac:dyDescent="0.2">
      <c r="A23" s="110"/>
      <c r="B23" s="110"/>
      <c r="C23" s="39"/>
      <c r="D23" s="39"/>
      <c r="E23" s="39"/>
      <c r="F23" s="39"/>
      <c r="G23" s="39"/>
      <c r="H23" s="39"/>
      <c r="I23" s="39"/>
      <c r="J23" s="39"/>
      <c r="K23" s="39"/>
      <c r="L23" s="39"/>
      <c r="M23" s="39"/>
      <c r="N23" s="39"/>
      <c r="O23" s="110"/>
      <c r="P23" s="110"/>
      <c r="Q23" s="110"/>
      <c r="R23" s="110"/>
      <c r="S23" s="403"/>
      <c r="T23" s="403"/>
      <c r="U23" s="403"/>
      <c r="V23" s="403"/>
      <c r="W23" s="403"/>
      <c r="X23" s="403"/>
    </row>
    <row r="24" spans="1:24" x14ac:dyDescent="0.2">
      <c r="A24" s="110"/>
      <c r="B24" s="110"/>
      <c r="C24" s="39"/>
      <c r="D24" s="39"/>
      <c r="E24" s="39"/>
      <c r="F24" s="39"/>
      <c r="G24" s="39"/>
      <c r="H24" s="39"/>
      <c r="I24" s="39"/>
      <c r="J24" s="39"/>
      <c r="K24" s="39"/>
      <c r="L24" s="39"/>
      <c r="M24" s="39"/>
      <c r="N24" s="39"/>
      <c r="O24" s="110"/>
      <c r="P24" s="110"/>
      <c r="Q24" s="110"/>
      <c r="R24" s="110"/>
      <c r="S24" s="403"/>
      <c r="T24" s="403"/>
      <c r="U24" s="403"/>
      <c r="V24" s="403"/>
      <c r="W24" s="403"/>
      <c r="X24" s="403"/>
    </row>
    <row r="25" spans="1:24" x14ac:dyDescent="0.2">
      <c r="A25" s="110"/>
      <c r="B25" s="110"/>
      <c r="C25" s="39"/>
      <c r="D25" s="39"/>
      <c r="E25" s="39"/>
      <c r="F25" s="39"/>
      <c r="G25" s="39"/>
      <c r="H25" s="39"/>
      <c r="I25" s="39"/>
      <c r="J25" s="39"/>
      <c r="K25" s="39"/>
      <c r="L25" s="39"/>
      <c r="M25" s="39"/>
      <c r="N25" s="39"/>
      <c r="O25" s="110"/>
      <c r="P25" s="110"/>
      <c r="Q25" s="110"/>
      <c r="R25" s="110"/>
      <c r="S25" s="403"/>
      <c r="T25" s="403"/>
      <c r="U25" s="403"/>
      <c r="V25" s="403"/>
      <c r="W25" s="403"/>
      <c r="X25" s="403"/>
    </row>
    <row r="26" spans="1:24" x14ac:dyDescent="0.2">
      <c r="A26" s="110"/>
      <c r="B26" s="110"/>
      <c r="C26" s="39"/>
      <c r="D26" s="39"/>
      <c r="E26" s="39"/>
      <c r="F26" s="39"/>
      <c r="G26" s="39"/>
      <c r="H26" s="39"/>
      <c r="I26" s="39"/>
      <c r="J26" s="39"/>
      <c r="K26" s="39"/>
      <c r="L26" s="39"/>
      <c r="M26" s="39"/>
      <c r="N26" s="39"/>
      <c r="O26" s="110"/>
      <c r="P26" s="110"/>
      <c r="Q26" s="110"/>
      <c r="R26" s="110"/>
      <c r="S26" s="403"/>
      <c r="T26" s="403"/>
      <c r="U26" s="403"/>
      <c r="V26" s="403"/>
      <c r="W26" s="403"/>
      <c r="X26" s="403"/>
    </row>
    <row r="27" spans="1:24" x14ac:dyDescent="0.2">
      <c r="A27" s="110"/>
      <c r="B27" s="110"/>
      <c r="C27" s="39"/>
      <c r="D27" s="39"/>
      <c r="E27" s="39"/>
      <c r="F27" s="39"/>
      <c r="G27" s="39"/>
      <c r="H27" s="39"/>
      <c r="I27" s="39"/>
      <c r="J27" s="39"/>
      <c r="K27" s="39"/>
      <c r="L27" s="39"/>
      <c r="M27" s="39"/>
      <c r="N27" s="39"/>
      <c r="O27" s="110"/>
      <c r="P27" s="110"/>
      <c r="Q27" s="110"/>
      <c r="R27" s="110"/>
      <c r="S27" s="403"/>
      <c r="T27" s="403"/>
      <c r="U27" s="403"/>
      <c r="V27" s="403"/>
      <c r="W27" s="403"/>
      <c r="X27" s="403"/>
    </row>
    <row r="28" spans="1:24" x14ac:dyDescent="0.2">
      <c r="A28" s="110"/>
      <c r="B28" s="110"/>
      <c r="C28" s="39"/>
      <c r="D28" s="39"/>
      <c r="E28" s="39"/>
      <c r="F28" s="39"/>
      <c r="G28" s="39"/>
      <c r="H28" s="39"/>
      <c r="I28" s="39"/>
      <c r="J28" s="39"/>
      <c r="K28" s="39"/>
      <c r="L28" s="39"/>
      <c r="M28" s="39"/>
      <c r="N28" s="39"/>
      <c r="O28" s="110"/>
      <c r="P28" s="110"/>
      <c r="Q28" s="110"/>
      <c r="R28" s="110"/>
      <c r="S28" s="403"/>
      <c r="T28" s="403"/>
      <c r="U28" s="403"/>
      <c r="V28" s="403"/>
      <c r="W28" s="403"/>
      <c r="X28" s="403"/>
    </row>
    <row r="29" spans="1:24" x14ac:dyDescent="0.2">
      <c r="A29" s="110"/>
      <c r="B29" s="110"/>
      <c r="C29" s="39"/>
      <c r="D29" s="39"/>
      <c r="E29" s="39"/>
      <c r="F29" s="39"/>
      <c r="G29" s="39"/>
      <c r="H29" s="39"/>
      <c r="I29" s="39"/>
      <c r="J29" s="39"/>
      <c r="K29" s="39"/>
      <c r="L29" s="39"/>
      <c r="M29" s="39"/>
      <c r="N29" s="39"/>
      <c r="O29" s="110"/>
      <c r="P29" s="110"/>
      <c r="Q29" s="110"/>
      <c r="R29" s="110"/>
      <c r="S29" s="403"/>
      <c r="T29" s="403"/>
      <c r="U29" s="403"/>
      <c r="V29" s="403"/>
      <c r="W29" s="403"/>
      <c r="X29" s="403"/>
    </row>
    <row r="30" spans="1:24" x14ac:dyDescent="0.2">
      <c r="A30" s="110"/>
      <c r="B30" s="110"/>
      <c r="C30" s="39"/>
      <c r="D30" s="39"/>
      <c r="E30" s="39"/>
      <c r="F30" s="39"/>
      <c r="G30" s="39"/>
      <c r="H30" s="39"/>
      <c r="I30" s="39"/>
      <c r="J30" s="39"/>
      <c r="K30" s="39"/>
      <c r="L30" s="39"/>
      <c r="M30" s="39"/>
      <c r="N30" s="39"/>
      <c r="O30" s="110"/>
      <c r="P30" s="110"/>
      <c r="Q30" s="110"/>
      <c r="R30" s="110"/>
      <c r="S30" s="403"/>
      <c r="T30" s="403"/>
      <c r="U30" s="403"/>
      <c r="V30" s="403"/>
      <c r="W30" s="403"/>
      <c r="X30" s="403"/>
    </row>
    <row r="31" spans="1:24" x14ac:dyDescent="0.2">
      <c r="A31" s="110"/>
      <c r="B31" s="110"/>
      <c r="C31" s="39"/>
      <c r="D31" s="39"/>
      <c r="E31" s="39"/>
      <c r="F31" s="39"/>
      <c r="G31" s="39"/>
      <c r="H31" s="39"/>
      <c r="I31" s="39"/>
      <c r="J31" s="39"/>
      <c r="K31" s="39"/>
      <c r="L31" s="39"/>
      <c r="M31" s="39"/>
      <c r="N31" s="39"/>
      <c r="O31" s="110"/>
      <c r="P31" s="110"/>
      <c r="Q31" s="110"/>
      <c r="R31" s="110"/>
      <c r="S31" s="403"/>
      <c r="T31" s="403"/>
      <c r="U31" s="403"/>
      <c r="V31" s="403"/>
      <c r="W31" s="403"/>
      <c r="X31" s="403"/>
    </row>
    <row r="32" spans="1:24" x14ac:dyDescent="0.2">
      <c r="A32" s="110"/>
      <c r="B32" s="110"/>
      <c r="C32" s="39"/>
      <c r="D32" s="39"/>
      <c r="E32" s="39"/>
      <c r="F32" s="39"/>
      <c r="G32" s="39"/>
      <c r="H32" s="39"/>
      <c r="I32" s="39"/>
      <c r="J32" s="39"/>
      <c r="K32" s="39"/>
      <c r="L32" s="39"/>
      <c r="M32" s="39"/>
      <c r="N32" s="39"/>
      <c r="O32" s="110"/>
      <c r="P32" s="110"/>
      <c r="Q32" s="110"/>
      <c r="R32" s="110"/>
      <c r="S32" s="403"/>
      <c r="T32" s="403"/>
      <c r="U32" s="403"/>
      <c r="V32" s="403"/>
      <c r="W32" s="403"/>
      <c r="X32" s="403"/>
    </row>
    <row r="33" spans="1:24" x14ac:dyDescent="0.2">
      <c r="A33" s="110"/>
      <c r="B33" s="110"/>
      <c r="C33" s="39"/>
      <c r="D33" s="39"/>
      <c r="E33" s="39"/>
      <c r="F33" s="39"/>
      <c r="G33" s="39"/>
      <c r="H33" s="39"/>
      <c r="I33" s="39"/>
      <c r="J33" s="39"/>
      <c r="K33" s="39"/>
      <c r="L33" s="39"/>
      <c r="M33" s="39"/>
      <c r="N33" s="39"/>
      <c r="O33" s="110"/>
      <c r="P33" s="110"/>
      <c r="Q33" s="110"/>
      <c r="R33" s="110"/>
      <c r="S33" s="403"/>
      <c r="T33" s="403"/>
      <c r="U33" s="403"/>
      <c r="V33" s="403"/>
      <c r="W33" s="403"/>
      <c r="X33" s="403"/>
    </row>
    <row r="34" spans="1:24" x14ac:dyDescent="0.2">
      <c r="A34" s="110"/>
      <c r="B34" s="110"/>
      <c r="C34" s="110"/>
      <c r="D34" s="110"/>
      <c r="E34" s="110"/>
      <c r="F34" s="110"/>
      <c r="G34" s="110"/>
      <c r="H34" s="110"/>
      <c r="I34" s="110"/>
      <c r="J34" s="110"/>
      <c r="K34" s="110"/>
      <c r="L34" s="110"/>
      <c r="M34" s="110"/>
      <c r="N34" s="110"/>
      <c r="O34" s="110"/>
      <c r="P34" s="110"/>
      <c r="Q34" s="110"/>
      <c r="R34" s="110"/>
      <c r="S34" s="403"/>
      <c r="T34" s="403"/>
      <c r="U34" s="403"/>
      <c r="V34" s="403"/>
      <c r="W34" s="403"/>
      <c r="X34" s="403"/>
    </row>
    <row r="35" spans="1:24" x14ac:dyDescent="0.2">
      <c r="A35" s="110"/>
      <c r="B35" s="110"/>
      <c r="C35" s="110"/>
      <c r="D35" s="110"/>
      <c r="E35" s="110"/>
      <c r="F35" s="110"/>
      <c r="G35" s="110"/>
      <c r="H35" s="110"/>
      <c r="I35" s="110"/>
      <c r="J35" s="110"/>
      <c r="K35" s="110"/>
      <c r="L35" s="110"/>
      <c r="M35" s="110"/>
      <c r="N35" s="110"/>
      <c r="O35" s="110"/>
      <c r="P35" s="110"/>
      <c r="Q35" s="110"/>
      <c r="R35" s="110"/>
      <c r="S35" s="403"/>
      <c r="T35" s="403"/>
      <c r="U35" s="403"/>
      <c r="V35" s="403"/>
      <c r="W35" s="403"/>
      <c r="X35" s="403"/>
    </row>
    <row r="36" spans="1:24" x14ac:dyDescent="0.2">
      <c r="A36" s="110"/>
      <c r="B36" s="110"/>
      <c r="C36" s="110"/>
      <c r="D36" s="110"/>
      <c r="E36" s="110"/>
      <c r="F36" s="110"/>
      <c r="G36" s="110"/>
      <c r="H36" s="110"/>
      <c r="I36" s="110"/>
      <c r="J36" s="110"/>
      <c r="K36" s="110"/>
      <c r="L36" s="110"/>
      <c r="M36" s="110"/>
      <c r="N36" s="110"/>
      <c r="O36" s="110"/>
      <c r="P36" s="110"/>
      <c r="Q36" s="110"/>
      <c r="R36" s="110"/>
      <c r="S36" s="403"/>
      <c r="T36" s="403"/>
      <c r="U36" s="403"/>
      <c r="V36" s="403"/>
      <c r="W36" s="403"/>
      <c r="X36" s="403"/>
    </row>
    <row r="37" spans="1:24" x14ac:dyDescent="0.2">
      <c r="A37" s="110"/>
      <c r="B37" s="110"/>
      <c r="C37" s="110"/>
      <c r="D37" s="110"/>
      <c r="E37" s="110"/>
      <c r="F37" s="110"/>
      <c r="G37" s="110"/>
      <c r="H37" s="110"/>
      <c r="I37" s="110"/>
      <c r="J37" s="110"/>
      <c r="K37" s="110"/>
      <c r="L37" s="110"/>
      <c r="M37" s="110"/>
      <c r="N37" s="110"/>
      <c r="O37" s="110"/>
      <c r="P37" s="110"/>
      <c r="Q37" s="110"/>
      <c r="R37" s="110"/>
      <c r="S37" s="403"/>
      <c r="T37" s="403"/>
      <c r="U37" s="403"/>
      <c r="V37" s="403"/>
      <c r="W37" s="403"/>
      <c r="X37" s="403"/>
    </row>
    <row r="38" spans="1:24" x14ac:dyDescent="0.2">
      <c r="A38" s="110"/>
      <c r="B38" s="110"/>
      <c r="C38" s="110"/>
      <c r="D38" s="110"/>
      <c r="E38" s="110"/>
      <c r="F38" s="110"/>
      <c r="G38" s="110"/>
      <c r="H38" s="110"/>
      <c r="I38" s="110"/>
      <c r="J38" s="110"/>
      <c r="K38" s="110"/>
      <c r="L38" s="110"/>
      <c r="M38" s="110"/>
      <c r="N38" s="110"/>
      <c r="O38" s="110"/>
      <c r="P38" s="110"/>
      <c r="Q38" s="110"/>
      <c r="R38" s="110"/>
      <c r="S38" s="403"/>
      <c r="T38" s="403"/>
      <c r="U38" s="403"/>
      <c r="V38" s="403"/>
      <c r="W38" s="403"/>
      <c r="X38" s="403"/>
    </row>
    <row r="39" spans="1:24" x14ac:dyDescent="0.2">
      <c r="A39" s="110"/>
      <c r="B39" s="110"/>
      <c r="C39" s="110"/>
      <c r="D39" s="110"/>
      <c r="E39" s="110"/>
      <c r="F39" s="110"/>
      <c r="G39" s="110"/>
      <c r="H39" s="110"/>
      <c r="I39" s="110"/>
      <c r="J39" s="110"/>
      <c r="K39" s="110"/>
      <c r="L39" s="110"/>
      <c r="M39" s="110"/>
      <c r="N39" s="110"/>
      <c r="O39" s="110"/>
      <c r="P39" s="110"/>
      <c r="Q39" s="110"/>
      <c r="R39" s="110"/>
      <c r="S39" s="403"/>
      <c r="T39" s="403"/>
      <c r="U39" s="403"/>
      <c r="V39" s="403"/>
      <c r="W39" s="403"/>
      <c r="X39" s="403"/>
    </row>
    <row r="40" spans="1:24" x14ac:dyDescent="0.2">
      <c r="A40" s="110"/>
      <c r="B40" s="110"/>
      <c r="C40" s="110"/>
      <c r="D40" s="110"/>
      <c r="E40" s="110"/>
      <c r="F40" s="110"/>
      <c r="G40" s="110"/>
      <c r="H40" s="110"/>
      <c r="I40" s="110"/>
      <c r="J40" s="110"/>
      <c r="K40" s="110"/>
      <c r="L40" s="110"/>
      <c r="M40" s="110"/>
      <c r="N40" s="110"/>
      <c r="O40" s="110"/>
      <c r="P40" s="110"/>
      <c r="Q40" s="110"/>
      <c r="R40" s="110"/>
      <c r="S40" s="403"/>
      <c r="T40" s="403"/>
      <c r="U40" s="403"/>
      <c r="V40" s="403"/>
      <c r="W40" s="403"/>
      <c r="X40" s="403"/>
    </row>
    <row r="41" spans="1:24" x14ac:dyDescent="0.2">
      <c r="A41" s="110"/>
      <c r="B41" s="110"/>
      <c r="C41" s="110"/>
      <c r="D41" s="110"/>
      <c r="E41" s="110"/>
      <c r="F41" s="110"/>
      <c r="G41" s="110"/>
      <c r="H41" s="110"/>
      <c r="I41" s="110"/>
      <c r="J41" s="110"/>
      <c r="K41" s="110"/>
      <c r="L41" s="110"/>
      <c r="M41" s="110"/>
      <c r="N41" s="110"/>
      <c r="O41" s="110"/>
      <c r="P41" s="110"/>
      <c r="Q41" s="110"/>
      <c r="R41" s="110"/>
      <c r="S41" s="403"/>
      <c r="T41" s="403"/>
      <c r="U41" s="403"/>
      <c r="V41" s="403"/>
      <c r="W41" s="403"/>
      <c r="X41" s="403"/>
    </row>
    <row r="42" spans="1:24" x14ac:dyDescent="0.2">
      <c r="A42" s="110"/>
      <c r="B42" s="110"/>
      <c r="C42" s="110"/>
      <c r="D42" s="110"/>
      <c r="E42" s="110"/>
      <c r="F42" s="110"/>
      <c r="G42" s="110"/>
      <c r="H42" s="110"/>
      <c r="I42" s="110"/>
      <c r="J42" s="110"/>
      <c r="K42" s="110"/>
      <c r="L42" s="110"/>
      <c r="M42" s="110"/>
      <c r="N42" s="110"/>
      <c r="O42" s="110"/>
      <c r="P42" s="110"/>
      <c r="Q42" s="110"/>
      <c r="R42" s="110"/>
      <c r="S42" s="403"/>
      <c r="T42" s="403"/>
      <c r="U42" s="403"/>
      <c r="V42" s="403"/>
      <c r="W42" s="403"/>
      <c r="X42" s="403"/>
    </row>
    <row r="43" spans="1:24" x14ac:dyDescent="0.2">
      <c r="A43" s="110"/>
      <c r="B43" s="110"/>
      <c r="C43" s="110"/>
      <c r="D43" s="110"/>
      <c r="E43" s="110"/>
      <c r="F43" s="110"/>
      <c r="G43" s="110"/>
      <c r="H43" s="110"/>
      <c r="I43" s="110"/>
      <c r="J43" s="110"/>
      <c r="K43" s="110"/>
      <c r="L43" s="110"/>
      <c r="M43" s="110"/>
      <c r="N43" s="110"/>
      <c r="O43" s="110"/>
      <c r="P43" s="110"/>
      <c r="Q43" s="110"/>
      <c r="R43" s="110"/>
      <c r="S43" s="403"/>
      <c r="T43" s="403"/>
      <c r="U43" s="403"/>
      <c r="V43" s="403"/>
      <c r="W43" s="403"/>
      <c r="X43" s="403"/>
    </row>
    <row r="44" spans="1:24" x14ac:dyDescent="0.2">
      <c r="A44" s="110"/>
      <c r="B44" s="110"/>
      <c r="C44" s="110"/>
      <c r="D44" s="110"/>
      <c r="E44" s="110"/>
      <c r="F44" s="110"/>
      <c r="G44" s="110"/>
      <c r="H44" s="110"/>
      <c r="I44" s="110"/>
      <c r="J44" s="110"/>
      <c r="K44" s="110"/>
      <c r="L44" s="110"/>
      <c r="M44" s="110"/>
      <c r="N44" s="110"/>
      <c r="O44" s="110"/>
      <c r="P44" s="110"/>
      <c r="Q44" s="110"/>
      <c r="R44" s="110"/>
      <c r="S44" s="403"/>
      <c r="T44" s="403"/>
      <c r="U44" s="403"/>
      <c r="V44" s="403"/>
      <c r="W44" s="403"/>
      <c r="X44" s="403"/>
    </row>
    <row r="45" spans="1:24" x14ac:dyDescent="0.2">
      <c r="A45" s="110"/>
      <c r="B45" s="110"/>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6</xdr:col>
                    <xdr:colOff>552450</xdr:colOff>
                    <xdr:row>18</xdr:row>
                    <xdr:rowOff>76200</xdr:rowOff>
                  </from>
                  <to>
                    <xdr:col>9</xdr:col>
                    <xdr:colOff>371475</xdr:colOff>
                    <xdr:row>21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211"/>
  <sheetViews>
    <sheetView workbookViewId="0"/>
  </sheetViews>
  <sheetFormatPr defaultRowHeight="12.75" x14ac:dyDescent="0.2"/>
  <cols>
    <col min="1" max="1" width="52.28515625" customWidth="1"/>
    <col min="2" max="2" width="26.42578125" customWidth="1"/>
    <col min="3" max="3" width="9.7109375" customWidth="1"/>
    <col min="4" max="4" width="10.85546875" customWidth="1"/>
    <col min="5" max="5" width="14.28515625" customWidth="1"/>
    <col min="6" max="6" width="15.85546875" customWidth="1"/>
    <col min="7" max="7" width="12.42578125" style="110" customWidth="1"/>
    <col min="8" max="8" width="12.140625" style="110" bestFit="1" customWidth="1"/>
    <col min="9" max="9" width="12.140625" style="110" customWidth="1"/>
    <col min="10" max="12" width="9.140625" style="110"/>
    <col min="13" max="13" width="10.140625" style="110" bestFit="1" customWidth="1"/>
    <col min="14" max="14" width="9.140625" style="110"/>
    <col min="15" max="15" width="24" customWidth="1"/>
    <col min="31" max="31" width="46" customWidth="1"/>
    <col min="32" max="32" width="13.140625" customWidth="1"/>
    <col min="33" max="33" width="12.140625" bestFit="1" customWidth="1"/>
  </cols>
  <sheetData>
    <row r="1" spans="1:20" ht="18" x14ac:dyDescent="0.25">
      <c r="A1" s="129" t="s">
        <v>458</v>
      </c>
      <c r="B1" s="110"/>
      <c r="C1" s="110"/>
      <c r="D1" s="110"/>
      <c r="E1" s="110"/>
      <c r="F1" s="110"/>
    </row>
    <row r="2" spans="1:20" ht="12.75" customHeight="1" x14ac:dyDescent="0.25">
      <c r="A2" s="129"/>
      <c r="B2" s="110"/>
      <c r="C2" s="110"/>
      <c r="D2" s="110"/>
      <c r="E2" s="110"/>
      <c r="F2" s="110"/>
    </row>
    <row r="3" spans="1:20" x14ac:dyDescent="0.2">
      <c r="A3" s="134" t="s">
        <v>234</v>
      </c>
      <c r="B3" s="135"/>
      <c r="C3" s="135"/>
      <c r="D3" s="135"/>
      <c r="E3" s="135"/>
      <c r="F3" s="135"/>
    </row>
    <row r="4" spans="1:20" x14ac:dyDescent="0.2">
      <c r="A4" s="134" t="s">
        <v>260</v>
      </c>
      <c r="B4" s="135"/>
      <c r="C4" s="135"/>
      <c r="D4" s="135"/>
      <c r="E4" s="135"/>
      <c r="F4" s="135"/>
    </row>
    <row r="5" spans="1:20" x14ac:dyDescent="0.2">
      <c r="A5" s="134" t="s">
        <v>340</v>
      </c>
      <c r="B5" s="135"/>
      <c r="C5" s="135"/>
      <c r="D5" s="135"/>
      <c r="E5" s="135"/>
      <c r="F5" s="135"/>
    </row>
    <row r="6" spans="1:20" x14ac:dyDescent="0.2">
      <c r="A6" s="134" t="s">
        <v>346</v>
      </c>
      <c r="B6" s="135"/>
      <c r="C6" s="135"/>
      <c r="D6" s="135"/>
      <c r="E6" s="135"/>
      <c r="F6" s="135"/>
    </row>
    <row r="7" spans="1:20" x14ac:dyDescent="0.2">
      <c r="A7" s="134" t="s">
        <v>341</v>
      </c>
      <c r="B7" s="135"/>
      <c r="C7" s="135"/>
      <c r="D7" s="135"/>
      <c r="E7" s="135"/>
      <c r="F7" s="135"/>
    </row>
    <row r="8" spans="1:20" x14ac:dyDescent="0.2">
      <c r="A8" s="134" t="s">
        <v>235</v>
      </c>
      <c r="B8" s="135"/>
      <c r="C8" s="135"/>
      <c r="D8" s="135"/>
      <c r="E8" s="135"/>
      <c r="F8" s="135"/>
    </row>
    <row r="9" spans="1:20" x14ac:dyDescent="0.2">
      <c r="A9" s="134" t="s">
        <v>225</v>
      </c>
      <c r="B9" s="135"/>
      <c r="C9" s="135"/>
      <c r="D9" s="135"/>
      <c r="E9" s="135"/>
      <c r="F9" s="135"/>
    </row>
    <row r="10" spans="1:20" x14ac:dyDescent="0.2">
      <c r="A10" s="67"/>
      <c r="B10" s="39"/>
      <c r="C10" s="39"/>
      <c r="D10" s="39"/>
      <c r="E10" s="39"/>
      <c r="F10" s="39"/>
    </row>
    <row r="11" spans="1:20" x14ac:dyDescent="0.2">
      <c r="A11" s="67"/>
      <c r="B11" s="39"/>
      <c r="C11" s="181" t="str">
        <f>IF(B13="MYREGION",IF('User Add-in Location'!F23=0,"Error - No Regional multiplier data in User Add-in Location",""),IF(B13="MYCOUNTY",IF('User Add-in Location'!E23=0,"Error - No County multiplier data in User Add-in Location",""),""))</f>
        <v/>
      </c>
      <c r="D11" s="39"/>
      <c r="E11" s="39"/>
      <c r="F11" s="39"/>
    </row>
    <row r="12" spans="1:20" ht="15.75" x14ac:dyDescent="0.25">
      <c r="A12" s="130" t="s">
        <v>291</v>
      </c>
      <c r="B12" s="39"/>
      <c r="C12" s="181" t="str">
        <f>IF(B13="MYREGION",IF('User Add-in Location'!F23=0,"",IF(B13="MYREGION","          Enter Region Population","")),IF(B13="MYCOUNTY",IF('User Add-in Location'!E23=0,"",IF(B13="MYCOUNTY","                Enter County Population","")),""))</f>
        <v/>
      </c>
      <c r="D12" s="63"/>
      <c r="E12" s="39"/>
      <c r="F12" s="39"/>
      <c r="T12" s="253">
        <f>IF(B13="MYCOUNTY",IF(F13="",2,1),IF(B13="MYREGION",IF(F13="",2,1),0))</f>
        <v>0</v>
      </c>
    </row>
    <row r="13" spans="1:20" ht="16.5" customHeight="1" x14ac:dyDescent="0.2">
      <c r="A13" s="67" t="s">
        <v>292</v>
      </c>
      <c r="B13" s="64" t="s">
        <v>42</v>
      </c>
      <c r="C13" s="39"/>
      <c r="D13" s="66" t="s">
        <v>533</v>
      </c>
      <c r="E13" s="39"/>
      <c r="F13" s="55"/>
    </row>
    <row r="14" spans="1:20" x14ac:dyDescent="0.2">
      <c r="A14" s="67" t="s">
        <v>309</v>
      </c>
      <c r="B14" s="53">
        <v>2014</v>
      </c>
      <c r="C14" s="66" t="str">
        <f>IF(B14&gt;2030,"     **Error - Year of Construction exceeds 2030 - please revise**","")</f>
        <v/>
      </c>
      <c r="D14" s="63"/>
      <c r="E14" s="39"/>
      <c r="F14" s="39"/>
    </row>
    <row r="15" spans="1:20" x14ac:dyDescent="0.2">
      <c r="A15" s="66" t="s">
        <v>310</v>
      </c>
      <c r="B15" s="254">
        <v>500</v>
      </c>
      <c r="C15" s="39"/>
      <c r="D15" s="63"/>
      <c r="E15" s="39"/>
      <c r="F15" s="39"/>
    </row>
    <row r="16" spans="1:20" x14ac:dyDescent="0.2">
      <c r="A16" s="212" t="s">
        <v>311</v>
      </c>
      <c r="B16" s="215">
        <v>0.65</v>
      </c>
      <c r="C16" s="181" t="str">
        <f>IF(B16&lt;100,"","Error, entry must below 100 percent")</f>
        <v/>
      </c>
      <c r="D16" s="63"/>
      <c r="E16" s="39"/>
      <c r="F16" s="39"/>
    </row>
    <row r="17" spans="1:35" x14ac:dyDescent="0.2">
      <c r="A17" s="212" t="s">
        <v>315</v>
      </c>
      <c r="B17" s="55">
        <v>7000</v>
      </c>
      <c r="C17" s="39"/>
      <c r="D17" s="63"/>
      <c r="E17" s="39"/>
      <c r="F17" s="39"/>
    </row>
    <row r="18" spans="1:35" x14ac:dyDescent="0.2">
      <c r="A18" s="212" t="s">
        <v>314</v>
      </c>
      <c r="B18" s="141">
        <v>36</v>
      </c>
      <c r="C18" s="39"/>
      <c r="D18" s="63"/>
      <c r="E18" s="39"/>
      <c r="F18" s="39"/>
      <c r="O18" s="143"/>
    </row>
    <row r="19" spans="1:35" x14ac:dyDescent="0.2">
      <c r="A19" s="67" t="s">
        <v>313</v>
      </c>
      <c r="B19" s="96">
        <v>1250</v>
      </c>
      <c r="C19" s="39"/>
      <c r="D19" s="63"/>
      <c r="E19" s="39"/>
      <c r="F19" s="39"/>
      <c r="O19" s="143"/>
    </row>
    <row r="20" spans="1:35" x14ac:dyDescent="0.2">
      <c r="A20" s="212" t="s">
        <v>312</v>
      </c>
      <c r="B20" s="221">
        <f>T20</f>
        <v>3.25</v>
      </c>
      <c r="C20" s="66"/>
      <c r="D20" s="234"/>
      <c r="E20" s="39"/>
      <c r="F20" s="233"/>
      <c r="O20" s="143"/>
      <c r="T20" s="14">
        <f>Calculations!D243</f>
        <v>3.25</v>
      </c>
    </row>
    <row r="21" spans="1:35" ht="15" x14ac:dyDescent="0.2">
      <c r="A21" s="66" t="s">
        <v>372</v>
      </c>
      <c r="B21" s="255">
        <f>DefaultData!H57</f>
        <v>0</v>
      </c>
      <c r="C21" s="39"/>
      <c r="D21" s="63"/>
      <c r="E21" s="39"/>
      <c r="F21" s="39"/>
      <c r="O21" s="104" t="str">
        <f>UPPER('User Add-in Location'!B8)</f>
        <v>MYCOUNTY</v>
      </c>
    </row>
    <row r="22" spans="1:35" ht="15" x14ac:dyDescent="0.2">
      <c r="A22" s="67" t="s">
        <v>320</v>
      </c>
      <c r="B22" s="142">
        <v>8.25</v>
      </c>
      <c r="C22" s="39"/>
      <c r="D22" s="63"/>
      <c r="E22" s="39"/>
      <c r="F22" s="39"/>
      <c r="O22" s="104" t="str">
        <f>UPPER('User Add-in Location'!C8)</f>
        <v>MYREGION</v>
      </c>
    </row>
    <row r="23" spans="1:35" ht="15" x14ac:dyDescent="0.2">
      <c r="A23" s="67" t="s">
        <v>330</v>
      </c>
      <c r="B23" s="256">
        <v>2.9</v>
      </c>
      <c r="C23" s="39"/>
      <c r="D23" s="63"/>
      <c r="E23" s="39"/>
      <c r="F23" s="39"/>
      <c r="O23" s="104" t="s">
        <v>3</v>
      </c>
      <c r="P23" s="267"/>
    </row>
    <row r="24" spans="1:35" ht="15" x14ac:dyDescent="0.2">
      <c r="A24" s="67" t="s">
        <v>451</v>
      </c>
      <c r="B24" s="53">
        <v>2010</v>
      </c>
      <c r="C24" s="66" t="str">
        <f>IF(B24&gt;2030,"     **Error - Money Value (Dollar Year) Exceeds 2030 - please revise**",IF(B24&lt;1999,"     **Error - Money Value (Dollar Year) is Below 1999 - please revise**",""))</f>
        <v/>
      </c>
      <c r="D24" s="63"/>
      <c r="E24" s="39"/>
      <c r="F24" s="39"/>
      <c r="O24" s="104" t="s">
        <v>4</v>
      </c>
      <c r="P24" s="267"/>
    </row>
    <row r="25" spans="1:35" ht="15.75" x14ac:dyDescent="0.25">
      <c r="A25" s="110"/>
      <c r="B25" s="179"/>
      <c r="C25" s="110"/>
      <c r="D25" s="63"/>
      <c r="E25" s="39"/>
      <c r="F25" s="39"/>
      <c r="O25" s="104" t="s">
        <v>5</v>
      </c>
      <c r="P25" s="267"/>
    </row>
    <row r="26" spans="1:35" ht="15" x14ac:dyDescent="0.2">
      <c r="A26" s="134" t="s">
        <v>236</v>
      </c>
      <c r="B26" s="54" t="s">
        <v>520</v>
      </c>
      <c r="C26" s="159" t="str">
        <f>IF(B26="y","Press 'Go To Summary Impacts' Button",IF(B26="N","Review/Edit Values below","Error - Re-enter 'Y' or 'N'"))</f>
        <v>Review/Edit Values below</v>
      </c>
      <c r="D26" s="39"/>
      <c r="E26" s="39"/>
      <c r="F26" s="39"/>
      <c r="O26" s="104" t="s">
        <v>6</v>
      </c>
      <c r="P26" s="267"/>
    </row>
    <row r="27" spans="1:35" ht="15.75" x14ac:dyDescent="0.25">
      <c r="A27" s="179"/>
      <c r="B27" s="62"/>
      <c r="C27" s="39"/>
      <c r="D27" s="181"/>
      <c r="E27" s="66" t="str">
        <f>IF(C12="","",IF(F13&lt;1,"**Error - Population Data Missing**",""))</f>
        <v/>
      </c>
      <c r="F27" s="39"/>
      <c r="O27" s="104" t="s">
        <v>7</v>
      </c>
      <c r="P27" s="267"/>
    </row>
    <row r="28" spans="1:35" ht="15.75" x14ac:dyDescent="0.25">
      <c r="A28" s="41"/>
      <c r="B28" s="62"/>
      <c r="C28" s="39"/>
      <c r="D28" s="181"/>
      <c r="E28" s="39"/>
      <c r="F28" s="39"/>
      <c r="O28" s="104" t="s">
        <v>8</v>
      </c>
      <c r="P28" s="267"/>
    </row>
    <row r="29" spans="1:35" ht="42.75" customHeight="1" x14ac:dyDescent="0.2">
      <c r="A29" s="437" t="s">
        <v>521</v>
      </c>
      <c r="B29" s="438"/>
      <c r="C29" s="438"/>
      <c r="D29" s="438"/>
      <c r="E29" s="438"/>
      <c r="F29" s="39"/>
      <c r="O29" s="104" t="s">
        <v>9</v>
      </c>
      <c r="P29" s="267"/>
    </row>
    <row r="30" spans="1:35" ht="15.75" x14ac:dyDescent="0.25">
      <c r="A30" s="41"/>
      <c r="B30" s="62"/>
      <c r="C30" s="39"/>
      <c r="D30" s="181"/>
      <c r="E30" s="39"/>
      <c r="F30" s="39"/>
      <c r="O30" s="104" t="s">
        <v>10</v>
      </c>
      <c r="P30" s="267"/>
    </row>
    <row r="31" spans="1:35" ht="15.75" x14ac:dyDescent="0.25">
      <c r="A31" s="41" t="str">
        <f>DefaultData!C13</f>
        <v>Project Cost Data - Default Values</v>
      </c>
      <c r="B31" s="39"/>
      <c r="C31" s="39"/>
      <c r="D31" s="39"/>
      <c r="E31" s="39"/>
      <c r="F31" s="39"/>
      <c r="O31" s="104" t="s">
        <v>11</v>
      </c>
      <c r="P31" s="267"/>
      <c r="AE31" s="101" t="s">
        <v>306</v>
      </c>
      <c r="AF31" s="153"/>
      <c r="AG31" s="153"/>
      <c r="AH31" s="153"/>
      <c r="AI31" s="153"/>
    </row>
    <row r="32" spans="1:35" ht="15" x14ac:dyDescent="0.2">
      <c r="A32" s="66" t="str">
        <f>DefaultData!C14</f>
        <v>Construction Costs</v>
      </c>
      <c r="B32" s="42" t="s">
        <v>101</v>
      </c>
      <c r="C32" s="111" t="s">
        <v>222</v>
      </c>
      <c r="D32" s="67" t="s">
        <v>177</v>
      </c>
      <c r="E32" s="42" t="s">
        <v>1</v>
      </c>
      <c r="F32" s="39"/>
      <c r="O32" s="104" t="s">
        <v>12</v>
      </c>
      <c r="P32" s="267"/>
      <c r="AE32" s="78" t="s">
        <v>297</v>
      </c>
      <c r="AF32" s="185" t="s">
        <v>101</v>
      </c>
      <c r="AG32" s="185" t="s">
        <v>222</v>
      </c>
      <c r="AH32" s="167" t="s">
        <v>177</v>
      </c>
      <c r="AI32" s="185" t="s">
        <v>1</v>
      </c>
    </row>
    <row r="33" spans="1:35" ht="15" customHeight="1" x14ac:dyDescent="0.2">
      <c r="A33" s="45" t="str">
        <f>DefaultData!C15</f>
        <v xml:space="preserve"> Facility and Equipment</v>
      </c>
      <c r="B33" s="39"/>
      <c r="C33" s="111" t="s">
        <v>223</v>
      </c>
      <c r="D33" s="67" t="s">
        <v>178</v>
      </c>
      <c r="E33" s="39"/>
      <c r="F33" s="39"/>
      <c r="O33" s="104" t="s">
        <v>13</v>
      </c>
      <c r="P33" s="267"/>
      <c r="AE33" s="195" t="s">
        <v>301</v>
      </c>
      <c r="AF33" s="153"/>
      <c r="AG33" s="185" t="s">
        <v>223</v>
      </c>
      <c r="AH33" s="167" t="s">
        <v>178</v>
      </c>
      <c r="AI33" s="153"/>
    </row>
    <row r="34" spans="1:35" ht="15" customHeight="1" x14ac:dyDescent="0.2">
      <c r="A34" s="45" t="str">
        <f>DefaultData!C16</f>
        <v xml:space="preserve">   Power Generation</v>
      </c>
      <c r="B34" s="58">
        <f>+DefaultData!$D16</f>
        <v>220588235.29411766</v>
      </c>
      <c r="C34" s="131">
        <f>B34/(B$15*1000)</f>
        <v>441.1764705882353</v>
      </c>
      <c r="D34" s="107">
        <f>B34/(B$54)</f>
        <v>0.34458993797381121</v>
      </c>
      <c r="E34" s="56">
        <f>$T34</f>
        <v>0</v>
      </c>
      <c r="F34" s="39"/>
      <c r="O34" s="104" t="s">
        <v>14</v>
      </c>
      <c r="P34" s="267"/>
      <c r="T34" s="15">
        <f>IF($T$12=0,DefaultData!$G16,IF($T$12=2,"Error",IF($F$13&lt;DefaultData!$H$13,DefaultData!$H16,IF($F$13&lt;DefaultData!$I$13,DefaultData!$O16,IF($F$13&lt;DefaultData!$J$13,DefaultData!$R16,DefaultData!$U16)))))</f>
        <v>0</v>
      </c>
      <c r="AE34" s="195" t="s">
        <v>300</v>
      </c>
      <c r="AF34" s="58">
        <f>+DefaultData!$D16</f>
        <v>220588235.29411766</v>
      </c>
      <c r="AG34" s="169">
        <f>AF34/($B$15*1000)</f>
        <v>441.1764705882353</v>
      </c>
      <c r="AH34" s="205">
        <f>AF34/AF$52</f>
        <v>0.35502958579881666</v>
      </c>
      <c r="AI34" s="56">
        <f>$T34</f>
        <v>0</v>
      </c>
    </row>
    <row r="35" spans="1:35" ht="15" x14ac:dyDescent="0.2">
      <c r="A35" s="45" t="str">
        <f>DefaultData!C17</f>
        <v xml:space="preserve">   General facilities</v>
      </c>
      <c r="B35" s="58">
        <f>+DefaultData!$D17</f>
        <v>55147058.823529415</v>
      </c>
      <c r="C35" s="131">
        <f>B35/(B$15*1000)</f>
        <v>110.29411764705883</v>
      </c>
      <c r="D35" s="107">
        <f>B35/(B$54)</f>
        <v>8.6147484493452803E-2</v>
      </c>
      <c r="E35" s="56">
        <f>$T35</f>
        <v>0.75</v>
      </c>
      <c r="F35" s="39"/>
      <c r="O35" s="104" t="s">
        <v>15</v>
      </c>
      <c r="P35" s="267"/>
      <c r="T35" s="15">
        <f>IF($T$12=0,DefaultData!$G17,IF($T$12=2,"Error",IF($F$13&lt;DefaultData!$H$13,DefaultData!$H17,IF($F$13&lt;DefaultData!$I$13,DefaultData!$O17,IF($F$13&lt;DefaultData!$J$13,DefaultData!$R17,DefaultData!$U17)))))</f>
        <v>0.75</v>
      </c>
      <c r="AA35" s="15"/>
      <c r="AE35" s="195" t="s">
        <v>299</v>
      </c>
      <c r="AF35" s="58">
        <f>+DefaultData!$D17</f>
        <v>55147058.823529415</v>
      </c>
      <c r="AG35" s="169">
        <f>AF35/($B$15*1000)</f>
        <v>110.29411764705883</v>
      </c>
      <c r="AH35" s="205">
        <f t="shared" ref="AH35:AH52" si="0">AF35/AF$52</f>
        <v>8.8757396449704165E-2</v>
      </c>
      <c r="AI35" s="56">
        <f>$T35</f>
        <v>0.75</v>
      </c>
    </row>
    <row r="36" spans="1:35" ht="15" x14ac:dyDescent="0.2">
      <c r="A36" s="45" t="str">
        <f>DefaultData!C18</f>
        <v xml:space="preserve">   Plant Equipment</v>
      </c>
      <c r="B36" s="58">
        <f>+DefaultData!$D18</f>
        <v>99264705.882352948</v>
      </c>
      <c r="C36" s="131">
        <f>B36/(B$15*1000)</f>
        <v>198.52941176470588</v>
      </c>
      <c r="D36" s="107">
        <f>B36/(B$54)</f>
        <v>0.15506547208821506</v>
      </c>
      <c r="E36" s="56">
        <f>$T36</f>
        <v>0.05</v>
      </c>
      <c r="F36" s="39"/>
      <c r="O36" s="104" t="s">
        <v>16</v>
      </c>
      <c r="P36" s="267"/>
      <c r="T36" s="15">
        <f>IF($T$12=0,DefaultData!$G18,IF($T$12=2,"Error",IF($F$13&lt;DefaultData!$H$13,DefaultData!$H18,IF($F$13&lt;DefaultData!$I$13,DefaultData!$O18,IF($F$13&lt;DefaultData!$J$13,DefaultData!$R18,DefaultData!$U18)))))</f>
        <v>0.05</v>
      </c>
      <c r="AA36" s="15"/>
      <c r="AE36" s="195" t="s">
        <v>369</v>
      </c>
      <c r="AF36" s="58">
        <f>+DefaultData!$D18</f>
        <v>99264705.882352948</v>
      </c>
      <c r="AG36" s="169">
        <f>AF36/($B$15*1000)</f>
        <v>198.52941176470588</v>
      </c>
      <c r="AH36" s="205">
        <f t="shared" si="0"/>
        <v>0.15976331360946749</v>
      </c>
      <c r="AI36" s="56">
        <f>$T36</f>
        <v>0.05</v>
      </c>
    </row>
    <row r="37" spans="1:35" ht="15" x14ac:dyDescent="0.2">
      <c r="A37" s="45" t="str">
        <f>DefaultData!C19</f>
        <v xml:space="preserve">   Subtotal</v>
      </c>
      <c r="B37" s="229">
        <f>SUM(B34:B36)</f>
        <v>375000000</v>
      </c>
      <c r="C37" s="231">
        <f>SUM(C34:C36)</f>
        <v>750</v>
      </c>
      <c r="D37" s="107">
        <f>SUM(D34:D36)</f>
        <v>0.58580289455547907</v>
      </c>
      <c r="E37" s="230"/>
      <c r="F37" s="39"/>
      <c r="O37" s="104" t="s">
        <v>17</v>
      </c>
      <c r="P37" s="267"/>
      <c r="T37" s="15">
        <f>IF($T$12=0,DefaultData!$G19,IF($T$12=2,"Error",IF($F$13&lt;DefaultData!$H$13,DefaultData!$H19,IF($F$13&lt;DefaultData!$I$13,DefaultData!$O19,IF($F$13&lt;DefaultData!$J$13,DefaultData!$R19,DefaultData!$U19)))))</f>
        <v>0</v>
      </c>
      <c r="AA37" s="15"/>
      <c r="AE37" s="195" t="s">
        <v>303</v>
      </c>
      <c r="AF37" s="257">
        <f>SUM(AF34:AF36)</f>
        <v>375000000</v>
      </c>
      <c r="AG37" s="169">
        <f>SUM(AG34:AG36)</f>
        <v>750</v>
      </c>
      <c r="AH37" s="205">
        <f t="shared" si="0"/>
        <v>0.60355029585798825</v>
      </c>
      <c r="AI37" s="318"/>
    </row>
    <row r="38" spans="1:35" ht="15" x14ac:dyDescent="0.2">
      <c r="A38" s="45" t="str">
        <f>DefaultData!C20</f>
        <v xml:space="preserve"> Labor and Management</v>
      </c>
      <c r="B38" s="229"/>
      <c r="C38" s="131"/>
      <c r="D38" s="107"/>
      <c r="E38" s="230"/>
      <c r="F38" s="39"/>
      <c r="O38" s="104" t="s">
        <v>383</v>
      </c>
      <c r="P38" s="267"/>
      <c r="T38" s="15">
        <f>IF($T$12=0,DefaultData!$G20,IF($T$12=2,"Error",IF($F$13&lt;DefaultData!$H$13,DefaultData!$H20,IF($F$13&lt;DefaultData!$I$13,DefaultData!$O20,IF($F$13&lt;DefaultData!$J$13,DefaultData!$R20,DefaultData!$U20)))))</f>
        <v>0</v>
      </c>
      <c r="AA38" s="15"/>
      <c r="AE38" s="195" t="s">
        <v>302</v>
      </c>
      <c r="AF38" s="257"/>
      <c r="AG38" s="169"/>
      <c r="AH38" s="205"/>
      <c r="AI38" s="318"/>
    </row>
    <row r="39" spans="1:35" ht="15" x14ac:dyDescent="0.2">
      <c r="A39" s="45" t="str">
        <f>DefaultData!C21</f>
        <v xml:space="preserve">   Construction Labor</v>
      </c>
      <c r="B39" s="58">
        <f>+DefaultData!$D21</f>
        <v>106617647.05882353</v>
      </c>
      <c r="C39" s="131">
        <f>B39/(B$15*1000)</f>
        <v>213.23529411764704</v>
      </c>
      <c r="D39" s="107">
        <f>B39/(B$54)</f>
        <v>0.16655180335400874</v>
      </c>
      <c r="E39" s="56">
        <f>$T39</f>
        <v>0.5</v>
      </c>
      <c r="F39" s="39"/>
      <c r="O39" s="104" t="s">
        <v>382</v>
      </c>
      <c r="P39" s="267"/>
      <c r="T39" s="15">
        <f>IF($T$12=0,DefaultData!$G21,IF($T$12=2,"Error",IF($F$13&lt;DefaultData!$H$13,DefaultData!$H21,IF($F$13&lt;DefaultData!$I$13,DefaultData!$O21,IF($F$13&lt;DefaultData!$J$13,DefaultData!$R21,DefaultData!$U21)))))</f>
        <v>0.5</v>
      </c>
      <c r="AA39" s="15"/>
      <c r="AE39" s="195" t="s">
        <v>298</v>
      </c>
      <c r="AF39" s="58">
        <f>+DefaultData!$D21</f>
        <v>106617647.05882353</v>
      </c>
      <c r="AG39" s="169">
        <f>AF39/($B$15*1000)</f>
        <v>213.23529411764704</v>
      </c>
      <c r="AH39" s="205">
        <f t="shared" si="0"/>
        <v>0.17159763313609469</v>
      </c>
      <c r="AI39" s="56">
        <f>$T39</f>
        <v>0.5</v>
      </c>
    </row>
    <row r="40" spans="1:35" ht="15" x14ac:dyDescent="0.2">
      <c r="A40" s="45" t="str">
        <f>DefaultData!C22</f>
        <v xml:space="preserve">   Project management (contruction and owner's)</v>
      </c>
      <c r="B40" s="58">
        <f>+DefaultData!$D22</f>
        <v>58823529.411764704</v>
      </c>
      <c r="C40" s="131">
        <f>B40/(B$15*1000)</f>
        <v>117.64705882352941</v>
      </c>
      <c r="D40" s="107">
        <f>B40/(B$54)</f>
        <v>9.1890650126349643E-2</v>
      </c>
      <c r="E40" s="56">
        <f>$T40</f>
        <v>0</v>
      </c>
      <c r="F40" s="39"/>
      <c r="O40" s="104" t="s">
        <v>18</v>
      </c>
      <c r="P40" s="267"/>
      <c r="T40" s="15">
        <f>IF($T$12=0,DefaultData!$G22,IF($T$12=2,"Error",IF($F$13&lt;DefaultData!$H$13,DefaultData!$H22,IF($F$13&lt;DefaultData!$I$13,DefaultData!$O22,IF($F$13&lt;DefaultData!$J$13,DefaultData!$R22,DefaultData!$U22)))))</f>
        <v>0</v>
      </c>
      <c r="AA40" s="15"/>
      <c r="AE40" s="195" t="s">
        <v>308</v>
      </c>
      <c r="AF40" s="58">
        <f>+DefaultData!$D22</f>
        <v>58823529.411764704</v>
      </c>
      <c r="AG40" s="169">
        <f>AF40/($B$15*1000)</f>
        <v>117.64705882352941</v>
      </c>
      <c r="AH40" s="205">
        <f t="shared" si="0"/>
        <v>9.4674556213017763E-2</v>
      </c>
      <c r="AI40" s="56">
        <f>$T40</f>
        <v>0</v>
      </c>
    </row>
    <row r="41" spans="1:35" ht="15" x14ac:dyDescent="0.2">
      <c r="A41" s="45" t="str">
        <f>DefaultData!C23</f>
        <v xml:space="preserve">   Construction Utilities</v>
      </c>
      <c r="B41" s="58">
        <f>+DefaultData!$D23</f>
        <v>3676470.588235294</v>
      </c>
      <c r="C41" s="131">
        <f>B41/(B$15*1000)</f>
        <v>7.3529411764705879</v>
      </c>
      <c r="D41" s="107">
        <f>B41/(B$54)</f>
        <v>5.7431656328968527E-3</v>
      </c>
      <c r="E41" s="56">
        <f>$T41</f>
        <v>1</v>
      </c>
      <c r="F41" s="39"/>
      <c r="O41" s="104" t="s">
        <v>389</v>
      </c>
      <c r="P41" s="267"/>
      <c r="T41" s="15">
        <f>IF($T$12=0,DefaultData!$G23,IF($T$12=2,"Error",IF($F$13&lt;DefaultData!$H$13,DefaultData!$H23,IF($F$13&lt;DefaultData!$I$13,DefaultData!$O23,IF($F$13&lt;DefaultData!$J$13,DefaultData!$R23,DefaultData!$U23)))))</f>
        <v>1</v>
      </c>
      <c r="AA41" s="15"/>
      <c r="AE41" s="195" t="s">
        <v>454</v>
      </c>
      <c r="AF41" s="58">
        <f>+DefaultData!$D23</f>
        <v>3676470.588235294</v>
      </c>
      <c r="AG41" s="169">
        <f>AF41/($B$15*1000)</f>
        <v>7.3529411764705879</v>
      </c>
      <c r="AH41" s="205">
        <f>AF41/AF$52</f>
        <v>5.9171597633136102E-3</v>
      </c>
      <c r="AI41" s="56">
        <f>$T41</f>
        <v>1</v>
      </c>
    </row>
    <row r="42" spans="1:35" ht="15" x14ac:dyDescent="0.2">
      <c r="A42" s="45" t="str">
        <f>DefaultData!C24</f>
        <v xml:space="preserve">   Subtotal</v>
      </c>
      <c r="B42" s="229">
        <f>SUM(B39:B41)</f>
        <v>169117647.05882353</v>
      </c>
      <c r="C42" s="231">
        <f>SUM(C39:C41)</f>
        <v>338.23529411764707</v>
      </c>
      <c r="D42" s="107">
        <f>SUM(D39:D41)</f>
        <v>0.26418561911325522</v>
      </c>
      <c r="E42" s="230"/>
      <c r="F42" s="39"/>
      <c r="O42" s="104" t="s">
        <v>19</v>
      </c>
      <c r="P42" s="267"/>
      <c r="T42" s="15"/>
      <c r="AA42" s="15"/>
      <c r="AE42" s="195" t="s">
        <v>304</v>
      </c>
      <c r="AF42" s="58">
        <f>AF40+AF39</f>
        <v>165441176.47058824</v>
      </c>
      <c r="AG42" s="169">
        <f>AF42/($B$15*1000)</f>
        <v>330.88235294117646</v>
      </c>
      <c r="AH42" s="205">
        <f t="shared" si="0"/>
        <v>0.26627218934911245</v>
      </c>
      <c r="AI42" s="56">
        <f>$T42</f>
        <v>0</v>
      </c>
    </row>
    <row r="43" spans="1:35" ht="15" x14ac:dyDescent="0.2">
      <c r="A43" s="45" t="str">
        <f>DefaultData!C25</f>
        <v xml:space="preserve"> Construction Subtotal</v>
      </c>
      <c r="B43" s="229">
        <f>B42+B37</f>
        <v>544117647.05882359</v>
      </c>
      <c r="C43" s="231">
        <f>C42+C37</f>
        <v>1088.2352941176471</v>
      </c>
      <c r="D43" s="107">
        <f>D42+D37</f>
        <v>0.84998851366873429</v>
      </c>
      <c r="E43" s="230"/>
      <c r="F43" s="39"/>
      <c r="O43" s="104" t="s">
        <v>20</v>
      </c>
      <c r="P43" s="267"/>
      <c r="T43" s="15"/>
      <c r="AA43" s="15"/>
      <c r="AE43" s="195" t="s">
        <v>305</v>
      </c>
      <c r="AF43" s="58">
        <f>AF42+AF37</f>
        <v>540441176.47058821</v>
      </c>
      <c r="AG43" s="169">
        <f>SUM(AG39:AG42)</f>
        <v>669.11764705882354</v>
      </c>
      <c r="AH43" s="205">
        <f t="shared" si="0"/>
        <v>0.8698224852071007</v>
      </c>
      <c r="AI43" s="56">
        <f>$T43</f>
        <v>0</v>
      </c>
    </row>
    <row r="44" spans="1:35" ht="15" x14ac:dyDescent="0.2">
      <c r="A44" s="66" t="str">
        <f>DefaultData!C26</f>
        <v>Other Costs</v>
      </c>
      <c r="B44" s="229"/>
      <c r="C44" s="231"/>
      <c r="D44" s="232"/>
      <c r="E44" s="230"/>
      <c r="F44" s="39"/>
      <c r="O44" s="104" t="s">
        <v>21</v>
      </c>
      <c r="P44" s="267"/>
      <c r="T44" s="15"/>
      <c r="AA44" s="15"/>
      <c r="AE44" s="78" t="s">
        <v>2</v>
      </c>
      <c r="AF44" s="257"/>
      <c r="AG44" s="316"/>
      <c r="AH44" s="317"/>
      <c r="AI44" s="318"/>
    </row>
    <row r="45" spans="1:35" ht="15" x14ac:dyDescent="0.2">
      <c r="A45" s="45" t="str">
        <f>DefaultData!C27</f>
        <v xml:space="preserve"> Engineering/Design</v>
      </c>
      <c r="B45" s="58">
        <f>+DefaultData!$D27</f>
        <v>14705882.352941176</v>
      </c>
      <c r="C45" s="131">
        <f t="shared" ref="C45:C53" si="1">B45/(B$15*1000)</f>
        <v>29.411764705882351</v>
      </c>
      <c r="D45" s="107">
        <f t="shared" ref="D45:D53" si="2">B45/(B$54)</f>
        <v>2.2972662531587411E-2</v>
      </c>
      <c r="E45" s="56">
        <f t="shared" ref="E45:E50" si="3">$T45</f>
        <v>0</v>
      </c>
      <c r="F45" s="39"/>
      <c r="O45" s="104" t="s">
        <v>22</v>
      </c>
      <c r="P45" s="267"/>
      <c r="T45" s="15">
        <f>IF($T$12=0,DefaultData!$G27,IF($T$12=2,"Error",IF($F$13&lt;DefaultData!$H$13,DefaultData!$H27,IF($F$13&lt;DefaultData!$I$13,DefaultData!$O27,IF($F$13&lt;DefaultData!$J$13,DefaultData!$R27,DefaultData!$U27)))))</f>
        <v>0</v>
      </c>
      <c r="AA45" s="15"/>
      <c r="AE45" s="195" t="s">
        <v>294</v>
      </c>
      <c r="AF45" s="58">
        <f>+DefaultData!$D27</f>
        <v>14705882.352941176</v>
      </c>
      <c r="AG45" s="169">
        <f t="shared" ref="AG45:AG50" si="4">AF45/($B$15*1000)</f>
        <v>29.411764705882351</v>
      </c>
      <c r="AH45" s="205">
        <f t="shared" si="0"/>
        <v>2.3668639053254441E-2</v>
      </c>
      <c r="AI45" s="56">
        <f t="shared" ref="AI45:AI50" si="5">$T45</f>
        <v>0</v>
      </c>
    </row>
    <row r="46" spans="1:35" ht="15" x14ac:dyDescent="0.2">
      <c r="A46" s="45" t="str">
        <f>DefaultData!C28</f>
        <v xml:space="preserve"> Construction insurance</v>
      </c>
      <c r="B46" s="58">
        <f>+DefaultData!$D28</f>
        <v>3676470.588235294</v>
      </c>
      <c r="C46" s="131">
        <f t="shared" si="1"/>
        <v>7.3529411764705879</v>
      </c>
      <c r="D46" s="107">
        <f t="shared" si="2"/>
        <v>5.7431656328968527E-3</v>
      </c>
      <c r="E46" s="56">
        <f t="shared" si="3"/>
        <v>0</v>
      </c>
      <c r="F46" s="39"/>
      <c r="O46" s="104" t="s">
        <v>23</v>
      </c>
      <c r="P46" s="267"/>
      <c r="T46" s="15">
        <f>IF($T$12=0,DefaultData!$G28,IF($T$12=2,"Error",IF($F$13&lt;DefaultData!$H$13,DefaultData!$H28,IF($F$13&lt;DefaultData!$I$13,DefaultData!$O28,IF($F$13&lt;DefaultData!$J$13,DefaultData!$R28,DefaultData!$U28)))))</f>
        <v>0</v>
      </c>
      <c r="AA46" s="15"/>
      <c r="AE46" s="195" t="s">
        <v>295</v>
      </c>
      <c r="AF46" s="58">
        <f>+DefaultData!$D28</f>
        <v>3676470.588235294</v>
      </c>
      <c r="AG46" s="169">
        <f t="shared" si="4"/>
        <v>7.3529411764705879</v>
      </c>
      <c r="AH46" s="205">
        <f t="shared" si="0"/>
        <v>5.9171597633136102E-3</v>
      </c>
      <c r="AI46" s="56">
        <f t="shared" si="5"/>
        <v>0</v>
      </c>
    </row>
    <row r="47" spans="1:35" ht="15" x14ac:dyDescent="0.2">
      <c r="A47" s="45" t="str">
        <f>DefaultData!C29</f>
        <v xml:space="preserve"> Land</v>
      </c>
      <c r="B47" s="58">
        <f>+DefaultData!$D29</f>
        <v>29411764.705882352</v>
      </c>
      <c r="C47" s="131">
        <f t="shared" si="1"/>
        <v>58.823529411764703</v>
      </c>
      <c r="D47" s="107">
        <f t="shared" si="2"/>
        <v>4.5945325063174822E-2</v>
      </c>
      <c r="E47" s="56">
        <f t="shared" si="3"/>
        <v>1</v>
      </c>
      <c r="F47" s="39"/>
      <c r="O47" s="104" t="s">
        <v>24</v>
      </c>
      <c r="P47" s="267"/>
      <c r="T47" s="15">
        <f>IF($T$12=0,DefaultData!$G29,IF($T$12=2,"Error",IF($F$13&lt;DefaultData!$H$13,DefaultData!$H29,IF($F$13&lt;DefaultData!$I$13,DefaultData!$O29,IF($F$13&lt;DefaultData!$J$13,DefaultData!$R29,DefaultData!$U29)))))</f>
        <v>1</v>
      </c>
      <c r="AA47" s="15"/>
      <c r="AE47" s="195" t="s">
        <v>293</v>
      </c>
      <c r="AF47" s="58">
        <f>+DefaultData!$D29</f>
        <v>29411764.705882352</v>
      </c>
      <c r="AG47" s="169">
        <f t="shared" si="4"/>
        <v>58.823529411764703</v>
      </c>
      <c r="AH47" s="205">
        <f t="shared" si="0"/>
        <v>4.7337278106508882E-2</v>
      </c>
      <c r="AI47" s="56">
        <f t="shared" si="5"/>
        <v>1</v>
      </c>
    </row>
    <row r="48" spans="1:35" ht="15" x14ac:dyDescent="0.2">
      <c r="A48" s="45" t="str">
        <f>DefaultData!C30</f>
        <v xml:space="preserve"> Permitting Fees</v>
      </c>
      <c r="B48" s="58">
        <f>+DefaultData!$D30</f>
        <v>14705882.352941176</v>
      </c>
      <c r="C48" s="131">
        <f t="shared" si="1"/>
        <v>29.411764705882351</v>
      </c>
      <c r="D48" s="107">
        <f t="shared" si="2"/>
        <v>2.2972662531587411E-2</v>
      </c>
      <c r="E48" s="56">
        <f t="shared" si="3"/>
        <v>1</v>
      </c>
      <c r="F48" s="39"/>
      <c r="O48" s="104" t="s">
        <v>25</v>
      </c>
      <c r="P48" s="267"/>
      <c r="T48" s="15">
        <f>IF($T$12=0,DefaultData!$G30,IF($T$12=2,"Error",IF($F$13&lt;DefaultData!$H$13,DefaultData!$H30,IF($F$13&lt;DefaultData!$I$13,DefaultData!$O30,IF($F$13&lt;DefaultData!$J$13,DefaultData!$R30,DefaultData!$U30)))))</f>
        <v>1</v>
      </c>
      <c r="AA48" s="15"/>
      <c r="AE48" s="195" t="s">
        <v>336</v>
      </c>
      <c r="AF48" s="58">
        <f>+DefaultData!$D30</f>
        <v>14705882.352941176</v>
      </c>
      <c r="AG48" s="169">
        <f t="shared" si="4"/>
        <v>29.411764705882351</v>
      </c>
      <c r="AH48" s="205">
        <f t="shared" si="0"/>
        <v>2.3668639053254441E-2</v>
      </c>
      <c r="AI48" s="56">
        <f t="shared" si="5"/>
        <v>1</v>
      </c>
    </row>
    <row r="49" spans="1:35" ht="15" x14ac:dyDescent="0.2">
      <c r="A49" s="45" t="str">
        <f>DefaultData!C31</f>
        <v xml:space="preserve"> Grid intertie</v>
      </c>
      <c r="B49" s="58">
        <f>+DefaultData!$D31</f>
        <v>14705882.352941176</v>
      </c>
      <c r="C49" s="131">
        <f t="shared" si="1"/>
        <v>29.411764705882351</v>
      </c>
      <c r="D49" s="107">
        <f t="shared" si="2"/>
        <v>2.2972662531587411E-2</v>
      </c>
      <c r="E49" s="56">
        <f t="shared" si="3"/>
        <v>0.25</v>
      </c>
      <c r="F49" s="39"/>
      <c r="O49" s="104" t="s">
        <v>26</v>
      </c>
      <c r="P49" s="267"/>
      <c r="T49" s="15">
        <f>IF($T$12=0,DefaultData!$G31,IF($T$12=2,"Error",IF($F$13&lt;DefaultData!$H$13,DefaultData!$H31,IF($F$13&lt;DefaultData!$I$13,DefaultData!$O31,IF($F$13&lt;DefaultData!$J$13,DefaultData!$R31,DefaultData!$U31)))))</f>
        <v>0.25</v>
      </c>
      <c r="AA49" s="15"/>
      <c r="AE49" s="195" t="s">
        <v>296</v>
      </c>
      <c r="AF49" s="58">
        <f>+DefaultData!$D31</f>
        <v>14705882.352941176</v>
      </c>
      <c r="AG49" s="169">
        <f t="shared" si="4"/>
        <v>29.411764705882351</v>
      </c>
      <c r="AH49" s="205">
        <f t="shared" si="0"/>
        <v>2.3668639053254441E-2</v>
      </c>
      <c r="AI49" s="56">
        <f t="shared" si="5"/>
        <v>0.25</v>
      </c>
    </row>
    <row r="50" spans="1:35" ht="15" x14ac:dyDescent="0.2">
      <c r="A50" s="45" t="str">
        <f>DefaultData!C32</f>
        <v xml:space="preserve"> Spare Parts</v>
      </c>
      <c r="B50" s="58">
        <f>+DefaultData!$D32</f>
        <v>3676470.588235294</v>
      </c>
      <c r="C50" s="131">
        <f t="shared" si="1"/>
        <v>7.3529411764705879</v>
      </c>
      <c r="D50" s="107">
        <f t="shared" si="2"/>
        <v>5.7431656328968527E-3</v>
      </c>
      <c r="E50" s="56">
        <f t="shared" si="3"/>
        <v>0.05</v>
      </c>
      <c r="F50" s="39"/>
      <c r="O50" s="104" t="s">
        <v>27</v>
      </c>
      <c r="P50" s="267"/>
      <c r="T50" s="15">
        <f>IF($T$12=0,DefaultData!$G32,IF($T$12=2,"Error",IF($F$13&lt;DefaultData!$H$13,DefaultData!$H32,IF($F$13&lt;DefaultData!$I$13,DefaultData!$O32,IF($F$13&lt;DefaultData!$J$13,DefaultData!$R32,DefaultData!$U32)))))</f>
        <v>0.05</v>
      </c>
      <c r="AA50" s="183"/>
      <c r="AE50" s="195" t="s">
        <v>347</v>
      </c>
      <c r="AF50" s="58">
        <f>+DefaultData!$D32</f>
        <v>3676470.588235294</v>
      </c>
      <c r="AG50" s="169">
        <f t="shared" si="4"/>
        <v>7.3529411764705879</v>
      </c>
      <c r="AH50" s="205">
        <f t="shared" si="0"/>
        <v>5.9171597633136102E-3</v>
      </c>
      <c r="AI50" s="56">
        <f t="shared" si="5"/>
        <v>0.05</v>
      </c>
    </row>
    <row r="51" spans="1:35" ht="15" x14ac:dyDescent="0.2">
      <c r="A51" s="45" t="str">
        <f>DefaultData!C33</f>
        <v xml:space="preserve"> Other Subtotal</v>
      </c>
      <c r="B51" s="229">
        <f>SUM(B45:B50)</f>
        <v>80882352.941176459</v>
      </c>
      <c r="C51" s="231">
        <f>SUM(C45:C50)</f>
        <v>161.76470588235293</v>
      </c>
      <c r="D51" s="107">
        <f>SUM(D45:D50)</f>
        <v>0.12634964392373077</v>
      </c>
      <c r="E51" s="230"/>
      <c r="F51" s="39"/>
      <c r="O51" s="104" t="s">
        <v>28</v>
      </c>
      <c r="P51" s="267"/>
      <c r="T51" s="15"/>
      <c r="AA51" s="183"/>
      <c r="AE51" s="195" t="s">
        <v>307</v>
      </c>
      <c r="AF51" s="257">
        <f>SUM(AF45:AF50)</f>
        <v>80882352.941176459</v>
      </c>
      <c r="AG51" s="169">
        <f>SUM(AG45:AG50)</f>
        <v>161.76470588235293</v>
      </c>
      <c r="AH51" s="205">
        <f t="shared" si="0"/>
        <v>0.13017751479289941</v>
      </c>
      <c r="AI51" s="318"/>
    </row>
    <row r="52" spans="1:35" ht="15" x14ac:dyDescent="0.2">
      <c r="A52" s="66" t="str">
        <f>DefaultData!C34</f>
        <v>Subtotal All Costs (without sales tax)</v>
      </c>
      <c r="B52" s="229">
        <f>B51+B43</f>
        <v>625000000</v>
      </c>
      <c r="C52" s="231">
        <f>C51+C43</f>
        <v>1250</v>
      </c>
      <c r="D52" s="107">
        <f>D51+D43</f>
        <v>0.97633815759246501</v>
      </c>
      <c r="E52" s="230"/>
      <c r="F52" s="39"/>
      <c r="O52" s="104" t="s">
        <v>29</v>
      </c>
      <c r="P52" s="267"/>
      <c r="T52" s="15"/>
      <c r="AA52" s="15"/>
      <c r="AE52" s="78" t="s">
        <v>446</v>
      </c>
      <c r="AF52" s="58">
        <f>AF51+AF43</f>
        <v>621323529.41176462</v>
      </c>
      <c r="AG52" s="169">
        <f>AG51+AG43</f>
        <v>830.88235294117646</v>
      </c>
      <c r="AH52" s="205">
        <f t="shared" si="0"/>
        <v>1</v>
      </c>
      <c r="AI52" s="56"/>
    </row>
    <row r="53" spans="1:35" ht="15" x14ac:dyDescent="0.2">
      <c r="A53" s="66" t="str">
        <f>DefaultData!C35</f>
        <v>Sales Tax (Materials &amp; Equipment Purchases)</v>
      </c>
      <c r="B53" s="58">
        <f>($B37+$B50)*$B$94</f>
        <v>15147058.823529413</v>
      </c>
      <c r="C53" s="231">
        <f t="shared" si="1"/>
        <v>30.294117647058826</v>
      </c>
      <c r="D53" s="107">
        <f t="shared" si="2"/>
        <v>2.3661842407535036E-2</v>
      </c>
      <c r="E53" s="405">
        <f>$D94</f>
        <v>1</v>
      </c>
      <c r="F53" s="39"/>
      <c r="O53" s="104" t="s">
        <v>30</v>
      </c>
      <c r="P53" s="267"/>
      <c r="T53" s="15">
        <f>IF($T$12=0,DefaultData!$G35,IF($T$12=2,"Error",IF($F$13&lt;DefaultData!$H$13,DefaultData!$H35,IF($F$13&lt;DefaultData!$I$13,DefaultData!$O35,IF($F$13&lt;DefaultData!$J$13,DefaultData!$R35,DefaultData!$U35)))))</f>
        <v>1</v>
      </c>
      <c r="AA53" s="15"/>
      <c r="AE53" s="78" t="s">
        <v>447</v>
      </c>
      <c r="AF53" s="58">
        <f>($B37+$B50)*$B$94</f>
        <v>15147058.823529413</v>
      </c>
      <c r="AG53" s="169">
        <f>AF53/($B$15*1000)</f>
        <v>30.294117647058826</v>
      </c>
      <c r="AH53" s="205">
        <f>AF53/AF$52</f>
        <v>2.4378698224852075E-2</v>
      </c>
      <c r="AI53" s="56">
        <f>$T53</f>
        <v>1</v>
      </c>
    </row>
    <row r="54" spans="1:35" ht="15" x14ac:dyDescent="0.2">
      <c r="A54" s="66" t="str">
        <f>DefaultData!C36</f>
        <v>Total Project Cost</v>
      </c>
      <c r="B54" s="229">
        <f>B53+B52</f>
        <v>640147058.82352936</v>
      </c>
      <c r="C54" s="231">
        <f>C53+C52</f>
        <v>1280.2941176470588</v>
      </c>
      <c r="D54" s="107">
        <f>D53+D52</f>
        <v>1</v>
      </c>
      <c r="E54" s="230"/>
      <c r="F54" s="39"/>
      <c r="O54" s="104" t="s">
        <v>384</v>
      </c>
      <c r="P54" s="267"/>
      <c r="T54" s="15"/>
      <c r="AA54" s="15"/>
      <c r="AE54" s="78" t="s">
        <v>448</v>
      </c>
      <c r="AF54" s="58"/>
      <c r="AG54" s="169"/>
      <c r="AH54" s="205"/>
      <c r="AI54" s="56"/>
    </row>
    <row r="55" spans="1:35" ht="15" x14ac:dyDescent="0.2">
      <c r="A55" s="39"/>
      <c r="B55" s="39"/>
      <c r="C55" s="39"/>
      <c r="D55" s="39"/>
      <c r="E55" s="39"/>
      <c r="F55" s="39"/>
      <c r="O55" s="104" t="s">
        <v>385</v>
      </c>
      <c r="P55" s="267"/>
      <c r="T55" s="15"/>
      <c r="AA55" s="183"/>
      <c r="AE55" s="153"/>
      <c r="AF55" s="153"/>
      <c r="AG55" s="153"/>
      <c r="AH55" s="153"/>
      <c r="AI55" s="153"/>
    </row>
    <row r="56" spans="1:35" ht="15.75" x14ac:dyDescent="0.25">
      <c r="A56" s="68" t="str">
        <f>DefaultData!C41</f>
        <v>Annual Operating and Maintenance Costs</v>
      </c>
      <c r="B56" s="47"/>
      <c r="C56" s="110"/>
      <c r="D56" s="48"/>
      <c r="E56" s="48"/>
      <c r="F56" s="39"/>
      <c r="O56" s="104" t="s">
        <v>386</v>
      </c>
      <c r="P56" s="267"/>
      <c r="T56" s="15"/>
      <c r="AA56" s="183"/>
      <c r="AE56" s="319" t="s">
        <v>370</v>
      </c>
      <c r="AF56" s="202"/>
      <c r="AG56" s="153"/>
      <c r="AH56" s="184"/>
      <c r="AI56" s="184"/>
    </row>
    <row r="57" spans="1:35" ht="15.75" x14ac:dyDescent="0.25">
      <c r="A57" s="68"/>
      <c r="B57" s="47"/>
      <c r="C57" s="110"/>
      <c r="D57" s="48"/>
      <c r="E57" s="48"/>
      <c r="F57" s="39"/>
      <c r="O57" s="104" t="s">
        <v>387</v>
      </c>
      <c r="P57" s="267"/>
      <c r="T57" s="15"/>
      <c r="AA57" s="183"/>
      <c r="AE57" s="319"/>
      <c r="AF57" s="202"/>
      <c r="AG57" s="153"/>
      <c r="AH57" s="184"/>
      <c r="AI57" s="184"/>
    </row>
    <row r="58" spans="1:35" ht="15" x14ac:dyDescent="0.2">
      <c r="A58" s="39"/>
      <c r="B58" s="42" t="s">
        <v>101</v>
      </c>
      <c r="C58" s="111" t="s">
        <v>222</v>
      </c>
      <c r="D58" s="67" t="s">
        <v>177</v>
      </c>
      <c r="E58" s="42" t="s">
        <v>1</v>
      </c>
      <c r="F58" s="39"/>
      <c r="O58" s="104" t="s">
        <v>388</v>
      </c>
      <c r="P58" s="267"/>
      <c r="T58" s="15"/>
      <c r="AA58" s="15"/>
      <c r="AE58" s="153"/>
      <c r="AF58" s="185" t="s">
        <v>101</v>
      </c>
      <c r="AG58" s="185" t="s">
        <v>222</v>
      </c>
      <c r="AH58" s="167" t="s">
        <v>177</v>
      </c>
      <c r="AI58" s="185" t="s">
        <v>1</v>
      </c>
    </row>
    <row r="59" spans="1:35" ht="15.75" x14ac:dyDescent="0.25">
      <c r="A59" s="224" t="str">
        <f>DefaultData!C42</f>
        <v>Fixed Costs</v>
      </c>
      <c r="B59" s="48"/>
      <c r="C59" s="111" t="s">
        <v>223</v>
      </c>
      <c r="D59" s="67" t="s">
        <v>178</v>
      </c>
      <c r="E59" s="48"/>
      <c r="F59" s="39"/>
      <c r="O59" s="104" t="s">
        <v>31</v>
      </c>
      <c r="P59" s="267"/>
      <c r="T59" s="15"/>
      <c r="AA59" s="15"/>
      <c r="AE59" s="320" t="s">
        <v>321</v>
      </c>
      <c r="AF59" s="184"/>
      <c r="AG59" s="185" t="s">
        <v>223</v>
      </c>
      <c r="AH59" s="167" t="s">
        <v>178</v>
      </c>
      <c r="AI59" s="184"/>
    </row>
    <row r="60" spans="1:35" ht="15" x14ac:dyDescent="0.2">
      <c r="A60" s="94" t="str">
        <f>DefaultData!C44</f>
        <v xml:space="preserve"> Labor</v>
      </c>
      <c r="B60" s="58">
        <f>DefaultData!$D44</f>
        <v>1725075.0000000007</v>
      </c>
      <c r="C60" s="132">
        <f>B60/(B$15*1000)</f>
        <v>3.4501500000000016</v>
      </c>
      <c r="D60" s="108">
        <f>B60/B$74</f>
        <v>2.2342117349296114E-2</v>
      </c>
      <c r="E60" s="56">
        <f>$T60</f>
        <v>1</v>
      </c>
      <c r="F60" s="39"/>
      <c r="O60" s="104" t="s">
        <v>32</v>
      </c>
      <c r="P60" s="267"/>
      <c r="T60" s="15">
        <f>IF($T$12=0,DefaultData!$G44,IF($T$12=2,"Error",IF($F$13&lt;DefaultData!$H$13,DefaultData!$H44,IF($F$13&lt;DefaultData!$I$13,DefaultData!$O44,IF($F$13&lt;DefaultData!$J$13,DefaultData!$R44,DefaultData!$U44)))))</f>
        <v>1</v>
      </c>
      <c r="AA60" s="15"/>
      <c r="AE60" s="321" t="s">
        <v>302</v>
      </c>
      <c r="AF60" s="58">
        <f>DefaultData!$D44</f>
        <v>1725075.0000000007</v>
      </c>
      <c r="AG60" s="198">
        <f>AF60/($B$15*1000)</f>
        <v>3.4501500000000016</v>
      </c>
      <c r="AH60" s="205">
        <f>AF60/(AF$74)</f>
        <v>2.458233227028276E-2</v>
      </c>
      <c r="AI60" s="56">
        <f>$T60</f>
        <v>1</v>
      </c>
    </row>
    <row r="61" spans="1:35" ht="15" x14ac:dyDescent="0.2">
      <c r="A61" s="94" t="str">
        <f>DefaultData!C48</f>
        <v xml:space="preserve"> Materials</v>
      </c>
      <c r="B61" s="58">
        <f>DefaultData!$D48</f>
        <v>249992.18749999991</v>
      </c>
      <c r="C61" s="132">
        <f>B61/(B$15*1000)</f>
        <v>0.49998437499999981</v>
      </c>
      <c r="D61" s="108">
        <f>B61/B$74</f>
        <v>3.2377460629434856E-3</v>
      </c>
      <c r="E61" s="56">
        <f>$T61</f>
        <v>0.25</v>
      </c>
      <c r="F61" s="39"/>
      <c r="O61" s="104" t="s">
        <v>33</v>
      </c>
      <c r="P61" s="267"/>
      <c r="T61" s="15">
        <f>IF($T$12=0,DefaultData!$G48,IF($T$12=2,"Error",IF($F$13&lt;DefaultData!$H$13,DefaultData!$H48,IF($F$13&lt;DefaultData!$I$13,DefaultData!$O48,IF($F$13&lt;DefaultData!$J$13,DefaultData!$R48,DefaultData!$U48)))))</f>
        <v>0.25</v>
      </c>
      <c r="AA61" s="15"/>
      <c r="AE61" s="321" t="s">
        <v>343</v>
      </c>
      <c r="AF61" s="58">
        <f>DefaultData!$D48</f>
        <v>249992.18749999991</v>
      </c>
      <c r="AG61" s="198">
        <f>AF61/($B$15*1000)</f>
        <v>0.49998437499999981</v>
      </c>
      <c r="AH61" s="205">
        <f>AF61/(AF$74)</f>
        <v>3.562390631189846E-3</v>
      </c>
      <c r="AI61" s="56">
        <f>$T61</f>
        <v>0.25</v>
      </c>
    </row>
    <row r="62" spans="1:35" ht="15" x14ac:dyDescent="0.2">
      <c r="A62" s="94" t="str">
        <f>DefaultData!C49</f>
        <v xml:space="preserve"> Services</v>
      </c>
      <c r="B62" s="58">
        <f>DefaultData!$D49</f>
        <v>2149932.8124999991</v>
      </c>
      <c r="C62" s="132">
        <f>B62/(B$15*1000)</f>
        <v>4.299865624999998</v>
      </c>
      <c r="D62" s="108">
        <f>B62/B$74</f>
        <v>2.7844616141313974E-2</v>
      </c>
      <c r="E62" s="56">
        <f>$T62</f>
        <v>0.85</v>
      </c>
      <c r="F62" s="39"/>
      <c r="O62" s="104" t="s">
        <v>34</v>
      </c>
      <c r="P62" s="267"/>
      <c r="T62" s="15">
        <f>IF($T$12=0,DefaultData!$G49,IF($T$12=2,"Error",IF($F$13&lt;DefaultData!$H$13,DefaultData!$H49,IF($F$13&lt;DefaultData!$I$13,DefaultData!$O49,IF($F$13&lt;DefaultData!$J$13,DefaultData!$R49,DefaultData!$U49)))))</f>
        <v>0.85</v>
      </c>
      <c r="AA62" s="15"/>
      <c r="AE62" s="321" t="s">
        <v>345</v>
      </c>
      <c r="AF62" s="58">
        <f>DefaultData!$D49</f>
        <v>2149932.8124999991</v>
      </c>
      <c r="AG62" s="198">
        <f>AF62/($B$15*1000)</f>
        <v>4.299865624999998</v>
      </c>
      <c r="AH62" s="205">
        <f>AF62/(AF$74)</f>
        <v>3.0636559428232672E-2</v>
      </c>
      <c r="AI62" s="56">
        <f>$T62</f>
        <v>0.85</v>
      </c>
    </row>
    <row r="63" spans="1:35" ht="15" x14ac:dyDescent="0.2">
      <c r="A63" s="94" t="str">
        <f>DefaultData!C50</f>
        <v xml:space="preserve"> Fixed Subtotal</v>
      </c>
      <c r="B63" s="47">
        <f>SUM(B60:B62)</f>
        <v>4125000</v>
      </c>
      <c r="C63" s="74">
        <f>SUM(C60:C62)</f>
        <v>8.25</v>
      </c>
      <c r="D63" s="108">
        <f>SUM(D60:D62)</f>
        <v>5.3424479553553575E-2</v>
      </c>
      <c r="E63" s="230"/>
      <c r="F63" s="39"/>
      <c r="O63" s="104" t="s">
        <v>390</v>
      </c>
      <c r="P63" s="267"/>
      <c r="T63" s="15"/>
      <c r="AA63" s="15"/>
      <c r="AE63" s="321" t="s">
        <v>344</v>
      </c>
      <c r="AF63" s="202">
        <f>SUM(AF60:AF62)</f>
        <v>4125000</v>
      </c>
      <c r="AG63" s="198">
        <f>SUM(AG60:AG62)</f>
        <v>8.25</v>
      </c>
      <c r="AH63" s="205">
        <f>AF63/(AF$74)</f>
        <v>5.8781282329705281E-2</v>
      </c>
      <c r="AI63" s="318"/>
    </row>
    <row r="64" spans="1:35" ht="15" x14ac:dyDescent="0.2">
      <c r="A64" s="94"/>
      <c r="B64" s="265"/>
      <c r="C64" s="131"/>
      <c r="D64" s="108"/>
      <c r="E64" s="109"/>
      <c r="F64" s="39"/>
      <c r="O64" s="104" t="s">
        <v>391</v>
      </c>
      <c r="P64" s="267"/>
      <c r="T64" s="15"/>
      <c r="AA64" s="15"/>
      <c r="AE64" s="321"/>
      <c r="AF64" s="260"/>
      <c r="AG64" s="169"/>
      <c r="AH64" s="205"/>
      <c r="AI64" s="183"/>
    </row>
    <row r="65" spans="1:35" ht="15" x14ac:dyDescent="0.2">
      <c r="A65" s="94"/>
      <c r="B65" s="42"/>
      <c r="C65" s="88" t="s">
        <v>222</v>
      </c>
      <c r="D65" s="67"/>
      <c r="E65" s="42"/>
      <c r="F65" s="39"/>
      <c r="O65" s="104" t="s">
        <v>392</v>
      </c>
      <c r="P65" s="267"/>
      <c r="T65" s="15"/>
      <c r="AA65" s="15"/>
      <c r="AE65" s="321"/>
      <c r="AF65" s="185"/>
      <c r="AG65" s="197" t="s">
        <v>222</v>
      </c>
      <c r="AH65" s="167"/>
      <c r="AI65" s="185"/>
    </row>
    <row r="66" spans="1:35" ht="15.75" x14ac:dyDescent="0.25">
      <c r="A66" s="224" t="str">
        <f>DefaultData!C52</f>
        <v>Variable Costs</v>
      </c>
      <c r="B66" s="47"/>
      <c r="C66" s="88" t="s">
        <v>331</v>
      </c>
      <c r="D66" s="67"/>
      <c r="E66" s="109"/>
      <c r="F66" s="39"/>
      <c r="O66" s="104" t="s">
        <v>35</v>
      </c>
      <c r="P66" s="267"/>
      <c r="T66" s="15"/>
      <c r="AA66" s="183"/>
      <c r="AE66" s="320" t="s">
        <v>322</v>
      </c>
      <c r="AF66" s="202"/>
      <c r="AG66" s="197" t="s">
        <v>331</v>
      </c>
      <c r="AH66" s="167"/>
      <c r="AI66" s="183"/>
    </row>
    <row r="67" spans="1:35" ht="15" x14ac:dyDescent="0.2">
      <c r="A67" s="94" t="str">
        <f>DefaultData!C53</f>
        <v xml:space="preserve"> Routine Turbine Maintenance</v>
      </c>
      <c r="B67" s="58">
        <f>DefaultData!$D53</f>
        <v>6975150.0000000009</v>
      </c>
      <c r="C67" s="132">
        <f>B67/DefaultData!E$5</f>
        <v>2.4500000000000002</v>
      </c>
      <c r="D67" s="108">
        <f t="shared" ref="D67:D73" si="6">B67/B$74</f>
        <v>9.0337880862538009E-2</v>
      </c>
      <c r="E67" s="56">
        <f>$T67</f>
        <v>0.05</v>
      </c>
      <c r="F67" s="39"/>
      <c r="O67" s="337" t="s">
        <v>518</v>
      </c>
      <c r="P67" s="267"/>
      <c r="T67" s="15">
        <f>IF($T$12=0,DefaultData!$G53,IF($T$12=2,"Error",IF($F$13&lt;DefaultData!$H$13,DefaultData!$H53,IF($F$13&lt;DefaultData!$I$13,DefaultData!$O53,IF($F$13&lt;DefaultData!$J$13,DefaultData!$R53,DefaultData!$U53)))))</f>
        <v>0.05</v>
      </c>
      <c r="AA67" s="183"/>
      <c r="AE67" s="58" t="s">
        <v>459</v>
      </c>
      <c r="AF67" s="58">
        <f>DefaultData!$D53</f>
        <v>6975150.0000000009</v>
      </c>
      <c r="AG67" s="198">
        <f>AF67/(DefaultData!$E$5)</f>
        <v>2.4500000000000002</v>
      </c>
      <c r="AH67" s="205">
        <f t="shared" ref="AH67:AH74" si="7">AF67/(AF$74)</f>
        <v>9.9395942167768203E-2</v>
      </c>
      <c r="AI67" s="56">
        <f>$T67</f>
        <v>0.05</v>
      </c>
    </row>
    <row r="68" spans="1:35" ht="15" x14ac:dyDescent="0.2">
      <c r="A68" s="94" t="str">
        <f>DefaultData!C54</f>
        <v xml:space="preserve"> Water</v>
      </c>
      <c r="B68" s="58">
        <f>DefaultData!$D54</f>
        <v>427050</v>
      </c>
      <c r="C68" s="132">
        <f>B68/DefaultData!E$5</f>
        <v>0.15</v>
      </c>
      <c r="D68" s="108">
        <f t="shared" si="6"/>
        <v>5.5308906650533467E-3</v>
      </c>
      <c r="E68" s="56">
        <f>$T68</f>
        <v>1</v>
      </c>
      <c r="F68" s="39"/>
      <c r="O68" s="104" t="s">
        <v>36</v>
      </c>
      <c r="P68" s="267"/>
      <c r="T68" s="15">
        <f>IF($T$12=0,DefaultData!$G54,IF($T$12=2,"Error",IF($F$13&lt;DefaultData!$H$13,DefaultData!$H54,IF($F$13&lt;DefaultData!$I$13,DefaultData!$O54,IF($F$13&lt;DefaultData!$J$13,DefaultData!$R54,DefaultData!$U54)))))</f>
        <v>1</v>
      </c>
      <c r="AA68" s="183"/>
      <c r="AE68" s="321" t="s">
        <v>335</v>
      </c>
      <c r="AF68" s="58">
        <f>DefaultData!$D54</f>
        <v>427050</v>
      </c>
      <c r="AG68" s="198">
        <f>AF68/(DefaultData!$E$5)</f>
        <v>0.15</v>
      </c>
      <c r="AH68" s="205">
        <f t="shared" si="7"/>
        <v>6.085465847006216E-3</v>
      </c>
      <c r="AI68" s="56">
        <f>$T68</f>
        <v>1</v>
      </c>
    </row>
    <row r="69" spans="1:35" ht="15" x14ac:dyDescent="0.2">
      <c r="A69" s="94" t="str">
        <f>DefaultData!C55</f>
        <v xml:space="preserve"> Catalysts &amp; chemicals</v>
      </c>
      <c r="B69" s="58">
        <f>DefaultData!$D55</f>
        <v>854100</v>
      </c>
      <c r="C69" s="132">
        <f>B69/DefaultData!E$5</f>
        <v>0.3</v>
      </c>
      <c r="D69" s="108">
        <f t="shared" si="6"/>
        <v>1.1061781330106693E-2</v>
      </c>
      <c r="E69" s="56">
        <f>$T69</f>
        <v>0.85</v>
      </c>
      <c r="F69" s="39"/>
      <c r="O69" s="104" t="s">
        <v>37</v>
      </c>
      <c r="P69" s="267"/>
      <c r="T69" s="15">
        <f>IF($T$12=0,DefaultData!$G55,IF($T$12=2,"Error",IF($F$13&lt;DefaultData!$H$13,DefaultData!$H55,IF($F$13&lt;DefaultData!$I$13,DefaultData!$O55,IF($F$13&lt;DefaultData!$J$13,DefaultData!$R55,DefaultData!$U55)))))</f>
        <v>0.85</v>
      </c>
      <c r="AA69" s="183"/>
      <c r="AE69" s="321" t="s">
        <v>336</v>
      </c>
      <c r="AF69" s="58">
        <f>DefaultData!$D55</f>
        <v>854100</v>
      </c>
      <c r="AG69" s="198">
        <f>AF69/(DefaultData!$E$5)</f>
        <v>0.3</v>
      </c>
      <c r="AH69" s="205">
        <f t="shared" si="7"/>
        <v>1.2170931694012432E-2</v>
      </c>
      <c r="AI69" s="56">
        <f>$T69</f>
        <v>0.85</v>
      </c>
    </row>
    <row r="70" spans="1:35" ht="15" x14ac:dyDescent="0.2">
      <c r="A70" s="94" t="str">
        <f>DefaultData!C56</f>
        <v xml:space="preserve"> Variable Subtotal</v>
      </c>
      <c r="B70" s="229">
        <f>SUM(B67:B69)</f>
        <v>8256300.0000000009</v>
      </c>
      <c r="C70" s="258">
        <f>SUM(C67:C69)</f>
        <v>2.9</v>
      </c>
      <c r="D70" s="108">
        <f>SUM(D67:D69)</f>
        <v>0.10693055285769805</v>
      </c>
      <c r="E70" s="230"/>
      <c r="F70" s="39"/>
      <c r="O70" s="104" t="s">
        <v>38</v>
      </c>
      <c r="P70" s="267"/>
      <c r="T70" s="15"/>
      <c r="AA70" s="183"/>
      <c r="AE70" s="321" t="s">
        <v>337</v>
      </c>
      <c r="AF70" s="58">
        <f>AF69+AF68</f>
        <v>1281150</v>
      </c>
      <c r="AG70" s="198">
        <f>AF70/(DefaultData!$E$5)</f>
        <v>0.45</v>
      </c>
      <c r="AH70" s="205">
        <f t="shared" si="7"/>
        <v>1.8256397541018647E-2</v>
      </c>
      <c r="AI70" s="56"/>
    </row>
    <row r="71" spans="1:35" ht="15.75" x14ac:dyDescent="0.25">
      <c r="A71" s="224" t="str">
        <f>DefaultData!C57</f>
        <v>Fuel Cost</v>
      </c>
      <c r="B71" s="58">
        <f>DefaultData!$D57</f>
        <v>64769250</v>
      </c>
      <c r="C71" s="132">
        <f>B71/DefaultData!E$5</f>
        <v>22.75</v>
      </c>
      <c r="D71" s="108">
        <f t="shared" si="6"/>
        <v>0.83885175086642427</v>
      </c>
      <c r="E71" s="405">
        <f>B21</f>
        <v>0</v>
      </c>
      <c r="F71" s="39"/>
      <c r="O71" s="104" t="s">
        <v>39</v>
      </c>
      <c r="P71" s="267"/>
      <c r="T71" s="15">
        <f>DefaultData!G57</f>
        <v>0</v>
      </c>
      <c r="AA71" s="183"/>
      <c r="AE71" s="320" t="s">
        <v>338</v>
      </c>
      <c r="AF71" s="58">
        <f>DefaultData!$D57</f>
        <v>64769250</v>
      </c>
      <c r="AG71" s="198">
        <f>AF71/(DefaultData!$E$5)</f>
        <v>22.75</v>
      </c>
      <c r="AH71" s="205">
        <f t="shared" si="7"/>
        <v>0.92296232012927604</v>
      </c>
      <c r="AI71" s="56">
        <f>$T71</f>
        <v>0</v>
      </c>
    </row>
    <row r="72" spans="1:35" ht="15.75" x14ac:dyDescent="0.25">
      <c r="A72" s="224" t="str">
        <f>DefaultData!C58</f>
        <v>Sales Tax (Materials &amp; Equipment Purchases)</v>
      </c>
      <c r="B72" s="58">
        <f>($B61+$B68+$B69)*$B94</f>
        <v>61245.6875</v>
      </c>
      <c r="C72" s="132"/>
      <c r="D72" s="108">
        <f t="shared" si="6"/>
        <v>7.9321672232414106E-4</v>
      </c>
      <c r="E72" s="405">
        <f>$D94</f>
        <v>1</v>
      </c>
      <c r="F72" s="39"/>
      <c r="O72" s="104" t="s">
        <v>40</v>
      </c>
      <c r="P72" s="267"/>
      <c r="T72" s="15">
        <f>DefaultData!G58</f>
        <v>1</v>
      </c>
      <c r="AA72" s="15"/>
      <c r="AE72" s="362" t="s">
        <v>467</v>
      </c>
      <c r="AF72" s="58">
        <f>($B61+$B68+$B69)*$B94</f>
        <v>61245.6875</v>
      </c>
      <c r="AG72" s="198">
        <f>AF72/(DefaultData!$E$5)</f>
        <v>2.1512359501229365E-2</v>
      </c>
      <c r="AH72" s="205">
        <f t="shared" si="7"/>
        <v>8.7275152688833977E-4</v>
      </c>
      <c r="AI72" s="56">
        <f>$T72</f>
        <v>1</v>
      </c>
    </row>
    <row r="73" spans="1:35" ht="15.75" x14ac:dyDescent="0.25">
      <c r="A73" s="224" t="str">
        <f>DefaultData!C59</f>
        <v>Other Taxes/Payments</v>
      </c>
      <c r="B73" s="58">
        <f>DefaultData!$D59</f>
        <v>0</v>
      </c>
      <c r="C73" s="131"/>
      <c r="D73" s="108">
        <f t="shared" si="6"/>
        <v>0</v>
      </c>
      <c r="E73" s="56">
        <f>$T73</f>
        <v>1</v>
      </c>
      <c r="F73" s="48"/>
      <c r="O73" s="104" t="s">
        <v>41</v>
      </c>
      <c r="P73" s="267"/>
      <c r="T73" s="15">
        <f>DefaultData!G59</f>
        <v>1</v>
      </c>
      <c r="AA73" s="15"/>
      <c r="AE73" s="292" t="s">
        <v>468</v>
      </c>
      <c r="AF73" s="58">
        <f>DefaultData!$D59</f>
        <v>0</v>
      </c>
      <c r="AG73" s="198">
        <f>AF73/(DefaultData!$E$5)</f>
        <v>0</v>
      </c>
      <c r="AH73" s="205">
        <f t="shared" si="7"/>
        <v>0</v>
      </c>
      <c r="AI73" s="56">
        <f>$T73</f>
        <v>1</v>
      </c>
    </row>
    <row r="74" spans="1:35" ht="15.75" x14ac:dyDescent="0.25">
      <c r="A74" s="224" t="str">
        <f>DefaultData!C60</f>
        <v>Total (with Sales Tax and Other Taxes/Payments</v>
      </c>
      <c r="B74" s="47">
        <f>B73+B72+B71+B70+B63</f>
        <v>77211795.6875</v>
      </c>
      <c r="C74" s="131"/>
      <c r="D74" s="108">
        <f>D73+D72+D71+D70+D63</f>
        <v>1</v>
      </c>
      <c r="E74" s="39"/>
      <c r="F74" s="48"/>
      <c r="O74" s="104" t="s">
        <v>42</v>
      </c>
      <c r="P74" s="267"/>
      <c r="T74" s="15"/>
      <c r="AA74" s="15"/>
      <c r="AE74" s="320" t="s">
        <v>0</v>
      </c>
      <c r="AF74" s="202">
        <f>AF71+AF70+AF63</f>
        <v>70175400</v>
      </c>
      <c r="AG74" s="198"/>
      <c r="AH74" s="205">
        <f t="shared" si="7"/>
        <v>1</v>
      </c>
      <c r="AI74" s="153"/>
    </row>
    <row r="75" spans="1:35" ht="15" x14ac:dyDescent="0.2">
      <c r="A75" s="67"/>
      <c r="B75" s="113"/>
      <c r="C75" s="132"/>
      <c r="D75" s="39"/>
      <c r="E75" s="39"/>
      <c r="F75" s="48"/>
      <c r="P75" s="267"/>
      <c r="T75" s="15"/>
      <c r="AA75" s="15"/>
      <c r="AE75" s="167"/>
      <c r="AF75" s="322"/>
      <c r="AG75" s="198"/>
      <c r="AH75" s="153"/>
      <c r="AI75" s="153"/>
    </row>
    <row r="76" spans="1:35" ht="12.75" customHeight="1" x14ac:dyDescent="0.25">
      <c r="A76" s="69" t="str">
        <f>DefaultData!C68</f>
        <v>Other Parameters</v>
      </c>
      <c r="B76" s="39"/>
      <c r="C76" s="48"/>
      <c r="D76" s="48"/>
      <c r="E76" s="48"/>
      <c r="F76" s="48"/>
      <c r="P76" s="267"/>
      <c r="T76" s="15"/>
      <c r="AA76" s="183"/>
      <c r="AE76" s="323" t="s">
        <v>126</v>
      </c>
      <c r="AF76" s="153"/>
      <c r="AG76" s="184"/>
      <c r="AH76" s="184"/>
      <c r="AI76" s="184"/>
    </row>
    <row r="77" spans="1:35" ht="12.75" customHeight="1" x14ac:dyDescent="0.2">
      <c r="A77" s="66" t="str">
        <f>DefaultData!C69</f>
        <v>Financial Parameters</v>
      </c>
      <c r="B77" s="39"/>
      <c r="C77" s="48"/>
      <c r="D77" s="42" t="s">
        <v>1</v>
      </c>
      <c r="E77" s="48"/>
      <c r="F77" s="48"/>
      <c r="P77" s="267"/>
      <c r="T77" s="15"/>
      <c r="AA77" s="183"/>
      <c r="AE77" s="78" t="s">
        <v>102</v>
      </c>
      <c r="AF77" s="153"/>
      <c r="AG77" s="184"/>
      <c r="AH77" s="185" t="s">
        <v>1</v>
      </c>
      <c r="AI77" s="184"/>
    </row>
    <row r="78" spans="1:35" ht="14.25" customHeight="1" x14ac:dyDescent="0.2">
      <c r="A78" s="66" t="str">
        <f>DefaultData!C70</f>
        <v>Debt Financing</v>
      </c>
      <c r="B78" s="39"/>
      <c r="C78" s="48"/>
      <c r="D78" s="42"/>
      <c r="E78" s="48"/>
      <c r="F78" s="48"/>
      <c r="P78" s="267"/>
      <c r="T78" s="15"/>
      <c r="AA78" s="183"/>
      <c r="AE78" s="78" t="s">
        <v>170</v>
      </c>
      <c r="AF78" s="153"/>
      <c r="AG78" s="184"/>
      <c r="AH78" s="185"/>
      <c r="AI78" s="184"/>
    </row>
    <row r="79" spans="1:35" ht="12.75" customHeight="1" x14ac:dyDescent="0.2">
      <c r="A79" s="45" t="str">
        <f>DefaultData!C71</f>
        <v xml:space="preserve">  Percentage financed</v>
      </c>
      <c r="B79" s="56">
        <f>DefaultData!$D71</f>
        <v>0.8</v>
      </c>
      <c r="C79" s="48"/>
      <c r="D79" s="56">
        <f>DefaultData!$F71</f>
        <v>0</v>
      </c>
      <c r="E79" s="48"/>
      <c r="F79" s="48"/>
      <c r="P79" s="267"/>
      <c r="T79" s="15"/>
      <c r="AA79" s="183"/>
      <c r="AE79" s="195" t="s">
        <v>103</v>
      </c>
      <c r="AF79" s="56">
        <f>DefaultData!$D71</f>
        <v>0.8</v>
      </c>
      <c r="AG79" s="184"/>
      <c r="AH79" s="56">
        <f>DefaultData!$F71</f>
        <v>0</v>
      </c>
      <c r="AI79" s="184"/>
    </row>
    <row r="80" spans="1:35" ht="15" x14ac:dyDescent="0.2">
      <c r="A80" s="45" t="str">
        <f>DefaultData!C72</f>
        <v xml:space="preserve">  Years financed (term)</v>
      </c>
      <c r="B80" s="57">
        <f>DefaultData!$D72</f>
        <v>20</v>
      </c>
      <c r="C80" s="335" t="str">
        <f>IF(B80&lt;=1,"    Error, entry required. Please enter number of years financed (term).","")</f>
        <v/>
      </c>
      <c r="D80" s="46"/>
      <c r="E80" s="48"/>
      <c r="F80" s="48"/>
      <c r="P80" s="267"/>
      <c r="T80" s="15"/>
      <c r="AA80" s="183"/>
      <c r="AE80" s="195" t="s">
        <v>104</v>
      </c>
      <c r="AF80" s="57">
        <f>DefaultData!$D72</f>
        <v>20</v>
      </c>
      <c r="AG80" s="184"/>
      <c r="AH80" s="204"/>
      <c r="AI80" s="184"/>
    </row>
    <row r="81" spans="1:35" x14ac:dyDescent="0.2">
      <c r="A81" s="45" t="str">
        <f>DefaultData!C73</f>
        <v xml:space="preserve">  Interest rate</v>
      </c>
      <c r="B81" s="56">
        <f>DefaultData!$D73</f>
        <v>0.1</v>
      </c>
      <c r="C81" s="48"/>
      <c r="D81" s="46"/>
      <c r="E81" s="48"/>
      <c r="F81" s="48"/>
      <c r="T81" s="15"/>
      <c r="AA81" s="183"/>
      <c r="AE81" s="195" t="s">
        <v>105</v>
      </c>
      <c r="AF81" s="56">
        <f>DefaultData!$D73</f>
        <v>0.1</v>
      </c>
      <c r="AG81" s="184"/>
      <c r="AH81" s="204"/>
      <c r="AI81" s="184"/>
    </row>
    <row r="82" spans="1:35" x14ac:dyDescent="0.2">
      <c r="A82" s="67" t="str">
        <f>DefaultData!C75</f>
        <v>Equity Financing/Repayment</v>
      </c>
      <c r="B82" s="42"/>
      <c r="C82" s="48"/>
      <c r="D82" s="66"/>
      <c r="E82" s="66"/>
      <c r="F82" s="48"/>
      <c r="T82" s="15"/>
      <c r="AA82" s="185"/>
      <c r="AE82" s="167" t="s">
        <v>218</v>
      </c>
      <c r="AF82" s="185"/>
      <c r="AG82" s="184"/>
      <c r="AH82" s="78"/>
      <c r="AI82" s="78"/>
    </row>
    <row r="83" spans="1:35" x14ac:dyDescent="0.2">
      <c r="A83" s="114" t="str">
        <f>DefaultData!C76</f>
        <v xml:space="preserve">  Percentage equity</v>
      </c>
      <c r="B83" s="115">
        <f>1-B79</f>
        <v>0.19999999999999996</v>
      </c>
      <c r="C83" s="48"/>
      <c r="D83" s="66"/>
      <c r="E83" s="66"/>
      <c r="F83" s="48"/>
      <c r="T83" s="15"/>
      <c r="AA83" s="184"/>
      <c r="AE83" s="123" t="s">
        <v>171</v>
      </c>
      <c r="AF83" s="201">
        <f>1-AF79</f>
        <v>0.19999999999999996</v>
      </c>
      <c r="AG83" s="184"/>
      <c r="AH83" s="78"/>
      <c r="AI83" s="78"/>
    </row>
    <row r="84" spans="1:35" x14ac:dyDescent="0.2">
      <c r="A84" s="114" t="str">
        <f>DefaultData!C77</f>
        <v xml:space="preserve">  Individual Investors (percent of equity)</v>
      </c>
      <c r="B84" s="103">
        <f>DefaultData!$D77</f>
        <v>0</v>
      </c>
      <c r="C84" s="48"/>
      <c r="D84" s="56">
        <f>DefaultData!$F77</f>
        <v>1</v>
      </c>
      <c r="E84" s="66"/>
      <c r="F84" s="48"/>
      <c r="T84" s="15"/>
      <c r="AA84" s="184"/>
      <c r="AE84" s="123" t="s">
        <v>173</v>
      </c>
      <c r="AF84" s="103">
        <f>DefaultData!$D77</f>
        <v>0</v>
      </c>
      <c r="AG84" s="184"/>
      <c r="AH84" s="56">
        <f>DefaultData!$F77</f>
        <v>1</v>
      </c>
      <c r="AI84" s="78"/>
    </row>
    <row r="85" spans="1:35" x14ac:dyDescent="0.2">
      <c r="A85" s="114" t="str">
        <f>DefaultData!C78</f>
        <v xml:space="preserve">  Corporate Investors (percent of equity)</v>
      </c>
      <c r="B85" s="327">
        <f>1-B84</f>
        <v>1</v>
      </c>
      <c r="C85" s="48"/>
      <c r="D85" s="56">
        <f>DefaultData!$F78</f>
        <v>0</v>
      </c>
      <c r="E85" s="48"/>
      <c r="F85" s="48"/>
      <c r="T85" s="15"/>
      <c r="AA85" s="15"/>
      <c r="AE85" s="123" t="s">
        <v>174</v>
      </c>
      <c r="AF85" s="324">
        <f>1-AF84</f>
        <v>1</v>
      </c>
      <c r="AG85" s="184"/>
      <c r="AH85" s="56">
        <f>DefaultData!$F78</f>
        <v>0</v>
      </c>
      <c r="AI85" s="184"/>
    </row>
    <row r="86" spans="1:35" x14ac:dyDescent="0.2">
      <c r="A86" s="114" t="str">
        <f>DefaultData!C79</f>
        <v xml:space="preserve">  Return on equity</v>
      </c>
      <c r="B86" s="103">
        <f>DefaultData!$D79</f>
        <v>0.16</v>
      </c>
      <c r="C86" s="48"/>
      <c r="D86" s="46"/>
      <c r="E86" s="48"/>
      <c r="F86" s="48"/>
      <c r="G86" s="111"/>
      <c r="T86" s="15"/>
      <c r="AA86" s="183"/>
      <c r="AE86" s="123" t="s">
        <v>172</v>
      </c>
      <c r="AF86" s="103">
        <f>DefaultData!$D79</f>
        <v>0.16</v>
      </c>
      <c r="AG86" s="184"/>
      <c r="AH86" s="204"/>
      <c r="AI86" s="184"/>
    </row>
    <row r="87" spans="1:35" ht="15" x14ac:dyDescent="0.2">
      <c r="A87" s="114" t="str">
        <f>DefaultData!C80</f>
        <v xml:space="preserve">  Repayment term (years)</v>
      </c>
      <c r="B87" s="326">
        <f>DefaultData!$D80</f>
        <v>10</v>
      </c>
      <c r="C87" s="335" t="str">
        <f>IF(B87&lt;=1,"    Error, entry required. Please enter number of years financed (term).","")</f>
        <v/>
      </c>
      <c r="D87" s="46"/>
      <c r="E87" s="48"/>
      <c r="F87" s="48"/>
      <c r="O87" s="104"/>
      <c r="T87" s="15"/>
      <c r="AA87" s="15"/>
      <c r="AE87" s="123" t="s">
        <v>175</v>
      </c>
      <c r="AF87" s="326">
        <f>DefaultData!$D80</f>
        <v>10</v>
      </c>
      <c r="AG87" s="184"/>
      <c r="AH87" s="204"/>
      <c r="AI87" s="184"/>
    </row>
    <row r="88" spans="1:35" x14ac:dyDescent="0.2">
      <c r="A88" s="66" t="str">
        <f>DefaultData!C81</f>
        <v>Tax Parameters</v>
      </c>
      <c r="B88" s="48"/>
      <c r="C88" s="48"/>
      <c r="D88" s="48"/>
      <c r="E88" s="48"/>
      <c r="F88" s="48"/>
      <c r="G88" s="112"/>
      <c r="T88" s="15"/>
      <c r="AA88" s="15"/>
      <c r="AE88" s="78" t="s">
        <v>149</v>
      </c>
      <c r="AF88" s="184"/>
      <c r="AG88" s="184"/>
      <c r="AH88" s="184"/>
      <c r="AI88" s="184"/>
    </row>
    <row r="89" spans="1:35" x14ac:dyDescent="0.2">
      <c r="A89" s="49" t="str">
        <f>DefaultData!C82</f>
        <v xml:space="preserve">  Local Property/Other Tax Rate (percent of taxable value)</v>
      </c>
      <c r="B89" s="103">
        <f>DefaultData!$D82</f>
        <v>0</v>
      </c>
      <c r="C89" s="48"/>
      <c r="D89" s="48"/>
      <c r="E89" s="48"/>
      <c r="F89" s="48"/>
      <c r="G89" s="112"/>
      <c r="T89" s="15"/>
      <c r="AA89" s="15"/>
      <c r="AE89" s="137" t="s">
        <v>215</v>
      </c>
      <c r="AF89" s="103">
        <f>DefaultData!$D82</f>
        <v>0</v>
      </c>
      <c r="AG89" s="184"/>
      <c r="AH89" s="204"/>
      <c r="AI89" s="184"/>
    </row>
    <row r="90" spans="1:35" x14ac:dyDescent="0.2">
      <c r="A90" s="49" t="str">
        <f>DefaultData!C83</f>
        <v xml:space="preserve">  Assessed Value (percent of construction cost)</v>
      </c>
      <c r="B90" s="103">
        <f>DefaultData!$D83</f>
        <v>1</v>
      </c>
      <c r="C90" s="48"/>
      <c r="D90" s="48"/>
      <c r="E90" s="48"/>
      <c r="F90" s="48"/>
      <c r="G90" s="112"/>
      <c r="T90" s="15"/>
      <c r="AA90" s="15"/>
      <c r="AE90" s="137" t="s">
        <v>217</v>
      </c>
      <c r="AF90" s="103">
        <f>DefaultData!$D83</f>
        <v>1</v>
      </c>
      <c r="AG90" s="184"/>
      <c r="AH90" s="204"/>
      <c r="AI90" s="184"/>
    </row>
    <row r="91" spans="1:35" x14ac:dyDescent="0.2">
      <c r="A91" s="49" t="str">
        <f>DefaultData!C84</f>
        <v xml:space="preserve">  Taxable Value (percent of assessed value)</v>
      </c>
      <c r="B91" s="103">
        <f>DefaultData!$D84</f>
        <v>1</v>
      </c>
      <c r="C91" s="48"/>
      <c r="D91" s="48"/>
      <c r="E91" s="48"/>
      <c r="F91" s="48"/>
      <c r="G91" s="112"/>
      <c r="T91" s="15"/>
      <c r="AA91" s="15"/>
      <c r="AE91" s="137" t="s">
        <v>216</v>
      </c>
      <c r="AF91" s="103">
        <f>DefaultData!$D84</f>
        <v>1</v>
      </c>
      <c r="AG91" s="184"/>
      <c r="AH91" s="204"/>
      <c r="AI91" s="184"/>
    </row>
    <row r="92" spans="1:35" x14ac:dyDescent="0.2">
      <c r="A92" s="49" t="str">
        <f>DefaultData!C85</f>
        <v xml:space="preserve">  Taxable Value</v>
      </c>
      <c r="B92" s="73">
        <f>B91*B90*B52</f>
        <v>625000000</v>
      </c>
      <c r="C92" s="48"/>
      <c r="D92" s="48"/>
      <c r="E92" s="48"/>
      <c r="F92" s="48"/>
      <c r="G92" s="112"/>
      <c r="T92" s="15"/>
      <c r="AA92" s="15"/>
      <c r="AE92" s="137" t="s">
        <v>214</v>
      </c>
      <c r="AF92" s="73">
        <f>AF91*AF90*AF52</f>
        <v>621323529.41176462</v>
      </c>
      <c r="AG92" s="184"/>
      <c r="AH92" s="204"/>
      <c r="AI92" s="184"/>
    </row>
    <row r="93" spans="1:35" x14ac:dyDescent="0.2">
      <c r="A93" s="49" t="str">
        <f>DefaultData!C86</f>
        <v xml:space="preserve">  Local Taxes</v>
      </c>
      <c r="B93" s="73">
        <f>B92*B89</f>
        <v>0</v>
      </c>
      <c r="C93" s="48"/>
      <c r="D93" s="56">
        <f>DefaultData!$F86</f>
        <v>1</v>
      </c>
      <c r="E93" s="48"/>
      <c r="F93" s="48"/>
      <c r="G93" s="112"/>
      <c r="AA93" s="15"/>
      <c r="AE93" s="137" t="s">
        <v>153</v>
      </c>
      <c r="AF93" s="73">
        <f>AF92*AF89</f>
        <v>0</v>
      </c>
      <c r="AG93" s="184"/>
      <c r="AH93" s="56">
        <f>DefaultData!$F86</f>
        <v>1</v>
      </c>
      <c r="AI93" s="184"/>
    </row>
    <row r="94" spans="1:35" x14ac:dyDescent="0.2">
      <c r="A94" s="49" t="str">
        <f>DefaultData!C87</f>
        <v xml:space="preserve">  Local Sales Tax Rate</v>
      </c>
      <c r="B94" s="344">
        <f>DefaultData!$D87</f>
        <v>0.04</v>
      </c>
      <c r="C94" s="48"/>
      <c r="D94" s="56">
        <f>DefaultData!$F87</f>
        <v>1</v>
      </c>
      <c r="E94" s="48"/>
      <c r="F94" s="48"/>
      <c r="G94" s="112"/>
      <c r="AA94" s="15"/>
      <c r="AE94" s="137" t="s">
        <v>437</v>
      </c>
      <c r="AF94" s="344">
        <f>DefaultData!$D87</f>
        <v>0.04</v>
      </c>
      <c r="AG94" s="184"/>
      <c r="AH94" s="56">
        <f>DefaultData!$F87</f>
        <v>1</v>
      </c>
      <c r="AI94" s="184"/>
    </row>
    <row r="95" spans="1:35" x14ac:dyDescent="0.2">
      <c r="A95" s="66" t="str">
        <f>DefaultData!C88</f>
        <v>Land Lease Parameters</v>
      </c>
      <c r="B95" s="39"/>
      <c r="C95" s="48"/>
      <c r="D95" s="39"/>
      <c r="E95" s="48"/>
      <c r="F95" s="48"/>
      <c r="G95" s="112"/>
      <c r="T95" s="15"/>
      <c r="AA95" s="15"/>
      <c r="AE95" s="78" t="s">
        <v>150</v>
      </c>
      <c r="AF95" s="153"/>
      <c r="AG95" s="184"/>
      <c r="AH95" s="153"/>
      <c r="AI95" s="184"/>
    </row>
    <row r="96" spans="1:35" x14ac:dyDescent="0.2">
      <c r="A96" s="49" t="str">
        <f>DefaultData!C89</f>
        <v xml:space="preserve">  Land Lease (total cost)</v>
      </c>
      <c r="B96" s="73">
        <f>DefaultData!$D89</f>
        <v>0</v>
      </c>
      <c r="C96" s="48"/>
      <c r="D96" s="46"/>
      <c r="E96" s="48"/>
      <c r="F96" s="48"/>
      <c r="G96" s="112"/>
      <c r="AE96" s="137" t="s">
        <v>151</v>
      </c>
      <c r="AF96" s="73">
        <f>DefaultData!$D89</f>
        <v>0</v>
      </c>
      <c r="AG96" s="184"/>
      <c r="AH96" s="204"/>
      <c r="AI96" s="184"/>
    </row>
    <row r="97" spans="1:35" x14ac:dyDescent="0.2">
      <c r="A97" s="49" t="str">
        <f>DefaultData!C90</f>
        <v xml:space="preserve">  Lease Payment Recipient (F = farmer/household, O = Other)</v>
      </c>
      <c r="B97" s="56" t="str">
        <f>DefaultData!$D90</f>
        <v>O</v>
      </c>
      <c r="C97" s="39"/>
      <c r="D97" s="56">
        <f>DefaultData!$F90</f>
        <v>1</v>
      </c>
      <c r="E97" s="48"/>
      <c r="F97" s="48"/>
      <c r="G97" s="112"/>
      <c r="AE97" s="137" t="s">
        <v>210</v>
      </c>
      <c r="AF97" s="56" t="str">
        <f>DefaultData!$D90</f>
        <v>O</v>
      </c>
      <c r="AG97" s="153"/>
      <c r="AH97" s="56">
        <f>DefaultData!$F90</f>
        <v>1</v>
      </c>
      <c r="AI97" s="184"/>
    </row>
    <row r="98" spans="1:35" x14ac:dyDescent="0.2">
      <c r="A98" s="212" t="s">
        <v>239</v>
      </c>
      <c r="B98" s="87" t="s">
        <v>461</v>
      </c>
      <c r="C98" s="315"/>
      <c r="D98" s="351" t="s">
        <v>462</v>
      </c>
      <c r="E98" s="352"/>
      <c r="F98" s="48"/>
      <c r="G98" s="112"/>
      <c r="AE98" s="325" t="s">
        <v>239</v>
      </c>
      <c r="AF98" s="153"/>
      <c r="AG98" s="153"/>
      <c r="AH98" s="153"/>
      <c r="AI98" s="153"/>
    </row>
    <row r="99" spans="1:35" x14ac:dyDescent="0.2">
      <c r="A99" s="290" t="s">
        <v>415</v>
      </c>
      <c r="B99" s="291">
        <f>DefaultData!$E93</f>
        <v>23.799857725510488</v>
      </c>
      <c r="C99" s="39"/>
      <c r="D99" s="350">
        <f>DefaultData!$G93</f>
        <v>0.37606110248282032</v>
      </c>
      <c r="E99" s="39"/>
      <c r="F99" s="48"/>
      <c r="G99" s="112"/>
      <c r="AE99" s="292" t="s">
        <v>415</v>
      </c>
      <c r="AF99" s="291">
        <f>DefaultData!$E93</f>
        <v>23.799857725510488</v>
      </c>
      <c r="AG99" s="153"/>
      <c r="AH99" s="350">
        <f>DefaultData!$G93</f>
        <v>0.37606110248282032</v>
      </c>
      <c r="AI99" s="153"/>
    </row>
    <row r="100" spans="1:35" x14ac:dyDescent="0.2">
      <c r="A100" s="39"/>
      <c r="B100" s="39"/>
      <c r="C100" s="39"/>
      <c r="D100" s="39"/>
      <c r="E100" s="39"/>
      <c r="F100" s="48"/>
      <c r="G100" s="112"/>
    </row>
    <row r="101" spans="1:35" x14ac:dyDescent="0.2">
      <c r="A101" s="67"/>
      <c r="B101" s="165"/>
      <c r="C101" s="66"/>
      <c r="D101" s="39"/>
      <c r="E101" s="48"/>
      <c r="F101" s="48"/>
      <c r="G101" s="112"/>
    </row>
    <row r="102" spans="1:35" x14ac:dyDescent="0.2">
      <c r="A102" s="94"/>
      <c r="B102" s="268"/>
      <c r="C102" s="44"/>
      <c r="D102" s="39"/>
      <c r="E102" s="48"/>
      <c r="F102" s="48"/>
      <c r="G102" s="112"/>
    </row>
    <row r="103" spans="1:35" x14ac:dyDescent="0.2">
      <c r="A103" s="94"/>
      <c r="B103" s="259"/>
      <c r="C103" s="229"/>
      <c r="D103" s="48"/>
      <c r="E103" s="48"/>
      <c r="F103" s="48"/>
      <c r="G103" s="112"/>
    </row>
    <row r="104" spans="1:35" x14ac:dyDescent="0.2">
      <c r="A104" s="164"/>
      <c r="B104" s="259"/>
      <c r="C104" s="229"/>
      <c r="D104" s="48"/>
      <c r="E104" s="48"/>
      <c r="F104" s="48"/>
      <c r="G104" s="112"/>
    </row>
    <row r="105" spans="1:35" x14ac:dyDescent="0.2">
      <c r="A105" s="117"/>
      <c r="B105" s="117"/>
      <c r="C105" s="39"/>
      <c r="D105" s="117"/>
      <c r="E105" s="48"/>
      <c r="F105" s="48"/>
      <c r="G105" s="112"/>
    </row>
    <row r="106" spans="1:35" x14ac:dyDescent="0.2">
      <c r="A106" s="117"/>
      <c r="B106" s="117"/>
      <c r="C106" s="39"/>
      <c r="D106" s="117"/>
      <c r="E106" s="48"/>
      <c r="F106" s="48"/>
      <c r="G106" s="112"/>
      <c r="T106" s="15"/>
    </row>
    <row r="107" spans="1:35" x14ac:dyDescent="0.2">
      <c r="A107" s="117"/>
      <c r="B107" s="117"/>
      <c r="C107" s="39"/>
      <c r="D107" s="117"/>
      <c r="E107" s="48"/>
      <c r="F107" s="48"/>
      <c r="G107" s="112"/>
    </row>
    <row r="108" spans="1:35" x14ac:dyDescent="0.2">
      <c r="A108" s="48"/>
      <c r="B108" s="48"/>
      <c r="C108" s="48"/>
      <c r="D108" s="48"/>
      <c r="E108" s="48"/>
      <c r="F108" s="48"/>
      <c r="G108" s="112"/>
    </row>
    <row r="109" spans="1:35" x14ac:dyDescent="0.2">
      <c r="A109" s="39"/>
      <c r="B109" s="39"/>
      <c r="C109" s="39"/>
      <c r="D109" s="39"/>
      <c r="E109" s="39"/>
      <c r="F109" s="39"/>
      <c r="G109" s="112"/>
      <c r="M109" s="116"/>
    </row>
    <row r="110" spans="1:35" x14ac:dyDescent="0.2">
      <c r="A110" s="39"/>
      <c r="B110" s="39"/>
      <c r="C110" s="39"/>
      <c r="D110" s="39"/>
      <c r="E110" s="39"/>
      <c r="F110" s="39"/>
      <c r="G110" s="112"/>
      <c r="M110" s="116"/>
    </row>
    <row r="111" spans="1:35" x14ac:dyDescent="0.2">
      <c r="A111" s="39"/>
      <c r="B111" s="39"/>
      <c r="C111" s="39"/>
      <c r="D111" s="39"/>
      <c r="E111" s="39"/>
      <c r="F111" s="39"/>
      <c r="G111" s="112"/>
      <c r="M111" s="116"/>
    </row>
    <row r="112" spans="1:35" x14ac:dyDescent="0.2">
      <c r="A112" s="39"/>
      <c r="B112" s="39"/>
      <c r="C112" s="39"/>
      <c r="D112" s="39"/>
      <c r="E112" s="39"/>
      <c r="F112" s="39"/>
      <c r="G112" s="112"/>
    </row>
    <row r="113" spans="1:7" x14ac:dyDescent="0.2">
      <c r="A113" s="39"/>
      <c r="B113" s="39"/>
      <c r="C113" s="39"/>
      <c r="D113" s="39"/>
      <c r="E113" s="39"/>
      <c r="F113" s="39"/>
      <c r="G113" s="112"/>
    </row>
    <row r="114" spans="1:7" x14ac:dyDescent="0.2">
      <c r="A114" s="39"/>
      <c r="B114" s="39"/>
      <c r="C114" s="39"/>
      <c r="D114" s="39"/>
      <c r="E114" s="39"/>
      <c r="F114" s="39"/>
      <c r="G114" s="112"/>
    </row>
    <row r="115" spans="1:7" x14ac:dyDescent="0.2">
      <c r="A115" s="39"/>
      <c r="B115" s="39"/>
      <c r="C115" s="39"/>
      <c r="D115" s="39"/>
      <c r="E115" s="39"/>
      <c r="F115" s="39"/>
      <c r="G115" s="112"/>
    </row>
    <row r="116" spans="1:7" x14ac:dyDescent="0.2">
      <c r="A116" s="39"/>
      <c r="B116" s="39"/>
      <c r="C116" s="39"/>
      <c r="D116" s="39"/>
      <c r="E116" s="39"/>
      <c r="F116" s="39"/>
      <c r="G116" s="112"/>
    </row>
    <row r="117" spans="1:7" x14ac:dyDescent="0.2">
      <c r="A117" s="39"/>
      <c r="B117" s="39"/>
      <c r="C117" s="39"/>
      <c r="D117" s="39"/>
      <c r="E117" s="39"/>
      <c r="F117" s="48"/>
      <c r="G117" s="112"/>
    </row>
    <row r="118" spans="1:7" x14ac:dyDescent="0.2">
      <c r="A118" s="39"/>
      <c r="B118" s="39"/>
      <c r="C118" s="39"/>
      <c r="D118" s="39"/>
      <c r="E118" s="39"/>
      <c r="F118" s="48"/>
      <c r="G118" s="112"/>
    </row>
    <row r="119" spans="1:7" x14ac:dyDescent="0.2">
      <c r="A119" s="48"/>
      <c r="B119" s="48"/>
      <c r="C119" s="48"/>
      <c r="D119" s="48"/>
      <c r="E119" s="48"/>
      <c r="F119" s="48"/>
      <c r="G119" s="112"/>
    </row>
    <row r="120" spans="1:7" x14ac:dyDescent="0.2">
      <c r="A120" s="39"/>
      <c r="B120" s="39"/>
      <c r="C120" s="39"/>
      <c r="D120" s="39"/>
      <c r="E120" s="39"/>
      <c r="F120" s="39"/>
      <c r="G120" s="112"/>
    </row>
    <row r="121" spans="1:7" x14ac:dyDescent="0.2">
      <c r="A121" s="39"/>
      <c r="B121" s="39"/>
      <c r="C121" s="39"/>
      <c r="D121" s="39"/>
      <c r="E121" s="39"/>
      <c r="F121" s="39"/>
      <c r="G121" s="112"/>
    </row>
    <row r="122" spans="1:7" x14ac:dyDescent="0.2">
      <c r="A122" s="39"/>
      <c r="B122" s="39"/>
      <c r="C122" s="39"/>
      <c r="D122" s="39"/>
      <c r="E122" s="39"/>
      <c r="F122" s="39"/>
      <c r="G122" s="112"/>
    </row>
    <row r="123" spans="1:7" x14ac:dyDescent="0.2">
      <c r="A123" s="39"/>
      <c r="B123" s="39"/>
      <c r="C123" s="39"/>
      <c r="D123" s="39"/>
      <c r="E123" s="39"/>
      <c r="F123" s="39"/>
      <c r="G123" s="112"/>
    </row>
    <row r="124" spans="1:7" x14ac:dyDescent="0.2">
      <c r="A124" s="39"/>
      <c r="B124" s="39"/>
      <c r="C124" s="39"/>
      <c r="D124" s="39"/>
      <c r="E124" s="39"/>
      <c r="F124" s="39"/>
      <c r="G124" s="112"/>
    </row>
    <row r="125" spans="1:7" x14ac:dyDescent="0.2">
      <c r="A125" s="39"/>
      <c r="B125" s="39"/>
      <c r="C125" s="39"/>
      <c r="D125" s="39"/>
      <c r="E125" s="39"/>
      <c r="F125" s="39"/>
      <c r="G125" s="112"/>
    </row>
    <row r="126" spans="1:7" x14ac:dyDescent="0.2">
      <c r="A126" s="39"/>
      <c r="B126" s="39"/>
      <c r="C126" s="39"/>
      <c r="D126" s="39"/>
      <c r="E126" s="39"/>
      <c r="F126" s="39"/>
      <c r="G126" s="112"/>
    </row>
    <row r="127" spans="1:7" x14ac:dyDescent="0.2">
      <c r="A127" s="39"/>
      <c r="B127" s="39"/>
      <c r="C127" s="39"/>
      <c r="D127" s="39"/>
      <c r="E127" s="39"/>
      <c r="F127" s="39"/>
      <c r="G127" s="112"/>
    </row>
    <row r="128" spans="1:7" x14ac:dyDescent="0.2">
      <c r="A128" s="39"/>
      <c r="B128" s="39"/>
      <c r="C128" s="39"/>
      <c r="D128" s="39"/>
      <c r="E128" s="39"/>
      <c r="F128" s="39"/>
      <c r="G128" s="112"/>
    </row>
    <row r="129" spans="1:7" x14ac:dyDescent="0.2">
      <c r="A129" s="48"/>
      <c r="B129" s="48"/>
      <c r="C129" s="48"/>
      <c r="D129" s="48"/>
      <c r="E129" s="48"/>
      <c r="F129" s="48"/>
      <c r="G129" s="112"/>
    </row>
    <row r="130" spans="1:7" x14ac:dyDescent="0.2">
      <c r="A130" s="48"/>
      <c r="B130" s="48"/>
      <c r="C130" s="48"/>
      <c r="D130" s="48"/>
      <c r="E130" s="48"/>
      <c r="F130" s="39"/>
      <c r="G130" s="112"/>
    </row>
    <row r="131" spans="1:7" x14ac:dyDescent="0.2">
      <c r="A131" s="48"/>
      <c r="B131" s="48"/>
      <c r="C131" s="48"/>
      <c r="D131" s="48"/>
      <c r="E131" s="48"/>
      <c r="F131" s="39"/>
      <c r="G131" s="112"/>
    </row>
    <row r="132" spans="1:7" x14ac:dyDescent="0.2">
      <c r="A132" s="48"/>
      <c r="B132" s="48"/>
      <c r="C132" s="48"/>
      <c r="D132" s="48"/>
      <c r="E132" s="48"/>
      <c r="F132" s="48"/>
      <c r="G132" s="112"/>
    </row>
    <row r="133" spans="1:7" x14ac:dyDescent="0.2">
      <c r="A133" s="48"/>
      <c r="B133" s="48"/>
      <c r="C133" s="48"/>
      <c r="D133" s="48"/>
      <c r="E133" s="48"/>
      <c r="F133" s="48"/>
      <c r="G133" s="112"/>
    </row>
    <row r="134" spans="1:7" x14ac:dyDescent="0.2">
      <c r="A134" s="48"/>
      <c r="B134" s="48"/>
      <c r="C134" s="48"/>
      <c r="D134" s="48"/>
      <c r="E134" s="48"/>
      <c r="F134" s="48"/>
      <c r="G134" s="112"/>
    </row>
    <row r="135" spans="1:7" x14ac:dyDescent="0.2">
      <c r="A135" s="48"/>
      <c r="B135" s="48"/>
      <c r="C135" s="48"/>
      <c r="D135" s="48"/>
      <c r="E135" s="48"/>
      <c r="F135" s="48"/>
      <c r="G135" s="112"/>
    </row>
    <row r="136" spans="1:7" x14ac:dyDescent="0.2">
      <c r="A136" s="48"/>
      <c r="B136" s="48"/>
      <c r="C136" s="48"/>
      <c r="D136" s="48"/>
      <c r="E136" s="48"/>
      <c r="F136" s="48"/>
      <c r="G136" s="112"/>
    </row>
    <row r="137" spans="1:7" x14ac:dyDescent="0.2">
      <c r="A137" s="48"/>
      <c r="B137" s="48"/>
      <c r="C137" s="48"/>
      <c r="D137" s="48"/>
      <c r="E137" s="48"/>
      <c r="F137" s="48"/>
      <c r="G137" s="112"/>
    </row>
    <row r="138" spans="1:7" x14ac:dyDescent="0.2">
      <c r="A138" s="48"/>
      <c r="B138" s="48"/>
      <c r="C138" s="48"/>
      <c r="D138" s="48"/>
      <c r="E138" s="48"/>
      <c r="F138" s="48"/>
      <c r="G138" s="112"/>
    </row>
    <row r="139" spans="1:7" x14ac:dyDescent="0.2">
      <c r="A139" s="48"/>
      <c r="B139" s="48"/>
      <c r="C139" s="48"/>
      <c r="D139" s="48"/>
      <c r="E139" s="48"/>
      <c r="F139" s="48"/>
      <c r="G139" s="112"/>
    </row>
    <row r="140" spans="1:7" x14ac:dyDescent="0.2">
      <c r="A140" s="48"/>
      <c r="B140" s="48"/>
      <c r="C140" s="48"/>
      <c r="D140" s="48"/>
      <c r="E140" s="48"/>
      <c r="F140" s="48"/>
      <c r="G140" s="112"/>
    </row>
    <row r="141" spans="1:7" x14ac:dyDescent="0.2">
      <c r="A141" s="48"/>
      <c r="B141" s="48"/>
      <c r="C141" s="48"/>
      <c r="D141" s="48"/>
      <c r="E141" s="48"/>
      <c r="F141" s="48"/>
      <c r="G141" s="112"/>
    </row>
    <row r="142" spans="1:7" x14ac:dyDescent="0.2">
      <c r="A142" s="48"/>
      <c r="B142" s="48"/>
      <c r="C142" s="48"/>
      <c r="D142" s="48"/>
      <c r="E142" s="48"/>
      <c r="F142" s="48"/>
      <c r="G142" s="112"/>
    </row>
    <row r="143" spans="1:7" x14ac:dyDescent="0.2">
      <c r="A143" s="48"/>
      <c r="B143" s="48"/>
      <c r="C143" s="48"/>
      <c r="D143" s="48"/>
      <c r="E143" s="48"/>
      <c r="F143" s="48"/>
      <c r="G143" s="112"/>
    </row>
    <row r="144" spans="1:7" x14ac:dyDescent="0.2">
      <c r="A144" s="48"/>
      <c r="B144" s="48"/>
      <c r="C144" s="48"/>
      <c r="D144" s="48"/>
      <c r="E144" s="48"/>
      <c r="F144" s="48"/>
      <c r="G144" s="112"/>
    </row>
    <row r="145" spans="1:7" x14ac:dyDescent="0.2">
      <c r="A145" s="48"/>
      <c r="B145" s="48"/>
      <c r="C145" s="48"/>
      <c r="D145" s="48"/>
      <c r="E145" s="48"/>
      <c r="F145" s="48"/>
      <c r="G145" s="112"/>
    </row>
    <row r="146" spans="1:7" x14ac:dyDescent="0.2">
      <c r="A146" s="48"/>
      <c r="B146" s="48"/>
      <c r="C146" s="48"/>
      <c r="D146" s="48"/>
      <c r="E146" s="48"/>
      <c r="F146" s="48"/>
      <c r="G146" s="112"/>
    </row>
    <row r="147" spans="1:7" x14ac:dyDescent="0.2">
      <c r="A147" s="48"/>
      <c r="B147" s="48"/>
      <c r="C147" s="48"/>
      <c r="D147" s="48"/>
      <c r="E147" s="48"/>
      <c r="F147" s="48"/>
      <c r="G147" s="112"/>
    </row>
    <row r="148" spans="1:7" x14ac:dyDescent="0.2">
      <c r="A148" s="48"/>
      <c r="B148" s="48"/>
      <c r="C148" s="48"/>
      <c r="D148" s="48"/>
      <c r="E148" s="48"/>
      <c r="F148" s="48"/>
      <c r="G148" s="112"/>
    </row>
    <row r="149" spans="1:7" x14ac:dyDescent="0.2">
      <c r="A149" s="48"/>
      <c r="B149" s="48"/>
      <c r="C149" s="48"/>
      <c r="D149" s="48"/>
      <c r="E149" s="48"/>
      <c r="F149" s="48"/>
      <c r="G149" s="112"/>
    </row>
    <row r="150" spans="1:7" x14ac:dyDescent="0.2">
      <c r="A150" s="48"/>
      <c r="B150" s="48"/>
      <c r="C150" s="48"/>
      <c r="D150" s="48"/>
      <c r="E150" s="48"/>
      <c r="F150" s="48"/>
      <c r="G150" s="112"/>
    </row>
    <row r="151" spans="1:7" x14ac:dyDescent="0.2">
      <c r="A151" s="48"/>
      <c r="B151" s="48"/>
      <c r="C151" s="48"/>
      <c r="D151" s="48"/>
      <c r="E151" s="48"/>
      <c r="F151" s="48"/>
    </row>
    <row r="152" spans="1:7" x14ac:dyDescent="0.2">
      <c r="A152" s="48"/>
      <c r="B152" s="48"/>
      <c r="C152" s="48"/>
      <c r="D152" s="48"/>
      <c r="E152" s="48"/>
      <c r="F152" s="48"/>
    </row>
    <row r="153" spans="1:7" x14ac:dyDescent="0.2">
      <c r="A153" s="48"/>
      <c r="B153" s="48"/>
      <c r="C153" s="48"/>
      <c r="D153" s="48"/>
      <c r="E153" s="48"/>
      <c r="F153" s="48"/>
    </row>
    <row r="154" spans="1:7" x14ac:dyDescent="0.2">
      <c r="A154" s="48"/>
      <c r="B154" s="48"/>
      <c r="C154" s="48"/>
      <c r="D154" s="48"/>
      <c r="E154" s="48"/>
      <c r="F154" s="48"/>
    </row>
    <row r="155" spans="1:7" x14ac:dyDescent="0.2">
      <c r="A155" s="48"/>
      <c r="B155" s="48"/>
      <c r="C155" s="48"/>
      <c r="D155" s="48"/>
      <c r="E155" s="48"/>
      <c r="F155" s="48"/>
    </row>
    <row r="156" spans="1:7" x14ac:dyDescent="0.2">
      <c r="A156" s="48"/>
      <c r="B156" s="48"/>
      <c r="C156" s="48"/>
      <c r="D156" s="48"/>
      <c r="E156" s="48"/>
      <c r="F156" s="48"/>
    </row>
    <row r="157" spans="1:7" x14ac:dyDescent="0.2">
      <c r="A157" s="48"/>
      <c r="B157" s="48"/>
      <c r="C157" s="48"/>
      <c r="D157" s="48"/>
      <c r="E157" s="48"/>
      <c r="F157" s="48"/>
    </row>
    <row r="158" spans="1:7" x14ac:dyDescent="0.2">
      <c r="A158" s="48"/>
      <c r="B158" s="48"/>
      <c r="C158" s="48"/>
      <c r="D158" s="48"/>
      <c r="E158" s="48"/>
      <c r="F158" s="48"/>
    </row>
    <row r="159" spans="1:7" x14ac:dyDescent="0.2">
      <c r="A159" s="48"/>
      <c r="B159" s="48"/>
      <c r="C159" s="48"/>
      <c r="D159" s="48"/>
      <c r="E159" s="48"/>
      <c r="F159" s="48"/>
    </row>
    <row r="160" spans="1:7" x14ac:dyDescent="0.2">
      <c r="A160" s="48"/>
      <c r="B160" s="48"/>
      <c r="C160" s="48"/>
      <c r="D160" s="48"/>
      <c r="E160" s="48"/>
      <c r="F160" s="48"/>
    </row>
    <row r="161" spans="1:6" x14ac:dyDescent="0.2">
      <c r="A161" s="48"/>
      <c r="B161" s="48"/>
      <c r="C161" s="48"/>
      <c r="D161" s="48"/>
      <c r="E161" s="48"/>
      <c r="F161" s="48"/>
    </row>
    <row r="162" spans="1:6" x14ac:dyDescent="0.2">
      <c r="A162" s="48"/>
      <c r="B162" s="48"/>
      <c r="C162" s="48"/>
      <c r="D162" s="48"/>
      <c r="E162" s="48"/>
      <c r="F162" s="48"/>
    </row>
    <row r="163" spans="1:6" x14ac:dyDescent="0.2">
      <c r="A163" s="48"/>
      <c r="B163" s="48"/>
      <c r="C163" s="48"/>
      <c r="D163" s="48"/>
      <c r="E163" s="48"/>
      <c r="F163" s="48"/>
    </row>
    <row r="164" spans="1:6" x14ac:dyDescent="0.2">
      <c r="A164" s="48"/>
      <c r="B164" s="48"/>
      <c r="C164" s="48"/>
      <c r="D164" s="48"/>
      <c r="E164" s="48"/>
      <c r="F164" s="48"/>
    </row>
    <row r="165" spans="1:6" x14ac:dyDescent="0.2">
      <c r="A165" s="48"/>
      <c r="B165" s="48"/>
      <c r="C165" s="48"/>
      <c r="D165" s="48"/>
      <c r="E165" s="48"/>
      <c r="F165" s="48"/>
    </row>
    <row r="166" spans="1:6" x14ac:dyDescent="0.2">
      <c r="A166" s="48"/>
      <c r="B166" s="48"/>
      <c r="C166" s="48"/>
      <c r="D166" s="48"/>
      <c r="E166" s="48"/>
      <c r="F166" s="48"/>
    </row>
    <row r="167" spans="1:6" x14ac:dyDescent="0.2">
      <c r="A167" s="48"/>
      <c r="B167" s="48"/>
      <c r="C167" s="48"/>
      <c r="D167" s="48"/>
      <c r="E167" s="48"/>
      <c r="F167" s="48"/>
    </row>
    <row r="168" spans="1:6" x14ac:dyDescent="0.2">
      <c r="A168" s="48"/>
      <c r="B168" s="48"/>
      <c r="C168" s="48"/>
      <c r="D168" s="48"/>
      <c r="E168" s="48"/>
      <c r="F168" s="48"/>
    </row>
    <row r="169" spans="1:6" x14ac:dyDescent="0.2">
      <c r="A169" s="48"/>
      <c r="B169" s="48"/>
      <c r="C169" s="48"/>
      <c r="D169" s="48"/>
      <c r="E169" s="48"/>
      <c r="F169" s="48"/>
    </row>
    <row r="170" spans="1:6" x14ac:dyDescent="0.2">
      <c r="A170" s="48"/>
      <c r="B170" s="48"/>
      <c r="C170" s="48"/>
      <c r="D170" s="48"/>
      <c r="E170" s="48"/>
      <c r="F170" s="48"/>
    </row>
    <row r="171" spans="1:6" x14ac:dyDescent="0.2">
      <c r="A171" s="48"/>
      <c r="B171" s="48"/>
      <c r="C171" s="48"/>
      <c r="D171" s="48"/>
      <c r="E171" s="48"/>
      <c r="F171" s="48"/>
    </row>
    <row r="172" spans="1:6" x14ac:dyDescent="0.2">
      <c r="A172" s="48"/>
      <c r="B172" s="48"/>
      <c r="C172" s="48"/>
      <c r="D172" s="48"/>
      <c r="E172" s="48"/>
      <c r="F172" s="48"/>
    </row>
    <row r="173" spans="1:6" x14ac:dyDescent="0.2">
      <c r="A173" s="48"/>
      <c r="B173" s="48"/>
      <c r="C173" s="48"/>
      <c r="D173" s="48"/>
      <c r="E173" s="48"/>
      <c r="F173" s="39"/>
    </row>
    <row r="174" spans="1:6" x14ac:dyDescent="0.2">
      <c r="A174" s="48"/>
      <c r="B174" s="48"/>
      <c r="C174" s="48"/>
      <c r="D174" s="48"/>
      <c r="E174" s="48"/>
      <c r="F174" s="39"/>
    </row>
    <row r="175" spans="1:6" x14ac:dyDescent="0.2">
      <c r="A175" s="48"/>
      <c r="B175" s="48"/>
      <c r="C175" s="48"/>
      <c r="D175" s="48"/>
      <c r="E175" s="48"/>
      <c r="F175" s="39"/>
    </row>
    <row r="176" spans="1:6" x14ac:dyDescent="0.2">
      <c r="A176" s="48"/>
      <c r="B176" s="48"/>
      <c r="C176" s="48"/>
      <c r="D176" s="48"/>
      <c r="E176" s="48"/>
      <c r="F176" s="39"/>
    </row>
    <row r="177" spans="1:7" x14ac:dyDescent="0.2">
      <c r="A177" s="48"/>
      <c r="B177" s="48"/>
      <c r="C177" s="48"/>
      <c r="D177" s="48"/>
      <c r="E177" s="48"/>
      <c r="F177" s="39"/>
    </row>
    <row r="178" spans="1:7" x14ac:dyDescent="0.2">
      <c r="A178" s="48"/>
      <c r="B178" s="48"/>
      <c r="C178" s="48"/>
      <c r="D178" s="48"/>
      <c r="E178" s="48"/>
      <c r="F178" s="48"/>
      <c r="G178" s="112"/>
    </row>
    <row r="179" spans="1:7" x14ac:dyDescent="0.2">
      <c r="A179" s="48"/>
      <c r="B179" s="48"/>
      <c r="C179" s="48"/>
      <c r="D179" s="48"/>
      <c r="E179" s="48"/>
      <c r="F179" s="39"/>
    </row>
    <row r="180" spans="1:7" x14ac:dyDescent="0.2">
      <c r="A180" s="48"/>
      <c r="B180" s="48"/>
      <c r="C180" s="48"/>
      <c r="D180" s="48"/>
      <c r="E180" s="48"/>
      <c r="F180" s="39"/>
    </row>
    <row r="181" spans="1:7" x14ac:dyDescent="0.2">
      <c r="A181" s="48"/>
      <c r="B181" s="48"/>
      <c r="C181" s="48"/>
      <c r="D181" s="48"/>
      <c r="E181" s="48"/>
      <c r="F181" s="39"/>
    </row>
    <row r="182" spans="1:7" x14ac:dyDescent="0.2">
      <c r="A182" s="48"/>
      <c r="B182" s="48"/>
      <c r="C182" s="48"/>
      <c r="D182" s="48"/>
      <c r="E182" s="48"/>
      <c r="F182" s="39"/>
    </row>
    <row r="183" spans="1:7" x14ac:dyDescent="0.2">
      <c r="A183" s="48"/>
      <c r="B183" s="48"/>
      <c r="C183" s="48"/>
      <c r="D183" s="48"/>
      <c r="E183" s="48"/>
      <c r="F183" s="39"/>
    </row>
    <row r="211" spans="10:10" x14ac:dyDescent="0.2">
      <c r="J211" s="112">
        <v>1</v>
      </c>
    </row>
  </sheetData>
  <sheetProtection password="DFD3" sheet="1" objects="1" scenarios="1"/>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1">
    <mergeCell ref="A29:E29"/>
  </mergeCells>
  <phoneticPr fontId="0" type="noConversion"/>
  <conditionalFormatting sqref="F13 D13">
    <cfRule type="expression" dxfId="0" priority="1">
      <formula>$T$12=0</formula>
    </cfRule>
  </conditionalFormatting>
  <dataValidations count="1">
    <dataValidation type="list" allowBlank="1" showInputMessage="1" showErrorMessage="1" sqref="B13">
      <formula1>Location</formula1>
    </dataValidation>
  </dataValidations>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323850</xdr:colOff>
                    <xdr:row>102</xdr:row>
                    <xdr:rowOff>0</xdr:rowOff>
                  </from>
                  <to>
                    <xdr:col>0</xdr:col>
                    <xdr:colOff>2228850</xdr:colOff>
                    <xdr:row>104</xdr:row>
                    <xdr:rowOff>152400</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0</xdr:col>
                    <xdr:colOff>2514600</xdr:colOff>
                    <xdr:row>102</xdr:row>
                    <xdr:rowOff>0</xdr:rowOff>
                  </from>
                  <to>
                    <xdr:col>1</xdr:col>
                    <xdr:colOff>1466850</xdr:colOff>
                    <xdr:row>104</xdr:row>
                    <xdr:rowOff>152400</xdr:rowOff>
                  </to>
                </anchor>
              </controlPr>
            </control>
          </mc:Choice>
        </mc:AlternateContent>
        <mc:AlternateContent xmlns:mc="http://schemas.openxmlformats.org/markup-compatibility/2006">
          <mc:Choice Requires="x14">
            <control shapeId="2109" r:id="rId7" name="Button 61">
              <controlPr defaultSize="0" print="0" autoFill="0" autoPict="0" macro="[0]!Summary">
                <anchor moveWithCells="1" sizeWithCells="1">
                  <from>
                    <xdr:col>0</xdr:col>
                    <xdr:colOff>3181350</xdr:colOff>
                    <xdr:row>26</xdr:row>
                    <xdr:rowOff>76200</xdr:rowOff>
                  </from>
                  <to>
                    <xdr:col>2</xdr:col>
                    <xdr:colOff>361950</xdr:colOff>
                    <xdr:row>27</xdr:row>
                    <xdr:rowOff>85725</xdr:rowOff>
                  </to>
                </anchor>
              </controlPr>
            </control>
          </mc:Choice>
        </mc:AlternateContent>
        <mc:AlternateContent xmlns:mc="http://schemas.openxmlformats.org/markup-compatibility/2006">
          <mc:Choice Requires="x14">
            <control shapeId="2193" r:id="rId8" name="Button 145">
              <controlPr defaultSize="0" print="0" autoFill="0" autoPict="0" macro="[0]!RestoreDefaultValues">
                <anchor moveWithCells="1" sizeWithCells="1">
                  <from>
                    <xdr:col>1</xdr:col>
                    <xdr:colOff>1752600</xdr:colOff>
                    <xdr:row>102</xdr:row>
                    <xdr:rowOff>0</xdr:rowOff>
                  </from>
                  <to>
                    <xdr:col>4</xdr:col>
                    <xdr:colOff>504825</xdr:colOff>
                    <xdr:row>104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BF141"/>
  <sheetViews>
    <sheetView workbookViewId="0"/>
  </sheetViews>
  <sheetFormatPr defaultRowHeight="12.75" x14ac:dyDescent="0.2"/>
  <cols>
    <col min="1" max="1" width="43.140625" customWidth="1"/>
    <col min="2" max="2" width="12.28515625" customWidth="1"/>
    <col min="3" max="3" width="16" customWidth="1"/>
    <col min="4" max="4" width="13" customWidth="1"/>
    <col min="5" max="5" width="13" style="398" customWidth="1"/>
    <col min="6" max="6" width="34.5703125" customWidth="1"/>
    <col min="7" max="7" width="7.7109375" customWidth="1"/>
    <col min="8" max="8" width="6.5703125" customWidth="1"/>
    <col min="11" max="18" width="9.140625" style="153"/>
    <col min="26" max="26" width="9.28515625" bestFit="1" customWidth="1"/>
    <col min="31" max="31" width="12.5703125" bestFit="1" customWidth="1"/>
    <col min="54" max="54" width="48.42578125" customWidth="1"/>
    <col min="55" max="55" width="7.28515625" customWidth="1"/>
    <col min="56" max="56" width="14.42578125" customWidth="1"/>
    <col min="57" max="57" width="10.140625" customWidth="1"/>
  </cols>
  <sheetData>
    <row r="1" spans="1:58" ht="18" x14ac:dyDescent="0.25">
      <c r="A1" s="357" t="str">
        <f>CONCATENATE("Natural Gas Plant - Project Data Summary based on ",$AE$40, " values")</f>
        <v>Natural Gas Plant - Project Data Summary based on User modifications to default values</v>
      </c>
      <c r="B1" s="39"/>
      <c r="C1" s="181"/>
      <c r="D1" s="61"/>
      <c r="E1" s="61"/>
      <c r="F1" s="61"/>
      <c r="G1" s="39"/>
      <c r="H1" s="39"/>
      <c r="I1" s="39"/>
      <c r="J1" s="39"/>
      <c r="K1" s="110"/>
      <c r="L1" s="110"/>
      <c r="M1" s="110"/>
      <c r="N1" s="110"/>
      <c r="O1" s="110"/>
      <c r="P1" s="110"/>
      <c r="Q1" s="110"/>
      <c r="R1" s="110"/>
      <c r="S1" s="110"/>
      <c r="T1" s="110"/>
      <c r="U1" s="110"/>
      <c r="V1" s="110"/>
      <c r="W1" s="110"/>
      <c r="X1" s="110"/>
      <c r="BB1" s="193" t="str">
        <f>Summary_Results</f>
        <v>Natural Gas Plant - Project Data Summary based on User modifications to default values</v>
      </c>
      <c r="BC1" s="153"/>
      <c r="BD1" s="194"/>
      <c r="BE1" s="196"/>
      <c r="BF1" s="208"/>
    </row>
    <row r="2" spans="1:58" x14ac:dyDescent="0.2">
      <c r="A2" s="49" t="str">
        <f>ProjectData!A13</f>
        <v xml:space="preserve">  Project Location</v>
      </c>
      <c r="B2" s="110"/>
      <c r="C2" s="46" t="str">
        <f>IF(ProjectData!B13="MyCounty",'User Add-in Location'!B3,IF(ProjectData!B13="MyRegion",'User Add-in Location'!B4,ProjectData!B13))</f>
        <v>WYOMING</v>
      </c>
      <c r="D2" s="61"/>
      <c r="E2" s="61"/>
      <c r="F2" s="46"/>
      <c r="G2" s="39"/>
      <c r="H2" s="39"/>
      <c r="I2" s="39"/>
      <c r="J2" s="39"/>
      <c r="K2" s="110"/>
      <c r="L2" s="110"/>
      <c r="M2" s="110"/>
      <c r="N2" s="110"/>
      <c r="O2" s="110"/>
      <c r="P2" s="110"/>
      <c r="Q2" s="110"/>
      <c r="R2" s="110"/>
      <c r="S2" s="110"/>
      <c r="T2" s="110"/>
      <c r="U2" s="110"/>
      <c r="V2" s="110"/>
      <c r="W2" s="110"/>
      <c r="X2" s="110"/>
      <c r="BB2" s="153" t="str">
        <f>A2</f>
        <v xml:space="preserve">  Project Location</v>
      </c>
      <c r="BC2" s="153"/>
      <c r="BD2" s="185" t="str">
        <f t="shared" ref="BD2:BF64" si="0">C2</f>
        <v>WYOMING</v>
      </c>
      <c r="BE2" s="153"/>
      <c r="BF2" s="208"/>
    </row>
    <row r="3" spans="1:58" x14ac:dyDescent="0.2">
      <c r="A3" s="49" t="str">
        <f>ProjectData!A14</f>
        <v xml:space="preserve">  Year Construction Starts </v>
      </c>
      <c r="B3" s="110"/>
      <c r="C3" s="217">
        <f>ProjectData!B14</f>
        <v>2014</v>
      </c>
      <c r="D3" s="61"/>
      <c r="E3" s="61"/>
      <c r="F3" s="46"/>
      <c r="G3" s="39"/>
      <c r="H3" s="39"/>
      <c r="I3" s="39"/>
      <c r="J3" s="39"/>
      <c r="K3" s="110"/>
      <c r="L3" s="110"/>
      <c r="M3" s="110"/>
      <c r="N3" s="110"/>
      <c r="O3" s="110"/>
      <c r="P3" s="110"/>
      <c r="Q3" s="110"/>
      <c r="R3" s="110"/>
      <c r="S3" s="110"/>
      <c r="T3" s="110"/>
      <c r="U3" s="110"/>
      <c r="V3" s="110"/>
      <c r="W3" s="110"/>
      <c r="X3" s="110"/>
      <c r="BB3" s="153" t="str">
        <f t="shared" ref="BB3:BB65" si="1">A3</f>
        <v xml:space="preserve">  Year Construction Starts </v>
      </c>
      <c r="BC3" s="153"/>
      <c r="BD3" s="153">
        <f t="shared" si="0"/>
        <v>2014</v>
      </c>
      <c r="BE3" s="153"/>
      <c r="BF3" s="208"/>
    </row>
    <row r="4" spans="1:58" x14ac:dyDescent="0.2">
      <c r="A4" s="49" t="str">
        <f>ProjectData!A15</f>
        <v xml:space="preserve">  Project Size - Nameplate Capacity (MW)</v>
      </c>
      <c r="B4" s="49"/>
      <c r="C4" s="218">
        <f>ProjectData!B15</f>
        <v>500</v>
      </c>
      <c r="D4" s="210" t="str">
        <f>ProjectData!C11</f>
        <v/>
      </c>
      <c r="E4" s="210"/>
      <c r="F4" s="46"/>
      <c r="G4" s="39"/>
      <c r="H4" s="39"/>
      <c r="I4" s="39"/>
      <c r="J4" s="39"/>
      <c r="K4" s="110"/>
      <c r="L4" s="110"/>
      <c r="M4" s="110"/>
      <c r="N4" s="110"/>
      <c r="O4" s="110"/>
      <c r="P4" s="110"/>
      <c r="Q4" s="110"/>
      <c r="R4" s="110"/>
      <c r="S4" s="110"/>
      <c r="T4" s="110"/>
      <c r="U4" s="110"/>
      <c r="V4" s="110"/>
      <c r="W4" s="110"/>
      <c r="X4" s="110"/>
      <c r="BB4" s="153" t="str">
        <f t="shared" si="1"/>
        <v xml:space="preserve">  Project Size - Nameplate Capacity (MW)</v>
      </c>
      <c r="BC4" s="153"/>
      <c r="BD4" s="153">
        <f t="shared" si="0"/>
        <v>500</v>
      </c>
      <c r="BE4" s="153"/>
      <c r="BF4" s="208"/>
    </row>
    <row r="5" spans="1:58" x14ac:dyDescent="0.2">
      <c r="A5" s="49" t="str">
        <f>ProjectData!A16</f>
        <v xml:space="preserve">  Capacity Factor (Percentage)</v>
      </c>
      <c r="B5" s="110"/>
      <c r="C5" s="235">
        <f>ProjectData!B16</f>
        <v>0.65</v>
      </c>
      <c r="D5" s="210"/>
      <c r="E5" s="210"/>
      <c r="F5" s="46"/>
      <c r="G5" s="39"/>
      <c r="H5" s="39"/>
      <c r="I5" s="39"/>
      <c r="J5" s="39"/>
      <c r="K5" s="110"/>
      <c r="L5" s="110"/>
      <c r="M5" s="110"/>
      <c r="N5" s="110"/>
      <c r="O5" s="110"/>
      <c r="P5" s="110"/>
      <c r="Q5" s="110"/>
      <c r="R5" s="110"/>
      <c r="S5" s="110"/>
      <c r="T5" s="110"/>
      <c r="U5" s="110"/>
      <c r="V5" s="110"/>
      <c r="W5" s="110"/>
      <c r="X5" s="110"/>
      <c r="BB5" s="153" t="str">
        <f t="shared" si="1"/>
        <v xml:space="preserve">  Capacity Factor (Percentage)</v>
      </c>
      <c r="BC5" s="153"/>
      <c r="BD5" s="260">
        <f t="shared" si="0"/>
        <v>0.65</v>
      </c>
      <c r="BE5" s="153"/>
      <c r="BF5" s="208"/>
    </row>
    <row r="6" spans="1:58" x14ac:dyDescent="0.2">
      <c r="A6" s="49" t="str">
        <f>ProjectData!A17</f>
        <v xml:space="preserve">  Heat Rate (Btu per kWh)</v>
      </c>
      <c r="B6" s="110"/>
      <c r="C6" s="228">
        <f>ProjectData!B17</f>
        <v>7000</v>
      </c>
      <c r="D6" s="210"/>
      <c r="E6" s="210"/>
      <c r="F6" s="46"/>
      <c r="G6" s="39"/>
      <c r="H6" s="39"/>
      <c r="I6" s="39"/>
      <c r="J6" s="39"/>
      <c r="K6" s="110"/>
      <c r="L6" s="110"/>
      <c r="M6" s="110"/>
      <c r="N6" s="110"/>
      <c r="O6" s="110"/>
      <c r="P6" s="110"/>
      <c r="Q6" s="110"/>
      <c r="R6" s="110"/>
      <c r="S6" s="110"/>
      <c r="T6" s="110"/>
      <c r="U6" s="110"/>
      <c r="V6" s="110"/>
      <c r="W6" s="110"/>
      <c r="X6" s="110"/>
      <c r="BB6" s="153" t="str">
        <f t="shared" si="1"/>
        <v xml:space="preserve">  Heat Rate (Btu per kWh)</v>
      </c>
      <c r="BC6" s="153"/>
      <c r="BD6" s="153">
        <f t="shared" si="0"/>
        <v>7000</v>
      </c>
      <c r="BE6" s="153"/>
      <c r="BF6" s="208"/>
    </row>
    <row r="7" spans="1:58" x14ac:dyDescent="0.2">
      <c r="A7" s="49" t="str">
        <f>ProjectData!A18</f>
        <v xml:space="preserve">  Construction Period (Months)</v>
      </c>
      <c r="B7" s="110"/>
      <c r="C7" s="217">
        <f>ProjectData!B18</f>
        <v>36</v>
      </c>
      <c r="D7" s="61"/>
      <c r="E7" s="61"/>
      <c r="F7" s="46"/>
      <c r="G7" s="39"/>
      <c r="H7" s="39"/>
      <c r="I7" s="39"/>
      <c r="J7" s="39"/>
      <c r="K7" s="110"/>
      <c r="L7" s="110"/>
      <c r="M7" s="110"/>
      <c r="N7" s="110"/>
      <c r="O7" s="110"/>
      <c r="P7" s="110"/>
      <c r="Q7" s="110"/>
      <c r="R7" s="110"/>
      <c r="S7" s="110"/>
      <c r="T7" s="110"/>
      <c r="U7" s="110"/>
      <c r="V7" s="110"/>
      <c r="W7" s="110"/>
      <c r="X7" s="110"/>
      <c r="BB7" s="153" t="str">
        <f t="shared" si="1"/>
        <v xml:space="preserve">  Construction Period (Months)</v>
      </c>
      <c r="BC7" s="153"/>
      <c r="BD7" s="153">
        <f t="shared" si="0"/>
        <v>36</v>
      </c>
      <c r="BE7" s="153"/>
      <c r="BF7" s="208"/>
    </row>
    <row r="8" spans="1:58" x14ac:dyDescent="0.2">
      <c r="A8" s="49" t="str">
        <f>ProjectData!A19</f>
        <v xml:space="preserve">  Plant Construction Cost ($/KW)</v>
      </c>
      <c r="B8" s="110"/>
      <c r="C8" s="226">
        <f>C14/C4/1000</f>
        <v>1250</v>
      </c>
      <c r="D8" s="61"/>
      <c r="E8" s="61"/>
      <c r="F8" s="46"/>
      <c r="G8" s="39"/>
      <c r="H8" s="39"/>
      <c r="I8" s="39"/>
      <c r="J8" s="39"/>
      <c r="K8" s="110"/>
      <c r="L8" s="110"/>
      <c r="M8" s="110"/>
      <c r="N8" s="110"/>
      <c r="O8" s="110"/>
      <c r="P8" s="110"/>
      <c r="Q8" s="110"/>
      <c r="R8" s="110"/>
      <c r="S8" s="110"/>
      <c r="T8" s="110"/>
      <c r="U8" s="110"/>
      <c r="V8" s="110"/>
      <c r="W8" s="110"/>
      <c r="X8" s="110"/>
      <c r="BB8" s="153" t="str">
        <f t="shared" si="1"/>
        <v xml:space="preserve">  Plant Construction Cost ($/KW)</v>
      </c>
      <c r="BC8" s="153"/>
      <c r="BD8" s="202">
        <f t="shared" si="0"/>
        <v>1250</v>
      </c>
      <c r="BE8" s="153"/>
      <c r="BF8" s="208"/>
    </row>
    <row r="9" spans="1:58" x14ac:dyDescent="0.2">
      <c r="A9" s="49" t="str">
        <f>ProjectData!A20</f>
        <v xml:space="preserve">  Cost of Fuel ($/mmbtu)</v>
      </c>
      <c r="B9" s="110"/>
      <c r="C9" s="219">
        <f>ProjectData!B20</f>
        <v>3.25</v>
      </c>
      <c r="D9" s="61"/>
      <c r="E9" s="61"/>
      <c r="F9" s="46"/>
      <c r="G9" s="39"/>
      <c r="H9" s="39"/>
      <c r="I9" s="39"/>
      <c r="J9" s="39"/>
      <c r="K9" s="110"/>
      <c r="L9" s="110"/>
      <c r="M9" s="110"/>
      <c r="N9" s="110"/>
      <c r="O9" s="110"/>
      <c r="P9" s="110"/>
      <c r="Q9" s="110"/>
      <c r="R9" s="110"/>
      <c r="S9" s="110"/>
      <c r="T9" s="110"/>
      <c r="U9" s="110"/>
      <c r="V9" s="110"/>
      <c r="W9" s="110"/>
      <c r="X9" s="110"/>
      <c r="BB9" s="153" t="str">
        <f t="shared" si="1"/>
        <v xml:space="preserve">  Cost of Fuel ($/mmbtu)</v>
      </c>
      <c r="BC9" s="153"/>
      <c r="BD9" s="199">
        <f t="shared" si="0"/>
        <v>3.25</v>
      </c>
      <c r="BE9" s="153"/>
      <c r="BF9" s="208"/>
    </row>
    <row r="10" spans="1:58" x14ac:dyDescent="0.2">
      <c r="A10" s="49" t="str">
        <f>ProjectData!A21</f>
        <v xml:space="preserve">    Produced Locally (Percent) </v>
      </c>
      <c r="B10" s="110"/>
      <c r="C10" s="235">
        <f>Calculations!AD42</f>
        <v>0</v>
      </c>
      <c r="D10" s="61"/>
      <c r="E10" s="61"/>
      <c r="F10" s="46"/>
      <c r="G10" s="39"/>
      <c r="H10" s="39"/>
      <c r="I10" s="39"/>
      <c r="J10" s="39"/>
      <c r="K10" s="110"/>
      <c r="L10" s="110"/>
      <c r="M10" s="110"/>
      <c r="N10" s="110"/>
      <c r="O10" s="110"/>
      <c r="P10" s="110"/>
      <c r="Q10" s="110"/>
      <c r="R10" s="110"/>
      <c r="S10" s="110"/>
      <c r="T10" s="110"/>
      <c r="U10" s="110"/>
      <c r="V10" s="110"/>
      <c r="W10" s="110"/>
      <c r="X10" s="110"/>
      <c r="BB10" s="153" t="str">
        <f t="shared" si="1"/>
        <v xml:space="preserve">    Produced Locally (Percent) </v>
      </c>
      <c r="BC10" s="153"/>
      <c r="BD10" s="260">
        <f t="shared" si="0"/>
        <v>0</v>
      </c>
      <c r="BE10" s="153"/>
      <c r="BF10" s="208"/>
    </row>
    <row r="11" spans="1:58" x14ac:dyDescent="0.2">
      <c r="A11" s="49" t="str">
        <f>ProjectData!A22</f>
        <v xml:space="preserve">  Fixed Operations and Maintenance Cost ($/kW)</v>
      </c>
      <c r="B11" s="110"/>
      <c r="C11" s="219">
        <f>Calculations!AC36/SummaryResults!C4/1000</f>
        <v>8.25</v>
      </c>
      <c r="D11" s="61"/>
      <c r="E11" s="61"/>
      <c r="F11" s="44"/>
      <c r="G11" s="39"/>
      <c r="H11" s="39"/>
      <c r="I11" s="39"/>
      <c r="J11" s="39"/>
      <c r="K11" s="110"/>
      <c r="L11" s="110"/>
      <c r="M11" s="110"/>
      <c r="N11" s="110"/>
      <c r="O11" s="110"/>
      <c r="P11" s="110"/>
      <c r="Q11" s="110"/>
      <c r="R11" s="110"/>
      <c r="S11" s="110"/>
      <c r="T11" s="110"/>
      <c r="U11" s="110"/>
      <c r="V11" s="110"/>
      <c r="W11" s="110"/>
      <c r="X11" s="110"/>
      <c r="BB11" s="153" t="str">
        <f t="shared" si="1"/>
        <v xml:space="preserve">  Fixed Operations and Maintenance Cost ($/kW)</v>
      </c>
      <c r="BC11" s="153"/>
      <c r="BD11" s="199">
        <f t="shared" si="0"/>
        <v>8.25</v>
      </c>
      <c r="BE11" s="153"/>
      <c r="BF11" s="208"/>
    </row>
    <row r="12" spans="1:58" x14ac:dyDescent="0.2">
      <c r="A12" s="49" t="str">
        <f>ProjectData!A23</f>
        <v xml:space="preserve">  Variable Operations and Maintenance Cost ($/MWh)</v>
      </c>
      <c r="B12" s="110"/>
      <c r="C12" s="219">
        <f>Calculations!AC41/DefaultData!E5</f>
        <v>2.9000000000000004</v>
      </c>
      <c r="D12" s="61"/>
      <c r="E12" s="61"/>
      <c r="F12" s="44"/>
      <c r="G12" s="39"/>
      <c r="H12" s="39"/>
      <c r="I12" s="39"/>
      <c r="J12" s="39"/>
      <c r="K12" s="110"/>
      <c r="L12" s="110"/>
      <c r="M12" s="110"/>
      <c r="N12" s="110"/>
      <c r="O12" s="110"/>
      <c r="P12" s="110"/>
      <c r="Q12" s="110"/>
      <c r="R12" s="110"/>
      <c r="S12" s="110"/>
      <c r="T12" s="110"/>
      <c r="U12" s="110"/>
      <c r="V12" s="110"/>
      <c r="W12" s="110"/>
      <c r="X12" s="110"/>
      <c r="BB12" s="153" t="str">
        <f t="shared" si="1"/>
        <v xml:space="preserve">  Variable Operations and Maintenance Cost ($/MWh)</v>
      </c>
      <c r="BC12" s="153"/>
      <c r="BD12" s="199">
        <f t="shared" si="0"/>
        <v>2.9000000000000004</v>
      </c>
      <c r="BE12" s="153"/>
      <c r="BF12" s="208"/>
    </row>
    <row r="13" spans="1:58" x14ac:dyDescent="0.2">
      <c r="A13" s="49" t="str">
        <f>ProjectData!A24</f>
        <v xml:space="preserve">  Money Value (Dollar Year) </v>
      </c>
      <c r="B13" s="110"/>
      <c r="C13" s="217">
        <f>ProjectData!B24</f>
        <v>2010</v>
      </c>
      <c r="D13" s="61"/>
      <c r="E13" s="61"/>
      <c r="F13" s="44"/>
      <c r="G13" s="39"/>
      <c r="H13" s="39"/>
      <c r="I13" s="39"/>
      <c r="J13" s="39"/>
      <c r="K13" s="110"/>
      <c r="L13" s="110"/>
      <c r="M13" s="110"/>
      <c r="N13" s="110"/>
      <c r="O13" s="110"/>
      <c r="P13" s="110"/>
      <c r="Q13" s="110"/>
      <c r="R13" s="110"/>
      <c r="S13" s="110"/>
      <c r="T13" s="110"/>
      <c r="U13" s="110"/>
      <c r="V13" s="110"/>
      <c r="W13" s="110"/>
      <c r="X13" s="110"/>
      <c r="BB13" s="153" t="str">
        <f t="shared" si="1"/>
        <v xml:space="preserve">  Money Value (Dollar Year) </v>
      </c>
      <c r="BC13" s="153"/>
      <c r="BD13" s="153">
        <f t="shared" si="0"/>
        <v>2010</v>
      </c>
      <c r="BE13" s="153"/>
      <c r="BF13" s="208"/>
    </row>
    <row r="14" spans="1:58" x14ac:dyDescent="0.2">
      <c r="A14" s="49" t="s">
        <v>137</v>
      </c>
      <c r="B14" s="110"/>
      <c r="C14" s="238">
        <f>Calculations!D26</f>
        <v>625000000</v>
      </c>
      <c r="D14" s="61"/>
      <c r="E14" s="61"/>
      <c r="F14" s="44"/>
      <c r="G14" s="39"/>
      <c r="H14" s="39"/>
      <c r="I14" s="39"/>
      <c r="J14" s="39"/>
      <c r="K14" s="110"/>
      <c r="L14" s="110"/>
      <c r="M14" s="110"/>
      <c r="N14" s="110"/>
      <c r="O14" s="110"/>
      <c r="P14" s="110"/>
      <c r="Q14" s="110"/>
      <c r="R14" s="110"/>
      <c r="S14" s="110"/>
      <c r="T14" s="110"/>
      <c r="U14" s="110"/>
      <c r="V14" s="110"/>
      <c r="W14" s="110"/>
      <c r="X14" s="110"/>
      <c r="BB14" s="153" t="str">
        <f t="shared" si="1"/>
        <v>Project Construction Cost</v>
      </c>
      <c r="BC14" s="153"/>
      <c r="BD14" s="202">
        <f t="shared" si="0"/>
        <v>625000000</v>
      </c>
      <c r="BE14" s="153"/>
      <c r="BF14" s="208"/>
    </row>
    <row r="15" spans="1:58" x14ac:dyDescent="0.2">
      <c r="A15" s="49" t="s">
        <v>138</v>
      </c>
      <c r="B15" s="110"/>
      <c r="C15" s="163">
        <f>+Calculations!F60</f>
        <v>166433823.52941173</v>
      </c>
      <c r="D15" s="61"/>
      <c r="E15" s="61"/>
      <c r="F15" s="44"/>
      <c r="G15" s="39"/>
      <c r="H15" s="39"/>
      <c r="I15" s="39"/>
      <c r="J15" s="39"/>
      <c r="K15" s="110"/>
      <c r="L15" s="110"/>
      <c r="M15" s="110"/>
      <c r="N15" s="110"/>
      <c r="O15" s="110"/>
      <c r="P15" s="110"/>
      <c r="Q15" s="110"/>
      <c r="R15" s="110"/>
      <c r="S15" s="110"/>
      <c r="T15" s="110"/>
      <c r="U15" s="110"/>
      <c r="V15" s="110"/>
      <c r="W15" s="110"/>
      <c r="X15" s="110"/>
      <c r="BB15" s="153" t="str">
        <f t="shared" si="1"/>
        <v xml:space="preserve">  Local Spending</v>
      </c>
      <c r="BC15" s="153"/>
      <c r="BD15" s="202">
        <f t="shared" si="0"/>
        <v>166433823.52941173</v>
      </c>
      <c r="BE15" s="153"/>
      <c r="BF15" s="208"/>
    </row>
    <row r="16" spans="1:58" x14ac:dyDescent="0.2">
      <c r="A16" s="49" t="s">
        <v>221</v>
      </c>
      <c r="B16" s="110"/>
      <c r="C16" s="163">
        <f>C17+C19</f>
        <v>147461795.6875</v>
      </c>
      <c r="D16" s="61"/>
      <c r="E16" s="61"/>
      <c r="F16" s="44"/>
      <c r="G16" s="39"/>
      <c r="H16" s="39"/>
      <c r="I16" s="39"/>
      <c r="J16" s="39"/>
      <c r="K16" s="110"/>
      <c r="L16" s="110"/>
      <c r="M16" s="110"/>
      <c r="N16" s="110"/>
      <c r="O16" s="110"/>
      <c r="P16" s="110"/>
      <c r="Q16" s="110"/>
      <c r="R16" s="110"/>
      <c r="S16" s="110"/>
      <c r="T16" s="110"/>
      <c r="U16" s="110"/>
      <c r="V16" s="110"/>
      <c r="W16" s="110"/>
      <c r="X16" s="110"/>
      <c r="BB16" s="153" t="str">
        <f t="shared" si="1"/>
        <v>Total Annual Operational Expenses</v>
      </c>
      <c r="BC16" s="153"/>
      <c r="BD16" s="202">
        <f t="shared" si="0"/>
        <v>147461795.6875</v>
      </c>
      <c r="BE16" s="153"/>
      <c r="BF16" s="208"/>
    </row>
    <row r="17" spans="1:58" x14ac:dyDescent="0.2">
      <c r="A17" s="49" t="s">
        <v>220</v>
      </c>
      <c r="B17" s="110"/>
      <c r="C17" s="163">
        <f>Calculations!D90</f>
        <v>77150550</v>
      </c>
      <c r="D17" s="61"/>
      <c r="E17" s="61"/>
      <c r="F17" s="44"/>
      <c r="G17" s="39"/>
      <c r="H17" s="39"/>
      <c r="I17" s="39"/>
      <c r="J17" s="39"/>
      <c r="K17" s="110"/>
      <c r="L17" s="110"/>
      <c r="M17" s="110"/>
      <c r="N17" s="110"/>
      <c r="O17" s="110"/>
      <c r="P17" s="110"/>
      <c r="Q17" s="110"/>
      <c r="R17" s="110"/>
      <c r="S17" s="110"/>
      <c r="T17" s="110"/>
      <c r="U17" s="110"/>
      <c r="V17" s="110"/>
      <c r="W17" s="110"/>
      <c r="X17" s="110"/>
      <c r="BB17" s="153" t="str">
        <f t="shared" si="1"/>
        <v xml:space="preserve">  Direct Operating and Maintenance Costs</v>
      </c>
      <c r="BC17" s="153"/>
      <c r="BD17" s="202">
        <f t="shared" si="0"/>
        <v>77150550</v>
      </c>
      <c r="BE17" s="153"/>
      <c r="BF17" s="208"/>
    </row>
    <row r="18" spans="1:58" x14ac:dyDescent="0.2">
      <c r="A18" s="49" t="s">
        <v>211</v>
      </c>
      <c r="B18" s="110"/>
      <c r="C18" s="163">
        <f>Calculations!G90</f>
        <v>4468074.8311344478</v>
      </c>
      <c r="D18" s="61"/>
      <c r="E18" s="61"/>
      <c r="F18" s="44"/>
      <c r="G18" s="39"/>
      <c r="H18" s="39"/>
      <c r="I18" s="39"/>
      <c r="J18" s="39"/>
      <c r="K18" s="110"/>
      <c r="L18" s="110"/>
      <c r="M18" s="110"/>
      <c r="N18" s="110"/>
      <c r="O18" s="110"/>
      <c r="P18" s="110"/>
      <c r="Q18" s="110"/>
      <c r="R18" s="110"/>
      <c r="S18" s="110"/>
      <c r="T18" s="110"/>
      <c r="U18" s="110"/>
      <c r="V18" s="110"/>
      <c r="W18" s="110"/>
      <c r="X18" s="110"/>
      <c r="BB18" s="153" t="str">
        <f t="shared" si="1"/>
        <v xml:space="preserve">    Local Spending</v>
      </c>
      <c r="BC18" s="153"/>
      <c r="BD18" s="202">
        <f t="shared" si="0"/>
        <v>4468074.8311344478</v>
      </c>
      <c r="BE18" s="153"/>
      <c r="BF18" s="208"/>
    </row>
    <row r="19" spans="1:58" x14ac:dyDescent="0.2">
      <c r="A19" s="49" t="s">
        <v>212</v>
      </c>
      <c r="B19" s="110"/>
      <c r="C19" s="163">
        <f>Calculations!E90</f>
        <v>70311245.6875</v>
      </c>
      <c r="D19" s="61"/>
      <c r="E19" s="61"/>
      <c r="F19" s="44"/>
      <c r="G19" s="39"/>
      <c r="H19" s="39"/>
      <c r="I19" s="39"/>
      <c r="J19" s="39"/>
      <c r="K19" s="110"/>
      <c r="L19" s="110"/>
      <c r="M19" s="110"/>
      <c r="N19" s="110"/>
      <c r="O19" s="110"/>
      <c r="P19" s="110"/>
      <c r="Q19" s="110"/>
      <c r="R19" s="110"/>
      <c r="S19" s="110"/>
      <c r="T19" s="110"/>
      <c r="U19" s="110"/>
      <c r="V19" s="110"/>
      <c r="W19" s="110"/>
      <c r="X19" s="110"/>
      <c r="BB19" s="153" t="str">
        <f t="shared" si="1"/>
        <v xml:space="preserve">  Other Annual Costs</v>
      </c>
      <c r="BC19" s="153"/>
      <c r="BD19" s="202">
        <f t="shared" si="0"/>
        <v>70311245.6875</v>
      </c>
      <c r="BE19" s="153"/>
      <c r="BF19" s="208"/>
    </row>
    <row r="20" spans="1:58" x14ac:dyDescent="0.2">
      <c r="A20" s="49" t="s">
        <v>211</v>
      </c>
      <c r="B20" s="110"/>
      <c r="C20" s="163">
        <f>Calculations!H90</f>
        <v>4590566.2061344478</v>
      </c>
      <c r="D20" s="61"/>
      <c r="E20" s="61"/>
      <c r="F20" s="44"/>
      <c r="G20" s="39"/>
      <c r="H20" s="39"/>
      <c r="I20" s="39"/>
      <c r="J20" s="39"/>
      <c r="K20" s="110"/>
      <c r="L20" s="110"/>
      <c r="M20" s="110"/>
      <c r="N20" s="110"/>
      <c r="O20" s="110"/>
      <c r="P20" s="110"/>
      <c r="Q20" s="110"/>
      <c r="R20" s="110"/>
      <c r="S20" s="110"/>
      <c r="T20" s="110"/>
      <c r="U20" s="110"/>
      <c r="V20" s="110"/>
      <c r="W20" s="110"/>
      <c r="X20" s="110"/>
      <c r="BB20" s="153" t="str">
        <f t="shared" si="1"/>
        <v xml:space="preserve">    Local Spending</v>
      </c>
      <c r="BC20" s="153"/>
      <c r="BD20" s="202">
        <f t="shared" si="0"/>
        <v>4590566.2061344478</v>
      </c>
      <c r="BE20" s="153"/>
      <c r="BF20" s="208"/>
    </row>
    <row r="21" spans="1:58" x14ac:dyDescent="0.2">
      <c r="A21" s="49" t="s">
        <v>219</v>
      </c>
      <c r="B21" s="110"/>
      <c r="C21" s="163">
        <f>SUM(Calculations!G84:G86)</f>
        <v>0</v>
      </c>
      <c r="D21" s="61"/>
      <c r="E21" s="61"/>
      <c r="F21" s="44"/>
      <c r="G21" s="39"/>
      <c r="H21" s="39"/>
      <c r="I21" s="39"/>
      <c r="J21" s="39"/>
      <c r="K21" s="110"/>
      <c r="L21" s="110"/>
      <c r="M21" s="110"/>
      <c r="N21" s="110"/>
      <c r="O21" s="110"/>
      <c r="P21" s="110"/>
      <c r="Q21" s="110"/>
      <c r="R21" s="110"/>
      <c r="S21" s="110"/>
      <c r="T21" s="110"/>
      <c r="U21" s="110"/>
      <c r="V21" s="110"/>
      <c r="W21" s="110"/>
      <c r="X21" s="110"/>
      <c r="BB21" s="153" t="str">
        <f t="shared" si="1"/>
        <v xml:space="preserve">      Debt and Equity Payments </v>
      </c>
      <c r="BC21" s="153"/>
      <c r="BD21" s="202">
        <f t="shared" si="0"/>
        <v>0</v>
      </c>
      <c r="BE21" s="153"/>
      <c r="BF21" s="208"/>
    </row>
    <row r="22" spans="1:58" x14ac:dyDescent="0.2">
      <c r="A22" s="49" t="s">
        <v>213</v>
      </c>
      <c r="B22" s="110"/>
      <c r="C22" s="163">
        <f>Calculations!G87</f>
        <v>0</v>
      </c>
      <c r="D22" s="39"/>
      <c r="E22" s="39"/>
      <c r="F22" s="44"/>
      <c r="G22" s="39"/>
      <c r="H22" s="39"/>
      <c r="I22" s="39"/>
      <c r="J22" s="39"/>
      <c r="K22" s="110"/>
      <c r="L22" s="110"/>
      <c r="M22" s="110"/>
      <c r="N22" s="110"/>
      <c r="O22" s="110"/>
      <c r="P22" s="110"/>
      <c r="Q22" s="110"/>
      <c r="R22" s="110"/>
      <c r="S22" s="110"/>
      <c r="T22" s="110"/>
      <c r="U22" s="110"/>
      <c r="V22" s="110"/>
      <c r="W22" s="110"/>
      <c r="X22" s="110"/>
      <c r="BB22" s="153" t="str">
        <f t="shared" si="1"/>
        <v xml:space="preserve">      Property Taxes</v>
      </c>
      <c r="BC22" s="153"/>
      <c r="BD22" s="202">
        <f t="shared" si="0"/>
        <v>0</v>
      </c>
      <c r="BE22" s="153"/>
      <c r="BF22" s="208"/>
    </row>
    <row r="23" spans="1:58" ht="8.25" customHeight="1" x14ac:dyDescent="0.2">
      <c r="A23" s="181" t="str">
        <f xml:space="preserve">          ProjectData!C14</f>
        <v/>
      </c>
      <c r="B23" s="60"/>
      <c r="C23" s="211" t="str">
        <f>ProjectData!C24</f>
        <v/>
      </c>
      <c r="D23" s="39"/>
      <c r="E23" s="39"/>
      <c r="F23" s="44"/>
      <c r="G23" s="39"/>
      <c r="H23" s="39"/>
      <c r="I23" s="39"/>
      <c r="J23" s="39"/>
      <c r="K23" s="110"/>
      <c r="L23" s="110"/>
      <c r="M23" s="110"/>
      <c r="N23" s="110"/>
      <c r="O23" s="110"/>
      <c r="P23" s="110"/>
      <c r="Q23" s="110"/>
      <c r="R23" s="110"/>
      <c r="S23" s="110"/>
      <c r="T23" s="110"/>
      <c r="U23" s="110"/>
      <c r="V23" s="110"/>
      <c r="W23" s="110"/>
      <c r="X23" s="110"/>
      <c r="BB23" s="153" t="str">
        <f t="shared" si="1"/>
        <v/>
      </c>
      <c r="BC23" s="153"/>
      <c r="BD23" s="153" t="str">
        <f t="shared" si="0"/>
        <v/>
      </c>
      <c r="BE23" s="153"/>
    </row>
    <row r="24" spans="1:58" ht="15.75" x14ac:dyDescent="0.25">
      <c r="A24" s="40" t="s">
        <v>147</v>
      </c>
      <c r="B24" s="42"/>
      <c r="C24" s="42"/>
      <c r="D24" s="42"/>
      <c r="E24" s="42"/>
      <c r="F24" s="42"/>
      <c r="G24" s="42"/>
      <c r="H24" s="42"/>
      <c r="I24" s="39"/>
      <c r="J24" s="39"/>
      <c r="K24" s="110"/>
      <c r="L24" s="110"/>
      <c r="M24" s="110"/>
      <c r="N24" s="110"/>
      <c r="O24" s="110"/>
      <c r="P24" s="110"/>
      <c r="Q24" s="110"/>
      <c r="R24" s="110"/>
      <c r="S24" s="110"/>
      <c r="T24" s="110"/>
      <c r="U24" s="110"/>
      <c r="V24" s="110"/>
      <c r="W24" s="110"/>
      <c r="X24" s="110"/>
      <c r="BB24" s="78" t="str">
        <f t="shared" si="1"/>
        <v>Local Economic Impacts - Summary Results</v>
      </c>
      <c r="BC24" s="153"/>
      <c r="BD24" s="153"/>
      <c r="BE24" s="153"/>
    </row>
    <row r="25" spans="1:58" x14ac:dyDescent="0.2">
      <c r="A25" s="42"/>
      <c r="B25" s="42" t="s">
        <v>43</v>
      </c>
      <c r="C25" s="42" t="s">
        <v>145</v>
      </c>
      <c r="D25" s="42" t="s">
        <v>146</v>
      </c>
      <c r="E25" s="42" t="s">
        <v>519</v>
      </c>
      <c r="F25" s="39"/>
      <c r="G25" s="39"/>
      <c r="H25" s="39"/>
      <c r="I25" s="39"/>
      <c r="J25" s="39"/>
      <c r="K25" s="110"/>
      <c r="L25" s="110"/>
      <c r="M25" s="110"/>
      <c r="N25" s="110"/>
      <c r="O25" s="110"/>
      <c r="P25" s="110"/>
      <c r="Q25" s="110"/>
      <c r="R25" s="110"/>
      <c r="S25" s="110"/>
      <c r="T25" s="110"/>
      <c r="U25" s="110"/>
      <c r="V25" s="110"/>
      <c r="W25" s="110"/>
      <c r="X25" s="110"/>
      <c r="BB25" s="153"/>
      <c r="BC25" s="185" t="str">
        <f>B25</f>
        <v>Jobs</v>
      </c>
      <c r="BD25" s="185" t="str">
        <f t="shared" si="0"/>
        <v>Earnings</v>
      </c>
      <c r="BE25" s="185" t="str">
        <f t="shared" si="0"/>
        <v>Output</v>
      </c>
      <c r="BF25" s="325" t="str">
        <f t="shared" si="0"/>
        <v>Value Added</v>
      </c>
    </row>
    <row r="26" spans="1:58" x14ac:dyDescent="0.2">
      <c r="A26" s="67" t="s">
        <v>129</v>
      </c>
      <c r="B26" s="39"/>
      <c r="C26" s="39"/>
      <c r="D26" s="39"/>
      <c r="E26" s="39"/>
      <c r="F26" s="50"/>
      <c r="G26" s="51"/>
      <c r="H26" s="51"/>
      <c r="I26" s="39"/>
      <c r="J26" s="39"/>
      <c r="K26" s="110"/>
      <c r="L26" s="110"/>
      <c r="M26" s="110"/>
      <c r="N26" s="110"/>
      <c r="O26" s="110"/>
      <c r="P26" s="110"/>
      <c r="Q26" s="110"/>
      <c r="R26" s="110"/>
      <c r="S26" s="110"/>
      <c r="T26" s="110"/>
      <c r="U26" s="110"/>
      <c r="V26" s="110"/>
      <c r="W26" s="110"/>
      <c r="X26" s="110"/>
      <c r="BB26" s="153" t="str">
        <f t="shared" si="1"/>
        <v xml:space="preserve">  During construction period</v>
      </c>
      <c r="BC26" s="153"/>
      <c r="BD26" s="153"/>
      <c r="BE26" s="153"/>
      <c r="BF26" s="153"/>
    </row>
    <row r="27" spans="1:58" ht="13.5" customHeight="1" x14ac:dyDescent="0.2">
      <c r="A27" s="315" t="s">
        <v>429</v>
      </c>
      <c r="B27" s="50">
        <f>Calculations!AH38</f>
        <v>544.1740211870831</v>
      </c>
      <c r="C27" s="74">
        <f>Calculations!AI38</f>
        <v>69.641544117647058</v>
      </c>
      <c r="D27" s="74">
        <f>Calculations!AJ38</f>
        <v>98.345588235294116</v>
      </c>
      <c r="E27" s="74">
        <f>Calculations!AK38</f>
        <v>76.838235294117638</v>
      </c>
      <c r="F27" s="50"/>
      <c r="G27" s="51"/>
      <c r="H27" s="51"/>
      <c r="I27" s="39"/>
      <c r="J27" s="39"/>
      <c r="K27" s="110"/>
      <c r="L27" s="110"/>
      <c r="M27" s="110"/>
      <c r="N27" s="110"/>
      <c r="O27" s="110"/>
      <c r="P27" s="110"/>
      <c r="Q27" s="110"/>
      <c r="R27" s="110"/>
      <c r="S27" s="110"/>
      <c r="T27" s="110"/>
      <c r="U27" s="110"/>
      <c r="V27" s="110"/>
      <c r="W27" s="110"/>
      <c r="X27" s="110"/>
      <c r="Z27">
        <f>B32/(C7/12)</f>
        <v>426.58464695362187</v>
      </c>
      <c r="BB27" s="153" t="str">
        <f t="shared" si="1"/>
        <v xml:space="preserve">     Project Development and Onsite Labor Impacts</v>
      </c>
      <c r="BC27" s="271">
        <f t="shared" ref="BC27:BC32" si="2">B27</f>
        <v>544.1740211870831</v>
      </c>
      <c r="BD27" s="198">
        <f t="shared" si="0"/>
        <v>69.641544117647058</v>
      </c>
      <c r="BE27" s="198">
        <f t="shared" si="0"/>
        <v>98.345588235294116</v>
      </c>
      <c r="BF27" s="198">
        <f t="shared" si="0"/>
        <v>76.838235294117638</v>
      </c>
    </row>
    <row r="28" spans="1:58" x14ac:dyDescent="0.2">
      <c r="A28" s="314" t="s">
        <v>431</v>
      </c>
      <c r="B28" s="50">
        <f>Calculations!AH39</f>
        <v>544.1740211870831</v>
      </c>
      <c r="C28" s="74">
        <f>Calculations!AI39</f>
        <v>69.641544117647058</v>
      </c>
      <c r="D28" s="74"/>
      <c r="E28" s="74"/>
      <c r="F28" s="85"/>
      <c r="G28" s="85"/>
      <c r="H28" s="51"/>
      <c r="I28" s="39"/>
      <c r="J28" s="39"/>
      <c r="K28" s="110"/>
      <c r="L28" s="110"/>
      <c r="M28" s="110"/>
      <c r="N28" s="110"/>
      <c r="O28" s="110"/>
      <c r="P28" s="110"/>
      <c r="Q28" s="110"/>
      <c r="R28" s="110"/>
      <c r="S28" s="110"/>
      <c r="T28" s="110"/>
      <c r="U28" s="110"/>
      <c r="V28" s="110"/>
      <c r="W28" s="110"/>
      <c r="X28" s="110"/>
      <c r="Z28" s="237">
        <f>ROUND(Z27,-1)</f>
        <v>430</v>
      </c>
      <c r="BB28" s="153" t="str">
        <f t="shared" si="1"/>
        <v xml:space="preserve">       Construction and Interconnection Labor</v>
      </c>
      <c r="BC28" s="271">
        <f t="shared" si="2"/>
        <v>544.1740211870831</v>
      </c>
      <c r="BD28" s="198">
        <f t="shared" si="0"/>
        <v>69.641544117647058</v>
      </c>
      <c r="BE28" s="198"/>
      <c r="BF28" s="198"/>
    </row>
    <row r="29" spans="1:58" x14ac:dyDescent="0.2">
      <c r="A29" s="315" t="s">
        <v>430</v>
      </c>
      <c r="B29" s="50">
        <f>Calculations!AH40</f>
        <v>0</v>
      </c>
      <c r="C29" s="74">
        <f>Calculations!AI40</f>
        <v>0</v>
      </c>
      <c r="D29" s="74"/>
      <c r="E29" s="74"/>
      <c r="F29" s="85"/>
      <c r="G29" s="85"/>
      <c r="H29" s="51"/>
      <c r="I29" s="39"/>
      <c r="J29" s="39"/>
      <c r="K29" s="110"/>
      <c r="L29" s="110"/>
      <c r="M29" s="110"/>
      <c r="N29" s="110"/>
      <c r="O29" s="110"/>
      <c r="P29" s="110"/>
      <c r="Q29" s="110"/>
      <c r="R29" s="110"/>
      <c r="S29" s="110"/>
      <c r="T29" s="110"/>
      <c r="U29" s="110"/>
      <c r="V29" s="110"/>
      <c r="W29" s="110"/>
      <c r="X29" s="110"/>
      <c r="Z29" s="237"/>
      <c r="BB29" s="153" t="str">
        <f>A29</f>
        <v xml:space="preserve">       Construction Related Services</v>
      </c>
      <c r="BC29" s="271">
        <f t="shared" si="2"/>
        <v>0</v>
      </c>
      <c r="BD29" s="198">
        <f>C29</f>
        <v>0</v>
      </c>
      <c r="BE29" s="198"/>
      <c r="BF29" s="198"/>
    </row>
    <row r="30" spans="1:58" x14ac:dyDescent="0.2">
      <c r="A30" s="328" t="s">
        <v>432</v>
      </c>
      <c r="B30" s="50">
        <f>Calculations!AH41</f>
        <v>503.1888171517121</v>
      </c>
      <c r="C30" s="74">
        <f>Calculations!AI41</f>
        <v>18.535330882352952</v>
      </c>
      <c r="D30" s="74">
        <f>Calculations!AJ41</f>
        <v>80.382683823529447</v>
      </c>
      <c r="E30" s="74">
        <f>Calculations!AK41</f>
        <v>41.374191176470589</v>
      </c>
      <c r="F30" s="50"/>
      <c r="G30" s="51"/>
      <c r="H30" s="51"/>
      <c r="I30" s="39"/>
      <c r="J30" s="39"/>
      <c r="K30" s="110"/>
      <c r="L30" s="110"/>
      <c r="M30" s="110"/>
      <c r="N30" s="110"/>
      <c r="O30" s="110"/>
      <c r="P30" s="110"/>
      <c r="Q30" s="110"/>
      <c r="R30" s="110"/>
      <c r="S30" s="110"/>
      <c r="T30" s="110"/>
      <c r="U30" s="110"/>
      <c r="V30" s="110"/>
      <c r="W30" s="110"/>
      <c r="X30" s="110"/>
      <c r="BB30" s="153" t="str">
        <f t="shared" si="1"/>
        <v xml:space="preserve">     Power Generation and Supply Chain Impacts</v>
      </c>
      <c r="BC30" s="271">
        <f t="shared" si="2"/>
        <v>503.1888171517121</v>
      </c>
      <c r="BD30" s="198">
        <f t="shared" si="0"/>
        <v>18.535330882352952</v>
      </c>
      <c r="BE30" s="198">
        <f t="shared" si="0"/>
        <v>80.382683823529447</v>
      </c>
      <c r="BF30" s="198">
        <f t="shared" si="0"/>
        <v>41.374191176470589</v>
      </c>
    </row>
    <row r="31" spans="1:58" x14ac:dyDescent="0.2">
      <c r="A31" s="80" t="s">
        <v>155</v>
      </c>
      <c r="B31" s="50">
        <f>Calculations!AH42</f>
        <v>232.39110252207053</v>
      </c>
      <c r="C31" s="74">
        <f>Calculations!AI42</f>
        <v>9.095845588235294</v>
      </c>
      <c r="D31" s="74">
        <f>Calculations!AJ42</f>
        <v>30.32268382352942</v>
      </c>
      <c r="E31" s="74">
        <f>Calculations!AK42</f>
        <v>17.351139705882353</v>
      </c>
      <c r="F31" s="50"/>
      <c r="G31" s="51"/>
      <c r="H31" s="51"/>
      <c r="I31" s="39"/>
      <c r="J31" s="39"/>
      <c r="K31" s="110"/>
      <c r="L31" s="110"/>
      <c r="M31" s="110"/>
      <c r="N31" s="110"/>
      <c r="O31" s="110"/>
      <c r="P31" s="110"/>
      <c r="Q31" s="110"/>
      <c r="R31" s="110"/>
      <c r="S31" s="110"/>
      <c r="T31" s="110"/>
      <c r="U31" s="110"/>
      <c r="V31" s="110"/>
      <c r="W31" s="110"/>
      <c r="X31" s="110"/>
      <c r="BB31" s="153" t="str">
        <f t="shared" si="1"/>
        <v xml:space="preserve">     Induced Impacts</v>
      </c>
      <c r="BC31" s="271">
        <f t="shared" si="2"/>
        <v>232.39110252207053</v>
      </c>
      <c r="BD31" s="198">
        <f t="shared" si="0"/>
        <v>9.095845588235294</v>
      </c>
      <c r="BE31" s="198">
        <f t="shared" si="0"/>
        <v>30.32268382352942</v>
      </c>
      <c r="BF31" s="198">
        <f t="shared" si="0"/>
        <v>17.351139705882353</v>
      </c>
    </row>
    <row r="32" spans="1:58" x14ac:dyDescent="0.2">
      <c r="A32" s="66" t="s">
        <v>491</v>
      </c>
      <c r="B32" s="87">
        <f>Calculations!AH43</f>
        <v>1279.7539408608657</v>
      </c>
      <c r="C32" s="88">
        <f>Calculations!AI43</f>
        <v>97.272720588235302</v>
      </c>
      <c r="D32" s="88">
        <f>Calculations!AJ43</f>
        <v>209.05095588235298</v>
      </c>
      <c r="E32" s="88">
        <f>Calculations!AK43</f>
        <v>135.56356617647057</v>
      </c>
      <c r="F32" s="39"/>
      <c r="G32" s="51"/>
      <c r="H32" s="39"/>
      <c r="I32" s="39"/>
      <c r="J32" s="39"/>
      <c r="K32" s="110"/>
      <c r="L32" s="110"/>
      <c r="M32" s="110"/>
      <c r="N32" s="110"/>
      <c r="O32" s="110"/>
      <c r="P32" s="110"/>
      <c r="Q32" s="110"/>
      <c r="R32" s="110"/>
      <c r="S32" s="110"/>
      <c r="T32" s="110"/>
      <c r="U32" s="110"/>
      <c r="V32" s="110"/>
      <c r="W32" s="110"/>
      <c r="X32" s="110"/>
      <c r="BB32" s="153" t="str">
        <f t="shared" si="1"/>
        <v xml:space="preserve">     Total Impacts</v>
      </c>
      <c r="BC32" s="271">
        <f t="shared" si="2"/>
        <v>1279.7539408608657</v>
      </c>
      <c r="BD32" s="198">
        <f t="shared" si="0"/>
        <v>97.272720588235302</v>
      </c>
      <c r="BE32" s="198">
        <f t="shared" si="0"/>
        <v>209.05095588235298</v>
      </c>
      <c r="BF32" s="198">
        <f t="shared" si="0"/>
        <v>135.56356617647057</v>
      </c>
    </row>
    <row r="33" spans="1:58" x14ac:dyDescent="0.2">
      <c r="A33" s="66"/>
      <c r="B33" s="50"/>
      <c r="C33" s="74"/>
      <c r="D33" s="74"/>
      <c r="E33" s="74"/>
      <c r="F33" s="39"/>
      <c r="G33" s="51"/>
      <c r="H33" s="39"/>
      <c r="I33" s="39"/>
      <c r="J33" s="39"/>
      <c r="K33" s="110"/>
      <c r="L33" s="110"/>
      <c r="M33" s="110"/>
      <c r="N33" s="110"/>
      <c r="O33" s="110"/>
      <c r="P33" s="110"/>
      <c r="Q33" s="110"/>
      <c r="R33" s="110"/>
      <c r="S33" s="110"/>
      <c r="T33" s="110"/>
      <c r="U33" s="110"/>
      <c r="V33" s="110"/>
      <c r="W33" s="110"/>
      <c r="X33" s="110"/>
      <c r="BB33" s="153"/>
      <c r="BC33" s="271"/>
      <c r="BD33" s="270"/>
      <c r="BE33" s="270"/>
      <c r="BF33" s="270"/>
    </row>
    <row r="34" spans="1:58" x14ac:dyDescent="0.2">
      <c r="A34" s="67" t="s">
        <v>240</v>
      </c>
      <c r="B34" s="39"/>
      <c r="C34" s="75"/>
      <c r="D34" s="74"/>
      <c r="E34" s="74"/>
      <c r="F34" s="46"/>
      <c r="G34" s="52"/>
      <c r="H34" s="52"/>
      <c r="I34" s="39"/>
      <c r="J34" s="39"/>
      <c r="K34" s="110"/>
      <c r="L34" s="110"/>
      <c r="M34" s="110"/>
      <c r="N34" s="110"/>
      <c r="O34" s="110"/>
      <c r="P34" s="110"/>
      <c r="Q34" s="110"/>
      <c r="R34" s="110"/>
      <c r="S34" s="110"/>
      <c r="T34" s="110"/>
      <c r="U34" s="110"/>
      <c r="V34" s="110"/>
      <c r="W34" s="110"/>
      <c r="X34" s="110"/>
      <c r="BB34" s="153" t="str">
        <f t="shared" si="1"/>
        <v xml:space="preserve">  During operating years (annual)</v>
      </c>
      <c r="BC34" s="271"/>
      <c r="BD34" s="270"/>
      <c r="BE34" s="270"/>
      <c r="BF34" s="270"/>
    </row>
    <row r="35" spans="1:58" x14ac:dyDescent="0.2">
      <c r="A35" s="315" t="s">
        <v>434</v>
      </c>
      <c r="B35" s="50">
        <f>Calculations!AH47</f>
        <v>25.324015276627946</v>
      </c>
      <c r="C35" s="74">
        <f>Calculations!AI47</f>
        <v>1.602272179967237</v>
      </c>
      <c r="D35" s="74">
        <f>Calculations!AJ46</f>
        <v>1.602272179967237</v>
      </c>
      <c r="E35" s="74">
        <f>Calculations!AK46</f>
        <v>1.602272179967237</v>
      </c>
      <c r="F35" s="43"/>
      <c r="G35" s="51"/>
      <c r="H35" s="52"/>
      <c r="I35" s="39"/>
      <c r="J35" s="39"/>
      <c r="K35" s="110"/>
      <c r="L35" s="110"/>
      <c r="M35" s="110"/>
      <c r="N35" s="110"/>
      <c r="O35" s="110"/>
      <c r="P35" s="110"/>
      <c r="Q35" s="110"/>
      <c r="R35" s="110"/>
      <c r="S35" s="110"/>
      <c r="T35" s="110"/>
      <c r="U35" s="110"/>
      <c r="V35" s="110"/>
      <c r="W35" s="110"/>
      <c r="X35" s="110"/>
      <c r="BB35" s="153" t="str">
        <f t="shared" si="1"/>
        <v xml:space="preserve">     Onsite Labor Impacts</v>
      </c>
      <c r="BC35" s="271">
        <f>B35</f>
        <v>25.324015276627946</v>
      </c>
      <c r="BD35" s="198">
        <f t="shared" si="0"/>
        <v>1.602272179967237</v>
      </c>
      <c r="BE35" s="198">
        <f t="shared" si="0"/>
        <v>1.602272179967237</v>
      </c>
      <c r="BF35" s="198">
        <f t="shared" si="0"/>
        <v>1.602272179967237</v>
      </c>
    </row>
    <row r="36" spans="1:58" x14ac:dyDescent="0.2">
      <c r="A36" s="328" t="s">
        <v>433</v>
      </c>
      <c r="B36" s="50">
        <f>Calculations!AH48</f>
        <v>36.28828053594038</v>
      </c>
      <c r="C36" s="74">
        <f>Calculations!AI48</f>
        <v>1.5232921280806777</v>
      </c>
      <c r="D36" s="74">
        <f>Calculations!AJ48</f>
        <v>5.8466131849046548</v>
      </c>
      <c r="E36" s="74">
        <f>Calculations!AK48</f>
        <v>3.1811942075766209</v>
      </c>
      <c r="F36" s="266"/>
      <c r="G36" s="51"/>
      <c r="H36" s="52"/>
      <c r="I36" s="39"/>
      <c r="J36" s="39"/>
      <c r="K36" s="110"/>
      <c r="L36" s="110"/>
      <c r="M36" s="110"/>
      <c r="N36" s="110"/>
      <c r="O36" s="110"/>
      <c r="P36" s="110"/>
      <c r="Q36" s="110"/>
      <c r="R36" s="110"/>
      <c r="S36" s="110"/>
      <c r="T36" s="110"/>
      <c r="U36" s="110"/>
      <c r="V36" s="110"/>
      <c r="W36" s="110"/>
      <c r="X36" s="110"/>
      <c r="BB36" s="153" t="str">
        <f t="shared" si="1"/>
        <v xml:space="preserve">     Local Revenue and Supply Chain Impacts</v>
      </c>
      <c r="BC36" s="271">
        <f>B36</f>
        <v>36.28828053594038</v>
      </c>
      <c r="BD36" s="198">
        <f t="shared" si="0"/>
        <v>1.5232921280806777</v>
      </c>
      <c r="BE36" s="198">
        <f t="shared" si="0"/>
        <v>5.8466131849046548</v>
      </c>
      <c r="BF36" s="198">
        <f t="shared" si="0"/>
        <v>3.1811942075766209</v>
      </c>
    </row>
    <row r="37" spans="1:58" x14ac:dyDescent="0.2">
      <c r="A37" s="80" t="s">
        <v>155</v>
      </c>
      <c r="B37" s="50">
        <f>Calculations!AH49</f>
        <v>7.0768812151229232</v>
      </c>
      <c r="C37" s="74">
        <f>Calculations!AI49</f>
        <v>0.27603925249401351</v>
      </c>
      <c r="D37" s="74">
        <f>Calculations!AJ49</f>
        <v>0.92033966667905021</v>
      </c>
      <c r="E37" s="74">
        <f>Calculations!AK49</f>
        <v>0.52763069888029379</v>
      </c>
      <c r="F37" s="266"/>
      <c r="G37" s="51"/>
      <c r="H37" s="52"/>
      <c r="I37" s="39"/>
      <c r="J37" s="39"/>
      <c r="K37" s="110"/>
      <c r="L37" s="110"/>
      <c r="M37" s="110"/>
      <c r="N37" s="110"/>
      <c r="O37" s="110"/>
      <c r="P37" s="110"/>
      <c r="Q37" s="110"/>
      <c r="R37" s="110"/>
      <c r="S37" s="110"/>
      <c r="T37" s="110"/>
      <c r="U37" s="110"/>
      <c r="V37" s="110"/>
      <c r="W37" s="110"/>
      <c r="X37" s="110"/>
      <c r="BB37" s="153" t="str">
        <f t="shared" si="1"/>
        <v xml:space="preserve">     Induced Impacts</v>
      </c>
      <c r="BC37" s="271">
        <f>B37</f>
        <v>7.0768812151229232</v>
      </c>
      <c r="BD37" s="198">
        <f t="shared" si="0"/>
        <v>0.27603925249401351</v>
      </c>
      <c r="BE37" s="198">
        <f t="shared" si="0"/>
        <v>0.92033966667905021</v>
      </c>
      <c r="BF37" s="198">
        <f t="shared" si="0"/>
        <v>0.52763069888029379</v>
      </c>
    </row>
    <row r="38" spans="1:58" x14ac:dyDescent="0.2">
      <c r="A38" s="66" t="s">
        <v>491</v>
      </c>
      <c r="B38" s="87">
        <f>Calculations!AH50</f>
        <v>68.689177027691244</v>
      </c>
      <c r="C38" s="88">
        <f>Calculations!AI50</f>
        <v>3.4016035605419286</v>
      </c>
      <c r="D38" s="88">
        <f>Calculations!AJ50</f>
        <v>8.3692250315509416</v>
      </c>
      <c r="E38" s="88">
        <f>Calculations!AK50</f>
        <v>5.3110970864241516</v>
      </c>
      <c r="F38" s="266"/>
      <c r="G38" s="51"/>
      <c r="H38" s="39"/>
      <c r="I38" s="39"/>
      <c r="J38" s="39"/>
      <c r="K38" s="110"/>
      <c r="L38" s="110"/>
      <c r="M38" s="110"/>
      <c r="N38" s="110"/>
      <c r="O38" s="110"/>
      <c r="P38" s="110"/>
      <c r="Q38" s="110"/>
      <c r="R38" s="110"/>
      <c r="S38" s="110"/>
      <c r="T38" s="110"/>
      <c r="U38" s="110"/>
      <c r="V38" s="110"/>
      <c r="W38" s="110"/>
      <c r="X38" s="110"/>
      <c r="AE38" s="274" t="str">
        <f>ProjectData!B26</f>
        <v>N</v>
      </c>
      <c r="BB38" s="153" t="str">
        <f t="shared" si="1"/>
        <v xml:space="preserve">     Total Impacts</v>
      </c>
      <c r="BC38" s="271">
        <f>B38</f>
        <v>68.689177027691244</v>
      </c>
      <c r="BD38" s="198">
        <f t="shared" si="0"/>
        <v>3.4016035605419286</v>
      </c>
      <c r="BE38" s="198">
        <f t="shared" si="0"/>
        <v>8.3692250315509416</v>
      </c>
      <c r="BF38" s="198">
        <f t="shared" si="0"/>
        <v>5.3110970864241516</v>
      </c>
    </row>
    <row r="39" spans="1:58" x14ac:dyDescent="0.2">
      <c r="A39" s="59" t="str">
        <f>CONCATENATE("Notes:  Earnings and Output values are millions of dollars in year ",C13, " dollars.  Construction period related jobs are full-")</f>
        <v>Notes:  Earnings and Output values are millions of dollars in year 2010 dollars.  Construction period related jobs are full-</v>
      </c>
      <c r="B39" s="42"/>
      <c r="C39" s="88"/>
      <c r="D39" s="88"/>
      <c r="E39" s="88"/>
      <c r="F39" s="43"/>
      <c r="G39" s="51"/>
      <c r="H39" s="39"/>
      <c r="I39" s="39"/>
      <c r="J39" s="39"/>
      <c r="K39" s="110"/>
      <c r="L39" s="110"/>
      <c r="M39" s="110"/>
      <c r="N39" s="110"/>
      <c r="O39" s="110"/>
      <c r="P39" s="110"/>
      <c r="Q39" s="110"/>
      <c r="R39" s="110"/>
      <c r="S39" s="110"/>
      <c r="T39" s="110"/>
      <c r="U39" s="110"/>
      <c r="V39" s="110"/>
      <c r="W39" s="110"/>
      <c r="X39" s="110"/>
      <c r="AE39" s="331"/>
      <c r="BB39" s="269" t="str">
        <f t="shared" si="1"/>
        <v>Notes:  Earnings and Output values are millions of dollars in year 2010 dollars.  Construction period related jobs are full-</v>
      </c>
      <c r="BC39" s="153"/>
      <c r="BD39" s="153"/>
      <c r="BE39" s="153"/>
    </row>
    <row r="40" spans="1:58" ht="13.5" customHeight="1" x14ac:dyDescent="0.2">
      <c r="A40" s="166" t="str">
        <f>CONCATENATE(" time equivalent for the ",C7," months (an annual average of approximately ", Z28," full-time equivalent jobs).  Plant workers")</f>
        <v xml:space="preserve"> time equivalent for the 36 months (an annual average of approximately 430 full-time equivalent jobs).  Plant workers</v>
      </c>
      <c r="B40" s="42"/>
      <c r="C40" s="88"/>
      <c r="D40" s="88"/>
      <c r="E40" s="88"/>
      <c r="F40" s="43"/>
      <c r="G40" s="51"/>
      <c r="H40" s="39"/>
      <c r="I40" s="39"/>
      <c r="J40" s="39"/>
      <c r="K40" s="110"/>
      <c r="L40" s="110"/>
      <c r="M40" s="110"/>
      <c r="N40" s="110"/>
      <c r="O40" s="110"/>
      <c r="P40" s="110"/>
      <c r="Q40" s="110"/>
      <c r="R40" s="110"/>
      <c r="S40" s="110"/>
      <c r="T40" s="110"/>
      <c r="U40" s="110"/>
      <c r="V40" s="110"/>
      <c r="W40" s="110"/>
      <c r="X40" s="110"/>
      <c r="AE40" s="275" t="str">
        <f>IF(AE38="Y","model default","User modifications to default")</f>
        <v>User modifications to default</v>
      </c>
      <c r="BB40" s="269" t="str">
        <f t="shared" si="1"/>
        <v xml:space="preserve"> time equivalent for the 36 months (an annual average of approximately 430 full-time equivalent jobs).  Plant workers</v>
      </c>
      <c r="BC40" s="153"/>
      <c r="BD40" s="153"/>
      <c r="BE40" s="153"/>
    </row>
    <row r="41" spans="1:58" x14ac:dyDescent="0.2">
      <c r="A41" s="166" t="s">
        <v>366</v>
      </c>
      <c r="B41" s="42"/>
      <c r="C41" s="88"/>
      <c r="D41" s="88"/>
      <c r="E41" s="88"/>
      <c r="F41" s="43"/>
      <c r="G41" s="51"/>
      <c r="H41" s="39"/>
      <c r="I41" s="39"/>
      <c r="J41" s="39"/>
      <c r="K41" s="110"/>
      <c r="L41" s="110"/>
      <c r="M41" s="110"/>
      <c r="N41" s="110"/>
      <c r="O41" s="110"/>
      <c r="P41" s="110"/>
      <c r="Q41" s="110"/>
      <c r="R41" s="110"/>
      <c r="S41" s="110"/>
      <c r="T41" s="110"/>
      <c r="U41" s="110"/>
      <c r="V41" s="110"/>
      <c r="W41" s="110"/>
      <c r="X41" s="110"/>
      <c r="BB41" s="269" t="str">
        <f t="shared" si="1"/>
        <v xml:space="preserve"> includes operators, maintenance, administration and management.  Economic impacts "During operating years"</v>
      </c>
      <c r="BC41" s="153"/>
      <c r="BD41" s="153"/>
      <c r="BE41" s="153"/>
    </row>
    <row r="42" spans="1:58" x14ac:dyDescent="0.2">
      <c r="A42" s="176" t="s">
        <v>367</v>
      </c>
      <c r="B42" s="42"/>
      <c r="C42" s="88"/>
      <c r="D42" s="88"/>
      <c r="E42" s="88"/>
      <c r="F42" s="43"/>
      <c r="G42" s="51"/>
      <c r="H42" s="39"/>
      <c r="I42" s="39"/>
      <c r="J42" s="39"/>
      <c r="K42" s="110"/>
      <c r="L42" s="110"/>
      <c r="M42" s="110"/>
      <c r="N42" s="110"/>
      <c r="O42" s="110"/>
      <c r="P42" s="110"/>
      <c r="Q42" s="110"/>
      <c r="R42" s="110"/>
      <c r="S42" s="110"/>
      <c r="T42" s="110"/>
      <c r="U42" s="110"/>
      <c r="V42" s="110"/>
      <c r="W42" s="110"/>
      <c r="X42" s="110"/>
      <c r="BB42" s="269" t="str">
        <f t="shared" si="1"/>
        <v xml:space="preserve"> represent impacts that occur from plant operations/expenditures.  The analysis does not include impacts associated</v>
      </c>
      <c r="BC42" s="153"/>
      <c r="BD42" s="153"/>
      <c r="BE42" s="153"/>
    </row>
    <row r="43" spans="1:58" x14ac:dyDescent="0.2">
      <c r="A43" s="176" t="s">
        <v>368</v>
      </c>
      <c r="B43" s="42"/>
      <c r="C43" s="88"/>
      <c r="D43" s="88"/>
      <c r="E43" s="88"/>
      <c r="F43" s="43"/>
      <c r="G43" s="51"/>
      <c r="H43" s="39"/>
      <c r="I43" s="39"/>
      <c r="J43" s="39"/>
      <c r="K43" s="110"/>
      <c r="L43" s="110"/>
      <c r="M43" s="110"/>
      <c r="N43" s="110"/>
      <c r="O43" s="110"/>
      <c r="P43" s="110"/>
      <c r="Q43" s="110"/>
      <c r="R43" s="110"/>
      <c r="S43" s="110"/>
      <c r="T43" s="110"/>
      <c r="U43" s="110"/>
      <c r="V43" s="110"/>
      <c r="W43" s="110"/>
      <c r="X43" s="110"/>
      <c r="BB43" s="269" t="str">
        <f t="shared" si="1"/>
        <v>with spending of plant "profits" and assumes no tax abatement unless noted. Totals may not add up due to independent rounding.</v>
      </c>
      <c r="BC43" s="153"/>
      <c r="BD43" s="153"/>
      <c r="BE43" s="153"/>
    </row>
    <row r="44" spans="1:58" x14ac:dyDescent="0.2">
      <c r="A44" s="176"/>
      <c r="B44" s="42"/>
      <c r="C44" s="88"/>
      <c r="D44" s="88"/>
      <c r="E44" s="88"/>
      <c r="F44" s="43"/>
      <c r="G44" s="51"/>
      <c r="H44" s="39"/>
      <c r="I44" s="39"/>
      <c r="J44" s="39"/>
      <c r="K44" s="110"/>
      <c r="L44" s="110"/>
      <c r="M44" s="110"/>
      <c r="N44" s="110"/>
      <c r="O44" s="110"/>
      <c r="P44" s="110"/>
      <c r="Q44" s="110"/>
      <c r="R44" s="110"/>
      <c r="S44" s="110"/>
      <c r="T44" s="110"/>
      <c r="U44" s="110"/>
      <c r="V44" s="110"/>
      <c r="W44" s="110"/>
      <c r="X44" s="110"/>
      <c r="BB44" s="153"/>
      <c r="BC44" s="153"/>
      <c r="BD44" s="153"/>
      <c r="BE44" s="153"/>
    </row>
    <row r="45" spans="1:58" x14ac:dyDescent="0.2">
      <c r="A45" s="39"/>
      <c r="B45" s="39"/>
      <c r="C45" s="39"/>
      <c r="D45" s="39"/>
      <c r="E45" s="39"/>
      <c r="F45" s="39"/>
      <c r="G45" s="39"/>
      <c r="H45" s="39"/>
      <c r="I45" s="39"/>
      <c r="J45" s="39"/>
      <c r="K45" s="110"/>
      <c r="L45" s="110"/>
      <c r="M45" s="110"/>
      <c r="N45" s="110"/>
      <c r="O45" s="110"/>
      <c r="P45" s="110"/>
      <c r="Q45" s="110"/>
      <c r="R45" s="110"/>
      <c r="S45" s="110"/>
      <c r="T45" s="110"/>
      <c r="U45" s="110"/>
      <c r="V45" s="110"/>
      <c r="W45" s="110"/>
      <c r="X45" s="110"/>
      <c r="BB45" s="153"/>
      <c r="BC45" s="153"/>
      <c r="BD45" s="153"/>
      <c r="BE45" s="153"/>
    </row>
    <row r="46" spans="1:58" ht="18" x14ac:dyDescent="0.25">
      <c r="A46" s="245" t="str">
        <f>Calculations!AB3</f>
        <v xml:space="preserve">Detailed Gas Project Data </v>
      </c>
      <c r="B46" s="39"/>
      <c r="C46" s="42" t="str">
        <f>Calculations!AC3</f>
        <v>WYOMING</v>
      </c>
      <c r="D46" s="39"/>
      <c r="E46" s="39"/>
      <c r="F46" s="39"/>
      <c r="G46" s="39"/>
      <c r="H46" s="39"/>
      <c r="I46" s="39"/>
      <c r="J46" s="39"/>
      <c r="K46" s="110"/>
      <c r="L46" s="110"/>
      <c r="M46" s="110"/>
      <c r="N46" s="110"/>
      <c r="O46" s="110"/>
      <c r="P46" s="110"/>
      <c r="Q46" s="110"/>
      <c r="R46" s="110"/>
      <c r="S46" s="110"/>
      <c r="T46" s="110"/>
      <c r="U46" s="110"/>
      <c r="V46" s="110"/>
      <c r="W46" s="110"/>
      <c r="X46" s="110"/>
      <c r="BB46" s="78" t="str">
        <f t="shared" si="1"/>
        <v xml:space="preserve">Detailed Gas Project Data </v>
      </c>
      <c r="BC46" s="153"/>
      <c r="BD46" s="185" t="str">
        <f t="shared" si="0"/>
        <v>WYOMING</v>
      </c>
      <c r="BE46" s="153"/>
    </row>
    <row r="47" spans="1:58" x14ac:dyDescent="0.2">
      <c r="A47" s="39"/>
      <c r="B47" s="39"/>
      <c r="C47" s="39"/>
      <c r="D47" s="39"/>
      <c r="E47" s="39"/>
      <c r="F47" s="39"/>
      <c r="G47" s="39"/>
      <c r="H47" s="39"/>
      <c r="I47" s="39"/>
      <c r="J47" s="39"/>
      <c r="K47" s="110"/>
      <c r="L47" s="110"/>
      <c r="M47" s="110"/>
      <c r="N47" s="110"/>
      <c r="O47" s="110"/>
      <c r="P47" s="110"/>
      <c r="Q47" s="110"/>
      <c r="R47" s="110"/>
      <c r="S47" s="110"/>
      <c r="T47" s="110"/>
      <c r="U47" s="110"/>
      <c r="V47" s="110"/>
      <c r="W47" s="110"/>
      <c r="X47" s="110"/>
      <c r="BB47" s="153"/>
      <c r="BC47" s="153"/>
      <c r="BD47" s="153"/>
      <c r="BE47" s="153"/>
    </row>
    <row r="48" spans="1:58" x14ac:dyDescent="0.2">
      <c r="A48" s="212" t="str">
        <f>Calculations!AB6</f>
        <v>Construction Costs</v>
      </c>
      <c r="B48" s="39"/>
      <c r="C48" s="174" t="str">
        <f>Calculations!AC6</f>
        <v>Cost</v>
      </c>
      <c r="D48" s="174" t="str">
        <f>Calculations!AD6</f>
        <v>Local Share</v>
      </c>
      <c r="E48" s="174"/>
      <c r="F48" s="110"/>
      <c r="G48" s="110"/>
      <c r="H48" s="110"/>
      <c r="I48" s="110"/>
      <c r="J48" s="110"/>
      <c r="K48" s="110"/>
      <c r="L48" s="110"/>
      <c r="M48" s="110"/>
      <c r="N48" s="110"/>
      <c r="O48" s="110"/>
      <c r="P48" s="110"/>
      <c r="Q48" s="110"/>
      <c r="R48" s="110"/>
      <c r="S48" s="110"/>
      <c r="T48" s="110"/>
      <c r="U48" s="110"/>
      <c r="V48" s="110"/>
      <c r="W48" s="110"/>
      <c r="X48" s="110"/>
      <c r="BB48" s="78" t="str">
        <f t="shared" si="1"/>
        <v>Construction Costs</v>
      </c>
      <c r="BC48" s="153"/>
      <c r="BD48" s="185" t="str">
        <f t="shared" si="0"/>
        <v>Cost</v>
      </c>
      <c r="BE48" s="325" t="str">
        <f t="shared" si="0"/>
        <v>Local Share</v>
      </c>
    </row>
    <row r="49" spans="1:57" x14ac:dyDescent="0.2">
      <c r="A49" s="240" t="str">
        <f>Calculations!AB7</f>
        <v xml:space="preserve"> Facility and Equipment</v>
      </c>
      <c r="B49" s="39"/>
      <c r="C49" s="241"/>
      <c r="D49" s="242"/>
      <c r="E49" s="242"/>
      <c r="F49" s="110"/>
      <c r="G49" s="110"/>
      <c r="H49" s="110"/>
      <c r="I49" s="110"/>
      <c r="J49" s="110"/>
      <c r="K49" s="110"/>
      <c r="L49" s="110"/>
      <c r="M49" s="110"/>
      <c r="N49" s="110"/>
      <c r="O49" s="110"/>
      <c r="P49" s="110"/>
      <c r="Q49" s="110"/>
      <c r="R49" s="110"/>
      <c r="S49" s="110"/>
      <c r="T49" s="110"/>
      <c r="U49" s="110"/>
      <c r="V49" s="110"/>
      <c r="W49" s="110"/>
      <c r="X49" s="110"/>
      <c r="BB49" s="78" t="str">
        <f t="shared" si="1"/>
        <v xml:space="preserve"> Facility and Equipment</v>
      </c>
      <c r="BC49" s="153"/>
      <c r="BD49" s="153"/>
      <c r="BE49" s="153"/>
    </row>
    <row r="50" spans="1:57" x14ac:dyDescent="0.2">
      <c r="A50" s="240" t="str">
        <f>Calculations!AB8</f>
        <v xml:space="preserve">   Power Generation</v>
      </c>
      <c r="B50" s="39"/>
      <c r="C50" s="244">
        <f>Calculations!AC8</f>
        <v>220588235.29411766</v>
      </c>
      <c r="D50" s="242">
        <f>Calculations!AD8</f>
        <v>0</v>
      </c>
      <c r="E50" s="242"/>
      <c r="F50" s="110"/>
      <c r="G50" s="110"/>
      <c r="H50" s="110"/>
      <c r="I50" s="110"/>
      <c r="J50" s="110"/>
      <c r="K50" s="110"/>
      <c r="L50" s="110"/>
      <c r="M50" s="110"/>
      <c r="N50" s="110"/>
      <c r="O50" s="110"/>
      <c r="P50" s="110"/>
      <c r="Q50" s="110"/>
      <c r="R50" s="110"/>
      <c r="S50" s="110"/>
      <c r="T50" s="110"/>
      <c r="U50" s="110"/>
      <c r="V50" s="110"/>
      <c r="W50" s="110"/>
      <c r="X50" s="110"/>
      <c r="BB50" s="153" t="str">
        <f t="shared" si="1"/>
        <v xml:space="preserve">   Power Generation</v>
      </c>
      <c r="BC50" s="153"/>
      <c r="BD50" s="202">
        <f t="shared" si="0"/>
        <v>220588235.29411766</v>
      </c>
      <c r="BE50" s="203">
        <f t="shared" si="0"/>
        <v>0</v>
      </c>
    </row>
    <row r="51" spans="1:57" x14ac:dyDescent="0.2">
      <c r="A51" s="240" t="str">
        <f>Calculations!AB9</f>
        <v xml:space="preserve">   General facilities</v>
      </c>
      <c r="B51" s="39"/>
      <c r="C51" s="244">
        <f>Calculations!AC9</f>
        <v>55147058.823529415</v>
      </c>
      <c r="D51" s="242">
        <f>Calculations!AD9</f>
        <v>0.75</v>
      </c>
      <c r="E51" s="242"/>
      <c r="F51" s="110"/>
      <c r="G51" s="110"/>
      <c r="H51" s="110"/>
      <c r="I51" s="110"/>
      <c r="J51" s="110"/>
      <c r="K51" s="110"/>
      <c r="L51" s="110"/>
      <c r="M51" s="110"/>
      <c r="N51" s="110"/>
      <c r="O51" s="110"/>
      <c r="P51" s="110"/>
      <c r="Q51" s="110"/>
      <c r="R51" s="110"/>
      <c r="S51" s="110"/>
      <c r="T51" s="110"/>
      <c r="U51" s="110"/>
      <c r="V51" s="110"/>
      <c r="W51" s="110"/>
      <c r="X51" s="110"/>
      <c r="BB51" s="153" t="str">
        <f t="shared" si="1"/>
        <v xml:space="preserve">   General facilities</v>
      </c>
      <c r="BC51" s="153"/>
      <c r="BD51" s="202">
        <f t="shared" si="0"/>
        <v>55147058.823529415</v>
      </c>
      <c r="BE51" s="203">
        <f t="shared" si="0"/>
        <v>0.75</v>
      </c>
    </row>
    <row r="52" spans="1:57" x14ac:dyDescent="0.2">
      <c r="A52" s="240" t="str">
        <f>Calculations!AB10</f>
        <v xml:space="preserve">   Plant Equipment</v>
      </c>
      <c r="B52" s="39"/>
      <c r="C52" s="244">
        <f>Calculations!AC10</f>
        <v>99264705.882352948</v>
      </c>
      <c r="D52" s="242">
        <f>Calculations!AD10</f>
        <v>0.05</v>
      </c>
      <c r="E52" s="242"/>
      <c r="F52" s="110"/>
      <c r="G52" s="110"/>
      <c r="H52" s="110"/>
      <c r="I52" s="110"/>
      <c r="J52" s="110"/>
      <c r="K52" s="110"/>
      <c r="L52" s="110"/>
      <c r="M52" s="110"/>
      <c r="N52" s="110"/>
      <c r="O52" s="110"/>
      <c r="P52" s="110"/>
      <c r="Q52" s="110"/>
      <c r="R52" s="110"/>
      <c r="S52" s="110"/>
      <c r="T52" s="110"/>
      <c r="U52" s="110"/>
      <c r="V52" s="110"/>
      <c r="W52" s="110"/>
      <c r="X52" s="110"/>
      <c r="BB52" s="153" t="str">
        <f t="shared" si="1"/>
        <v xml:space="preserve">   Plant Equipment</v>
      </c>
      <c r="BC52" s="153"/>
      <c r="BD52" s="202">
        <f t="shared" si="0"/>
        <v>99264705.882352948</v>
      </c>
      <c r="BE52" s="203">
        <f t="shared" si="0"/>
        <v>0.05</v>
      </c>
    </row>
    <row r="53" spans="1:57" x14ac:dyDescent="0.2">
      <c r="A53" s="240" t="str">
        <f>Calculations!AB11</f>
        <v xml:space="preserve">   Subtotal</v>
      </c>
      <c r="B53" s="39"/>
      <c r="C53" s="244">
        <f>Calculations!AC11</f>
        <v>375000000</v>
      </c>
      <c r="D53" s="242"/>
      <c r="E53" s="242"/>
      <c r="F53" s="110"/>
      <c r="G53" s="110"/>
      <c r="H53" s="110"/>
      <c r="I53" s="110"/>
      <c r="J53" s="110"/>
      <c r="K53" s="110"/>
      <c r="L53" s="110"/>
      <c r="M53" s="110"/>
      <c r="N53" s="110"/>
      <c r="O53" s="110"/>
      <c r="P53" s="110"/>
      <c r="Q53" s="110"/>
      <c r="R53" s="110"/>
      <c r="S53" s="110"/>
      <c r="T53" s="110"/>
      <c r="U53" s="110"/>
      <c r="V53" s="110"/>
      <c r="W53" s="110"/>
      <c r="X53" s="110"/>
      <c r="BB53" s="153" t="str">
        <f t="shared" si="1"/>
        <v xml:space="preserve">   Subtotal</v>
      </c>
      <c r="BC53" s="153"/>
      <c r="BD53" s="202">
        <f t="shared" si="0"/>
        <v>375000000</v>
      </c>
      <c r="BE53" s="203"/>
    </row>
    <row r="54" spans="1:57" x14ac:dyDescent="0.2">
      <c r="A54" s="240" t="str">
        <f>Calculations!AB12</f>
        <v xml:space="preserve"> Labor and Management</v>
      </c>
      <c r="B54" s="39"/>
      <c r="C54" s="244"/>
      <c r="D54" s="242"/>
      <c r="E54" s="242"/>
      <c r="F54" s="110"/>
      <c r="G54" s="110"/>
      <c r="H54" s="110"/>
      <c r="I54" s="110"/>
      <c r="J54" s="110"/>
      <c r="K54" s="110"/>
      <c r="L54" s="110"/>
      <c r="M54" s="110"/>
      <c r="N54" s="110"/>
      <c r="O54" s="110"/>
      <c r="P54" s="110"/>
      <c r="Q54" s="110"/>
      <c r="R54" s="110"/>
      <c r="S54" s="110"/>
      <c r="T54" s="110"/>
      <c r="U54" s="110"/>
      <c r="V54" s="110"/>
      <c r="W54" s="110"/>
      <c r="X54" s="110"/>
      <c r="BB54" s="78" t="str">
        <f t="shared" si="1"/>
        <v xml:space="preserve"> Labor and Management</v>
      </c>
      <c r="BC54" s="153"/>
      <c r="BD54" s="202"/>
      <c r="BE54" s="203"/>
    </row>
    <row r="55" spans="1:57" x14ac:dyDescent="0.2">
      <c r="A55" s="240" t="str">
        <f>Calculations!AB13</f>
        <v xml:space="preserve">   Construction Labor</v>
      </c>
      <c r="B55" s="39"/>
      <c r="C55" s="244">
        <f>Calculations!AC13</f>
        <v>106617647.05882353</v>
      </c>
      <c r="D55" s="242">
        <f>Calculations!AD13</f>
        <v>0.5</v>
      </c>
      <c r="E55" s="242"/>
      <c r="F55" s="110"/>
      <c r="G55" s="110"/>
      <c r="H55" s="110"/>
      <c r="I55" s="110"/>
      <c r="J55" s="110"/>
      <c r="K55" s="110"/>
      <c r="L55" s="110"/>
      <c r="M55" s="110"/>
      <c r="N55" s="110"/>
      <c r="O55" s="110"/>
      <c r="P55" s="110"/>
      <c r="Q55" s="110"/>
      <c r="R55" s="110"/>
      <c r="S55" s="110"/>
      <c r="T55" s="110"/>
      <c r="U55" s="110"/>
      <c r="V55" s="110"/>
      <c r="W55" s="110"/>
      <c r="X55" s="110"/>
      <c r="BB55" s="153" t="str">
        <f t="shared" si="1"/>
        <v xml:space="preserve">   Construction Labor</v>
      </c>
      <c r="BC55" s="153"/>
      <c r="BD55" s="202">
        <f t="shared" si="0"/>
        <v>106617647.05882353</v>
      </c>
      <c r="BE55" s="203">
        <f t="shared" si="0"/>
        <v>0.5</v>
      </c>
    </row>
    <row r="56" spans="1:57" x14ac:dyDescent="0.2">
      <c r="A56" s="240" t="str">
        <f>Calculations!AB14</f>
        <v xml:space="preserve">   Project management (contruction and owner's)</v>
      </c>
      <c r="B56" s="39"/>
      <c r="C56" s="244">
        <f>Calculations!AC14</f>
        <v>58823529.411764704</v>
      </c>
      <c r="D56" s="242">
        <f>Calculations!AD14</f>
        <v>0</v>
      </c>
      <c r="E56" s="242"/>
      <c r="F56" s="110"/>
      <c r="G56" s="110"/>
      <c r="H56" s="110"/>
      <c r="I56" s="110"/>
      <c r="J56" s="110"/>
      <c r="K56" s="110"/>
      <c r="L56" s="110"/>
      <c r="M56" s="110"/>
      <c r="N56" s="110"/>
      <c r="O56" s="110"/>
      <c r="P56" s="110"/>
      <c r="Q56" s="110"/>
      <c r="R56" s="110"/>
      <c r="S56" s="110"/>
      <c r="T56" s="110"/>
      <c r="U56" s="110"/>
      <c r="V56" s="110"/>
      <c r="W56" s="110"/>
      <c r="X56" s="110"/>
      <c r="BB56" s="153" t="str">
        <f t="shared" si="1"/>
        <v xml:space="preserve">   Project management (contruction and owner's)</v>
      </c>
      <c r="BC56" s="153"/>
      <c r="BD56" s="202">
        <f t="shared" si="0"/>
        <v>58823529.411764704</v>
      </c>
      <c r="BE56" s="203">
        <f t="shared" si="0"/>
        <v>0</v>
      </c>
    </row>
    <row r="57" spans="1:57" x14ac:dyDescent="0.2">
      <c r="A57" s="240" t="str">
        <f>Calculations!AB16</f>
        <v xml:space="preserve">   Subtotal</v>
      </c>
      <c r="B57" s="39"/>
      <c r="C57" s="244">
        <f>Calculations!AC16</f>
        <v>169117647.05882353</v>
      </c>
      <c r="D57" s="242">
        <f>Calculations!AD16</f>
        <v>0</v>
      </c>
      <c r="E57" s="242"/>
      <c r="F57" s="110"/>
      <c r="G57" s="110"/>
      <c r="H57" s="110"/>
      <c r="I57" s="110"/>
      <c r="J57" s="110"/>
      <c r="K57" s="110"/>
      <c r="L57" s="110"/>
      <c r="M57" s="110"/>
      <c r="N57" s="110"/>
      <c r="O57" s="110"/>
      <c r="P57" s="110"/>
      <c r="Q57" s="110"/>
      <c r="R57" s="110"/>
      <c r="S57" s="110"/>
      <c r="T57" s="110"/>
      <c r="U57" s="110"/>
      <c r="V57" s="110"/>
      <c r="W57" s="110"/>
      <c r="X57" s="110"/>
      <c r="BB57" s="153" t="str">
        <f t="shared" si="1"/>
        <v xml:space="preserve">   Subtotal</v>
      </c>
      <c r="BC57" s="153"/>
      <c r="BD57" s="202">
        <f t="shared" si="0"/>
        <v>169117647.05882353</v>
      </c>
      <c r="BE57" s="203"/>
    </row>
    <row r="58" spans="1:57" x14ac:dyDescent="0.2">
      <c r="A58" s="240" t="str">
        <f>Calculations!AB17</f>
        <v xml:space="preserve"> Construction Subtotal</v>
      </c>
      <c r="B58" s="39"/>
      <c r="C58" s="244">
        <f>Calculations!AC17</f>
        <v>544117647.05882359</v>
      </c>
      <c r="D58" s="242"/>
      <c r="E58" s="242"/>
      <c r="F58" s="110"/>
      <c r="G58" s="110"/>
      <c r="H58" s="110"/>
      <c r="I58" s="110"/>
      <c r="J58" s="110"/>
      <c r="K58" s="110"/>
      <c r="L58" s="110"/>
      <c r="M58" s="110"/>
      <c r="N58" s="110"/>
      <c r="O58" s="110"/>
      <c r="P58" s="110"/>
      <c r="Q58" s="110"/>
      <c r="R58" s="110"/>
      <c r="S58" s="110"/>
      <c r="T58" s="110"/>
      <c r="U58" s="110"/>
      <c r="V58" s="110"/>
      <c r="W58" s="110"/>
      <c r="X58" s="110"/>
      <c r="BB58" s="153" t="str">
        <f t="shared" si="1"/>
        <v xml:space="preserve"> Construction Subtotal</v>
      </c>
      <c r="BC58" s="153"/>
      <c r="BD58" s="202">
        <f t="shared" si="0"/>
        <v>544117647.05882359</v>
      </c>
      <c r="BE58" s="203"/>
    </row>
    <row r="59" spans="1:57" x14ac:dyDescent="0.2">
      <c r="A59" s="240" t="str">
        <f>Calculations!AB18</f>
        <v>Other Costs</v>
      </c>
      <c r="B59" s="39"/>
      <c r="C59" s="244"/>
      <c r="D59" s="242"/>
      <c r="E59" s="242"/>
      <c r="F59" s="110"/>
      <c r="G59" s="110"/>
      <c r="H59" s="110"/>
      <c r="I59" s="110"/>
      <c r="J59" s="110"/>
      <c r="K59" s="110"/>
      <c r="L59" s="110"/>
      <c r="M59" s="110"/>
      <c r="N59" s="110"/>
      <c r="O59" s="110"/>
      <c r="P59" s="110"/>
      <c r="Q59" s="110"/>
      <c r="R59" s="110"/>
      <c r="S59" s="110"/>
      <c r="T59" s="110"/>
      <c r="U59" s="110"/>
      <c r="V59" s="110"/>
      <c r="W59" s="110"/>
      <c r="X59" s="110"/>
      <c r="BB59" s="78" t="str">
        <f t="shared" si="1"/>
        <v>Other Costs</v>
      </c>
      <c r="BC59" s="153"/>
      <c r="BD59" s="202"/>
      <c r="BE59" s="203"/>
    </row>
    <row r="60" spans="1:57" x14ac:dyDescent="0.2">
      <c r="A60" s="240" t="str">
        <f>Calculations!AB19</f>
        <v xml:space="preserve"> Engineering/Design</v>
      </c>
      <c r="B60" s="39"/>
      <c r="C60" s="244">
        <f>Calculations!AC19</f>
        <v>14705882.352941176</v>
      </c>
      <c r="D60" s="242">
        <f>Calculations!AD19</f>
        <v>0</v>
      </c>
      <c r="E60" s="242"/>
      <c r="F60" s="110"/>
      <c r="G60" s="110"/>
      <c r="H60" s="110"/>
      <c r="I60" s="110"/>
      <c r="J60" s="110"/>
      <c r="K60" s="110"/>
      <c r="L60" s="110"/>
      <c r="M60" s="110"/>
      <c r="N60" s="110"/>
      <c r="O60" s="110"/>
      <c r="P60" s="110"/>
      <c r="Q60" s="110"/>
      <c r="R60" s="110"/>
      <c r="S60" s="110"/>
      <c r="T60" s="110"/>
      <c r="U60" s="110"/>
      <c r="V60" s="110"/>
      <c r="W60" s="110"/>
      <c r="X60" s="110"/>
      <c r="BB60" s="153" t="str">
        <f t="shared" si="1"/>
        <v xml:space="preserve"> Engineering/Design</v>
      </c>
      <c r="BC60" s="153"/>
      <c r="BD60" s="202">
        <f t="shared" si="0"/>
        <v>14705882.352941176</v>
      </c>
      <c r="BE60" s="203">
        <f t="shared" si="0"/>
        <v>0</v>
      </c>
    </row>
    <row r="61" spans="1:57" x14ac:dyDescent="0.2">
      <c r="A61" s="240" t="str">
        <f>Calculations!AB20</f>
        <v xml:space="preserve"> Construction insurance</v>
      </c>
      <c r="B61" s="39"/>
      <c r="C61" s="244">
        <f>Calculations!AC20</f>
        <v>3676470.588235294</v>
      </c>
      <c r="D61" s="242">
        <f>Calculations!AD20</f>
        <v>0</v>
      </c>
      <c r="E61" s="242"/>
      <c r="F61" s="110"/>
      <c r="G61" s="110"/>
      <c r="H61" s="110"/>
      <c r="I61" s="110"/>
      <c r="J61" s="110"/>
      <c r="K61" s="110"/>
      <c r="L61" s="110"/>
      <c r="M61" s="110"/>
      <c r="N61" s="110"/>
      <c r="O61" s="110"/>
      <c r="P61" s="110"/>
      <c r="Q61" s="110"/>
      <c r="R61" s="110"/>
      <c r="S61" s="110"/>
      <c r="T61" s="110"/>
      <c r="U61" s="110"/>
      <c r="V61" s="110"/>
      <c r="W61" s="110"/>
      <c r="X61" s="110"/>
      <c r="BB61" s="153" t="str">
        <f t="shared" si="1"/>
        <v xml:space="preserve"> Construction insurance</v>
      </c>
      <c r="BC61" s="153"/>
      <c r="BD61" s="202">
        <f t="shared" si="0"/>
        <v>3676470.588235294</v>
      </c>
      <c r="BE61" s="203">
        <f t="shared" si="0"/>
        <v>0</v>
      </c>
    </row>
    <row r="62" spans="1:57" x14ac:dyDescent="0.2">
      <c r="A62" s="240" t="str">
        <f>Calculations!AB21</f>
        <v xml:space="preserve"> Land</v>
      </c>
      <c r="B62" s="39"/>
      <c r="C62" s="244">
        <f>Calculations!AC21</f>
        <v>29411764.705882352</v>
      </c>
      <c r="D62" s="242">
        <f>Calculations!AD21</f>
        <v>1</v>
      </c>
      <c r="E62" s="242"/>
      <c r="F62" s="110"/>
      <c r="G62" s="110"/>
      <c r="H62" s="110"/>
      <c r="I62" s="110"/>
      <c r="J62" s="110"/>
      <c r="K62" s="110"/>
      <c r="L62" s="110"/>
      <c r="M62" s="110"/>
      <c r="N62" s="110"/>
      <c r="O62" s="110"/>
      <c r="P62" s="110"/>
      <c r="Q62" s="110"/>
      <c r="R62" s="110"/>
      <c r="S62" s="110"/>
      <c r="T62" s="110"/>
      <c r="U62" s="110"/>
      <c r="V62" s="110"/>
      <c r="W62" s="110"/>
      <c r="X62" s="110"/>
      <c r="BB62" s="153" t="str">
        <f t="shared" si="1"/>
        <v xml:space="preserve"> Land</v>
      </c>
      <c r="BC62" s="153"/>
      <c r="BD62" s="202">
        <f t="shared" si="0"/>
        <v>29411764.705882352</v>
      </c>
      <c r="BE62" s="203">
        <f t="shared" si="0"/>
        <v>1</v>
      </c>
    </row>
    <row r="63" spans="1:57" x14ac:dyDescent="0.2">
      <c r="A63" s="240" t="str">
        <f>Calculations!AB22</f>
        <v xml:space="preserve"> Permitting Fees</v>
      </c>
      <c r="B63" s="39"/>
      <c r="C63" s="244">
        <f>Calculations!AC22</f>
        <v>14705882.352941176</v>
      </c>
      <c r="D63" s="242">
        <f>Calculations!AD22</f>
        <v>1</v>
      </c>
      <c r="E63" s="242"/>
      <c r="F63" s="110"/>
      <c r="G63" s="110"/>
      <c r="H63" s="110"/>
      <c r="I63" s="110"/>
      <c r="J63" s="110"/>
      <c r="K63" s="110"/>
      <c r="L63" s="110"/>
      <c r="M63" s="110"/>
      <c r="N63" s="110"/>
      <c r="O63" s="110"/>
      <c r="P63" s="110"/>
      <c r="Q63" s="110"/>
      <c r="R63" s="110"/>
      <c r="S63" s="110"/>
      <c r="T63" s="110"/>
      <c r="U63" s="110"/>
      <c r="V63" s="110"/>
      <c r="W63" s="110"/>
      <c r="X63" s="110"/>
      <c r="BB63" s="153" t="str">
        <f t="shared" si="1"/>
        <v xml:space="preserve"> Permitting Fees</v>
      </c>
      <c r="BC63" s="153"/>
      <c r="BD63" s="202">
        <f t="shared" si="0"/>
        <v>14705882.352941176</v>
      </c>
      <c r="BE63" s="203">
        <f t="shared" si="0"/>
        <v>1</v>
      </c>
    </row>
    <row r="64" spans="1:57" x14ac:dyDescent="0.2">
      <c r="A64" s="240" t="str">
        <f>Calculations!AB23</f>
        <v xml:space="preserve"> Grid intertie</v>
      </c>
      <c r="B64" s="39"/>
      <c r="C64" s="244">
        <f>Calculations!AC23</f>
        <v>14705882.352941176</v>
      </c>
      <c r="D64" s="242">
        <f>Calculations!AD23</f>
        <v>0.25</v>
      </c>
      <c r="E64" s="242"/>
      <c r="F64" s="110"/>
      <c r="G64" s="110"/>
      <c r="H64" s="110"/>
      <c r="I64" s="110"/>
      <c r="J64" s="110"/>
      <c r="K64" s="110"/>
      <c r="L64" s="110"/>
      <c r="M64" s="110"/>
      <c r="N64" s="110"/>
      <c r="O64" s="110"/>
      <c r="P64" s="110"/>
      <c r="Q64" s="110"/>
      <c r="R64" s="110"/>
      <c r="S64" s="110"/>
      <c r="T64" s="110"/>
      <c r="U64" s="110"/>
      <c r="V64" s="110"/>
      <c r="W64" s="110"/>
      <c r="X64" s="110"/>
      <c r="BB64" s="153" t="str">
        <f t="shared" si="1"/>
        <v xml:space="preserve"> Grid intertie</v>
      </c>
      <c r="BC64" s="153"/>
      <c r="BD64" s="202">
        <f t="shared" si="0"/>
        <v>14705882.352941176</v>
      </c>
      <c r="BE64" s="203">
        <f t="shared" si="0"/>
        <v>0.25</v>
      </c>
    </row>
    <row r="65" spans="1:57" x14ac:dyDescent="0.2">
      <c r="A65" s="240" t="str">
        <f>Calculations!AB24</f>
        <v xml:space="preserve"> Spare Parts</v>
      </c>
      <c r="B65" s="39"/>
      <c r="C65" s="244">
        <f>Calculations!AC24</f>
        <v>3676470.588235294</v>
      </c>
      <c r="D65" s="242">
        <f>Calculations!AD24</f>
        <v>0.05</v>
      </c>
      <c r="E65" s="242"/>
      <c r="F65" s="110"/>
      <c r="G65" s="110"/>
      <c r="H65" s="110"/>
      <c r="I65" s="110"/>
      <c r="J65" s="110"/>
      <c r="K65" s="110"/>
      <c r="L65" s="110"/>
      <c r="M65" s="110"/>
      <c r="N65" s="110"/>
      <c r="O65" s="110"/>
      <c r="P65" s="110"/>
      <c r="Q65" s="110"/>
      <c r="R65" s="110"/>
      <c r="S65" s="110"/>
      <c r="T65" s="110"/>
      <c r="U65" s="110"/>
      <c r="V65" s="110"/>
      <c r="W65" s="110"/>
      <c r="X65" s="110"/>
      <c r="BB65" s="153" t="str">
        <f t="shared" si="1"/>
        <v xml:space="preserve"> Spare Parts</v>
      </c>
      <c r="BC65" s="153"/>
      <c r="BD65" s="202">
        <f>C65</f>
        <v>3676470.588235294</v>
      </c>
      <c r="BE65" s="203">
        <f>D65</f>
        <v>0.05</v>
      </c>
    </row>
    <row r="66" spans="1:57" x14ac:dyDescent="0.2">
      <c r="A66" s="240" t="str">
        <f>Calculations!AB25</f>
        <v xml:space="preserve"> Other Subtotal</v>
      </c>
      <c r="B66" s="39"/>
      <c r="C66" s="244">
        <f>Calculations!AC25</f>
        <v>80882352.941176459</v>
      </c>
      <c r="D66" s="242"/>
      <c r="E66" s="242"/>
      <c r="F66" s="110"/>
      <c r="G66" s="110"/>
      <c r="H66" s="110"/>
      <c r="I66" s="110"/>
      <c r="J66" s="110"/>
      <c r="K66" s="110"/>
      <c r="L66" s="110"/>
      <c r="M66" s="110"/>
      <c r="N66" s="110"/>
      <c r="O66" s="110"/>
      <c r="P66" s="110"/>
      <c r="Q66" s="110"/>
      <c r="R66" s="110"/>
      <c r="S66" s="110"/>
      <c r="T66" s="110"/>
      <c r="U66" s="110"/>
      <c r="V66" s="110"/>
      <c r="W66" s="110"/>
      <c r="X66" s="110"/>
      <c r="BB66" s="153" t="str">
        <f>A66</f>
        <v xml:space="preserve"> Other Subtotal</v>
      </c>
      <c r="BC66" s="153"/>
      <c r="BD66" s="202">
        <f>C66</f>
        <v>80882352.941176459</v>
      </c>
      <c r="BE66" s="153"/>
    </row>
    <row r="67" spans="1:57" x14ac:dyDescent="0.2">
      <c r="A67" s="240" t="str">
        <f>Calculations!AB26</f>
        <v>Subtotal All Costs (without sales tax)</v>
      </c>
      <c r="B67" s="39"/>
      <c r="C67" s="244">
        <f>Calculations!AC26</f>
        <v>625000000</v>
      </c>
      <c r="D67" s="242"/>
      <c r="E67" s="242"/>
      <c r="F67" s="110"/>
      <c r="G67" s="110"/>
      <c r="H67" s="110"/>
      <c r="I67" s="110"/>
      <c r="J67" s="110"/>
      <c r="K67" s="110"/>
      <c r="L67" s="110"/>
      <c r="M67" s="110"/>
      <c r="N67" s="110"/>
      <c r="O67" s="110"/>
      <c r="P67" s="110"/>
      <c r="Q67" s="110"/>
      <c r="R67" s="110"/>
      <c r="S67" s="110"/>
      <c r="T67" s="110"/>
      <c r="U67" s="110"/>
      <c r="V67" s="110"/>
      <c r="W67" s="110"/>
      <c r="X67" s="110"/>
      <c r="BB67" s="78" t="str">
        <f>A67</f>
        <v>Subtotal All Costs (without sales tax)</v>
      </c>
      <c r="BC67" s="153"/>
      <c r="BD67" s="202">
        <f>C67</f>
        <v>625000000</v>
      </c>
      <c r="BE67" s="153"/>
    </row>
    <row r="68" spans="1:57" x14ac:dyDescent="0.2">
      <c r="A68" s="240" t="str">
        <f>Calculations!AB27</f>
        <v>Sales Tax (Materials &amp; Equipment Purchases)</v>
      </c>
      <c r="B68" s="39"/>
      <c r="C68" s="244">
        <f>Calculations!AC27</f>
        <v>15147058.823529413</v>
      </c>
      <c r="D68" s="242">
        <f>Calculations!AD27</f>
        <v>1</v>
      </c>
      <c r="E68" s="242"/>
      <c r="F68" s="110"/>
      <c r="G68" s="110"/>
      <c r="H68" s="110"/>
      <c r="I68" s="110"/>
      <c r="J68" s="110"/>
      <c r="K68" s="110"/>
      <c r="L68" s="110"/>
      <c r="M68" s="110"/>
      <c r="N68" s="110"/>
      <c r="O68" s="110"/>
      <c r="P68" s="110"/>
      <c r="Q68" s="110"/>
      <c r="R68" s="110"/>
      <c r="S68" s="110"/>
      <c r="T68" s="110"/>
      <c r="U68" s="110"/>
      <c r="V68" s="110"/>
      <c r="W68" s="110"/>
      <c r="X68" s="110"/>
      <c r="BB68" s="78" t="str">
        <f>A68</f>
        <v>Sales Tax (Materials &amp; Equipment Purchases)</v>
      </c>
      <c r="BC68" s="153"/>
      <c r="BD68" s="202">
        <f>C68</f>
        <v>15147058.823529413</v>
      </c>
      <c r="BE68" s="203">
        <f>D68</f>
        <v>1</v>
      </c>
    </row>
    <row r="69" spans="1:57" x14ac:dyDescent="0.2">
      <c r="A69" s="240" t="str">
        <f>Calculations!AB28</f>
        <v>Total Project Cost</v>
      </c>
      <c r="B69" s="39"/>
      <c r="C69" s="244">
        <f>Calculations!AC28</f>
        <v>640147058.82352936</v>
      </c>
      <c r="D69" s="242"/>
      <c r="E69" s="242"/>
      <c r="F69" s="110"/>
      <c r="G69" s="110"/>
      <c r="H69" s="110"/>
      <c r="I69" s="110"/>
      <c r="J69" s="110"/>
      <c r="K69" s="110"/>
      <c r="L69" s="110"/>
      <c r="M69" s="110"/>
      <c r="N69" s="110"/>
      <c r="O69" s="110"/>
      <c r="P69" s="110"/>
      <c r="Q69" s="110"/>
      <c r="R69" s="110"/>
      <c r="S69" s="110"/>
      <c r="T69" s="110"/>
      <c r="U69" s="110"/>
      <c r="V69" s="110"/>
      <c r="W69" s="110"/>
      <c r="X69" s="110"/>
      <c r="BB69" s="78" t="str">
        <f>A69</f>
        <v>Total Project Cost</v>
      </c>
      <c r="BC69" s="153"/>
      <c r="BD69" s="202">
        <f>C69</f>
        <v>640147058.82352936</v>
      </c>
      <c r="BE69" s="153"/>
    </row>
    <row r="70" spans="1:57" x14ac:dyDescent="0.2">
      <c r="A70" s="240"/>
      <c r="B70" s="39"/>
      <c r="C70" s="241"/>
      <c r="D70" s="242"/>
      <c r="E70" s="242"/>
      <c r="F70" s="110"/>
      <c r="G70" s="110"/>
      <c r="H70" s="110"/>
      <c r="I70" s="110"/>
      <c r="J70" s="110"/>
      <c r="K70" s="110"/>
      <c r="L70" s="110"/>
      <c r="M70" s="110"/>
      <c r="N70" s="110"/>
      <c r="O70" s="110"/>
      <c r="P70" s="110"/>
      <c r="Q70" s="110"/>
      <c r="R70" s="110"/>
      <c r="S70" s="110"/>
      <c r="T70" s="110"/>
      <c r="U70" s="110"/>
      <c r="V70" s="110"/>
      <c r="W70" s="110"/>
      <c r="X70" s="110"/>
      <c r="BB70" s="153"/>
      <c r="BC70" s="153"/>
      <c r="BD70" s="153"/>
      <c r="BE70" s="153"/>
    </row>
    <row r="71" spans="1:57" x14ac:dyDescent="0.2">
      <c r="A71" s="240"/>
      <c r="B71" s="39"/>
      <c r="C71" s="241"/>
      <c r="D71" s="242"/>
      <c r="E71" s="242"/>
      <c r="F71" s="110"/>
      <c r="G71" s="110"/>
      <c r="H71" s="110"/>
      <c r="I71" s="110"/>
      <c r="J71" s="110"/>
      <c r="K71" s="110"/>
      <c r="L71" s="110"/>
      <c r="M71" s="110"/>
      <c r="N71" s="110"/>
      <c r="O71" s="110"/>
      <c r="P71" s="110"/>
      <c r="Q71" s="110"/>
      <c r="R71" s="110"/>
      <c r="S71" s="110"/>
      <c r="T71" s="110"/>
      <c r="U71" s="110"/>
      <c r="V71" s="110"/>
      <c r="W71" s="110"/>
      <c r="X71" s="110"/>
      <c r="BB71" s="153"/>
      <c r="BC71" s="153"/>
      <c r="BD71" s="153"/>
      <c r="BE71" s="153"/>
    </row>
    <row r="72" spans="1:57" ht="15.75" x14ac:dyDescent="0.25">
      <c r="A72" s="227" t="str">
        <f>Calculations!AB31</f>
        <v>Annual Operating and Maintenance Costs</v>
      </c>
      <c r="B72" s="39"/>
      <c r="C72" s="174" t="str">
        <f>Calculations!AC32</f>
        <v>Cost</v>
      </c>
      <c r="D72" s="243" t="str">
        <f>Calculations!AD32</f>
        <v>Local Share</v>
      </c>
      <c r="E72" s="243"/>
      <c r="F72" s="110"/>
      <c r="G72" s="110"/>
      <c r="H72" s="110"/>
      <c r="I72" s="110"/>
      <c r="J72" s="110"/>
      <c r="K72" s="110"/>
      <c r="L72" s="110"/>
      <c r="M72" s="110"/>
      <c r="N72" s="110"/>
      <c r="O72" s="110"/>
      <c r="P72" s="110"/>
      <c r="Q72" s="110"/>
      <c r="R72" s="110"/>
      <c r="S72" s="110"/>
      <c r="T72" s="110"/>
      <c r="U72" s="110"/>
      <c r="V72" s="110"/>
      <c r="W72" s="110"/>
      <c r="X72" s="110"/>
      <c r="BB72" s="78" t="str">
        <f t="shared" ref="BB72:BB91" si="3">A72</f>
        <v>Annual Operating and Maintenance Costs</v>
      </c>
      <c r="BC72" s="153"/>
      <c r="BD72" s="185" t="str">
        <f>C72</f>
        <v>Cost</v>
      </c>
      <c r="BE72" s="185" t="str">
        <f>D72</f>
        <v>Local Share</v>
      </c>
    </row>
    <row r="73" spans="1:57" x14ac:dyDescent="0.2">
      <c r="A73" s="212" t="str">
        <f>Calculations!AB32</f>
        <v>Fixed Costs</v>
      </c>
      <c r="B73" s="39"/>
      <c r="C73" s="241"/>
      <c r="D73" s="242"/>
      <c r="E73" s="242"/>
      <c r="F73" s="110"/>
      <c r="G73" s="110"/>
      <c r="H73" s="110"/>
      <c r="I73" s="110"/>
      <c r="J73" s="110"/>
      <c r="K73" s="110"/>
      <c r="L73" s="110"/>
      <c r="M73" s="110"/>
      <c r="N73" s="110"/>
      <c r="O73" s="110"/>
      <c r="P73" s="110"/>
      <c r="Q73" s="110"/>
      <c r="R73" s="110"/>
      <c r="S73" s="110"/>
      <c r="T73" s="110"/>
      <c r="U73" s="110"/>
      <c r="V73" s="110"/>
      <c r="W73" s="110"/>
      <c r="X73" s="110"/>
      <c r="BB73" s="78" t="str">
        <f t="shared" si="3"/>
        <v>Fixed Costs</v>
      </c>
      <c r="BC73" s="153"/>
      <c r="BD73" s="153"/>
      <c r="BE73" s="153"/>
    </row>
    <row r="74" spans="1:57" x14ac:dyDescent="0.2">
      <c r="A74" s="240" t="str">
        <f>Calculations!AB33</f>
        <v xml:space="preserve"> Labor</v>
      </c>
      <c r="B74" s="39"/>
      <c r="C74" s="244">
        <f>Calculations!AC33</f>
        <v>1725075.0000000007</v>
      </c>
      <c r="D74" s="242">
        <f>Calculations!AD33</f>
        <v>1</v>
      </c>
      <c r="E74" s="242"/>
      <c r="F74" s="110"/>
      <c r="G74" s="110"/>
      <c r="H74" s="110"/>
      <c r="I74" s="110"/>
      <c r="J74" s="110"/>
      <c r="K74" s="110"/>
      <c r="L74" s="110"/>
      <c r="M74" s="110"/>
      <c r="N74" s="110"/>
      <c r="O74" s="110"/>
      <c r="P74" s="110"/>
      <c r="Q74" s="110"/>
      <c r="R74" s="110"/>
      <c r="S74" s="110"/>
      <c r="T74" s="110"/>
      <c r="U74" s="110"/>
      <c r="V74" s="110"/>
      <c r="W74" s="110"/>
      <c r="X74" s="110"/>
      <c r="BB74" s="153" t="str">
        <f t="shared" si="3"/>
        <v xml:space="preserve"> Labor</v>
      </c>
      <c r="BC74" s="153"/>
      <c r="BD74" s="202">
        <f t="shared" ref="BD74:BE76" si="4">C74</f>
        <v>1725075.0000000007</v>
      </c>
      <c r="BE74" s="203">
        <f t="shared" si="4"/>
        <v>1</v>
      </c>
    </row>
    <row r="75" spans="1:57" x14ac:dyDescent="0.2">
      <c r="A75" s="240" t="str">
        <f>Calculations!AB34</f>
        <v xml:space="preserve"> Materials</v>
      </c>
      <c r="B75" s="39"/>
      <c r="C75" s="244">
        <f>Calculations!AC34</f>
        <v>249992.18749999991</v>
      </c>
      <c r="D75" s="242">
        <f>Calculations!AD34</f>
        <v>0.25</v>
      </c>
      <c r="E75" s="242"/>
      <c r="F75" s="110"/>
      <c r="G75" s="110"/>
      <c r="H75" s="110"/>
      <c r="I75" s="110"/>
      <c r="J75" s="110"/>
      <c r="K75" s="110"/>
      <c r="L75" s="110"/>
      <c r="M75" s="110"/>
      <c r="N75" s="110"/>
      <c r="O75" s="110"/>
      <c r="P75" s="110"/>
      <c r="Q75" s="110"/>
      <c r="R75" s="110"/>
      <c r="S75" s="110"/>
      <c r="T75" s="110"/>
      <c r="U75" s="110"/>
      <c r="V75" s="110"/>
      <c r="W75" s="110"/>
      <c r="X75" s="110"/>
      <c r="BB75" s="153" t="str">
        <f t="shared" si="3"/>
        <v xml:space="preserve"> Materials</v>
      </c>
      <c r="BC75" s="153"/>
      <c r="BD75" s="202">
        <f t="shared" si="4"/>
        <v>249992.18749999991</v>
      </c>
      <c r="BE75" s="203">
        <f t="shared" si="4"/>
        <v>0.25</v>
      </c>
    </row>
    <row r="76" spans="1:57" x14ac:dyDescent="0.2">
      <c r="A76" s="240" t="str">
        <f>Calculations!AB35</f>
        <v xml:space="preserve"> Services</v>
      </c>
      <c r="B76" s="39"/>
      <c r="C76" s="244">
        <f>Calculations!AC35</f>
        <v>2149932.8124999991</v>
      </c>
      <c r="D76" s="242">
        <f>Calculations!AD35</f>
        <v>0.85</v>
      </c>
      <c r="E76" s="242"/>
      <c r="F76" s="110"/>
      <c r="G76" s="110"/>
      <c r="H76" s="110"/>
      <c r="I76" s="110"/>
      <c r="J76" s="110"/>
      <c r="K76" s="110"/>
      <c r="L76" s="110"/>
      <c r="M76" s="110"/>
      <c r="N76" s="110"/>
      <c r="O76" s="110"/>
      <c r="P76" s="110"/>
      <c r="Q76" s="110"/>
      <c r="R76" s="110"/>
      <c r="S76" s="110"/>
      <c r="T76" s="110"/>
      <c r="U76" s="110"/>
      <c r="V76" s="110"/>
      <c r="W76" s="110"/>
      <c r="X76" s="110"/>
      <c r="BB76" s="153" t="str">
        <f t="shared" si="3"/>
        <v xml:space="preserve"> Services</v>
      </c>
      <c r="BC76" s="153"/>
      <c r="BD76" s="202">
        <f t="shared" si="4"/>
        <v>2149932.8124999991</v>
      </c>
      <c r="BE76" s="203">
        <f t="shared" si="4"/>
        <v>0.85</v>
      </c>
    </row>
    <row r="77" spans="1:57" x14ac:dyDescent="0.2">
      <c r="A77" s="240" t="str">
        <f>Calculations!AB36</f>
        <v xml:space="preserve"> Fixed Subtotal</v>
      </c>
      <c r="B77" s="39"/>
      <c r="C77" s="244">
        <f>Calculations!AC36</f>
        <v>4125000</v>
      </c>
      <c r="D77" s="242"/>
      <c r="E77" s="242"/>
      <c r="F77" s="110"/>
      <c r="G77" s="110"/>
      <c r="H77" s="110"/>
      <c r="I77" s="110"/>
      <c r="J77" s="110"/>
      <c r="K77" s="110"/>
      <c r="L77" s="110"/>
      <c r="M77" s="110"/>
      <c r="N77" s="110"/>
      <c r="O77" s="110"/>
      <c r="P77" s="110"/>
      <c r="Q77" s="110"/>
      <c r="R77" s="110"/>
      <c r="S77" s="110"/>
      <c r="T77" s="110"/>
      <c r="U77" s="110"/>
      <c r="V77" s="110"/>
      <c r="W77" s="110"/>
      <c r="X77" s="110"/>
      <c r="BB77" s="153" t="str">
        <f t="shared" si="3"/>
        <v xml:space="preserve"> Fixed Subtotal</v>
      </c>
      <c r="BC77" s="153"/>
      <c r="BD77" s="202">
        <f>C77</f>
        <v>4125000</v>
      </c>
      <c r="BE77" s="203"/>
    </row>
    <row r="78" spans="1:57" x14ac:dyDescent="0.2">
      <c r="A78" s="212" t="str">
        <f>Calculations!AB37</f>
        <v>Variable Costs</v>
      </c>
      <c r="B78" s="39"/>
      <c r="C78" s="244"/>
      <c r="D78" s="242"/>
      <c r="E78" s="242"/>
      <c r="F78" s="110"/>
      <c r="G78" s="110"/>
      <c r="H78" s="110"/>
      <c r="I78" s="110"/>
      <c r="J78" s="110"/>
      <c r="K78" s="110"/>
      <c r="L78" s="110"/>
      <c r="M78" s="110"/>
      <c r="N78" s="110"/>
      <c r="O78" s="110"/>
      <c r="P78" s="110"/>
      <c r="Q78" s="110"/>
      <c r="R78" s="110"/>
      <c r="S78" s="110"/>
      <c r="T78" s="110"/>
      <c r="U78" s="110"/>
      <c r="V78" s="110"/>
      <c r="W78" s="110"/>
      <c r="X78" s="110"/>
      <c r="BB78" s="78" t="str">
        <f t="shared" si="3"/>
        <v>Variable Costs</v>
      </c>
      <c r="BC78" s="153"/>
      <c r="BD78" s="202"/>
      <c r="BE78" s="203"/>
    </row>
    <row r="79" spans="1:57" x14ac:dyDescent="0.2">
      <c r="A79" s="240" t="str">
        <f>Calculations!AB39</f>
        <v xml:space="preserve"> Water</v>
      </c>
      <c r="B79" s="39"/>
      <c r="C79" s="244">
        <f>Calculations!AC39</f>
        <v>427050</v>
      </c>
      <c r="D79" s="242">
        <f>Calculations!AD39</f>
        <v>1</v>
      </c>
      <c r="E79" s="242"/>
      <c r="F79" s="110"/>
      <c r="G79" s="110"/>
      <c r="H79" s="110"/>
      <c r="I79" s="110"/>
      <c r="J79" s="110"/>
      <c r="K79" s="110"/>
      <c r="L79" s="110"/>
      <c r="M79" s="110"/>
      <c r="N79" s="110"/>
      <c r="O79" s="110"/>
      <c r="P79" s="110"/>
      <c r="Q79" s="110"/>
      <c r="R79" s="110"/>
      <c r="S79" s="110"/>
      <c r="T79" s="110"/>
      <c r="U79" s="110"/>
      <c r="V79" s="110"/>
      <c r="W79" s="110"/>
      <c r="X79" s="110"/>
      <c r="BB79" s="153" t="str">
        <f t="shared" si="3"/>
        <v xml:space="preserve"> Water</v>
      </c>
      <c r="BC79" s="153"/>
      <c r="BD79" s="202">
        <f>C79</f>
        <v>427050</v>
      </c>
      <c r="BE79" s="203">
        <f>D79</f>
        <v>1</v>
      </c>
    </row>
    <row r="80" spans="1:57" x14ac:dyDescent="0.2">
      <c r="A80" s="240" t="str">
        <f>Calculations!AB40</f>
        <v xml:space="preserve"> Catalysts &amp; chemicals</v>
      </c>
      <c r="B80" s="39"/>
      <c r="C80" s="244">
        <f>Calculations!AC40</f>
        <v>854100</v>
      </c>
      <c r="D80" s="242">
        <f>Calculations!AD40</f>
        <v>0.85</v>
      </c>
      <c r="E80" s="242"/>
      <c r="F80" s="110"/>
      <c r="G80" s="110"/>
      <c r="H80" s="110"/>
      <c r="I80" s="110"/>
      <c r="J80" s="110"/>
      <c r="K80" s="110"/>
      <c r="L80" s="110"/>
      <c r="M80" s="110"/>
      <c r="N80" s="110"/>
      <c r="O80" s="110"/>
      <c r="P80" s="110"/>
      <c r="Q80" s="110"/>
      <c r="R80" s="110"/>
      <c r="S80" s="110"/>
      <c r="T80" s="110"/>
      <c r="U80" s="110"/>
      <c r="V80" s="110"/>
      <c r="W80" s="110"/>
      <c r="X80" s="110"/>
      <c r="BB80" s="153" t="str">
        <f t="shared" si="3"/>
        <v xml:space="preserve"> Catalysts &amp; chemicals</v>
      </c>
      <c r="BC80" s="153"/>
      <c r="BD80" s="202">
        <f>C80</f>
        <v>854100</v>
      </c>
      <c r="BE80" s="203">
        <f>D80</f>
        <v>0.85</v>
      </c>
    </row>
    <row r="81" spans="1:57" x14ac:dyDescent="0.2">
      <c r="A81" s="240" t="str">
        <f>Calculations!AB41</f>
        <v xml:space="preserve"> Variable Subtotal</v>
      </c>
      <c r="B81" s="39"/>
      <c r="C81" s="244">
        <f>Calculations!AC41</f>
        <v>8256300.0000000009</v>
      </c>
      <c r="D81" s="242"/>
      <c r="E81" s="242"/>
      <c r="F81" s="110"/>
      <c r="G81" s="110"/>
      <c r="H81" s="110"/>
      <c r="I81" s="110"/>
      <c r="J81" s="110"/>
      <c r="K81" s="110"/>
      <c r="L81" s="110"/>
      <c r="M81" s="110"/>
      <c r="N81" s="110"/>
      <c r="O81" s="110"/>
      <c r="P81" s="110"/>
      <c r="Q81" s="110"/>
      <c r="R81" s="110"/>
      <c r="S81" s="110"/>
      <c r="T81" s="110"/>
      <c r="U81" s="110"/>
      <c r="V81" s="110"/>
      <c r="W81" s="110"/>
      <c r="X81" s="110"/>
      <c r="BB81" s="153" t="str">
        <f t="shared" si="3"/>
        <v xml:space="preserve"> Variable Subtotal</v>
      </c>
      <c r="BC81" s="153"/>
      <c r="BD81" s="202">
        <f t="shared" ref="BD81:BD91" si="5">C81</f>
        <v>8256300.0000000009</v>
      </c>
      <c r="BE81" s="203"/>
    </row>
    <row r="82" spans="1:57" x14ac:dyDescent="0.2">
      <c r="A82" s="212" t="str">
        <f>Calculations!AB42</f>
        <v>Fuel Cost</v>
      </c>
      <c r="B82" s="39"/>
      <c r="C82" s="244">
        <f>Calculations!AC42</f>
        <v>64769250</v>
      </c>
      <c r="D82" s="242">
        <f>Calculations!AD42</f>
        <v>0</v>
      </c>
      <c r="E82" s="242"/>
      <c r="F82" s="110"/>
      <c r="G82" s="110"/>
      <c r="H82" s="110"/>
      <c r="I82" s="110"/>
      <c r="J82" s="110"/>
      <c r="K82" s="110"/>
      <c r="L82" s="110"/>
      <c r="M82" s="110"/>
      <c r="N82" s="110"/>
      <c r="O82" s="110"/>
      <c r="P82" s="110"/>
      <c r="Q82" s="110"/>
      <c r="R82" s="110"/>
      <c r="S82" s="110"/>
      <c r="T82" s="110"/>
      <c r="U82" s="110"/>
      <c r="V82" s="110"/>
      <c r="W82" s="110"/>
      <c r="X82" s="110"/>
      <c r="BB82" s="78" t="str">
        <f t="shared" si="3"/>
        <v>Fuel Cost</v>
      </c>
      <c r="BC82" s="153"/>
      <c r="BD82" s="202">
        <f t="shared" si="5"/>
        <v>64769250</v>
      </c>
      <c r="BE82" s="203">
        <f>D82</f>
        <v>0</v>
      </c>
    </row>
    <row r="83" spans="1:57" x14ac:dyDescent="0.2">
      <c r="A83" s="212" t="str">
        <f>Calculations!AB43</f>
        <v>Sales Tax (Materials &amp; Equipment Purchases)</v>
      </c>
      <c r="B83" s="39"/>
      <c r="C83" s="244">
        <f>Calculations!AC43</f>
        <v>61245.6875</v>
      </c>
      <c r="D83" s="242">
        <f>Calculations!AD43</f>
        <v>1</v>
      </c>
      <c r="E83" s="242"/>
      <c r="F83" s="110"/>
      <c r="G83" s="110"/>
      <c r="H83" s="110"/>
      <c r="I83" s="110"/>
      <c r="J83" s="110"/>
      <c r="K83" s="110"/>
      <c r="L83" s="110"/>
      <c r="M83" s="110"/>
      <c r="N83" s="110"/>
      <c r="O83" s="110"/>
      <c r="P83" s="110"/>
      <c r="Q83" s="110"/>
      <c r="R83" s="110"/>
      <c r="S83" s="110"/>
      <c r="T83" s="110"/>
      <c r="U83" s="110"/>
      <c r="V83" s="110"/>
      <c r="W83" s="110"/>
      <c r="X83" s="110"/>
      <c r="BB83" s="78" t="str">
        <f t="shared" si="3"/>
        <v>Sales Tax (Materials &amp; Equipment Purchases)</v>
      </c>
      <c r="BC83" s="153"/>
      <c r="BD83" s="202">
        <f t="shared" si="5"/>
        <v>61245.6875</v>
      </c>
      <c r="BE83" s="203">
        <f>D83</f>
        <v>1</v>
      </c>
    </row>
    <row r="84" spans="1:57" x14ac:dyDescent="0.2">
      <c r="A84" s="212" t="str">
        <f>Calculations!AB44</f>
        <v>Other Taxes/Payments</v>
      </c>
      <c r="B84" s="39"/>
      <c r="C84" s="244">
        <f>Calculations!AC44</f>
        <v>0</v>
      </c>
      <c r="D84" s="242">
        <f>Calculations!AD44</f>
        <v>1</v>
      </c>
      <c r="E84" s="242"/>
      <c r="F84" s="110"/>
      <c r="G84" s="110"/>
      <c r="H84" s="110"/>
      <c r="I84" s="110"/>
      <c r="J84" s="110"/>
      <c r="K84" s="110"/>
      <c r="L84" s="110"/>
      <c r="M84" s="110"/>
      <c r="N84" s="110"/>
      <c r="O84" s="110"/>
      <c r="P84" s="110"/>
      <c r="Q84" s="110"/>
      <c r="R84" s="110"/>
      <c r="S84" s="110"/>
      <c r="T84" s="110"/>
      <c r="U84" s="110"/>
      <c r="V84" s="110"/>
      <c r="W84" s="110"/>
      <c r="X84" s="110"/>
      <c r="BB84" s="78" t="str">
        <f t="shared" si="3"/>
        <v>Other Taxes/Payments</v>
      </c>
      <c r="BC84" s="153"/>
      <c r="BD84" s="202">
        <f t="shared" si="5"/>
        <v>0</v>
      </c>
      <c r="BE84" s="203">
        <f>D84</f>
        <v>1</v>
      </c>
    </row>
    <row r="85" spans="1:57" x14ac:dyDescent="0.2">
      <c r="A85" s="212" t="str">
        <f>Calculations!AB45</f>
        <v>Total (with Sales Tax and Other Taxes/Payments</v>
      </c>
      <c r="B85" s="39"/>
      <c r="C85" s="244">
        <f>Calculations!AC45</f>
        <v>77211795.6875</v>
      </c>
      <c r="D85" s="242"/>
      <c r="E85" s="242"/>
      <c r="F85" s="110"/>
      <c r="G85" s="110"/>
      <c r="H85" s="110"/>
      <c r="I85" s="110"/>
      <c r="J85" s="110"/>
      <c r="K85" s="110"/>
      <c r="L85" s="110"/>
      <c r="M85" s="110"/>
      <c r="N85" s="110"/>
      <c r="O85" s="110"/>
      <c r="P85" s="110"/>
      <c r="Q85" s="110"/>
      <c r="R85" s="110"/>
      <c r="S85" s="110"/>
      <c r="T85" s="110"/>
      <c r="U85" s="110"/>
      <c r="V85" s="110"/>
      <c r="W85" s="110"/>
      <c r="X85" s="110"/>
      <c r="BB85" s="78" t="str">
        <f t="shared" si="3"/>
        <v>Total (with Sales Tax and Other Taxes/Payments</v>
      </c>
      <c r="BC85" s="153"/>
      <c r="BD85" s="202">
        <f t="shared" si="5"/>
        <v>77211795.6875</v>
      </c>
      <c r="BE85" s="203"/>
    </row>
    <row r="86" spans="1:57" x14ac:dyDescent="0.2">
      <c r="A86" s="212" t="str">
        <f>Calculations!AB46</f>
        <v>Financing (avg ann debt payment)</v>
      </c>
      <c r="B86" s="39"/>
      <c r="C86" s="244">
        <f>Calculations!AC46</f>
        <v>48750000</v>
      </c>
      <c r="D86" s="242">
        <f>Calculations!AD46</f>
        <v>0</v>
      </c>
      <c r="E86" s="242"/>
      <c r="F86" s="110"/>
      <c r="G86" s="110"/>
      <c r="H86" s="110"/>
      <c r="I86" s="110"/>
      <c r="J86" s="110"/>
      <c r="K86" s="110"/>
      <c r="L86" s="110"/>
      <c r="M86" s="110"/>
      <c r="N86" s="110"/>
      <c r="O86" s="110"/>
      <c r="P86" s="110"/>
      <c r="Q86" s="110"/>
      <c r="R86" s="110"/>
      <c r="S86" s="110"/>
      <c r="T86" s="110"/>
      <c r="U86" s="110"/>
      <c r="V86" s="110"/>
      <c r="W86" s="110"/>
      <c r="X86" s="110"/>
      <c r="BB86" s="78" t="str">
        <f t="shared" si="3"/>
        <v>Financing (avg ann debt payment)</v>
      </c>
      <c r="BC86" s="153"/>
      <c r="BD86" s="202">
        <f t="shared" si="5"/>
        <v>48750000</v>
      </c>
      <c r="BE86" s="203">
        <f>D86</f>
        <v>0</v>
      </c>
    </row>
    <row r="87" spans="1:57" x14ac:dyDescent="0.2">
      <c r="A87" s="212" t="str">
        <f>Calculations!AB47</f>
        <v>Equity Payment - Individuals (avg ann payment)</v>
      </c>
      <c r="B87" s="39"/>
      <c r="C87" s="244">
        <f>Calculations!AC47</f>
        <v>0</v>
      </c>
      <c r="D87" s="242">
        <f>Calculations!AD47</f>
        <v>1</v>
      </c>
      <c r="E87" s="242"/>
      <c r="F87" s="110"/>
      <c r="G87" s="110"/>
      <c r="H87" s="110"/>
      <c r="I87" s="110"/>
      <c r="J87" s="110"/>
      <c r="K87" s="110"/>
      <c r="L87" s="110"/>
      <c r="M87" s="110"/>
      <c r="N87" s="110"/>
      <c r="O87" s="110"/>
      <c r="P87" s="110"/>
      <c r="Q87" s="110"/>
      <c r="R87" s="110"/>
      <c r="S87" s="110"/>
      <c r="T87" s="110"/>
      <c r="U87" s="110"/>
      <c r="V87" s="110"/>
      <c r="W87" s="110"/>
      <c r="X87" s="110"/>
      <c r="BB87" s="78" t="str">
        <f t="shared" si="3"/>
        <v>Equity Payment - Individuals (avg ann payment)</v>
      </c>
      <c r="BC87" s="153"/>
      <c r="BD87" s="202">
        <f t="shared" si="5"/>
        <v>0</v>
      </c>
      <c r="BE87" s="203">
        <f>D87</f>
        <v>1</v>
      </c>
    </row>
    <row r="88" spans="1:57" x14ac:dyDescent="0.2">
      <c r="A88" s="212" t="str">
        <f>Calculations!AB48</f>
        <v>Equity Payment - Corporations (avg ann payment)</v>
      </c>
      <c r="B88" s="39"/>
      <c r="C88" s="244">
        <f>Calculations!AC48</f>
        <v>21500000</v>
      </c>
      <c r="D88" s="242">
        <f>Calculations!AD48</f>
        <v>0</v>
      </c>
      <c r="E88" s="242"/>
      <c r="F88" s="110"/>
      <c r="G88" s="110"/>
      <c r="H88" s="110"/>
      <c r="I88" s="110"/>
      <c r="J88" s="110"/>
      <c r="K88" s="110"/>
      <c r="L88" s="110"/>
      <c r="M88" s="110"/>
      <c r="N88" s="110"/>
      <c r="O88" s="110"/>
      <c r="P88" s="110"/>
      <c r="Q88" s="110"/>
      <c r="R88" s="110"/>
      <c r="S88" s="110"/>
      <c r="T88" s="110"/>
      <c r="U88" s="110"/>
      <c r="V88" s="110"/>
      <c r="W88" s="110"/>
      <c r="X88" s="110"/>
      <c r="BB88" s="78" t="str">
        <f t="shared" si="3"/>
        <v>Equity Payment - Corporations (avg ann payment)</v>
      </c>
      <c r="BC88" s="153"/>
      <c r="BD88" s="202">
        <f t="shared" si="5"/>
        <v>21500000</v>
      </c>
      <c r="BE88" s="203">
        <f>D88</f>
        <v>0</v>
      </c>
    </row>
    <row r="89" spans="1:57" x14ac:dyDescent="0.2">
      <c r="A89" s="212" t="str">
        <f>Calculations!AB49</f>
        <v>Property Tax</v>
      </c>
      <c r="B89" s="39"/>
      <c r="C89" s="244">
        <f>Calculations!AC49</f>
        <v>0</v>
      </c>
      <c r="D89" s="242">
        <f>Calculations!AD49</f>
        <v>1</v>
      </c>
      <c r="E89" s="242"/>
      <c r="F89" s="110"/>
      <c r="G89" s="110"/>
      <c r="H89" s="110"/>
      <c r="I89" s="110"/>
      <c r="J89" s="110"/>
      <c r="K89" s="110"/>
      <c r="L89" s="110"/>
      <c r="M89" s="110"/>
      <c r="N89" s="110"/>
      <c r="O89" s="110"/>
      <c r="P89" s="110"/>
      <c r="Q89" s="110"/>
      <c r="R89" s="110"/>
      <c r="S89" s="110"/>
      <c r="T89" s="110"/>
      <c r="U89" s="110"/>
      <c r="V89" s="110"/>
      <c r="W89" s="110"/>
      <c r="X89" s="110"/>
      <c r="BB89" s="78" t="str">
        <f t="shared" si="3"/>
        <v>Property Tax</v>
      </c>
      <c r="BC89" s="153"/>
      <c r="BD89" s="202">
        <f t="shared" si="5"/>
        <v>0</v>
      </c>
      <c r="BE89" s="203">
        <f>D89</f>
        <v>1</v>
      </c>
    </row>
    <row r="90" spans="1:57" x14ac:dyDescent="0.2">
      <c r="A90" s="212" t="str">
        <f>Calculations!AB50</f>
        <v>Land Lease</v>
      </c>
      <c r="B90" s="39"/>
      <c r="C90" s="244">
        <f>Calculations!AC50</f>
        <v>0</v>
      </c>
      <c r="D90" s="242">
        <f>Calculations!AD50</f>
        <v>1</v>
      </c>
      <c r="E90" s="242"/>
      <c r="F90" s="110"/>
      <c r="G90" s="110"/>
      <c r="H90" s="110"/>
      <c r="I90" s="110"/>
      <c r="J90" s="110"/>
      <c r="K90" s="110"/>
      <c r="L90" s="110"/>
      <c r="M90" s="110"/>
      <c r="N90" s="110"/>
      <c r="O90" s="110"/>
      <c r="P90" s="110"/>
      <c r="Q90" s="110"/>
      <c r="R90" s="110"/>
      <c r="S90" s="110"/>
      <c r="T90" s="110"/>
      <c r="U90" s="110"/>
      <c r="V90" s="110"/>
      <c r="W90" s="110"/>
      <c r="X90" s="110"/>
      <c r="BB90" s="78" t="str">
        <f t="shared" si="3"/>
        <v>Land Lease</v>
      </c>
      <c r="BC90" s="153"/>
      <c r="BD90" s="202">
        <f t="shared" si="5"/>
        <v>0</v>
      </c>
      <c r="BE90" s="203">
        <f>D90</f>
        <v>1</v>
      </c>
    </row>
    <row r="91" spans="1:57" x14ac:dyDescent="0.2">
      <c r="A91" s="212" t="str">
        <f>Calculations!AB51</f>
        <v>Total (with financing)</v>
      </c>
      <c r="B91" s="39"/>
      <c r="C91" s="244">
        <f>Calculations!AC51</f>
        <v>147461795.6875</v>
      </c>
      <c r="D91" s="242"/>
      <c r="E91" s="242"/>
      <c r="F91" s="110"/>
      <c r="G91" s="110"/>
      <c r="H91" s="110"/>
      <c r="I91" s="110"/>
      <c r="J91" s="110"/>
      <c r="K91" s="110"/>
      <c r="L91" s="110"/>
      <c r="M91" s="110"/>
      <c r="N91" s="110"/>
      <c r="O91" s="110"/>
      <c r="P91" s="110"/>
      <c r="Q91" s="110"/>
      <c r="R91" s="110"/>
      <c r="S91" s="110"/>
      <c r="T91" s="110"/>
      <c r="U91" s="110"/>
      <c r="V91" s="110"/>
      <c r="W91" s="110"/>
      <c r="X91" s="110"/>
      <c r="BB91" s="78" t="str">
        <f t="shared" si="3"/>
        <v>Total (with financing)</v>
      </c>
      <c r="BC91" s="153"/>
      <c r="BD91" s="202">
        <f t="shared" si="5"/>
        <v>147461795.6875</v>
      </c>
      <c r="BE91" s="203"/>
    </row>
    <row r="92" spans="1:57" x14ac:dyDescent="0.2">
      <c r="A92" s="212" t="str">
        <f>Calculations!AB52</f>
        <v>Total (without debt, equity,taxes, lease payments)</v>
      </c>
      <c r="B92" s="39"/>
      <c r="C92" s="244">
        <f>Calculations!AC52</f>
        <v>77150550</v>
      </c>
      <c r="D92" s="242"/>
      <c r="E92" s="242"/>
      <c r="F92" s="110"/>
      <c r="G92" s="110"/>
      <c r="H92" s="110"/>
      <c r="I92" s="110"/>
      <c r="J92" s="110"/>
      <c r="K92" s="110"/>
      <c r="L92" s="110"/>
      <c r="M92" s="110"/>
      <c r="N92" s="110"/>
      <c r="O92" s="110"/>
      <c r="P92" s="110"/>
      <c r="Q92" s="110"/>
      <c r="R92" s="110"/>
      <c r="S92" s="110"/>
      <c r="T92" s="110"/>
      <c r="U92" s="110"/>
      <c r="V92" s="110"/>
      <c r="W92" s="110"/>
      <c r="X92" s="110"/>
      <c r="BB92" s="153"/>
      <c r="BC92" s="153"/>
      <c r="BD92" s="153"/>
      <c r="BE92" s="153"/>
    </row>
    <row r="93" spans="1:57" x14ac:dyDescent="0.2">
      <c r="A93" s="240"/>
      <c r="B93" s="39"/>
      <c r="C93" s="244"/>
      <c r="D93" s="242"/>
      <c r="E93" s="242"/>
      <c r="F93" s="110"/>
      <c r="G93" s="110"/>
      <c r="H93" s="110"/>
      <c r="I93" s="110"/>
      <c r="J93" s="110"/>
      <c r="K93" s="110"/>
      <c r="L93" s="110"/>
      <c r="M93" s="110"/>
      <c r="N93" s="110"/>
      <c r="O93" s="110"/>
      <c r="P93" s="110"/>
      <c r="Q93" s="110"/>
      <c r="R93" s="110"/>
      <c r="S93" s="110"/>
      <c r="T93" s="110"/>
      <c r="U93" s="110"/>
      <c r="V93" s="110"/>
      <c r="W93" s="110"/>
      <c r="X93" s="110"/>
      <c r="BB93" s="78"/>
      <c r="BC93" s="153"/>
      <c r="BD93" s="153"/>
      <c r="BE93" s="185"/>
    </row>
    <row r="94" spans="1:57" ht="15.75" x14ac:dyDescent="0.25">
      <c r="A94" s="227" t="str">
        <f>Calculations!AB54</f>
        <v>Other Parameters</v>
      </c>
      <c r="B94" s="39"/>
      <c r="C94" s="244"/>
      <c r="D94" s="243" t="str">
        <f>Calculations!AD54</f>
        <v>Local Share</v>
      </c>
      <c r="E94" s="243"/>
      <c r="F94" s="110"/>
      <c r="G94" s="110"/>
      <c r="H94" s="110"/>
      <c r="I94" s="110"/>
      <c r="J94" s="110"/>
      <c r="K94" s="110"/>
      <c r="L94" s="110"/>
      <c r="M94" s="110"/>
      <c r="N94" s="110"/>
      <c r="O94" s="110"/>
      <c r="P94" s="110"/>
      <c r="Q94" s="110"/>
      <c r="R94" s="110"/>
      <c r="S94" s="110"/>
      <c r="T94" s="110"/>
      <c r="U94" s="110"/>
      <c r="V94" s="110"/>
      <c r="W94" s="110"/>
      <c r="X94" s="110"/>
      <c r="BB94" s="78" t="str">
        <f t="shared" ref="BB94:BB117" si="6">A94</f>
        <v>Other Parameters</v>
      </c>
      <c r="BC94" s="153"/>
      <c r="BD94" s="200"/>
      <c r="BE94" s="200" t="str">
        <f>D94</f>
        <v>Local Share</v>
      </c>
    </row>
    <row r="95" spans="1:57" x14ac:dyDescent="0.2">
      <c r="A95" s="212" t="str">
        <f>Calculations!AB55</f>
        <v>Financial Parameters</v>
      </c>
      <c r="B95" s="39"/>
      <c r="C95" s="244"/>
      <c r="D95" s="242"/>
      <c r="E95" s="242"/>
      <c r="F95" s="110"/>
      <c r="G95" s="110"/>
      <c r="H95" s="110"/>
      <c r="I95" s="110"/>
      <c r="J95" s="110"/>
      <c r="K95" s="110"/>
      <c r="L95" s="110"/>
      <c r="M95" s="110"/>
      <c r="N95" s="110"/>
      <c r="O95" s="110"/>
      <c r="P95" s="110"/>
      <c r="Q95" s="110"/>
      <c r="R95" s="110"/>
      <c r="S95" s="110"/>
      <c r="T95" s="110"/>
      <c r="U95" s="110"/>
      <c r="V95" s="110"/>
      <c r="W95" s="110"/>
      <c r="X95" s="110"/>
      <c r="BB95" s="78" t="str">
        <f t="shared" si="6"/>
        <v>Financial Parameters</v>
      </c>
      <c r="BC95" s="153"/>
      <c r="BD95" s="203"/>
      <c r="BE95" s="203"/>
    </row>
    <row r="96" spans="1:57" x14ac:dyDescent="0.2">
      <c r="A96" s="212" t="str">
        <f>Calculations!AB56</f>
        <v>Debt Financing</v>
      </c>
      <c r="B96" s="39"/>
      <c r="C96" s="244"/>
      <c r="D96" s="242"/>
      <c r="E96" s="242"/>
      <c r="F96" s="110"/>
      <c r="G96" s="110"/>
      <c r="H96" s="110"/>
      <c r="I96" s="110"/>
      <c r="J96" s="110"/>
      <c r="K96" s="110"/>
      <c r="L96" s="110"/>
      <c r="M96" s="110"/>
      <c r="N96" s="110"/>
      <c r="O96" s="110"/>
      <c r="P96" s="110"/>
      <c r="Q96" s="110"/>
      <c r="R96" s="110"/>
      <c r="S96" s="110"/>
      <c r="T96" s="110"/>
      <c r="U96" s="110"/>
      <c r="V96" s="110"/>
      <c r="W96" s="110"/>
      <c r="X96" s="110"/>
      <c r="BB96" s="78" t="str">
        <f t="shared" si="6"/>
        <v>Debt Financing</v>
      </c>
      <c r="BC96" s="153"/>
      <c r="BD96" s="203"/>
      <c r="BE96" s="203"/>
    </row>
    <row r="97" spans="1:57" x14ac:dyDescent="0.2">
      <c r="A97" s="240" t="str">
        <f>Calculations!AB57</f>
        <v xml:space="preserve">  Percentage financed</v>
      </c>
      <c r="B97" s="39"/>
      <c r="C97" s="250">
        <f>Calculations!AC57</f>
        <v>0.8</v>
      </c>
      <c r="D97" s="242">
        <f>Calculations!AD57</f>
        <v>0</v>
      </c>
      <c r="E97" s="242"/>
      <c r="F97" s="110"/>
      <c r="G97" s="110"/>
      <c r="H97" s="110"/>
      <c r="I97" s="110"/>
      <c r="J97" s="110"/>
      <c r="K97" s="110"/>
      <c r="L97" s="110"/>
      <c r="M97" s="110"/>
      <c r="N97" s="110"/>
      <c r="O97" s="110"/>
      <c r="P97" s="110"/>
      <c r="Q97" s="110"/>
      <c r="R97" s="110"/>
      <c r="S97" s="110"/>
      <c r="T97" s="110"/>
      <c r="U97" s="110"/>
      <c r="V97" s="110"/>
      <c r="W97" s="110"/>
      <c r="X97" s="110"/>
      <c r="BB97" s="153" t="str">
        <f t="shared" si="6"/>
        <v xml:space="preserve">  Percentage financed</v>
      </c>
      <c r="BC97" s="153"/>
      <c r="BD97" s="203">
        <f>C97</f>
        <v>0.8</v>
      </c>
      <c r="BE97" s="203">
        <f>D97</f>
        <v>0</v>
      </c>
    </row>
    <row r="98" spans="1:57" x14ac:dyDescent="0.2">
      <c r="A98" s="240" t="str">
        <f>Calculations!AB58</f>
        <v xml:space="preserve">  Years financed (term)</v>
      </c>
      <c r="B98" s="39"/>
      <c r="C98" s="251">
        <f>Calculations!AC58</f>
        <v>20</v>
      </c>
      <c r="D98" s="242"/>
      <c r="E98" s="242"/>
      <c r="F98" s="110"/>
      <c r="G98" s="110"/>
      <c r="H98" s="110"/>
      <c r="I98" s="110"/>
      <c r="J98" s="110"/>
      <c r="K98" s="110"/>
      <c r="L98" s="110"/>
      <c r="M98" s="110"/>
      <c r="N98" s="110"/>
      <c r="O98" s="110"/>
      <c r="P98" s="110"/>
      <c r="Q98" s="110"/>
      <c r="R98" s="110"/>
      <c r="S98" s="110"/>
      <c r="T98" s="110"/>
      <c r="U98" s="110"/>
      <c r="V98" s="110"/>
      <c r="W98" s="110"/>
      <c r="X98" s="110"/>
      <c r="BB98" s="153" t="str">
        <f t="shared" si="6"/>
        <v xml:space="preserve">  Years financed (term)</v>
      </c>
      <c r="BC98" s="153"/>
      <c r="BD98" s="263">
        <f>C98</f>
        <v>20</v>
      </c>
      <c r="BE98" s="153"/>
    </row>
    <row r="99" spans="1:57" x14ac:dyDescent="0.2">
      <c r="A99" s="240" t="str">
        <f>Calculations!AB59</f>
        <v xml:space="preserve">  Interest rate</v>
      </c>
      <c r="B99" s="39"/>
      <c r="C99" s="250">
        <f>Calculations!AC59</f>
        <v>0.1</v>
      </c>
      <c r="D99" s="242"/>
      <c r="E99" s="242"/>
      <c r="F99" s="110"/>
      <c r="G99" s="110"/>
      <c r="H99" s="110"/>
      <c r="I99" s="110"/>
      <c r="J99" s="110"/>
      <c r="K99" s="110"/>
      <c r="L99" s="110"/>
      <c r="M99" s="110"/>
      <c r="N99" s="110"/>
      <c r="O99" s="110"/>
      <c r="P99" s="110"/>
      <c r="Q99" s="110"/>
      <c r="R99" s="110"/>
      <c r="S99" s="110"/>
      <c r="T99" s="110"/>
      <c r="U99" s="110"/>
      <c r="V99" s="110"/>
      <c r="W99" s="110"/>
      <c r="X99" s="110"/>
      <c r="BB99" s="153" t="str">
        <f t="shared" si="6"/>
        <v xml:space="preserve">  Interest rate</v>
      </c>
      <c r="BC99" s="153"/>
      <c r="BD99" s="203">
        <f>C99</f>
        <v>0.1</v>
      </c>
      <c r="BE99" s="153"/>
    </row>
    <row r="100" spans="1:57" x14ac:dyDescent="0.2">
      <c r="A100" s="212" t="str">
        <f>Calculations!AB60</f>
        <v>Equity Financing/Repayment</v>
      </c>
      <c r="B100" s="39"/>
      <c r="C100" s="244"/>
      <c r="D100" s="242"/>
      <c r="E100" s="242"/>
      <c r="F100" s="110"/>
      <c r="G100" s="110"/>
      <c r="H100" s="110"/>
      <c r="I100" s="110"/>
      <c r="J100" s="110"/>
      <c r="K100" s="110"/>
      <c r="L100" s="110"/>
      <c r="M100" s="110"/>
      <c r="N100" s="110"/>
      <c r="O100" s="110"/>
      <c r="P100" s="110"/>
      <c r="Q100" s="110"/>
      <c r="R100" s="110"/>
      <c r="S100" s="110"/>
      <c r="T100" s="110"/>
      <c r="U100" s="110"/>
      <c r="V100" s="110"/>
      <c r="W100" s="110"/>
      <c r="X100" s="110"/>
      <c r="BB100" s="78" t="str">
        <f t="shared" si="6"/>
        <v>Equity Financing/Repayment</v>
      </c>
      <c r="BC100" s="153"/>
      <c r="BD100" s="203"/>
      <c r="BE100" s="203"/>
    </row>
    <row r="101" spans="1:57" x14ac:dyDescent="0.2">
      <c r="A101" s="240" t="str">
        <f>Calculations!AB61</f>
        <v xml:space="preserve">  Percentage equity</v>
      </c>
      <c r="B101" s="39"/>
      <c r="C101" s="250">
        <f>Calculations!AC61</f>
        <v>0.19999999999999996</v>
      </c>
      <c r="D101" s="242"/>
      <c r="E101" s="242"/>
      <c r="F101" s="110"/>
      <c r="G101" s="110"/>
      <c r="H101" s="110"/>
      <c r="I101" s="110"/>
      <c r="J101" s="110"/>
      <c r="K101" s="110"/>
      <c r="L101" s="110"/>
      <c r="M101" s="110"/>
      <c r="N101" s="110"/>
      <c r="O101" s="110"/>
      <c r="P101" s="110"/>
      <c r="Q101" s="110"/>
      <c r="R101" s="110"/>
      <c r="S101" s="110"/>
      <c r="T101" s="110"/>
      <c r="U101" s="110"/>
      <c r="V101" s="110"/>
      <c r="W101" s="110"/>
      <c r="X101" s="110"/>
      <c r="BB101" s="153" t="str">
        <f t="shared" si="6"/>
        <v xml:space="preserve">  Percentage equity</v>
      </c>
      <c r="BC101" s="153"/>
      <c r="BD101" s="203">
        <f>C101</f>
        <v>0.19999999999999996</v>
      </c>
      <c r="BE101" s="203"/>
    </row>
    <row r="102" spans="1:57" x14ac:dyDescent="0.2">
      <c r="A102" s="240" t="str">
        <f>Calculations!AB62</f>
        <v xml:space="preserve">  Individual Investors (percent of equity)</v>
      </c>
      <c r="B102" s="39"/>
      <c r="C102" s="250">
        <f>Calculations!AC62</f>
        <v>0</v>
      </c>
      <c r="D102" s="242">
        <f>Calculations!AD62</f>
        <v>1</v>
      </c>
      <c r="E102" s="242"/>
      <c r="F102" s="110"/>
      <c r="G102" s="110"/>
      <c r="H102" s="110"/>
      <c r="I102" s="110"/>
      <c r="J102" s="110"/>
      <c r="K102" s="110"/>
      <c r="L102" s="110"/>
      <c r="M102" s="110"/>
      <c r="N102" s="110"/>
      <c r="O102" s="110"/>
      <c r="P102" s="110"/>
      <c r="Q102" s="110"/>
      <c r="R102" s="110"/>
      <c r="S102" s="110"/>
      <c r="T102" s="110"/>
      <c r="U102" s="110"/>
      <c r="V102" s="110"/>
      <c r="W102" s="110"/>
      <c r="X102" s="110"/>
      <c r="BB102" s="153" t="str">
        <f t="shared" si="6"/>
        <v xml:space="preserve">  Individual Investors (percent of equity)</v>
      </c>
      <c r="BC102" s="153"/>
      <c r="BD102" s="203">
        <f>C102</f>
        <v>0</v>
      </c>
      <c r="BE102" s="203">
        <f>D102</f>
        <v>1</v>
      </c>
    </row>
    <row r="103" spans="1:57" x14ac:dyDescent="0.2">
      <c r="A103" s="240" t="str">
        <f>Calculations!AB63</f>
        <v xml:space="preserve">  Corporate Investors (percent of equity)</v>
      </c>
      <c r="B103" s="39"/>
      <c r="C103" s="250">
        <f>Calculations!AC63</f>
        <v>1</v>
      </c>
      <c r="D103" s="242">
        <f>Calculations!AD63</f>
        <v>0</v>
      </c>
      <c r="E103" s="242"/>
      <c r="F103" s="110"/>
      <c r="G103" s="110"/>
      <c r="H103" s="110"/>
      <c r="I103" s="110"/>
      <c r="J103" s="110"/>
      <c r="K103" s="110"/>
      <c r="L103" s="110"/>
      <c r="M103" s="110"/>
      <c r="N103" s="110"/>
      <c r="O103" s="110"/>
      <c r="P103" s="110"/>
      <c r="Q103" s="110"/>
      <c r="R103" s="110"/>
      <c r="S103" s="110"/>
      <c r="T103" s="110"/>
      <c r="U103" s="110"/>
      <c r="V103" s="110"/>
      <c r="W103" s="110"/>
      <c r="X103" s="110"/>
      <c r="BB103" s="153" t="str">
        <f t="shared" si="6"/>
        <v xml:space="preserve">  Corporate Investors (percent of equity)</v>
      </c>
      <c r="BC103" s="153"/>
      <c r="BD103" s="203">
        <f>C103</f>
        <v>1</v>
      </c>
      <c r="BE103" s="203">
        <f>D103</f>
        <v>0</v>
      </c>
    </row>
    <row r="104" spans="1:57" x14ac:dyDescent="0.2">
      <c r="A104" s="240" t="str">
        <f>Calculations!AB64</f>
        <v xml:space="preserve">  Return on equity</v>
      </c>
      <c r="B104" s="39"/>
      <c r="C104" s="250">
        <f>Calculations!AC64</f>
        <v>0.16</v>
      </c>
      <c r="D104" s="242"/>
      <c r="E104" s="242"/>
      <c r="F104" s="110"/>
      <c r="G104" s="110"/>
      <c r="H104" s="110"/>
      <c r="I104" s="110"/>
      <c r="J104" s="110"/>
      <c r="K104" s="110"/>
      <c r="L104" s="110"/>
      <c r="M104" s="110"/>
      <c r="N104" s="110"/>
      <c r="O104" s="110"/>
      <c r="P104" s="110"/>
      <c r="Q104" s="110"/>
      <c r="R104" s="110"/>
      <c r="S104" s="110"/>
      <c r="T104" s="110"/>
      <c r="U104" s="110"/>
      <c r="V104" s="110"/>
      <c r="W104" s="110"/>
      <c r="X104" s="110"/>
      <c r="BB104" s="153" t="str">
        <f t="shared" si="6"/>
        <v xml:space="preserve">  Return on equity</v>
      </c>
      <c r="BC104" s="153"/>
      <c r="BD104" s="203">
        <f>C104</f>
        <v>0.16</v>
      </c>
      <c r="BE104" s="203"/>
    </row>
    <row r="105" spans="1:57" x14ac:dyDescent="0.2">
      <c r="A105" s="240" t="str">
        <f>Calculations!AB65</f>
        <v xml:space="preserve">  Repayment term (years)</v>
      </c>
      <c r="B105" s="39"/>
      <c r="C105" s="251">
        <f>Calculations!AC65</f>
        <v>10</v>
      </c>
      <c r="D105" s="242"/>
      <c r="E105" s="242"/>
      <c r="F105" s="110"/>
      <c r="G105" s="110"/>
      <c r="H105" s="110"/>
      <c r="I105" s="110"/>
      <c r="J105" s="110"/>
      <c r="K105" s="110"/>
      <c r="L105" s="110"/>
      <c r="M105" s="110"/>
      <c r="N105" s="110"/>
      <c r="O105" s="110"/>
      <c r="P105" s="110"/>
      <c r="Q105" s="110"/>
      <c r="R105" s="110"/>
      <c r="S105" s="110"/>
      <c r="T105" s="110"/>
      <c r="U105" s="110"/>
      <c r="V105" s="110"/>
      <c r="W105" s="110"/>
      <c r="X105" s="110"/>
      <c r="BB105" s="153" t="str">
        <f t="shared" si="6"/>
        <v xml:space="preserve">  Repayment term (years)</v>
      </c>
      <c r="BC105" s="153"/>
      <c r="BD105" s="204"/>
      <c r="BE105" s="203"/>
    </row>
    <row r="106" spans="1:57" x14ac:dyDescent="0.2">
      <c r="A106" s="212" t="str">
        <f>Calculations!AB66</f>
        <v>Tax Parameters</v>
      </c>
      <c r="B106" s="39"/>
      <c r="C106" s="244"/>
      <c r="D106" s="242"/>
      <c r="E106" s="242"/>
      <c r="F106" s="110"/>
      <c r="G106" s="110"/>
      <c r="H106" s="110"/>
      <c r="I106" s="110"/>
      <c r="J106" s="110"/>
      <c r="K106" s="110"/>
      <c r="L106" s="110"/>
      <c r="M106" s="110"/>
      <c r="N106" s="110"/>
      <c r="O106" s="110"/>
      <c r="P106" s="110"/>
      <c r="Q106" s="110"/>
      <c r="R106" s="110"/>
      <c r="S106" s="110"/>
      <c r="T106" s="110"/>
      <c r="U106" s="110"/>
      <c r="V106" s="110"/>
      <c r="W106" s="110"/>
      <c r="X106" s="110"/>
      <c r="BB106" s="78" t="str">
        <f t="shared" si="6"/>
        <v>Tax Parameters</v>
      </c>
      <c r="BC106" s="153"/>
      <c r="BD106" s="203"/>
      <c r="BE106" s="203"/>
    </row>
    <row r="107" spans="1:57" x14ac:dyDescent="0.2">
      <c r="A107" s="240" t="str">
        <f>Calculations!AB67</f>
        <v xml:space="preserve">  Local Property/Other Tax Rate (percent of taxable value)</v>
      </c>
      <c r="B107" s="39"/>
      <c r="C107" s="250">
        <f>Calculations!AC67</f>
        <v>0</v>
      </c>
      <c r="D107" s="242"/>
      <c r="E107" s="242"/>
      <c r="F107" s="110"/>
      <c r="G107" s="110"/>
      <c r="H107" s="110"/>
      <c r="I107" s="110"/>
      <c r="J107" s="110"/>
      <c r="K107" s="110"/>
      <c r="L107" s="110"/>
      <c r="M107" s="110"/>
      <c r="N107" s="110"/>
      <c r="O107" s="110"/>
      <c r="P107" s="110"/>
      <c r="Q107" s="110"/>
      <c r="R107" s="110"/>
      <c r="S107" s="110"/>
      <c r="T107" s="110"/>
      <c r="U107" s="110"/>
      <c r="V107" s="110"/>
      <c r="W107" s="110"/>
      <c r="X107" s="110"/>
      <c r="BB107" s="153" t="str">
        <f t="shared" si="6"/>
        <v xml:space="preserve">  Local Property/Other Tax Rate (percent of taxable value)</v>
      </c>
      <c r="BC107" s="153"/>
      <c r="BD107" s="203">
        <f t="shared" ref="BD107:BD112" si="7">C107</f>
        <v>0</v>
      </c>
      <c r="BE107" s="203"/>
    </row>
    <row r="108" spans="1:57" x14ac:dyDescent="0.2">
      <c r="A108" s="240" t="str">
        <f>Calculations!AB68</f>
        <v xml:space="preserve">  Assessed Value (percent of construction cost)</v>
      </c>
      <c r="B108" s="39"/>
      <c r="C108" s="250">
        <f>Calculations!AC68</f>
        <v>1</v>
      </c>
      <c r="D108" s="242"/>
      <c r="E108" s="242"/>
      <c r="F108" s="110"/>
      <c r="G108" s="110"/>
      <c r="H108" s="110"/>
      <c r="I108" s="110"/>
      <c r="J108" s="110"/>
      <c r="K108" s="110"/>
      <c r="L108" s="110"/>
      <c r="M108" s="110"/>
      <c r="N108" s="110"/>
      <c r="O108" s="110"/>
      <c r="P108" s="110"/>
      <c r="Q108" s="110"/>
      <c r="R108" s="110"/>
      <c r="S108" s="110"/>
      <c r="T108" s="110"/>
      <c r="U108" s="110"/>
      <c r="V108" s="110"/>
      <c r="W108" s="110"/>
      <c r="X108" s="110"/>
      <c r="BB108" s="153" t="str">
        <f t="shared" si="6"/>
        <v xml:space="preserve">  Assessed Value (percent of construction cost)</v>
      </c>
      <c r="BC108" s="153"/>
      <c r="BD108" s="203">
        <f t="shared" si="7"/>
        <v>1</v>
      </c>
      <c r="BE108" s="203"/>
    </row>
    <row r="109" spans="1:57" x14ac:dyDescent="0.2">
      <c r="A109" s="240" t="str">
        <f>Calculations!AB69</f>
        <v xml:space="preserve">  Taxable Value (percent of assessed value)</v>
      </c>
      <c r="B109" s="39"/>
      <c r="C109" s="250">
        <f>Calculations!AC69</f>
        <v>1</v>
      </c>
      <c r="D109" s="242"/>
      <c r="E109" s="242"/>
      <c r="F109" s="110"/>
      <c r="G109" s="110"/>
      <c r="H109" s="110"/>
      <c r="I109" s="110"/>
      <c r="J109" s="110"/>
      <c r="K109" s="110"/>
      <c r="L109" s="110"/>
      <c r="M109" s="110"/>
      <c r="N109" s="110"/>
      <c r="O109" s="110"/>
      <c r="P109" s="110"/>
      <c r="Q109" s="110"/>
      <c r="R109" s="110"/>
      <c r="S109" s="110"/>
      <c r="T109" s="110"/>
      <c r="U109" s="110"/>
      <c r="V109" s="110"/>
      <c r="W109" s="110"/>
      <c r="X109" s="110"/>
      <c r="BB109" s="153" t="str">
        <f t="shared" si="6"/>
        <v xml:space="preserve">  Taxable Value (percent of assessed value)</v>
      </c>
      <c r="BC109" s="153"/>
      <c r="BD109" s="295">
        <f t="shared" si="7"/>
        <v>1</v>
      </c>
      <c r="BE109" s="203"/>
    </row>
    <row r="110" spans="1:57" x14ac:dyDescent="0.2">
      <c r="A110" s="240" t="str">
        <f>Calculations!AB70</f>
        <v xml:space="preserve">  Taxable Value</v>
      </c>
      <c r="B110" s="39"/>
      <c r="C110" s="244">
        <f>Calculations!AC70</f>
        <v>625000000</v>
      </c>
      <c r="D110" s="242"/>
      <c r="E110" s="242"/>
      <c r="F110" s="110"/>
      <c r="G110" s="110"/>
      <c r="H110" s="110"/>
      <c r="I110" s="110"/>
      <c r="J110" s="110"/>
      <c r="K110" s="110"/>
      <c r="L110" s="110"/>
      <c r="M110" s="110"/>
      <c r="N110" s="110"/>
      <c r="O110" s="110"/>
      <c r="P110" s="110"/>
      <c r="Q110" s="110"/>
      <c r="R110" s="110"/>
      <c r="S110" s="110"/>
      <c r="T110" s="110"/>
      <c r="U110" s="110"/>
      <c r="V110" s="110"/>
      <c r="W110" s="110"/>
      <c r="X110" s="110"/>
      <c r="BB110" s="153" t="str">
        <f t="shared" si="6"/>
        <v xml:space="preserve">  Taxable Value</v>
      </c>
      <c r="BC110" s="153"/>
      <c r="BD110" s="261">
        <f t="shared" si="7"/>
        <v>625000000</v>
      </c>
      <c r="BE110" s="203"/>
    </row>
    <row r="111" spans="1:57" x14ac:dyDescent="0.2">
      <c r="A111" s="240" t="str">
        <f>Calculations!AB71</f>
        <v xml:space="preserve">  Local Taxes</v>
      </c>
      <c r="B111" s="39"/>
      <c r="C111" s="244">
        <f>Calculations!AC71</f>
        <v>0</v>
      </c>
      <c r="D111" s="242">
        <f>Calculations!AD71</f>
        <v>1</v>
      </c>
      <c r="E111" s="242"/>
      <c r="F111" s="110"/>
      <c r="G111" s="110"/>
      <c r="H111" s="110"/>
      <c r="I111" s="110"/>
      <c r="J111" s="110"/>
      <c r="K111" s="110"/>
      <c r="L111" s="110"/>
      <c r="M111" s="110"/>
      <c r="N111" s="110"/>
      <c r="O111" s="110"/>
      <c r="P111" s="110"/>
      <c r="Q111" s="110"/>
      <c r="R111" s="110"/>
      <c r="S111" s="110"/>
      <c r="T111" s="110"/>
      <c r="U111" s="110"/>
      <c r="V111" s="110"/>
      <c r="W111" s="110"/>
      <c r="X111" s="110"/>
      <c r="BB111" s="153" t="str">
        <f t="shared" si="6"/>
        <v xml:space="preserve">  Local Taxes</v>
      </c>
      <c r="BC111" s="153"/>
      <c r="BD111" s="261">
        <f t="shared" si="7"/>
        <v>0</v>
      </c>
      <c r="BE111" s="203">
        <f>D111</f>
        <v>1</v>
      </c>
    </row>
    <row r="112" spans="1:57" x14ac:dyDescent="0.2">
      <c r="A112" s="240" t="str">
        <f>Calculations!AB72</f>
        <v xml:space="preserve">  Local Sales Tax Rate</v>
      </c>
      <c r="B112" s="39"/>
      <c r="C112" s="369">
        <f>Calculations!AC72</f>
        <v>0.04</v>
      </c>
      <c r="D112" s="242"/>
      <c r="E112" s="242"/>
      <c r="F112" s="110"/>
      <c r="G112" s="110"/>
      <c r="H112" s="110"/>
      <c r="I112" s="110"/>
      <c r="J112" s="110"/>
      <c r="K112" s="110"/>
      <c r="L112" s="110"/>
      <c r="M112" s="110"/>
      <c r="N112" s="110"/>
      <c r="O112" s="110"/>
      <c r="P112" s="110"/>
      <c r="Q112" s="110"/>
      <c r="R112" s="110"/>
      <c r="S112" s="110"/>
      <c r="T112" s="110"/>
      <c r="U112" s="110"/>
      <c r="V112" s="110"/>
      <c r="W112" s="110"/>
      <c r="X112" s="110"/>
      <c r="BB112" s="153" t="str">
        <f t="shared" si="6"/>
        <v xml:space="preserve">  Local Sales Tax Rate</v>
      </c>
      <c r="BC112" s="153"/>
      <c r="BD112" s="205">
        <f t="shared" si="7"/>
        <v>0.04</v>
      </c>
      <c r="BE112" s="203"/>
    </row>
    <row r="113" spans="1:58" x14ac:dyDescent="0.2">
      <c r="A113" s="212" t="str">
        <f>Calculations!AB73</f>
        <v>Land Lease Parameters</v>
      </c>
      <c r="B113" s="39"/>
      <c r="C113" s="244"/>
      <c r="D113" s="242"/>
      <c r="E113" s="242"/>
      <c r="F113" s="110"/>
      <c r="G113" s="110"/>
      <c r="H113" s="110"/>
      <c r="I113" s="110"/>
      <c r="J113" s="110"/>
      <c r="K113" s="110"/>
      <c r="L113" s="110"/>
      <c r="M113" s="110"/>
      <c r="N113" s="110"/>
      <c r="O113" s="110"/>
      <c r="P113" s="110"/>
      <c r="Q113" s="110"/>
      <c r="R113" s="110"/>
      <c r="S113" s="110"/>
      <c r="T113" s="110"/>
      <c r="U113" s="110"/>
      <c r="V113" s="110"/>
      <c r="W113" s="110"/>
      <c r="X113" s="110"/>
      <c r="BB113" s="78" t="str">
        <f t="shared" si="6"/>
        <v>Land Lease Parameters</v>
      </c>
      <c r="BC113" s="153"/>
      <c r="BD113" s="169"/>
      <c r="BE113" s="203"/>
    </row>
    <row r="114" spans="1:58" x14ac:dyDescent="0.2">
      <c r="A114" s="240" t="str">
        <f>Calculations!AB74</f>
        <v xml:space="preserve">  Land Lease (total cost)</v>
      </c>
      <c r="B114" s="39"/>
      <c r="C114" s="244">
        <f>Calculations!AC74</f>
        <v>0</v>
      </c>
      <c r="D114" s="242"/>
      <c r="E114" s="242"/>
      <c r="F114" s="110"/>
      <c r="G114" s="110"/>
      <c r="H114" s="110"/>
      <c r="I114" s="110"/>
      <c r="J114" s="110"/>
      <c r="K114" s="110"/>
      <c r="L114" s="110"/>
      <c r="M114" s="110"/>
      <c r="N114" s="110"/>
      <c r="O114" s="110"/>
      <c r="P114" s="110"/>
      <c r="Q114" s="110"/>
      <c r="R114" s="110"/>
      <c r="S114" s="110"/>
      <c r="T114" s="110"/>
      <c r="U114" s="110"/>
      <c r="V114" s="110"/>
      <c r="W114" s="110"/>
      <c r="X114" s="110"/>
      <c r="BB114" s="153" t="str">
        <f t="shared" si="6"/>
        <v xml:space="preserve">  Land Lease (total cost)</v>
      </c>
      <c r="BC114" s="153"/>
      <c r="BD114" s="169">
        <f>C114</f>
        <v>0</v>
      </c>
      <c r="BE114" s="203"/>
    </row>
    <row r="115" spans="1:58" x14ac:dyDescent="0.2">
      <c r="A115" s="240" t="str">
        <f>Calculations!AB75</f>
        <v xml:space="preserve">  Lease Payment Recipient (F = farmer/household, O = Other)</v>
      </c>
      <c r="B115" s="39"/>
      <c r="C115" s="244" t="str">
        <f>Calculations!AC75</f>
        <v>O</v>
      </c>
      <c r="D115" s="242">
        <f>Calculations!AD75</f>
        <v>1</v>
      </c>
      <c r="E115" s="242"/>
      <c r="F115" s="110"/>
      <c r="G115" s="110"/>
      <c r="H115" s="110"/>
      <c r="I115" s="110"/>
      <c r="J115" s="110"/>
      <c r="K115" s="110"/>
      <c r="L115" s="110"/>
      <c r="M115" s="110"/>
      <c r="N115" s="110"/>
      <c r="O115" s="110"/>
      <c r="P115" s="110"/>
      <c r="Q115" s="110"/>
      <c r="R115" s="110"/>
      <c r="S115" s="110"/>
      <c r="T115" s="110"/>
      <c r="U115" s="110"/>
      <c r="V115" s="110"/>
      <c r="W115" s="110"/>
      <c r="X115" s="110"/>
      <c r="BB115" s="153" t="str">
        <f t="shared" si="6"/>
        <v xml:space="preserve">  Lease Payment Recipient (F = farmer/household, O = Other)</v>
      </c>
      <c r="BC115" s="153"/>
      <c r="BD115" s="262" t="str">
        <f>C115</f>
        <v>O</v>
      </c>
      <c r="BE115" s="201">
        <f>D115</f>
        <v>1</v>
      </c>
    </row>
    <row r="116" spans="1:58" x14ac:dyDescent="0.2">
      <c r="A116" s="212" t="str">
        <f>Calculations!AB76</f>
        <v>Payroll Parameters</v>
      </c>
      <c r="B116" s="39"/>
      <c r="C116" s="88" t="s">
        <v>461</v>
      </c>
      <c r="D116" s="359" t="s">
        <v>462</v>
      </c>
      <c r="E116" s="359"/>
      <c r="F116" s="110"/>
      <c r="G116" s="110"/>
      <c r="H116" s="110"/>
      <c r="I116" s="110"/>
      <c r="J116" s="110"/>
      <c r="K116" s="110"/>
      <c r="L116" s="110"/>
      <c r="M116" s="110"/>
      <c r="N116" s="110"/>
      <c r="O116" s="110"/>
      <c r="P116" s="110"/>
      <c r="Q116" s="110"/>
      <c r="R116" s="110"/>
      <c r="S116" s="110"/>
      <c r="T116" s="110"/>
      <c r="U116" s="110"/>
      <c r="V116" s="110"/>
      <c r="W116" s="110"/>
      <c r="X116" s="110"/>
      <c r="BB116" s="78" t="str">
        <f t="shared" si="6"/>
        <v>Payroll Parameters</v>
      </c>
      <c r="BC116" s="78"/>
      <c r="BD116" s="197" t="str">
        <f>C116</f>
        <v>Wage per hour</v>
      </c>
      <c r="BE116" s="361" t="str">
        <f>D116</f>
        <v>Employer Payroll Overhead</v>
      </c>
      <c r="BF116" s="360"/>
    </row>
    <row r="117" spans="1:58" x14ac:dyDescent="0.2">
      <c r="A117" s="240" t="str">
        <f>Calculations!AB77</f>
        <v xml:space="preserve">  Labor (average wage per hour for all plant workers)</v>
      </c>
      <c r="B117" s="39"/>
      <c r="C117" s="358">
        <f>Calculations!AC77</f>
        <v>23.799857725510488</v>
      </c>
      <c r="D117" s="404">
        <f>Calculations!$AE77</f>
        <v>0.37606110248282032</v>
      </c>
      <c r="E117" s="241"/>
      <c r="F117" s="403"/>
      <c r="G117" s="110"/>
      <c r="H117" s="110"/>
      <c r="I117" s="110"/>
      <c r="J117" s="110"/>
      <c r="K117" s="110"/>
      <c r="L117" s="110"/>
      <c r="M117" s="110"/>
      <c r="N117" s="110"/>
      <c r="O117" s="110"/>
      <c r="P117" s="110"/>
      <c r="Q117" s="110"/>
      <c r="R117" s="110"/>
      <c r="S117" s="110"/>
      <c r="T117" s="110"/>
      <c r="U117" s="110"/>
      <c r="V117" s="110"/>
      <c r="W117" s="110"/>
      <c r="X117" s="110"/>
      <c r="BB117" s="153" t="str">
        <f t="shared" si="6"/>
        <v xml:space="preserve">  Labor (average wage per hour for all plant workers)</v>
      </c>
      <c r="BC117" s="153"/>
      <c r="BD117" s="198">
        <f>C117</f>
        <v>23.799857725510488</v>
      </c>
      <c r="BE117" s="205">
        <f>D117</f>
        <v>0.37606110248282032</v>
      </c>
    </row>
    <row r="118" spans="1:58" x14ac:dyDescent="0.2">
      <c r="A118" s="39"/>
      <c r="B118" s="39"/>
      <c r="C118" s="39"/>
      <c r="D118" s="39"/>
      <c r="E118" s="39"/>
      <c r="F118" s="110"/>
      <c r="G118" s="110"/>
      <c r="H118" s="110"/>
      <c r="I118" s="110"/>
      <c r="J118" s="110"/>
      <c r="K118" s="110"/>
      <c r="L118" s="110"/>
      <c r="M118" s="110"/>
      <c r="N118" s="110"/>
      <c r="O118" s="110"/>
      <c r="P118" s="110"/>
      <c r="Q118" s="110"/>
      <c r="R118" s="110"/>
      <c r="S118" s="110"/>
      <c r="T118" s="110"/>
      <c r="U118" s="110"/>
      <c r="V118" s="110"/>
      <c r="W118" s="110"/>
      <c r="X118" s="110"/>
      <c r="BE118" s="169"/>
    </row>
    <row r="119" spans="1:58" x14ac:dyDescent="0.2">
      <c r="A119" s="39"/>
      <c r="B119" s="39"/>
      <c r="C119" s="39"/>
      <c r="D119" s="39"/>
      <c r="E119" s="39"/>
      <c r="F119" s="110"/>
      <c r="G119" s="110"/>
      <c r="H119" s="110"/>
      <c r="I119" s="110"/>
      <c r="J119" s="110"/>
      <c r="K119" s="110"/>
      <c r="L119" s="110"/>
      <c r="M119" s="110"/>
      <c r="N119" s="110"/>
      <c r="O119" s="110"/>
      <c r="P119" s="110"/>
      <c r="Q119" s="110"/>
      <c r="R119" s="110"/>
      <c r="S119" s="110"/>
      <c r="T119" s="110"/>
      <c r="U119" s="110"/>
      <c r="V119" s="110"/>
      <c r="W119" s="110"/>
      <c r="X119" s="110"/>
      <c r="BB119" s="153"/>
      <c r="BC119" s="153"/>
      <c r="BD119" s="205"/>
      <c r="BE119" s="201"/>
    </row>
    <row r="120" spans="1:58" x14ac:dyDescent="0.2">
      <c r="A120" s="240"/>
      <c r="B120" s="39"/>
      <c r="C120" s="241"/>
      <c r="D120" s="242"/>
      <c r="E120" s="242"/>
      <c r="F120" s="110"/>
      <c r="G120" s="110"/>
      <c r="H120" s="110"/>
      <c r="I120" s="110"/>
      <c r="J120" s="110"/>
      <c r="K120" s="110"/>
      <c r="L120" s="110"/>
      <c r="M120" s="110"/>
      <c r="N120" s="110"/>
      <c r="O120" s="110"/>
      <c r="P120" s="110"/>
      <c r="Q120" s="110"/>
      <c r="R120" s="110"/>
      <c r="S120" s="110"/>
      <c r="T120" s="110"/>
      <c r="U120" s="110"/>
      <c r="V120" s="110"/>
      <c r="W120" s="110"/>
      <c r="X120" s="110"/>
      <c r="BB120" s="153"/>
      <c r="BC120" s="153"/>
      <c r="BD120" s="206"/>
      <c r="BE120" s="201"/>
    </row>
    <row r="121" spans="1:58" x14ac:dyDescent="0.2">
      <c r="A121" s="240"/>
      <c r="B121" s="39"/>
      <c r="C121" s="241"/>
      <c r="D121" s="242"/>
      <c r="E121" s="242"/>
      <c r="F121" s="110"/>
      <c r="G121" s="110"/>
      <c r="H121" s="110"/>
      <c r="I121" s="110"/>
      <c r="J121" s="110"/>
      <c r="K121" s="110"/>
      <c r="L121" s="110"/>
      <c r="M121" s="110"/>
      <c r="N121" s="110"/>
      <c r="O121" s="110"/>
      <c r="P121" s="110"/>
      <c r="Q121" s="110"/>
      <c r="R121" s="110"/>
      <c r="S121" s="110"/>
      <c r="T121" s="110"/>
      <c r="U121" s="110"/>
      <c r="V121" s="110"/>
      <c r="W121" s="110"/>
      <c r="X121" s="110"/>
      <c r="BB121" s="153"/>
      <c r="BC121" s="153"/>
      <c r="BD121" s="206"/>
      <c r="BE121" s="201"/>
    </row>
    <row r="122" spans="1:58" x14ac:dyDescent="0.2">
      <c r="A122" s="240"/>
      <c r="B122" s="39"/>
      <c r="C122" s="241"/>
      <c r="D122" s="242"/>
      <c r="E122" s="242"/>
      <c r="F122" s="110"/>
      <c r="G122" s="110"/>
      <c r="H122" s="110"/>
      <c r="I122" s="110"/>
      <c r="J122" s="110"/>
      <c r="K122" s="110"/>
      <c r="L122" s="110"/>
      <c r="M122" s="110"/>
      <c r="N122" s="110"/>
      <c r="O122" s="110"/>
      <c r="P122" s="110"/>
      <c r="Q122" s="110"/>
      <c r="R122" s="110"/>
      <c r="S122" s="110"/>
      <c r="T122" s="110"/>
      <c r="U122" s="110"/>
      <c r="V122" s="110"/>
      <c r="W122" s="110"/>
      <c r="X122" s="110"/>
      <c r="BB122" s="153"/>
      <c r="BC122" s="153"/>
      <c r="BD122" s="204"/>
      <c r="BE122" s="203"/>
    </row>
    <row r="123" spans="1:58" x14ac:dyDescent="0.2">
      <c r="A123" s="240"/>
      <c r="B123" s="39"/>
      <c r="C123" s="241"/>
      <c r="D123" s="242"/>
      <c r="E123" s="242"/>
      <c r="F123" s="110"/>
      <c r="G123" s="110"/>
      <c r="H123" s="110"/>
      <c r="I123" s="110"/>
      <c r="J123" s="110"/>
      <c r="K123" s="110"/>
      <c r="L123" s="110"/>
      <c r="M123" s="110"/>
      <c r="N123" s="110"/>
      <c r="O123" s="110"/>
      <c r="P123" s="110"/>
      <c r="Q123" s="110"/>
      <c r="R123" s="110"/>
      <c r="S123" s="110"/>
      <c r="T123" s="110"/>
      <c r="U123" s="110"/>
      <c r="V123" s="110"/>
      <c r="W123" s="110"/>
      <c r="X123" s="110"/>
      <c r="BB123" s="153"/>
      <c r="BC123" s="153"/>
      <c r="BD123" s="78"/>
      <c r="BE123" s="200"/>
    </row>
    <row r="124" spans="1:58" x14ac:dyDescent="0.2">
      <c r="A124" s="240"/>
      <c r="B124" s="39"/>
      <c r="C124" s="241"/>
      <c r="D124" s="242"/>
      <c r="E124" s="242"/>
      <c r="F124" s="110"/>
      <c r="G124" s="110"/>
      <c r="H124" s="110"/>
      <c r="I124" s="110"/>
      <c r="J124" s="110"/>
      <c r="K124" s="110"/>
      <c r="L124" s="110"/>
      <c r="M124" s="110"/>
      <c r="N124" s="110"/>
      <c r="O124" s="110"/>
      <c r="P124" s="110"/>
      <c r="Q124" s="110"/>
      <c r="R124" s="110"/>
      <c r="S124" s="110"/>
      <c r="T124" s="110"/>
      <c r="U124" s="110"/>
      <c r="V124" s="110"/>
      <c r="W124" s="110"/>
      <c r="X124" s="110"/>
      <c r="BB124" s="153"/>
      <c r="BC124" s="153"/>
      <c r="BD124" s="207"/>
      <c r="BE124" s="206"/>
    </row>
    <row r="125" spans="1:58" x14ac:dyDescent="0.2">
      <c r="A125" s="39"/>
      <c r="B125" s="39"/>
      <c r="C125" s="39"/>
      <c r="D125" s="39"/>
      <c r="E125" s="39"/>
      <c r="F125" s="110"/>
      <c r="G125" s="110"/>
      <c r="H125" s="110"/>
      <c r="I125" s="110"/>
      <c r="J125" s="110"/>
      <c r="K125" s="110"/>
      <c r="L125" s="110"/>
      <c r="M125" s="110"/>
      <c r="N125" s="110"/>
      <c r="O125" s="110"/>
      <c r="P125" s="110"/>
      <c r="Q125" s="110"/>
      <c r="R125" s="110"/>
      <c r="S125" s="110"/>
      <c r="T125" s="110"/>
      <c r="U125" s="110"/>
      <c r="V125" s="110"/>
      <c r="W125" s="110"/>
      <c r="X125" s="110"/>
      <c r="BB125" s="153"/>
      <c r="BC125" s="153"/>
      <c r="BD125" s="207"/>
      <c r="BE125" s="206"/>
    </row>
    <row r="126" spans="1:58" x14ac:dyDescent="0.2">
      <c r="A126" s="240"/>
      <c r="B126" s="39"/>
      <c r="C126" s="241"/>
      <c r="D126" s="242"/>
      <c r="E126" s="242"/>
      <c r="F126" s="110"/>
      <c r="G126" s="110"/>
      <c r="H126" s="110"/>
      <c r="I126" s="110"/>
      <c r="J126" s="110"/>
      <c r="K126" s="110"/>
      <c r="L126" s="110"/>
      <c r="M126" s="110"/>
      <c r="N126" s="110"/>
      <c r="O126" s="110"/>
      <c r="P126" s="110"/>
      <c r="Q126" s="110"/>
      <c r="R126" s="110"/>
      <c r="S126" s="110"/>
      <c r="T126" s="110"/>
      <c r="U126" s="110"/>
      <c r="V126" s="110"/>
      <c r="W126" s="110"/>
      <c r="X126" s="110"/>
      <c r="BB126" s="153"/>
      <c r="BC126" s="153"/>
      <c r="BD126" s="207"/>
      <c r="BE126" s="206"/>
    </row>
    <row r="127" spans="1:58" x14ac:dyDescent="0.2">
      <c r="A127" s="240"/>
      <c r="B127" s="39"/>
      <c r="C127" s="241"/>
      <c r="D127" s="242"/>
      <c r="E127" s="242"/>
      <c r="F127" s="110"/>
      <c r="G127" s="110"/>
      <c r="H127" s="110"/>
      <c r="I127" s="110"/>
      <c r="J127" s="110"/>
      <c r="K127" s="110"/>
      <c r="L127" s="110"/>
      <c r="M127" s="110"/>
      <c r="N127" s="110"/>
      <c r="O127" s="110"/>
      <c r="P127" s="110"/>
      <c r="Q127" s="110"/>
      <c r="R127" s="110"/>
      <c r="S127" s="110"/>
      <c r="T127" s="110"/>
      <c r="U127" s="110"/>
      <c r="V127" s="110"/>
      <c r="W127" s="110"/>
      <c r="X127" s="110"/>
    </row>
    <row r="128" spans="1:58" x14ac:dyDescent="0.2">
      <c r="A128" s="39"/>
      <c r="B128" s="39"/>
      <c r="C128" s="39"/>
      <c r="D128" s="39"/>
      <c r="E128" s="39"/>
      <c r="F128" s="110"/>
      <c r="G128" s="110"/>
      <c r="H128" s="110"/>
      <c r="I128" s="110"/>
      <c r="J128" s="110"/>
      <c r="K128" s="110"/>
      <c r="L128" s="110"/>
      <c r="M128" s="110"/>
      <c r="N128" s="110"/>
      <c r="O128" s="110"/>
      <c r="P128" s="110"/>
      <c r="Q128" s="110"/>
      <c r="R128" s="110"/>
      <c r="S128" s="110"/>
      <c r="T128" s="110"/>
      <c r="U128" s="110"/>
      <c r="V128" s="110"/>
      <c r="W128" s="110"/>
      <c r="X128" s="110"/>
    </row>
    <row r="129" spans="1:24" x14ac:dyDescent="0.2">
      <c r="A129" s="39"/>
      <c r="B129" s="39"/>
      <c r="C129" s="39"/>
      <c r="D129" s="39"/>
      <c r="E129" s="39"/>
      <c r="F129" s="110"/>
      <c r="G129" s="110"/>
      <c r="H129" s="110"/>
      <c r="I129" s="110"/>
      <c r="J129" s="110"/>
      <c r="K129" s="110"/>
      <c r="L129" s="110"/>
      <c r="M129" s="110"/>
      <c r="N129" s="110"/>
      <c r="O129" s="110"/>
      <c r="P129" s="110"/>
      <c r="Q129" s="110"/>
      <c r="R129" s="110"/>
      <c r="S129" s="110"/>
      <c r="T129" s="110"/>
      <c r="U129" s="110"/>
      <c r="V129" s="110"/>
      <c r="W129" s="110"/>
      <c r="X129" s="110"/>
    </row>
    <row r="130" spans="1:24" x14ac:dyDescent="0.2">
      <c r="A130" s="39"/>
      <c r="B130" s="39"/>
      <c r="C130" s="39"/>
      <c r="D130" s="39"/>
      <c r="E130" s="39"/>
      <c r="F130" s="110"/>
      <c r="G130" s="110"/>
      <c r="H130" s="110"/>
      <c r="I130" s="110"/>
      <c r="J130" s="110"/>
      <c r="K130" s="110"/>
      <c r="L130" s="110"/>
      <c r="M130" s="110"/>
      <c r="N130" s="110"/>
      <c r="O130" s="110"/>
      <c r="P130" s="110"/>
      <c r="Q130" s="110"/>
      <c r="R130" s="110"/>
      <c r="S130" s="110"/>
      <c r="T130" s="110"/>
      <c r="U130" s="110"/>
      <c r="V130" s="110"/>
      <c r="W130" s="110"/>
      <c r="X130" s="110"/>
    </row>
    <row r="131" spans="1:24" x14ac:dyDescent="0.2">
      <c r="A131" s="39"/>
      <c r="B131" s="39"/>
      <c r="C131" s="39"/>
      <c r="D131" s="39"/>
      <c r="E131" s="39"/>
      <c r="F131" s="110"/>
      <c r="G131" s="110"/>
      <c r="H131" s="110"/>
      <c r="I131" s="110"/>
      <c r="J131" s="110"/>
      <c r="K131" s="110"/>
      <c r="L131" s="110"/>
      <c r="M131" s="110"/>
      <c r="N131" s="110"/>
      <c r="O131" s="110"/>
      <c r="P131" s="110"/>
      <c r="Q131" s="110"/>
      <c r="R131" s="110"/>
      <c r="S131" s="110"/>
      <c r="T131" s="110"/>
      <c r="U131" s="110"/>
      <c r="V131" s="110"/>
      <c r="W131" s="110"/>
      <c r="X131" s="110"/>
    </row>
    <row r="132" spans="1:24" x14ac:dyDescent="0.2">
      <c r="A132" s="39"/>
      <c r="B132" s="39"/>
      <c r="C132" s="39"/>
      <c r="D132" s="39"/>
      <c r="E132" s="39"/>
      <c r="F132" s="110"/>
      <c r="G132" s="110"/>
      <c r="H132" s="110"/>
      <c r="I132" s="110"/>
      <c r="J132" s="110"/>
      <c r="K132" s="110"/>
      <c r="L132" s="110"/>
      <c r="M132" s="110"/>
      <c r="N132" s="110"/>
      <c r="O132" s="110"/>
      <c r="P132" s="110"/>
      <c r="Q132" s="110"/>
      <c r="R132" s="110"/>
      <c r="S132" s="110"/>
      <c r="T132" s="110"/>
      <c r="U132" s="110"/>
      <c r="V132" s="110"/>
      <c r="W132" s="110"/>
      <c r="X132" s="110"/>
    </row>
    <row r="133" spans="1:24" x14ac:dyDescent="0.2">
      <c r="A133" s="39"/>
      <c r="B133" s="39"/>
      <c r="C133" s="39"/>
      <c r="D133" s="39"/>
      <c r="E133" s="39"/>
      <c r="F133" s="110"/>
      <c r="G133" s="110"/>
      <c r="H133" s="110"/>
      <c r="I133" s="110"/>
      <c r="J133" s="110"/>
      <c r="K133" s="110"/>
      <c r="L133" s="110"/>
      <c r="M133" s="110"/>
      <c r="N133" s="110"/>
      <c r="O133" s="110"/>
      <c r="P133" s="110"/>
      <c r="Q133" s="110"/>
      <c r="R133" s="110"/>
      <c r="S133" s="110"/>
      <c r="T133" s="110"/>
      <c r="U133" s="110"/>
      <c r="V133" s="110"/>
      <c r="W133" s="110"/>
      <c r="X133" s="110"/>
    </row>
    <row r="134" spans="1:24" x14ac:dyDescent="0.2">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row>
    <row r="135" spans="1:24" x14ac:dyDescent="0.2">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row>
    <row r="136" spans="1:24" x14ac:dyDescent="0.2">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row>
    <row r="137" spans="1:24" x14ac:dyDescent="0.2">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row>
    <row r="138" spans="1:24" x14ac:dyDescent="0.2">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row>
    <row r="139" spans="1:24" x14ac:dyDescent="0.2">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row>
    <row r="140" spans="1:24" x14ac:dyDescent="0.2">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row>
    <row r="141" spans="1:24" x14ac:dyDescent="0.2">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pageMargins left="0.75" right="0.75" top="1" bottom="1" header="0.5" footer="0.5"/>
  <pageSetup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Detailed_Project_Data">
                <anchor moveWithCells="1" sizeWithCells="1">
                  <from>
                    <xdr:col>5</xdr:col>
                    <xdr:colOff>104775</xdr:colOff>
                    <xdr:row>9</xdr:row>
                    <xdr:rowOff>9525</xdr:rowOff>
                  </from>
                  <to>
                    <xdr:col>5</xdr:col>
                    <xdr:colOff>1819275</xdr:colOff>
                    <xdr:row>13</xdr:row>
                    <xdr:rowOff>76200</xdr:rowOff>
                  </to>
                </anchor>
              </controlPr>
            </control>
          </mc:Choice>
        </mc:AlternateContent>
        <mc:AlternateContent xmlns:mc="http://schemas.openxmlformats.org/markup-compatibility/2006">
          <mc:Choice Requires="x14">
            <control shapeId="5139" r:id="rId5" name="Button 19">
              <controlPr defaultSize="0" print="0" autoFill="0" autoPict="0" macro="[0]!PrintSummaryResults">
                <anchor moveWithCells="1" sizeWithCells="1">
                  <from>
                    <xdr:col>5</xdr:col>
                    <xdr:colOff>104775</xdr:colOff>
                    <xdr:row>1</xdr:row>
                    <xdr:rowOff>114300</xdr:rowOff>
                  </from>
                  <to>
                    <xdr:col>5</xdr:col>
                    <xdr:colOff>1800225</xdr:colOff>
                    <xdr:row>7</xdr:row>
                    <xdr:rowOff>28575</xdr:rowOff>
                  </to>
                </anchor>
              </controlPr>
            </control>
          </mc:Choice>
        </mc:AlternateContent>
        <mc:AlternateContent xmlns:mc="http://schemas.openxmlformats.org/markup-compatibility/2006">
          <mc:Choice Requires="x14">
            <control shapeId="5140" r:id="rId6" name="Button 20">
              <controlPr defaultSize="0" print="0" autoFill="0" autoPict="0" macro="[0]!WindProject">
                <anchor moveWithCells="1" sizeWithCells="1">
                  <from>
                    <xdr:col>5</xdr:col>
                    <xdr:colOff>161925</xdr:colOff>
                    <xdr:row>22</xdr:row>
                    <xdr:rowOff>9525</xdr:rowOff>
                  </from>
                  <to>
                    <xdr:col>5</xdr:col>
                    <xdr:colOff>1828800</xdr:colOff>
                    <xdr:row>28</xdr:row>
                    <xdr:rowOff>85725</xdr:rowOff>
                  </to>
                </anchor>
              </controlPr>
            </control>
          </mc:Choice>
        </mc:AlternateContent>
        <mc:AlternateContent xmlns:mc="http://schemas.openxmlformats.org/markup-compatibility/2006">
          <mc:Choice Requires="x14">
            <control shapeId="5161" r:id="rId7" name="Button 41">
              <controlPr defaultSize="0" print="0" autoFill="0" autoPict="0" macro="[0]!ExportAllProjectData">
                <anchor moveWithCells="1" sizeWithCells="1">
                  <from>
                    <xdr:col>5</xdr:col>
                    <xdr:colOff>133350</xdr:colOff>
                    <xdr:row>15</xdr:row>
                    <xdr:rowOff>95250</xdr:rowOff>
                  </from>
                  <to>
                    <xdr:col>5</xdr:col>
                    <xdr:colOff>1838325</xdr:colOff>
                    <xdr:row>19</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E48"/>
  <sheetViews>
    <sheetView workbookViewId="0">
      <selection activeCell="G2" sqref="G2"/>
    </sheetView>
  </sheetViews>
  <sheetFormatPr defaultRowHeight="12.75" x14ac:dyDescent="0.2"/>
  <cols>
    <col min="1" max="1" width="207.5703125" style="275" customWidth="1"/>
    <col min="2" max="2" width="32.140625" style="275" customWidth="1"/>
    <col min="3" max="3" width="20.5703125" customWidth="1"/>
    <col min="4" max="4" width="8.28515625" customWidth="1"/>
    <col min="5" max="5" width="6.7109375" customWidth="1"/>
    <col min="50" max="50" width="9.140625" style="273"/>
  </cols>
  <sheetData>
    <row r="1" spans="1:57" x14ac:dyDescent="0.2">
      <c r="A1" s="284"/>
      <c r="B1" s="284"/>
      <c r="C1" s="1" t="s">
        <v>201</v>
      </c>
    </row>
    <row r="2" spans="1:57" x14ac:dyDescent="0.2">
      <c r="A2" s="284"/>
      <c r="B2" s="284"/>
      <c r="C2" s="1" t="s">
        <v>246</v>
      </c>
      <c r="D2" s="1">
        <v>2014</v>
      </c>
    </row>
    <row r="3" spans="1:57" ht="25.5" x14ac:dyDescent="0.2">
      <c r="A3" s="284"/>
      <c r="B3" s="284"/>
      <c r="D3" t="s">
        <v>50</v>
      </c>
      <c r="E3" t="s">
        <v>51</v>
      </c>
      <c r="F3" t="s">
        <v>52</v>
      </c>
      <c r="G3" t="s">
        <v>53</v>
      </c>
      <c r="H3" t="s">
        <v>54</v>
      </c>
      <c r="I3" t="s">
        <v>55</v>
      </c>
      <c r="J3" t="s">
        <v>56</v>
      </c>
      <c r="K3" t="s">
        <v>57</v>
      </c>
      <c r="L3" t="s">
        <v>58</v>
      </c>
      <c r="M3" t="s">
        <v>59</v>
      </c>
      <c r="N3" t="s">
        <v>60</v>
      </c>
      <c r="O3" t="s">
        <v>61</v>
      </c>
      <c r="P3" t="s">
        <v>62</v>
      </c>
      <c r="Q3" t="s">
        <v>63</v>
      </c>
      <c r="R3" t="s">
        <v>64</v>
      </c>
      <c r="S3" t="s">
        <v>65</v>
      </c>
      <c r="T3" t="s">
        <v>66</v>
      </c>
      <c r="U3" t="s">
        <v>67</v>
      </c>
      <c r="V3" t="s">
        <v>68</v>
      </c>
      <c r="W3" t="s">
        <v>69</v>
      </c>
      <c r="X3" t="s">
        <v>70</v>
      </c>
      <c r="Y3" t="s">
        <v>71</v>
      </c>
      <c r="Z3" t="s">
        <v>72</v>
      </c>
      <c r="AA3" t="s">
        <v>73</v>
      </c>
      <c r="AB3" t="s">
        <v>74</v>
      </c>
      <c r="AC3" t="s">
        <v>75</v>
      </c>
      <c r="AD3" t="s">
        <v>76</v>
      </c>
      <c r="AE3" t="str">
        <f>'User Add-in Location'!E8</f>
        <v>MyCounty</v>
      </c>
      <c r="AF3" t="str">
        <f>'User Add-in Location'!F8</f>
        <v>MyRegion</v>
      </c>
      <c r="AG3" t="s">
        <v>77</v>
      </c>
      <c r="AH3" t="s">
        <v>78</v>
      </c>
      <c r="AI3" t="s">
        <v>79</v>
      </c>
      <c r="AJ3" t="s">
        <v>80</v>
      </c>
      <c r="AK3" t="s">
        <v>81</v>
      </c>
      <c r="AL3" t="s">
        <v>82</v>
      </c>
      <c r="AM3" t="s">
        <v>83</v>
      </c>
      <c r="AN3" t="s">
        <v>84</v>
      </c>
      <c r="AO3" t="s">
        <v>85</v>
      </c>
      <c r="AP3" t="s">
        <v>86</v>
      </c>
      <c r="AQ3" t="s">
        <v>87</v>
      </c>
      <c r="AR3" t="s">
        <v>88</v>
      </c>
      <c r="AS3" t="s">
        <v>89</v>
      </c>
      <c r="AT3" t="s">
        <v>90</v>
      </c>
      <c r="AU3" t="s">
        <v>91</v>
      </c>
      <c r="AV3" t="s">
        <v>92</v>
      </c>
      <c r="AW3" t="s">
        <v>93</v>
      </c>
      <c r="AX3" s="273" t="s">
        <v>394</v>
      </c>
      <c r="AY3" t="s">
        <v>94</v>
      </c>
      <c r="AZ3" t="s">
        <v>95</v>
      </c>
      <c r="BA3" t="s">
        <v>96</v>
      </c>
      <c r="BB3" t="s">
        <v>97</v>
      </c>
      <c r="BC3" t="s">
        <v>98</v>
      </c>
      <c r="BD3" t="s">
        <v>99</v>
      </c>
      <c r="BE3" t="s">
        <v>49</v>
      </c>
    </row>
    <row r="4" spans="1:57" ht="15" x14ac:dyDescent="0.2">
      <c r="A4" s="284"/>
      <c r="B4" s="284"/>
      <c r="C4" s="6" t="s">
        <v>44</v>
      </c>
      <c r="D4" s="422">
        <v>4.3843303811985359E-3</v>
      </c>
      <c r="E4" s="422">
        <v>1.4119513424010147E-3</v>
      </c>
      <c r="F4" s="422">
        <v>4.5642380753062282E-3</v>
      </c>
      <c r="G4" s="422">
        <v>8.1786328792903557E-3</v>
      </c>
      <c r="H4" s="422">
        <v>3.9792492388490055E-3</v>
      </c>
      <c r="I4" s="422">
        <v>7.0195462872580253E-3</v>
      </c>
      <c r="J4" s="422">
        <v>7.6086075854367723E-4</v>
      </c>
      <c r="K4" s="422">
        <v>5.1514563718655336E-3</v>
      </c>
      <c r="L4" s="422">
        <v>4.2922894157143207E-4</v>
      </c>
      <c r="M4" s="422">
        <v>3.4583683647851009E-3</v>
      </c>
      <c r="N4" s="422">
        <v>4.5081025455065496E-3</v>
      </c>
      <c r="O4" s="422">
        <v>4.9429891793557282E-3</v>
      </c>
      <c r="P4" s="422">
        <v>9.4917506916313097E-3</v>
      </c>
      <c r="Q4" s="422">
        <v>2.8667610141038728E-3</v>
      </c>
      <c r="R4" s="422">
        <v>2.5450437181696911E-3</v>
      </c>
      <c r="S4" s="422">
        <v>9.3934737604823137E-3</v>
      </c>
      <c r="T4" s="422">
        <v>8.7900656478127337E-3</v>
      </c>
      <c r="U4" s="422">
        <v>3.1759610937596942E-3</v>
      </c>
      <c r="V4" s="422">
        <v>1.6396370820067549E-3</v>
      </c>
      <c r="W4" s="422">
        <v>4.0676609250438669E-3</v>
      </c>
      <c r="X4" s="422">
        <v>2.0831860584223857E-3</v>
      </c>
      <c r="Y4" s="422">
        <v>6.3727734320123469E-4</v>
      </c>
      <c r="Z4" s="422">
        <v>2.3812381206889124E-3</v>
      </c>
      <c r="AA4" s="422">
        <v>5.6398054812691872E-3</v>
      </c>
      <c r="AB4" s="422">
        <v>6.3861398447143574E-3</v>
      </c>
      <c r="AC4" s="422">
        <v>4.1043641887382794E-3</v>
      </c>
      <c r="AD4" s="422">
        <v>6.2438382649901989E-3</v>
      </c>
      <c r="AE4" s="289">
        <f>'User Add-in Location'!E9</f>
        <v>0</v>
      </c>
      <c r="AF4" s="289">
        <f>'User Add-in Location'!F9</f>
        <v>0</v>
      </c>
      <c r="AG4" s="422">
        <v>8.8871317877506888E-3</v>
      </c>
      <c r="AH4" s="422">
        <v>2.5375642195257738E-3</v>
      </c>
      <c r="AI4" s="422">
        <v>1.3888574975611571E-3</v>
      </c>
      <c r="AJ4" s="422">
        <v>5.5163955170102247E-4</v>
      </c>
      <c r="AK4" s="422">
        <v>6.9791702369014427E-3</v>
      </c>
      <c r="AL4" s="422">
        <v>2.8803446526979911E-3</v>
      </c>
      <c r="AM4" s="422">
        <v>4.6077941083095941E-3</v>
      </c>
      <c r="AN4" s="422">
        <v>5.6095972719861992E-3</v>
      </c>
      <c r="AO4" s="422">
        <v>2.0636412707860049E-3</v>
      </c>
      <c r="AP4" s="422">
        <v>4.9050588826224902E-3</v>
      </c>
      <c r="AQ4" s="422">
        <v>6.3409776607044714E-3</v>
      </c>
      <c r="AR4" s="422">
        <v>2.9035521794555925E-3</v>
      </c>
      <c r="AS4" s="422">
        <v>5.1679885725791034E-4</v>
      </c>
      <c r="AT4" s="422">
        <v>2.462276782699504E-3</v>
      </c>
      <c r="AU4" s="422">
        <v>9.4962445436134052E-3</v>
      </c>
      <c r="AV4" s="422">
        <v>2.0966127647710255E-3</v>
      </c>
      <c r="AW4" s="422">
        <v>3.014855508898549E-3</v>
      </c>
      <c r="AX4" s="422">
        <v>5.5260114358864042E-3</v>
      </c>
      <c r="AY4" s="422">
        <v>3.326996211047858E-3</v>
      </c>
      <c r="AZ4" s="422">
        <v>8.7538136649898297E-3</v>
      </c>
      <c r="BA4" s="422">
        <v>3.7363843893953568E-3</v>
      </c>
      <c r="BB4" s="422">
        <v>3.8505743532937222E-3</v>
      </c>
      <c r="BC4" s="422">
        <v>2.7076340157701534E-3</v>
      </c>
      <c r="BD4" s="422">
        <v>7.5054452682812509E-3</v>
      </c>
      <c r="BE4" s="422">
        <v>3.9891255794072527E-3</v>
      </c>
    </row>
    <row r="5" spans="1:57" ht="23.25" x14ac:dyDescent="0.35">
      <c r="A5" s="285" t="s">
        <v>406</v>
      </c>
      <c r="B5" s="285"/>
      <c r="C5" s="6" t="s">
        <v>114</v>
      </c>
      <c r="D5" s="422">
        <v>3.6773337946463026E-6</v>
      </c>
      <c r="E5" s="422">
        <v>2.3634816624978557E-5</v>
      </c>
      <c r="F5" s="422">
        <v>4.4283297127019233E-6</v>
      </c>
      <c r="G5" s="422">
        <v>6.797702789397975E-6</v>
      </c>
      <c r="H5" s="422">
        <v>7.6359916951794383E-6</v>
      </c>
      <c r="I5" s="422">
        <v>1.2855165380975011E-5</v>
      </c>
      <c r="J5" s="422">
        <v>1.4421870222460384E-6</v>
      </c>
      <c r="K5" s="422">
        <v>6.185274109112409E-7</v>
      </c>
      <c r="L5" s="422">
        <v>4.0821663890116674E-7</v>
      </c>
      <c r="M5" s="422">
        <v>3.6201289907853514E-6</v>
      </c>
      <c r="N5" s="422">
        <v>1.558401713256141E-6</v>
      </c>
      <c r="O5" s="422">
        <v>2.0201369292087284E-6</v>
      </c>
      <c r="P5" s="422">
        <v>3.6726986121286635E-6</v>
      </c>
      <c r="Q5" s="422">
        <v>2.3025902350079342E-6</v>
      </c>
      <c r="R5" s="422">
        <v>2.008952670351302E-6</v>
      </c>
      <c r="S5" s="422">
        <v>1.2867504950935838E-6</v>
      </c>
      <c r="T5" s="422">
        <v>1.1185176603211212E-5</v>
      </c>
      <c r="U5" s="422">
        <v>3.426991232403623E-6</v>
      </c>
      <c r="V5" s="422">
        <v>2.1146912621011047E-5</v>
      </c>
      <c r="W5" s="422">
        <v>1.2332214245915419E-6</v>
      </c>
      <c r="X5" s="422">
        <v>1.9918351578770608E-6</v>
      </c>
      <c r="Y5" s="422">
        <v>1.2748979158907943E-6</v>
      </c>
      <c r="Z5" s="422">
        <v>2.4440630223929237E-6</v>
      </c>
      <c r="AA5" s="422">
        <v>1.4453697351436066E-6</v>
      </c>
      <c r="AB5" s="422">
        <v>6.8153249216265298E-6</v>
      </c>
      <c r="AC5" s="422">
        <v>1.6836757825805849E-6</v>
      </c>
      <c r="AD5" s="422">
        <v>1.1670530787507312E-5</v>
      </c>
      <c r="AE5" s="289">
        <f>'User Add-in Location'!E10</f>
        <v>0</v>
      </c>
      <c r="AF5" s="289">
        <f>'User Add-in Location'!F10</f>
        <v>0</v>
      </c>
      <c r="AG5" s="422">
        <v>2.0100264979982797E-6</v>
      </c>
      <c r="AH5" s="422">
        <v>1.1249469601524793E-5</v>
      </c>
      <c r="AI5" s="422">
        <v>1.717982414294884E-6</v>
      </c>
      <c r="AJ5" s="422">
        <v>1.2543190654021425E-6</v>
      </c>
      <c r="AK5" s="422">
        <v>2.3480613968216137E-5</v>
      </c>
      <c r="AL5" s="422">
        <v>1.6327890029108609E-6</v>
      </c>
      <c r="AM5" s="422">
        <v>1.4217484079774229E-6</v>
      </c>
      <c r="AN5" s="422">
        <v>1.7772514413667098E-5</v>
      </c>
      <c r="AO5" s="422">
        <v>4.4978991890939157E-6</v>
      </c>
      <c r="AP5" s="422">
        <v>2.06275835213656E-5</v>
      </c>
      <c r="AQ5" s="422">
        <v>2.1103497251827175E-6</v>
      </c>
      <c r="AR5" s="422">
        <v>7.6035986913116547E-6</v>
      </c>
      <c r="AS5" s="422">
        <v>9.4759943939609369E-7</v>
      </c>
      <c r="AT5" s="422">
        <v>1.2506144101517982E-6</v>
      </c>
      <c r="AU5" s="422">
        <v>3.3045540792100384E-6</v>
      </c>
      <c r="AV5" s="422">
        <v>1.6208048456688673E-6</v>
      </c>
      <c r="AW5" s="422">
        <v>2.145813723175278E-5</v>
      </c>
      <c r="AX5" s="422">
        <v>1.1925970050436198E-5</v>
      </c>
      <c r="AY5" s="422">
        <v>1.0051868482481531E-5</v>
      </c>
      <c r="AZ5" s="422">
        <v>2.1244916594583427E-6</v>
      </c>
      <c r="BA5" s="422">
        <v>3.0913345668405351E-6</v>
      </c>
      <c r="BB5" s="422">
        <v>1.6061511540393748E-6</v>
      </c>
      <c r="BC5" s="422">
        <v>1.3350154124952537E-5</v>
      </c>
      <c r="BD5" s="422">
        <v>1.1620933271415177E-6</v>
      </c>
      <c r="BE5" s="422">
        <v>2.7073449336075241E-5</v>
      </c>
    </row>
    <row r="6" spans="1:57" ht="15" x14ac:dyDescent="0.2">
      <c r="A6" s="284"/>
      <c r="B6" s="284"/>
      <c r="C6" s="6" t="s">
        <v>45</v>
      </c>
      <c r="D6" s="422">
        <v>0</v>
      </c>
      <c r="E6" s="422">
        <v>0</v>
      </c>
      <c r="F6" s="422">
        <v>0</v>
      </c>
      <c r="G6" s="422">
        <v>0</v>
      </c>
      <c r="H6" s="422">
        <v>0</v>
      </c>
      <c r="I6" s="422">
        <v>0</v>
      </c>
      <c r="J6" s="422">
        <v>0</v>
      </c>
      <c r="K6" s="422">
        <v>0</v>
      </c>
      <c r="L6" s="422">
        <v>0</v>
      </c>
      <c r="M6" s="422">
        <v>0</v>
      </c>
      <c r="N6" s="422">
        <v>0</v>
      </c>
      <c r="O6" s="422">
        <v>0</v>
      </c>
      <c r="P6" s="422">
        <v>0</v>
      </c>
      <c r="Q6" s="422">
        <v>0</v>
      </c>
      <c r="R6" s="422">
        <v>0</v>
      </c>
      <c r="S6" s="422">
        <v>0</v>
      </c>
      <c r="T6" s="422">
        <v>0</v>
      </c>
      <c r="U6" s="422">
        <v>0</v>
      </c>
      <c r="V6" s="422">
        <v>0</v>
      </c>
      <c r="W6" s="422">
        <v>0</v>
      </c>
      <c r="X6" s="422">
        <v>0</v>
      </c>
      <c r="Y6" s="422">
        <v>0</v>
      </c>
      <c r="Z6" s="422">
        <v>0</v>
      </c>
      <c r="AA6" s="422">
        <v>0</v>
      </c>
      <c r="AB6" s="422">
        <v>0</v>
      </c>
      <c r="AC6" s="422">
        <v>0</v>
      </c>
      <c r="AD6" s="422">
        <v>0</v>
      </c>
      <c r="AE6" s="289">
        <f>'User Add-in Location'!E11</f>
        <v>0</v>
      </c>
      <c r="AF6" s="289">
        <f>'User Add-in Location'!F11</f>
        <v>0</v>
      </c>
      <c r="AG6" s="422">
        <v>0</v>
      </c>
      <c r="AH6" s="422">
        <v>0</v>
      </c>
      <c r="AI6" s="422">
        <v>0</v>
      </c>
      <c r="AJ6" s="422">
        <v>0</v>
      </c>
      <c r="AK6" s="422">
        <v>0</v>
      </c>
      <c r="AL6" s="422">
        <v>0</v>
      </c>
      <c r="AM6" s="422">
        <v>0</v>
      </c>
      <c r="AN6" s="422">
        <v>0</v>
      </c>
      <c r="AO6" s="422">
        <v>0</v>
      </c>
      <c r="AP6" s="422">
        <v>0</v>
      </c>
      <c r="AQ6" s="422">
        <v>0</v>
      </c>
      <c r="AR6" s="422">
        <v>0</v>
      </c>
      <c r="AS6" s="422">
        <v>0</v>
      </c>
      <c r="AT6" s="422">
        <v>0</v>
      </c>
      <c r="AU6" s="422">
        <v>0</v>
      </c>
      <c r="AV6" s="422">
        <v>0</v>
      </c>
      <c r="AW6" s="422">
        <v>0</v>
      </c>
      <c r="AX6" s="422">
        <v>0</v>
      </c>
      <c r="AY6" s="422">
        <v>0</v>
      </c>
      <c r="AZ6" s="422">
        <v>0</v>
      </c>
      <c r="BA6" s="422">
        <v>0</v>
      </c>
      <c r="BB6" s="422">
        <v>0</v>
      </c>
      <c r="BC6" s="422">
        <v>0</v>
      </c>
      <c r="BD6" s="422">
        <v>0</v>
      </c>
      <c r="BE6" s="422">
        <v>0</v>
      </c>
    </row>
    <row r="7" spans="1:57" ht="15.75" x14ac:dyDescent="0.25">
      <c r="A7" s="286" t="s">
        <v>407</v>
      </c>
      <c r="B7" s="286"/>
      <c r="C7" s="6" t="s">
        <v>115</v>
      </c>
      <c r="D7" s="422">
        <v>4.5387699375112708E-2</v>
      </c>
      <c r="E7" s="422">
        <v>4.7516154386840946E-2</v>
      </c>
      <c r="F7" s="422">
        <v>2.6016019839074693E-2</v>
      </c>
      <c r="G7" s="422">
        <v>3.8716140993729095E-2</v>
      </c>
      <c r="H7" s="422">
        <v>8.4246952112902174E-2</v>
      </c>
      <c r="I7" s="422">
        <v>4.6785312959392457E-2</v>
      </c>
      <c r="J7" s="422">
        <v>2.6914433848206319E-2</v>
      </c>
      <c r="K7" s="422">
        <v>2.7050818178525653E-2</v>
      </c>
      <c r="L7" s="422">
        <v>1.4062697706346782E-3</v>
      </c>
      <c r="M7" s="422">
        <v>3.5882941443291544E-2</v>
      </c>
      <c r="N7" s="422">
        <v>4.107786659675227E-2</v>
      </c>
      <c r="O7" s="422">
        <v>4.7717123505710834E-2</v>
      </c>
      <c r="P7" s="422">
        <v>3.4840698576490761E-2</v>
      </c>
      <c r="Q7" s="422">
        <v>5.3619903155567465E-2</v>
      </c>
      <c r="R7" s="422">
        <v>5.4506346594586579E-2</v>
      </c>
      <c r="S7" s="422">
        <v>3.4478828789508933E-2</v>
      </c>
      <c r="T7" s="422">
        <v>4.3449039277708344E-2</v>
      </c>
      <c r="U7" s="422">
        <v>4.175371942135115E-2</v>
      </c>
      <c r="V7" s="422">
        <v>5.4442608118617869E-2</v>
      </c>
      <c r="W7" s="422">
        <v>3.3381058637137924E-2</v>
      </c>
      <c r="X7" s="422">
        <v>2.1717900252005869E-2</v>
      </c>
      <c r="Y7" s="422">
        <v>3.5008287481424878E-2</v>
      </c>
      <c r="Z7" s="422">
        <v>5.9737902338166442E-2</v>
      </c>
      <c r="AA7" s="422">
        <v>5.8561843833059291E-2</v>
      </c>
      <c r="AB7" s="422">
        <v>3.9646167802461087E-2</v>
      </c>
      <c r="AC7" s="422">
        <v>3.2299161689997004E-2</v>
      </c>
      <c r="AD7" s="422">
        <v>4.1316680699936277E-2</v>
      </c>
      <c r="AE7" s="289">
        <f>'User Add-in Location'!E12</f>
        <v>0</v>
      </c>
      <c r="AF7" s="289">
        <f>'User Add-in Location'!F12</f>
        <v>0</v>
      </c>
      <c r="AG7" s="422">
        <v>2.7513412540971484E-2</v>
      </c>
      <c r="AH7" s="422">
        <v>1.636506977312617E-2</v>
      </c>
      <c r="AI7" s="422">
        <v>1.7462985321525442E-2</v>
      </c>
      <c r="AJ7" s="422">
        <v>3.9476878075801983E-2</v>
      </c>
      <c r="AK7" s="422">
        <v>3.4499424464728104E-2</v>
      </c>
      <c r="AL7" s="422">
        <v>3.0294557471942197E-2</v>
      </c>
      <c r="AM7" s="422">
        <v>5.0989745206259617E-2</v>
      </c>
      <c r="AN7" s="422">
        <v>3.0932976464933402E-2</v>
      </c>
      <c r="AO7" s="422">
        <v>6.1055057251266323E-2</v>
      </c>
      <c r="AP7" s="422">
        <v>4.4021851495473677E-2</v>
      </c>
      <c r="AQ7" s="422">
        <v>3.7839177510743081E-2</v>
      </c>
      <c r="AR7" s="422">
        <v>5.2782222735749083E-2</v>
      </c>
      <c r="AS7" s="422">
        <v>1.4264693232087473E-2</v>
      </c>
      <c r="AT7" s="422">
        <v>3.476185020998087E-2</v>
      </c>
      <c r="AU7" s="422">
        <v>1.765264397039688E-2</v>
      </c>
      <c r="AV7" s="422">
        <v>4.0810666863776164E-2</v>
      </c>
      <c r="AW7" s="422">
        <v>8.8375855808212667E-2</v>
      </c>
      <c r="AX7" s="422">
        <v>0.14375821218021728</v>
      </c>
      <c r="AY7" s="422">
        <v>5.7723752495623559E-2</v>
      </c>
      <c r="AZ7" s="422">
        <v>2.2156788222306382E-2</v>
      </c>
      <c r="BA7" s="422">
        <v>3.0945632266465534E-2</v>
      </c>
      <c r="BB7" s="422">
        <v>6.5328345450713518E-2</v>
      </c>
      <c r="BC7" s="422">
        <v>1.9035011726301475E-2</v>
      </c>
      <c r="BD7" s="422">
        <v>4.8796928866811834E-2</v>
      </c>
      <c r="BE7" s="422">
        <v>3.7161545013766603E-2</v>
      </c>
    </row>
    <row r="8" spans="1:57" ht="15" x14ac:dyDescent="0.2">
      <c r="A8" s="287"/>
      <c r="B8" s="287"/>
      <c r="C8" s="6" t="s">
        <v>116</v>
      </c>
      <c r="D8" s="422">
        <v>1.1245767725101089E-6</v>
      </c>
      <c r="E8" s="422">
        <v>4.3908459481093148E-7</v>
      </c>
      <c r="F8" s="422">
        <v>9.5654334360466661E-7</v>
      </c>
      <c r="G8" s="422">
        <v>6.0106692054337144E-7</v>
      </c>
      <c r="H8" s="422">
        <v>1.8595744133201937E-6</v>
      </c>
      <c r="I8" s="422">
        <v>1.2238997911134965E-6</v>
      </c>
      <c r="J8" s="422">
        <v>6.6051046672399318E-7</v>
      </c>
      <c r="K8" s="422">
        <v>1.6059720563640184E-7</v>
      </c>
      <c r="L8" s="422">
        <v>4.7623793716272886E-10</v>
      </c>
      <c r="M8" s="422">
        <v>9.6580916489607057E-7</v>
      </c>
      <c r="N8" s="422">
        <v>7.5568602746217035E-7</v>
      </c>
      <c r="O8" s="422">
        <v>2.8106899498931216E-7</v>
      </c>
      <c r="P8" s="422">
        <v>5.338386940833573E-7</v>
      </c>
      <c r="Q8" s="422">
        <v>1.0248114403984423E-6</v>
      </c>
      <c r="R8" s="422">
        <v>1.0661306510652467E-6</v>
      </c>
      <c r="S8" s="422">
        <v>6.0783643642408691E-7</v>
      </c>
      <c r="T8" s="422">
        <v>6.5781077466408642E-7</v>
      </c>
      <c r="U8" s="422">
        <v>4.9187209606682381E-7</v>
      </c>
      <c r="V8" s="422">
        <v>1.1936328290580089E-6</v>
      </c>
      <c r="W8" s="422">
        <v>3.5877968328003121E-7</v>
      </c>
      <c r="X8" s="422">
        <v>2.3642657287142139E-7</v>
      </c>
      <c r="Y8" s="422">
        <v>8.7107474526413588E-7</v>
      </c>
      <c r="Z8" s="422">
        <v>1.320824718223053E-6</v>
      </c>
      <c r="AA8" s="422">
        <v>1.4389886701171384E-6</v>
      </c>
      <c r="AB8" s="422">
        <v>4.4389849127930798E-7</v>
      </c>
      <c r="AC8" s="422">
        <v>4.8815796966744083E-7</v>
      </c>
      <c r="AD8" s="422">
        <v>2.9681459284705609E-7</v>
      </c>
      <c r="AE8" s="289">
        <f>'User Add-in Location'!E13</f>
        <v>0</v>
      </c>
      <c r="AF8" s="289">
        <f>'User Add-in Location'!F13</f>
        <v>0</v>
      </c>
      <c r="AG8" s="422">
        <v>7.8681174581697404E-7</v>
      </c>
      <c r="AH8" s="422">
        <v>2.8921569468438832E-7</v>
      </c>
      <c r="AI8" s="422">
        <v>6.2368081634465636E-7</v>
      </c>
      <c r="AJ8" s="422">
        <v>5.2764791654052762E-7</v>
      </c>
      <c r="AK8" s="422">
        <v>2.4858468717158503E-7</v>
      </c>
      <c r="AL8" s="422">
        <v>7.205077774564836E-7</v>
      </c>
      <c r="AM8" s="422">
        <v>1.1742439933612347E-6</v>
      </c>
      <c r="AN8" s="422">
        <v>2.1986944900010398E-7</v>
      </c>
      <c r="AO8" s="422">
        <v>1.2126919895068288E-6</v>
      </c>
      <c r="AP8" s="422">
        <v>1.3499608269439515E-6</v>
      </c>
      <c r="AQ8" s="422">
        <v>1.245413611573794E-6</v>
      </c>
      <c r="AR8" s="422">
        <v>1.3866436745242893E-6</v>
      </c>
      <c r="AS8" s="422">
        <v>1.424880067564686E-7</v>
      </c>
      <c r="AT8" s="422">
        <v>1.0136273402747228E-6</v>
      </c>
      <c r="AU8" s="422">
        <v>3.3690069088377106E-7</v>
      </c>
      <c r="AV8" s="422">
        <v>8.387632050348398E-7</v>
      </c>
      <c r="AW8" s="422">
        <v>2.4244779903836693E-6</v>
      </c>
      <c r="AX8" s="422">
        <v>3.4100792609034342E-6</v>
      </c>
      <c r="AY8" s="422">
        <v>1.8117249178098802E-6</v>
      </c>
      <c r="AZ8" s="422">
        <v>2.1507208657988585E-7</v>
      </c>
      <c r="BA8" s="422">
        <v>9.5525298117678996E-7</v>
      </c>
      <c r="BB8" s="422">
        <v>1.4135164149488903E-6</v>
      </c>
      <c r="BC8" s="422">
        <v>2.1434324297738794E-7</v>
      </c>
      <c r="BD8" s="422">
        <v>1.3015800948452283E-6</v>
      </c>
      <c r="BE8" s="422">
        <v>1.0115736886280189E-7</v>
      </c>
    </row>
    <row r="9" spans="1:57" ht="15.75" x14ac:dyDescent="0.25">
      <c r="A9" s="286" t="s">
        <v>408</v>
      </c>
      <c r="B9" s="286"/>
      <c r="C9" s="6" t="s">
        <v>117</v>
      </c>
      <c r="D9" s="422">
        <v>1.3079282465618454E-5</v>
      </c>
      <c r="E9" s="422">
        <v>2.9005145223010577E-8</v>
      </c>
      <c r="F9" s="422">
        <v>5.1036833988482231E-6</v>
      </c>
      <c r="G9" s="422">
        <v>1.3919981657112904E-5</v>
      </c>
      <c r="H9" s="422">
        <v>1.2102475191582279E-5</v>
      </c>
      <c r="I9" s="422">
        <v>8.7065280410150246E-6</v>
      </c>
      <c r="J9" s="422">
        <v>1.570700561935739E-6</v>
      </c>
      <c r="K9" s="422">
        <v>9.7589029345937529E-7</v>
      </c>
      <c r="L9" s="422">
        <v>1.6062957557616704E-8</v>
      </c>
      <c r="M9" s="422">
        <v>3.301582381498859E-6</v>
      </c>
      <c r="N9" s="422">
        <v>1.0356491925259218E-5</v>
      </c>
      <c r="O9" s="422">
        <v>2.5203049125667166E-6</v>
      </c>
      <c r="P9" s="422">
        <v>1.8867113762817547E-5</v>
      </c>
      <c r="Q9" s="422">
        <v>1.4840238928798885E-5</v>
      </c>
      <c r="R9" s="422">
        <v>1.8199481943464676E-5</v>
      </c>
      <c r="S9" s="422">
        <v>2.2031646787867913E-5</v>
      </c>
      <c r="T9" s="422">
        <v>1.8776869279895314E-5</v>
      </c>
      <c r="U9" s="422">
        <v>7.5849427841489272E-6</v>
      </c>
      <c r="V9" s="422">
        <v>8.1613088054957588E-6</v>
      </c>
      <c r="W9" s="422">
        <v>1.7001264500647307E-6</v>
      </c>
      <c r="X9" s="422">
        <v>8.1992097480947967E-7</v>
      </c>
      <c r="Y9" s="422">
        <v>1.4237997768629299E-6</v>
      </c>
      <c r="Z9" s="422">
        <v>9.1531742831241571E-6</v>
      </c>
      <c r="AA9" s="422">
        <v>1.6638208653805767E-5</v>
      </c>
      <c r="AB9" s="422">
        <v>1.1775629233731597E-5</v>
      </c>
      <c r="AC9" s="422">
        <v>5.4270902014062552E-6</v>
      </c>
      <c r="AD9" s="422">
        <v>3.251735407602234E-6</v>
      </c>
      <c r="AE9" s="289">
        <f>'User Add-in Location'!E14</f>
        <v>0</v>
      </c>
      <c r="AF9" s="289">
        <f>'User Add-in Location'!F14</f>
        <v>0</v>
      </c>
      <c r="AG9" s="422">
        <v>2.3838292852256752E-5</v>
      </c>
      <c r="AH9" s="422">
        <v>3.121221969163107E-7</v>
      </c>
      <c r="AI9" s="422">
        <v>1.0117866907657682E-6</v>
      </c>
      <c r="AJ9" s="422">
        <v>1.5461091719664462E-6</v>
      </c>
      <c r="AK9" s="422">
        <v>3.6169756782592687E-6</v>
      </c>
      <c r="AL9" s="422">
        <v>5.5919493791430489E-6</v>
      </c>
      <c r="AM9" s="422">
        <v>9.5478781726621745E-6</v>
      </c>
      <c r="AN9" s="422">
        <v>2.8355100125996123E-5</v>
      </c>
      <c r="AO9" s="422">
        <v>1.2528763630068732E-5</v>
      </c>
      <c r="AP9" s="422">
        <v>6.6227269096065648E-6</v>
      </c>
      <c r="AQ9" s="422">
        <v>1.6341508129297256E-5</v>
      </c>
      <c r="AR9" s="422">
        <v>8.6590709213007362E-6</v>
      </c>
      <c r="AS9" s="422">
        <v>3.4108394800579149E-7</v>
      </c>
      <c r="AT9" s="422">
        <v>4.9365222790733023E-6</v>
      </c>
      <c r="AU9" s="422">
        <v>2.3631746014167553E-5</v>
      </c>
      <c r="AV9" s="422">
        <v>4.9394011242504769E-6</v>
      </c>
      <c r="AW9" s="422">
        <v>1.1308644280200628E-5</v>
      </c>
      <c r="AX9" s="422">
        <v>4.3739529265498442E-5</v>
      </c>
      <c r="AY9" s="422">
        <v>2.3724954327781337E-6</v>
      </c>
      <c r="AZ9" s="422">
        <v>6.2962372285864794E-7</v>
      </c>
      <c r="BA9" s="422">
        <v>3.7592506607050125E-6</v>
      </c>
      <c r="BB9" s="422">
        <v>8.426869106752937E-6</v>
      </c>
      <c r="BC9" s="422">
        <v>4.1333555518881655E-7</v>
      </c>
      <c r="BD9" s="422">
        <v>2.0461873692125201E-5</v>
      </c>
      <c r="BE9" s="422">
        <v>2.3315833561549723E-6</v>
      </c>
    </row>
    <row r="10" spans="1:57" ht="15.75" x14ac:dyDescent="0.25">
      <c r="A10" s="286"/>
      <c r="B10" s="286"/>
      <c r="C10" s="6" t="s">
        <v>118</v>
      </c>
      <c r="D10" s="422">
        <v>2.918616821556281E-7</v>
      </c>
      <c r="E10" s="422">
        <v>5.4999581007234955E-9</v>
      </c>
      <c r="F10" s="422">
        <v>2.1866212830137327E-5</v>
      </c>
      <c r="G10" s="422">
        <v>6.0004746491652945E-7</v>
      </c>
      <c r="H10" s="422">
        <v>3.2527970911159849E-5</v>
      </c>
      <c r="I10" s="422">
        <v>9.854241955507456E-6</v>
      </c>
      <c r="J10" s="422">
        <v>2.4173129341511173E-6</v>
      </c>
      <c r="K10" s="422">
        <v>4.7358160861630883E-8</v>
      </c>
      <c r="L10" s="422">
        <v>2.7929821387688128E-9</v>
      </c>
      <c r="M10" s="422">
        <v>1.2380236243187212E-5</v>
      </c>
      <c r="N10" s="422">
        <v>1.4816713039653665E-6</v>
      </c>
      <c r="O10" s="422">
        <v>1.8950898337229758E-7</v>
      </c>
      <c r="P10" s="422">
        <v>2.4020384171103594E-5</v>
      </c>
      <c r="Q10" s="422">
        <v>1.9246911008255605E-6</v>
      </c>
      <c r="R10" s="422">
        <v>5.2358438391454332E-7</v>
      </c>
      <c r="S10" s="422">
        <v>4.1952615044281719E-7</v>
      </c>
      <c r="T10" s="422">
        <v>1.6241670574874993E-6</v>
      </c>
      <c r="U10" s="422">
        <v>3.0693426688727953E-7</v>
      </c>
      <c r="V10" s="422">
        <v>6.2507539269393364E-8</v>
      </c>
      <c r="W10" s="422">
        <v>2.9494630100772013E-6</v>
      </c>
      <c r="X10" s="422">
        <v>9.7387565636338444E-7</v>
      </c>
      <c r="Y10" s="422">
        <v>2.2661553365234062E-5</v>
      </c>
      <c r="Z10" s="422">
        <v>1.5365958972238658E-6</v>
      </c>
      <c r="AA10" s="422">
        <v>8.8349009489413301E-6</v>
      </c>
      <c r="AB10" s="422">
        <v>2.7139050084394224E-7</v>
      </c>
      <c r="AC10" s="422">
        <v>4.1456111690385111E-6</v>
      </c>
      <c r="AD10" s="422">
        <v>1.167844335979938E-7</v>
      </c>
      <c r="AE10" s="289">
        <f>'User Add-in Location'!E15</f>
        <v>0</v>
      </c>
      <c r="AF10" s="289">
        <f>'User Add-in Location'!F15</f>
        <v>0</v>
      </c>
      <c r="AG10" s="422">
        <v>3.7276659993842147E-7</v>
      </c>
      <c r="AH10" s="422">
        <v>1.6931909100018739E-5</v>
      </c>
      <c r="AI10" s="422">
        <v>5.5497502341991522E-6</v>
      </c>
      <c r="AJ10" s="422">
        <v>3.3117172940362956E-6</v>
      </c>
      <c r="AK10" s="422">
        <v>2.2616434570045353E-5</v>
      </c>
      <c r="AL10" s="422">
        <v>8.1929721900931612E-6</v>
      </c>
      <c r="AM10" s="422">
        <v>1.0166582105534907E-5</v>
      </c>
      <c r="AN10" s="422">
        <v>2.4423683635006721E-7</v>
      </c>
      <c r="AO10" s="422">
        <v>2.1815303755642776E-6</v>
      </c>
      <c r="AP10" s="422">
        <v>2.8372043509108007E-7</v>
      </c>
      <c r="AQ10" s="422">
        <v>2.9876250353187179E-5</v>
      </c>
      <c r="AR10" s="422">
        <v>3.1454178923192786E-6</v>
      </c>
      <c r="AS10" s="422">
        <v>1.2538026119603249E-6</v>
      </c>
      <c r="AT10" s="422">
        <v>4.7211318748959323E-7</v>
      </c>
      <c r="AU10" s="422">
        <v>7.0207246172394876E-7</v>
      </c>
      <c r="AV10" s="422">
        <v>3.4594934201047774E-7</v>
      </c>
      <c r="AW10" s="422">
        <v>2.2066473446276732E-5</v>
      </c>
      <c r="AX10" s="422">
        <v>2.9126573963567045E-5</v>
      </c>
      <c r="AY10" s="422">
        <v>6.8554211960950217E-6</v>
      </c>
      <c r="AZ10" s="422">
        <v>1.5639659988224276E-5</v>
      </c>
      <c r="BA10" s="422">
        <v>4.791699097821144E-6</v>
      </c>
      <c r="BB10" s="422">
        <v>4.6796029266254304E-6</v>
      </c>
      <c r="BC10" s="422">
        <v>8.1597166277325846E-8</v>
      </c>
      <c r="BD10" s="422">
        <v>1.3442614436633894E-6</v>
      </c>
      <c r="BE10" s="422">
        <v>3.1135596668867438E-9</v>
      </c>
    </row>
    <row r="11" spans="1:57" ht="15.75" x14ac:dyDescent="0.25">
      <c r="A11" s="286" t="s">
        <v>409</v>
      </c>
      <c r="B11" s="286"/>
      <c r="C11" s="6" t="s">
        <v>119</v>
      </c>
      <c r="D11" s="422">
        <v>4.9108267687843446E-2</v>
      </c>
      <c r="E11" s="422">
        <v>4.8353863978332766E-2</v>
      </c>
      <c r="F11" s="422">
        <v>4.2169651625191373E-2</v>
      </c>
      <c r="G11" s="422">
        <v>4.7941396563282015E-2</v>
      </c>
      <c r="H11" s="422">
        <v>2.8760796666206245E-2</v>
      </c>
      <c r="I11" s="422">
        <v>4.0081138596210313E-2</v>
      </c>
      <c r="J11" s="422">
        <v>3.4391421386476377E-2</v>
      </c>
      <c r="K11" s="422">
        <v>3.4159052289741552E-2</v>
      </c>
      <c r="L11" s="422">
        <v>2.6165706359966647E-2</v>
      </c>
      <c r="M11" s="422">
        <v>4.0325706402305386E-2</v>
      </c>
      <c r="N11" s="422">
        <v>4.1155566212902631E-2</v>
      </c>
      <c r="O11" s="422">
        <v>3.535262520771363E-2</v>
      </c>
      <c r="P11" s="422">
        <v>4.4941833501004072E-2</v>
      </c>
      <c r="Q11" s="422">
        <v>4.0447984607668387E-2</v>
      </c>
      <c r="R11" s="422">
        <v>4.4015262113313969E-2</v>
      </c>
      <c r="S11" s="422">
        <v>4.6360949160304692E-2</v>
      </c>
      <c r="T11" s="422">
        <v>3.6018116717605006E-2</v>
      </c>
      <c r="U11" s="422">
        <v>4.3888816678292662E-2</v>
      </c>
      <c r="V11" s="422">
        <v>4.1922662533520352E-2</v>
      </c>
      <c r="W11" s="422">
        <v>4.1428660339457225E-2</v>
      </c>
      <c r="X11" s="422">
        <v>3.7386290912187516E-2</v>
      </c>
      <c r="Y11" s="422">
        <v>3.3181067208681289E-2</v>
      </c>
      <c r="Z11" s="422">
        <v>4.0594824415167825E-2</v>
      </c>
      <c r="AA11" s="422">
        <v>4.6204914510652173E-2</v>
      </c>
      <c r="AB11" s="422">
        <v>5.0423392493861852E-2</v>
      </c>
      <c r="AC11" s="422">
        <v>4.4886490083744478E-2</v>
      </c>
      <c r="AD11" s="422">
        <v>5.2372500378547598E-2</v>
      </c>
      <c r="AE11" s="289">
        <f>'User Add-in Location'!E16</f>
        <v>0</v>
      </c>
      <c r="AF11" s="289">
        <f>'User Add-in Location'!F16</f>
        <v>0</v>
      </c>
      <c r="AG11" s="422">
        <v>4.3829991865927134E-2</v>
      </c>
      <c r="AH11" s="422">
        <v>6.0215409611678865E-2</v>
      </c>
      <c r="AI11" s="422">
        <v>3.3889214645636004E-2</v>
      </c>
      <c r="AJ11" s="422">
        <v>3.7346463173510133E-2</v>
      </c>
      <c r="AK11" s="422">
        <v>4.1156531291510527E-2</v>
      </c>
      <c r="AL11" s="422">
        <v>3.8442847176532895E-2</v>
      </c>
      <c r="AM11" s="422">
        <v>3.7083271999482165E-2</v>
      </c>
      <c r="AN11" s="422">
        <v>5.2187523189730148E-2</v>
      </c>
      <c r="AO11" s="422">
        <v>4.1757865613286829E-2</v>
      </c>
      <c r="AP11" s="422">
        <v>5.0355851749343115E-2</v>
      </c>
      <c r="AQ11" s="422">
        <v>4.470574809680479E-2</v>
      </c>
      <c r="AR11" s="422">
        <v>3.8952778574465767E-2</v>
      </c>
      <c r="AS11" s="422">
        <v>3.1284764325861469E-2</v>
      </c>
      <c r="AT11" s="422">
        <v>3.8623229212291631E-2</v>
      </c>
      <c r="AU11" s="422">
        <v>4.531526910770476E-2</v>
      </c>
      <c r="AV11" s="422">
        <v>4.0659080173091375E-2</v>
      </c>
      <c r="AW11" s="422">
        <v>4.5019766054964432E-2</v>
      </c>
      <c r="AX11" s="422">
        <v>4.0600375073497799E-2</v>
      </c>
      <c r="AY11" s="422">
        <v>3.8519293906471561E-2</v>
      </c>
      <c r="AZ11" s="422">
        <v>4.6742747731975939E-2</v>
      </c>
      <c r="BA11" s="422">
        <v>4.1978151362546706E-2</v>
      </c>
      <c r="BB11" s="422">
        <v>3.8793078753122177E-2</v>
      </c>
      <c r="BC11" s="422">
        <v>4.4943974397233501E-2</v>
      </c>
      <c r="BD11" s="422">
        <v>4.1224864261054761E-2</v>
      </c>
      <c r="BE11" s="422">
        <v>5.4995100851340302E-2</v>
      </c>
    </row>
    <row r="12" spans="1:57" ht="15" x14ac:dyDescent="0.2">
      <c r="A12" s="284"/>
      <c r="B12" s="284"/>
      <c r="C12" s="6" t="s">
        <v>46</v>
      </c>
      <c r="D12" s="422">
        <v>4.0789217891998374E-2</v>
      </c>
      <c r="E12" s="422">
        <v>2.9516921857557124E-2</v>
      </c>
      <c r="F12" s="422">
        <v>4.7548337179930081E-2</v>
      </c>
      <c r="G12" s="422">
        <v>4.7462217100922924E-2</v>
      </c>
      <c r="H12" s="422">
        <v>4.4468954563178724E-2</v>
      </c>
      <c r="I12" s="422">
        <v>4.7565374489379163E-2</v>
      </c>
      <c r="J12" s="422">
        <v>4.9473476019660914E-2</v>
      </c>
      <c r="K12" s="422">
        <v>3.7008054240315683E-2</v>
      </c>
      <c r="L12" s="422">
        <v>2.2732444236118081E-2</v>
      </c>
      <c r="M12" s="422">
        <v>4.8186230270342925E-2</v>
      </c>
      <c r="N12" s="422">
        <v>4.7454307156817636E-2</v>
      </c>
      <c r="O12" s="422">
        <v>3.9174556879363671E-2</v>
      </c>
      <c r="P12" s="422">
        <v>4.5875268943279916E-2</v>
      </c>
      <c r="Q12" s="422">
        <v>4.6768705259648546E-2</v>
      </c>
      <c r="R12" s="422">
        <v>3.9653905006067199E-2</v>
      </c>
      <c r="S12" s="422">
        <v>4.2036309563794567E-2</v>
      </c>
      <c r="T12" s="422">
        <v>4.1173003030443488E-2</v>
      </c>
      <c r="U12" s="422">
        <v>4.5101490096088222E-2</v>
      </c>
      <c r="V12" s="422">
        <v>3.4326190355494626E-2</v>
      </c>
      <c r="W12" s="422">
        <v>4.2701684951149302E-2</v>
      </c>
      <c r="X12" s="422">
        <v>4.3975476964365219E-2</v>
      </c>
      <c r="Y12" s="422">
        <v>4.9231050768007233E-2</v>
      </c>
      <c r="Z12" s="422">
        <v>4.4249769359217685E-2</v>
      </c>
      <c r="AA12" s="422">
        <v>4.7842464101760261E-2</v>
      </c>
      <c r="AB12" s="422">
        <v>3.5137483709684385E-2</v>
      </c>
      <c r="AC12" s="422">
        <v>4.6260683157529861E-2</v>
      </c>
      <c r="AD12" s="422">
        <v>4.3122954208677226E-2</v>
      </c>
      <c r="AE12" s="289">
        <f>'User Add-in Location'!E17</f>
        <v>0</v>
      </c>
      <c r="AF12" s="289">
        <f>'User Add-in Location'!F17</f>
        <v>0</v>
      </c>
      <c r="AG12" s="422">
        <v>4.3866166787696163E-2</v>
      </c>
      <c r="AH12" s="422">
        <v>0.10377916008490036</v>
      </c>
      <c r="AI12" s="422">
        <v>5.3381749074307941E-2</v>
      </c>
      <c r="AJ12" s="422">
        <v>4.9218551552721125E-2</v>
      </c>
      <c r="AK12" s="422">
        <v>3.771081743245544E-2</v>
      </c>
      <c r="AL12" s="422">
        <v>4.7389916248578016E-2</v>
      </c>
      <c r="AM12" s="422">
        <v>4.6953337799466671E-2</v>
      </c>
      <c r="AN12" s="422">
        <v>5.9249341081823476E-2</v>
      </c>
      <c r="AO12" s="422">
        <v>4.438023986702043E-2</v>
      </c>
      <c r="AP12" s="422">
        <v>4.5538082399258668E-2</v>
      </c>
      <c r="AQ12" s="422">
        <v>4.5588809825077278E-2</v>
      </c>
      <c r="AR12" s="422">
        <v>4.6748399075063431E-2</v>
      </c>
      <c r="AS12" s="422">
        <v>4.8826213243770115E-2</v>
      </c>
      <c r="AT12" s="422">
        <v>4.330633857068561E-2</v>
      </c>
      <c r="AU12" s="422">
        <v>5.3106261016088091E-2</v>
      </c>
      <c r="AV12" s="422">
        <v>4.711474199144032E-2</v>
      </c>
      <c r="AW12" s="422">
        <v>4.3874526255301249E-2</v>
      </c>
      <c r="AX12" s="422">
        <v>3.9213669917617967E-2</v>
      </c>
      <c r="AY12" s="422">
        <v>4.1780395929407271E-2</v>
      </c>
      <c r="AZ12" s="422">
        <v>3.6299055983328526E-2</v>
      </c>
      <c r="BA12" s="422">
        <v>4.2188817394474956E-2</v>
      </c>
      <c r="BB12" s="422">
        <v>4.5008037729078951E-2</v>
      </c>
      <c r="BC12" s="422">
        <v>4.1512777598108862E-2</v>
      </c>
      <c r="BD12" s="422">
        <v>4.5314188132871039E-2</v>
      </c>
      <c r="BE12" s="422">
        <v>4.2292843003780459E-2</v>
      </c>
    </row>
    <row r="13" spans="1:57" ht="15" x14ac:dyDescent="0.2">
      <c r="A13" s="284"/>
      <c r="B13" s="284"/>
      <c r="C13" s="6" t="s">
        <v>47</v>
      </c>
      <c r="D13" s="422">
        <v>0.11512955138468219</v>
      </c>
      <c r="E13" s="422">
        <v>0.10908478457025693</v>
      </c>
      <c r="F13" s="422">
        <v>0.10924158443069416</v>
      </c>
      <c r="G13" s="422">
        <v>0.1092664301798124</v>
      </c>
      <c r="H13" s="422">
        <v>9.5816556801184019E-2</v>
      </c>
      <c r="I13" s="422">
        <v>9.4140979325512714E-2</v>
      </c>
      <c r="J13" s="422">
        <v>0.1006055347360858</v>
      </c>
      <c r="K13" s="422">
        <v>0.10766098560936324</v>
      </c>
      <c r="L13" s="422">
        <v>7.8246001869098844E-2</v>
      </c>
      <c r="M13" s="422">
        <v>0.10478424076462656</v>
      </c>
      <c r="N13" s="422">
        <v>0.10328837533902777</v>
      </c>
      <c r="O13" s="422">
        <v>0.11295579737616786</v>
      </c>
      <c r="P13" s="422">
        <v>0.11859991343998641</v>
      </c>
      <c r="Q13" s="422">
        <v>9.5383257444296501E-2</v>
      </c>
      <c r="R13" s="422">
        <v>0.11187054092014342</v>
      </c>
      <c r="S13" s="422">
        <v>0.11269379069074566</v>
      </c>
      <c r="T13" s="422">
        <v>0.11352842108020005</v>
      </c>
      <c r="U13" s="422">
        <v>0.11045116964885283</v>
      </c>
      <c r="V13" s="422">
        <v>0.11219743062016159</v>
      </c>
      <c r="W13" s="422">
        <v>0.1129882695872482</v>
      </c>
      <c r="X13" s="422">
        <v>9.8017242087178796E-2</v>
      </c>
      <c r="Y13" s="422">
        <v>8.8098324725936344E-2</v>
      </c>
      <c r="Z13" s="422">
        <v>0.10709016485759248</v>
      </c>
      <c r="AA13" s="422">
        <v>9.8006820893995164E-2</v>
      </c>
      <c r="AB13" s="422">
        <v>0.11916908786194964</v>
      </c>
      <c r="AC13" s="422">
        <v>0.1038885433439352</v>
      </c>
      <c r="AD13" s="422">
        <v>0.11263787101829217</v>
      </c>
      <c r="AE13" s="289">
        <f>'User Add-in Location'!E18</f>
        <v>0</v>
      </c>
      <c r="AF13" s="289">
        <f>'User Add-in Location'!F18</f>
        <v>0</v>
      </c>
      <c r="AG13" s="422">
        <v>0.11299123061726606</v>
      </c>
      <c r="AH13" s="422">
        <v>0.79457387116115108</v>
      </c>
      <c r="AI13" s="422">
        <v>0.11032404572613616</v>
      </c>
      <c r="AJ13" s="422">
        <v>0.10044930151097912</v>
      </c>
      <c r="AK13" s="422">
        <v>0.11783098243661103</v>
      </c>
      <c r="AL13" s="422">
        <v>9.3943117613783517E-2</v>
      </c>
      <c r="AM13" s="422">
        <v>0.10032191161999769</v>
      </c>
      <c r="AN13" s="422">
        <v>0.11537701873687185</v>
      </c>
      <c r="AO13" s="422">
        <v>0.10352447758349723</v>
      </c>
      <c r="AP13" s="422">
        <v>0.10837768764557004</v>
      </c>
      <c r="AQ13" s="422">
        <v>0.10112243124052911</v>
      </c>
      <c r="AR13" s="422">
        <v>9.7630342155112959E-2</v>
      </c>
      <c r="AS13" s="422">
        <v>9.5377283647999161E-2</v>
      </c>
      <c r="AT13" s="422">
        <v>0.11660122052461119</v>
      </c>
      <c r="AU13" s="422">
        <v>0.11909226754882636</v>
      </c>
      <c r="AV13" s="422">
        <v>0.11108085634468691</v>
      </c>
      <c r="AW13" s="422">
        <v>0.1006792258006836</v>
      </c>
      <c r="AX13" s="422">
        <v>8.6679086373705472E-2</v>
      </c>
      <c r="AY13" s="422">
        <v>0.10184767934515704</v>
      </c>
      <c r="AZ13" s="422">
        <v>0.10874841270823056</v>
      </c>
      <c r="BA13" s="422">
        <v>0.10396004082964774</v>
      </c>
      <c r="BB13" s="422">
        <v>0.10084032611033246</v>
      </c>
      <c r="BC13" s="422">
        <v>0.12363643478575886</v>
      </c>
      <c r="BD13" s="422">
        <v>0.10400480965367537</v>
      </c>
      <c r="BE13" s="422">
        <v>0.11536867431151465</v>
      </c>
    </row>
    <row r="14" spans="1:57" ht="15" x14ac:dyDescent="0.2">
      <c r="A14" s="284"/>
      <c r="B14" s="284"/>
      <c r="C14" s="6" t="s">
        <v>120</v>
      </c>
      <c r="D14" s="422">
        <v>0.124946598504607</v>
      </c>
      <c r="E14" s="422">
        <v>0.11419767090925331</v>
      </c>
      <c r="F14" s="422">
        <v>0.14053773598339764</v>
      </c>
      <c r="G14" s="422">
        <v>0.11360691089506729</v>
      </c>
      <c r="H14" s="422">
        <v>0.11956311632902673</v>
      </c>
      <c r="I14" s="422">
        <v>0.13060907538795952</v>
      </c>
      <c r="J14" s="422">
        <v>0.14141326468333529</v>
      </c>
      <c r="K14" s="422">
        <v>0.16126981627718651</v>
      </c>
      <c r="L14" s="422">
        <v>0.16259977923519314</v>
      </c>
      <c r="M14" s="422">
        <v>0.13339664006329841</v>
      </c>
      <c r="N14" s="422">
        <v>0.12874459525544826</v>
      </c>
      <c r="O14" s="422">
        <v>0.12502498852237837</v>
      </c>
      <c r="P14" s="422">
        <v>0.13406431213014702</v>
      </c>
      <c r="Q14" s="422">
        <v>0.13705164274189624</v>
      </c>
      <c r="R14" s="422">
        <v>0.11781616299321936</v>
      </c>
      <c r="S14" s="422">
        <v>0.14268801065281014</v>
      </c>
      <c r="T14" s="422">
        <v>0.12223405760382047</v>
      </c>
      <c r="U14" s="422">
        <v>0.11855389289589481</v>
      </c>
      <c r="V14" s="422">
        <v>0.11186768336229745</v>
      </c>
      <c r="W14" s="422">
        <v>0.13356888620839644</v>
      </c>
      <c r="X14" s="422">
        <v>0.13213331030837444</v>
      </c>
      <c r="Y14" s="422">
        <v>0.14145931475792473</v>
      </c>
      <c r="Z14" s="422">
        <v>0.11974371185535072</v>
      </c>
      <c r="AA14" s="422">
        <v>0.13089168869621326</v>
      </c>
      <c r="AB14" s="422">
        <v>0.11512138844073534</v>
      </c>
      <c r="AC14" s="422">
        <v>0.12587528016453714</v>
      </c>
      <c r="AD14" s="422">
        <v>0.1272501892817906</v>
      </c>
      <c r="AE14" s="289">
        <f>'User Add-in Location'!E19</f>
        <v>0</v>
      </c>
      <c r="AF14" s="289">
        <f>'User Add-in Location'!F19</f>
        <v>0</v>
      </c>
      <c r="AG14" s="422">
        <v>0.13455092078923123</v>
      </c>
      <c r="AH14" s="422">
        <v>1.1089529173528151E-2</v>
      </c>
      <c r="AI14" s="422">
        <v>0.14292056515746801</v>
      </c>
      <c r="AJ14" s="422">
        <v>0.13536984858064274</v>
      </c>
      <c r="AK14" s="422">
        <v>0.12377137094789951</v>
      </c>
      <c r="AL14" s="422">
        <v>0.14327286017042334</v>
      </c>
      <c r="AM14" s="422">
        <v>0.12996082696419362</v>
      </c>
      <c r="AN14" s="422">
        <v>0.13111201140605541</v>
      </c>
      <c r="AO14" s="422">
        <v>0.13116210891481925</v>
      </c>
      <c r="AP14" s="422">
        <v>0.12053605903943002</v>
      </c>
      <c r="AQ14" s="422">
        <v>0.1252608656762691</v>
      </c>
      <c r="AR14" s="422">
        <v>0.12919270218538531</v>
      </c>
      <c r="AS14" s="422">
        <v>0.15129609396292787</v>
      </c>
      <c r="AT14" s="422">
        <v>0.12015254823379228</v>
      </c>
      <c r="AU14" s="422">
        <v>0.14191291727078362</v>
      </c>
      <c r="AV14" s="422">
        <v>0.12067245786853696</v>
      </c>
      <c r="AW14" s="422">
        <v>0.12556282911043001</v>
      </c>
      <c r="AX14" s="422">
        <v>0.12007488329742046</v>
      </c>
      <c r="AY14" s="422">
        <v>0.13521668420353769</v>
      </c>
      <c r="AZ14" s="422">
        <v>0.13140029060733663</v>
      </c>
      <c r="BA14" s="422">
        <v>0.12854801456166079</v>
      </c>
      <c r="BB14" s="422">
        <v>0.11928894827637879</v>
      </c>
      <c r="BC14" s="422">
        <v>0.11139221171352147</v>
      </c>
      <c r="BD14" s="422">
        <v>0.12993960818743042</v>
      </c>
      <c r="BE14" s="422">
        <v>0.13304344274062907</v>
      </c>
    </row>
    <row r="15" spans="1:57" ht="15" x14ac:dyDescent="0.2">
      <c r="A15" s="284"/>
      <c r="B15" s="284"/>
      <c r="C15" s="6" t="s">
        <v>121</v>
      </c>
      <c r="D15" s="422">
        <v>0.60182383261204198</v>
      </c>
      <c r="E15" s="422">
        <v>0.63347370616626142</v>
      </c>
      <c r="F15" s="422">
        <v>0.61333256098630873</v>
      </c>
      <c r="G15" s="422">
        <v>0.61905001358946254</v>
      </c>
      <c r="H15" s="422">
        <v>0.60631993203158663</v>
      </c>
      <c r="I15" s="422">
        <v>0.61638705815002037</v>
      </c>
      <c r="J15" s="422">
        <v>0.62836124291772277</v>
      </c>
      <c r="K15" s="422">
        <v>0.60907440438224447</v>
      </c>
      <c r="L15" s="422">
        <v>0.68968654989070377</v>
      </c>
      <c r="M15" s="422">
        <v>0.61747790794195312</v>
      </c>
      <c r="N15" s="422">
        <v>0.61802868285055512</v>
      </c>
      <c r="O15" s="422">
        <v>0.62040236638158419</v>
      </c>
      <c r="P15" s="422">
        <v>0.59458089055368835</v>
      </c>
      <c r="Q15" s="422">
        <v>0.60673665712175229</v>
      </c>
      <c r="R15" s="422">
        <v>0.61234094703122033</v>
      </c>
      <c r="S15" s="422">
        <v>0.59659635011675205</v>
      </c>
      <c r="T15" s="422">
        <v>0.61777944149334074</v>
      </c>
      <c r="U15" s="422">
        <v>0.62026736162749019</v>
      </c>
      <c r="V15" s="422">
        <v>0.6259100025551747</v>
      </c>
      <c r="W15" s="422">
        <v>0.61476019949643401</v>
      </c>
      <c r="X15" s="422">
        <v>0.64655924418049848</v>
      </c>
      <c r="Y15" s="422">
        <v>0.63350442811126295</v>
      </c>
      <c r="Z15" s="422">
        <v>0.60840094945773759</v>
      </c>
      <c r="AA15" s="422">
        <v>0.59616628801331961</v>
      </c>
      <c r="AB15" s="422">
        <v>0.61774721295530943</v>
      </c>
      <c r="AC15" s="422">
        <v>0.62570689682980596</v>
      </c>
      <c r="AD15" s="422">
        <v>0.59995103109347514</v>
      </c>
      <c r="AE15" s="289">
        <f>'User Add-in Location'!E20</f>
        <v>0</v>
      </c>
      <c r="AF15" s="289">
        <f>'User Add-in Location'!F20</f>
        <v>0</v>
      </c>
      <c r="AG15" s="422">
        <v>0.61238176825025159</v>
      </c>
      <c r="AH15" s="422">
        <v>1.1410613259496447E-2</v>
      </c>
      <c r="AI15" s="422">
        <v>0.62244342521879348</v>
      </c>
      <c r="AJ15" s="422">
        <v>0.61953780962825167</v>
      </c>
      <c r="AK15" s="422">
        <v>0.6191561378701701</v>
      </c>
      <c r="AL15" s="422">
        <v>0.62569727826191279</v>
      </c>
      <c r="AM15" s="422">
        <v>0.61320436702233994</v>
      </c>
      <c r="AN15" s="422">
        <v>0.58998937585568534</v>
      </c>
      <c r="AO15" s="422">
        <v>0.59959110048534814</v>
      </c>
      <c r="AP15" s="422">
        <v>0.60990280982928569</v>
      </c>
      <c r="AQ15" s="422">
        <v>0.6216366077861023</v>
      </c>
      <c r="AR15" s="422">
        <v>0.61376866388496787</v>
      </c>
      <c r="AS15" s="422">
        <v>0.64130694357328388</v>
      </c>
      <c r="AT15" s="422">
        <v>0.62628241935782314</v>
      </c>
      <c r="AU15" s="422">
        <v>0.59779934138507973</v>
      </c>
      <c r="AV15" s="422">
        <v>0.62041573433234676</v>
      </c>
      <c r="AW15" s="422">
        <v>0.57718045076211577</v>
      </c>
      <c r="AX15" s="422">
        <v>0.54908812432295107</v>
      </c>
      <c r="AY15" s="422">
        <v>0.6049829643032284</v>
      </c>
      <c r="AZ15" s="422">
        <v>0.62756152001318533</v>
      </c>
      <c r="BA15" s="422">
        <v>0.63045156026050386</v>
      </c>
      <c r="BB15" s="422">
        <v>0.60902158437810194</v>
      </c>
      <c r="BC15" s="422">
        <v>0.63715780191157823</v>
      </c>
      <c r="BD15" s="422">
        <v>0.60655432102896423</v>
      </c>
      <c r="BE15" s="422">
        <v>0.59607374860948092</v>
      </c>
    </row>
    <row r="16" spans="1:57" ht="15" x14ac:dyDescent="0.2">
      <c r="A16" s="284"/>
      <c r="B16" s="284"/>
      <c r="C16" s="6" t="s">
        <v>122</v>
      </c>
      <c r="D16" s="422">
        <v>9.3434149200734059E-3</v>
      </c>
      <c r="E16" s="422">
        <v>7.5123235120481344E-3</v>
      </c>
      <c r="F16" s="422">
        <v>8.757965134280999E-3</v>
      </c>
      <c r="G16" s="422">
        <v>6.9072238956950577E-3</v>
      </c>
      <c r="H16" s="422">
        <v>9.9138955994110527E-3</v>
      </c>
      <c r="I16" s="422">
        <v>1.0088275197969119E-2</v>
      </c>
      <c r="J16" s="422">
        <v>1.0324513313785044E-2</v>
      </c>
      <c r="K16" s="422">
        <v>1.0920179669275358E-2</v>
      </c>
      <c r="L16" s="422">
        <v>9.5693065145463583E-3</v>
      </c>
      <c r="M16" s="422">
        <v>9.2597188991578316E-3</v>
      </c>
      <c r="N16" s="422">
        <v>8.8176094267502381E-3</v>
      </c>
      <c r="O16" s="422">
        <v>6.0651887001167337E-3</v>
      </c>
      <c r="P16" s="422">
        <v>8.7008136026926215E-3</v>
      </c>
      <c r="Q16" s="422">
        <v>1.021379651170138E-2</v>
      </c>
      <c r="R16" s="422">
        <v>9.1041801368415103E-3</v>
      </c>
      <c r="S16" s="422">
        <v>7.0775337029738792E-3</v>
      </c>
      <c r="T16" s="422">
        <v>8.6082871125357924E-3</v>
      </c>
      <c r="U16" s="422">
        <v>7.6192011186287361E-3</v>
      </c>
      <c r="V16" s="422">
        <v>8.4844772752473863E-3</v>
      </c>
      <c r="W16" s="422">
        <v>8.6062860967074661E-3</v>
      </c>
      <c r="X16" s="422">
        <v>1.0239035173979958E-2</v>
      </c>
      <c r="Y16" s="422">
        <v>1.1665730056039565E-2</v>
      </c>
      <c r="Z16" s="422">
        <v>1.0086504005475193E-2</v>
      </c>
      <c r="AA16" s="422">
        <v>9.1514650924054662E-3</v>
      </c>
      <c r="AB16" s="422">
        <v>6.8206210054055465E-3</v>
      </c>
      <c r="AC16" s="422">
        <v>8.9881976969593321E-3</v>
      </c>
      <c r="AD16" s="422">
        <v>7.8684770560328125E-3</v>
      </c>
      <c r="AE16" s="289">
        <f>'User Add-in Location'!E21</f>
        <v>0</v>
      </c>
      <c r="AF16" s="289">
        <f>'User Add-in Location'!F21</f>
        <v>0</v>
      </c>
      <c r="AG16" s="422">
        <v>7.8324928957640254E-3</v>
      </c>
      <c r="AH16" s="422">
        <v>0</v>
      </c>
      <c r="AI16" s="422">
        <v>1.0069163113491044E-2</v>
      </c>
      <c r="AJ16" s="422">
        <v>1.0832012811741719E-2</v>
      </c>
      <c r="AK16" s="422">
        <v>9.2813099576327523E-3</v>
      </c>
      <c r="AL16" s="422">
        <v>1.0498061077592666E-2</v>
      </c>
      <c r="AM16" s="422">
        <v>9.353089704606193E-3</v>
      </c>
      <c r="AN16" s="422">
        <v>6.4443522772798037E-3</v>
      </c>
      <c r="AO16" s="422">
        <v>9.0142779931513262E-3</v>
      </c>
      <c r="AP16" s="422">
        <v>7.6869933729786172E-3</v>
      </c>
      <c r="AQ16" s="422">
        <v>9.2885792016024673E-3</v>
      </c>
      <c r="AR16" s="422">
        <v>1.033121994312022E-2</v>
      </c>
      <c r="AS16" s="422">
        <v>9.4938524748284635E-3</v>
      </c>
      <c r="AT16" s="422">
        <v>8.9938427569026917E-3</v>
      </c>
      <c r="AU16" s="422">
        <v>6.5692216851106003E-3</v>
      </c>
      <c r="AV16" s="422">
        <v>9.0288091940249095E-3</v>
      </c>
      <c r="AW16" s="422">
        <v>8.8012447996990185E-3</v>
      </c>
      <c r="AX16" s="422">
        <v>8.9053995859226191E-3</v>
      </c>
      <c r="AY16" s="422">
        <v>9.2330478415333078E-3</v>
      </c>
      <c r="AZ16" s="422">
        <v>9.8661409451946281E-3</v>
      </c>
      <c r="BA16" s="422">
        <v>9.8053436650236084E-3</v>
      </c>
      <c r="BB16" s="422">
        <v>1.0079003242846772E-2</v>
      </c>
      <c r="BC16" s="422">
        <v>9.3463959667232262E-3</v>
      </c>
      <c r="BD16" s="422">
        <v>8.4636570087165287E-3</v>
      </c>
      <c r="BE16" s="422">
        <v>6.5448973259970827E-3</v>
      </c>
    </row>
    <row r="17" spans="1:57" ht="15" x14ac:dyDescent="0.2">
      <c r="A17" s="284"/>
      <c r="B17" s="284"/>
      <c r="C17" s="6" t="s">
        <v>48</v>
      </c>
      <c r="D17" s="422">
        <v>9.0689141877274698E-3</v>
      </c>
      <c r="E17" s="422">
        <v>8.9085148707252534E-3</v>
      </c>
      <c r="F17" s="422">
        <v>7.7995519765308293E-3</v>
      </c>
      <c r="G17" s="422">
        <v>8.8491151039064801E-3</v>
      </c>
      <c r="H17" s="422">
        <v>6.8764206454442088E-3</v>
      </c>
      <c r="I17" s="422">
        <v>7.2905997711297677E-3</v>
      </c>
      <c r="J17" s="422">
        <v>7.749161625198734E-3</v>
      </c>
      <c r="K17" s="422">
        <v>7.7034306084110288E-3</v>
      </c>
      <c r="L17" s="422">
        <v>9.1642856333505381E-3</v>
      </c>
      <c r="M17" s="422">
        <v>7.2079780934586465E-3</v>
      </c>
      <c r="N17" s="422">
        <v>6.9107423652695248E-3</v>
      </c>
      <c r="O17" s="422">
        <v>8.3593532277888832E-3</v>
      </c>
      <c r="P17" s="422">
        <v>8.857424525839307E-3</v>
      </c>
      <c r="Q17" s="422">
        <v>6.8911998116601807E-3</v>
      </c>
      <c r="R17" s="422">
        <v>8.1258133367890593E-3</v>
      </c>
      <c r="S17" s="422">
        <v>8.650407802758003E-3</v>
      </c>
      <c r="T17" s="422">
        <v>8.387324012818026E-3</v>
      </c>
      <c r="U17" s="422">
        <v>9.1765766792621609E-3</v>
      </c>
      <c r="V17" s="422">
        <v>9.1787437356844019E-3</v>
      </c>
      <c r="W17" s="422">
        <v>8.491052167857633E-3</v>
      </c>
      <c r="X17" s="422">
        <v>7.8842920046254799E-3</v>
      </c>
      <c r="Y17" s="422">
        <v>7.1882882217186366E-3</v>
      </c>
      <c r="Z17" s="422">
        <v>7.7004809326821459E-3</v>
      </c>
      <c r="AA17" s="422">
        <v>7.5063519093176633E-3</v>
      </c>
      <c r="AB17" s="422">
        <v>9.529199642730803E-3</v>
      </c>
      <c r="AC17" s="422">
        <v>7.9786383096300661E-3</v>
      </c>
      <c r="AD17" s="422">
        <v>9.2211221330364985E-3</v>
      </c>
      <c r="AE17" s="289">
        <f>'User Add-in Location'!E22</f>
        <v>0</v>
      </c>
      <c r="AF17" s="289">
        <f>'User Add-in Location'!F22</f>
        <v>0</v>
      </c>
      <c r="AG17" s="422">
        <v>8.1198765674457638E-3</v>
      </c>
      <c r="AH17" s="422">
        <v>0</v>
      </c>
      <c r="AI17" s="422">
        <v>8.1110910449251374E-3</v>
      </c>
      <c r="AJ17" s="422">
        <v>7.2108553212025146E-3</v>
      </c>
      <c r="AK17" s="422">
        <v>9.5642927531873635E-3</v>
      </c>
      <c r="AL17" s="422">
        <v>7.5648791081870462E-3</v>
      </c>
      <c r="AM17" s="422">
        <v>7.5033451226650238E-3</v>
      </c>
      <c r="AN17" s="422">
        <v>9.0512119948092905E-3</v>
      </c>
      <c r="AO17" s="422">
        <v>7.4308101356402555E-3</v>
      </c>
      <c r="AP17" s="422">
        <v>8.6467215943447136E-3</v>
      </c>
      <c r="AQ17" s="422">
        <v>8.1672294803482089E-3</v>
      </c>
      <c r="AR17" s="422">
        <v>7.6693245355002569E-3</v>
      </c>
      <c r="AS17" s="422">
        <v>7.6306717079775615E-3</v>
      </c>
      <c r="AT17" s="422">
        <v>8.8086014739961731E-3</v>
      </c>
      <c r="AU17" s="422">
        <v>9.027858199150595E-3</v>
      </c>
      <c r="AV17" s="422">
        <v>8.1132955488085017E-3</v>
      </c>
      <c r="AW17" s="422">
        <v>7.4339881667459667E-3</v>
      </c>
      <c r="AX17" s="422">
        <v>6.0660356602406486E-3</v>
      </c>
      <c r="AY17" s="422">
        <v>7.3480942539642276E-3</v>
      </c>
      <c r="AZ17" s="422">
        <v>8.4526212759951057E-3</v>
      </c>
      <c r="BA17" s="422">
        <v>8.3734577329749506E-3</v>
      </c>
      <c r="BB17" s="422">
        <v>7.7739755665293042E-3</v>
      </c>
      <c r="BC17" s="422">
        <v>1.0253698454914816E-2</v>
      </c>
      <c r="BD17" s="422">
        <v>8.1719077836368628E-3</v>
      </c>
      <c r="BE17" s="422">
        <v>1.0501113260462873E-2</v>
      </c>
    </row>
    <row r="18" spans="1:57" ht="15.75" x14ac:dyDescent="0.25">
      <c r="A18" s="286" t="s">
        <v>410</v>
      </c>
      <c r="B18" s="286"/>
      <c r="C18" s="6" t="s">
        <v>0</v>
      </c>
      <c r="D18" s="14">
        <f>SUM(D4:D17)</f>
        <v>1</v>
      </c>
      <c r="E18" s="14">
        <f t="shared" ref="E18:BE18" si="0">SUM(E4:E17)</f>
        <v>1</v>
      </c>
      <c r="F18" s="14">
        <f t="shared" si="0"/>
        <v>1</v>
      </c>
      <c r="G18" s="14">
        <f t="shared" si="0"/>
        <v>1.0000000000000002</v>
      </c>
      <c r="H18" s="14">
        <f t="shared" si="0"/>
        <v>1</v>
      </c>
      <c r="I18" s="14">
        <f t="shared" si="0"/>
        <v>1</v>
      </c>
      <c r="J18" s="14">
        <f t="shared" si="0"/>
        <v>1</v>
      </c>
      <c r="K18" s="14">
        <f t="shared" si="0"/>
        <v>1</v>
      </c>
      <c r="L18" s="14">
        <f t="shared" si="0"/>
        <v>1</v>
      </c>
      <c r="M18" s="14">
        <f t="shared" si="0"/>
        <v>0.99999999999999978</v>
      </c>
      <c r="N18" s="14">
        <f t="shared" si="0"/>
        <v>1</v>
      </c>
      <c r="O18" s="14">
        <f t="shared" si="0"/>
        <v>1</v>
      </c>
      <c r="P18" s="14">
        <f t="shared" si="0"/>
        <v>0.99999999999999989</v>
      </c>
      <c r="Q18" s="14">
        <f t="shared" si="0"/>
        <v>1</v>
      </c>
      <c r="R18" s="14">
        <f t="shared" si="0"/>
        <v>1</v>
      </c>
      <c r="S18" s="14">
        <f t="shared" si="0"/>
        <v>1</v>
      </c>
      <c r="T18" s="14">
        <f t="shared" si="0"/>
        <v>1</v>
      </c>
      <c r="U18" s="14">
        <f t="shared" si="0"/>
        <v>1</v>
      </c>
      <c r="V18" s="14">
        <f t="shared" si="0"/>
        <v>1</v>
      </c>
      <c r="W18" s="14">
        <f t="shared" si="0"/>
        <v>1</v>
      </c>
      <c r="X18" s="14">
        <f t="shared" si="0"/>
        <v>1</v>
      </c>
      <c r="Y18" s="14">
        <f t="shared" si="0"/>
        <v>1</v>
      </c>
      <c r="Z18" s="14">
        <f t="shared" si="0"/>
        <v>1</v>
      </c>
      <c r="AA18" s="14">
        <f t="shared" si="0"/>
        <v>1</v>
      </c>
      <c r="AB18" s="14">
        <f t="shared" si="0"/>
        <v>0.99999999999999989</v>
      </c>
      <c r="AC18" s="14">
        <f t="shared" si="0"/>
        <v>1</v>
      </c>
      <c r="AD18" s="14">
        <f t="shared" si="0"/>
        <v>1.0000000000000002</v>
      </c>
      <c r="AE18" s="14">
        <f t="shared" si="0"/>
        <v>0</v>
      </c>
      <c r="AF18" s="14">
        <f t="shared" si="0"/>
        <v>0</v>
      </c>
      <c r="AG18" s="14">
        <f t="shared" si="0"/>
        <v>1.0000000000000002</v>
      </c>
      <c r="AH18" s="14">
        <f t="shared" si="0"/>
        <v>0.99999999999999989</v>
      </c>
      <c r="AI18" s="14">
        <f t="shared" si="0"/>
        <v>1</v>
      </c>
      <c r="AJ18" s="14">
        <f t="shared" si="0"/>
        <v>0.99999999999999989</v>
      </c>
      <c r="AK18" s="14">
        <f t="shared" si="0"/>
        <v>1</v>
      </c>
      <c r="AL18" s="14">
        <f t="shared" si="0"/>
        <v>1</v>
      </c>
      <c r="AM18" s="14">
        <f t="shared" si="0"/>
        <v>1</v>
      </c>
      <c r="AN18" s="14">
        <f t="shared" si="0"/>
        <v>0.99999999999999989</v>
      </c>
      <c r="AO18" s="14">
        <f t="shared" si="0"/>
        <v>1</v>
      </c>
      <c r="AP18" s="14">
        <f t="shared" si="0"/>
        <v>1</v>
      </c>
      <c r="AQ18" s="14">
        <f t="shared" si="0"/>
        <v>1</v>
      </c>
      <c r="AR18" s="14">
        <f t="shared" si="0"/>
        <v>1</v>
      </c>
      <c r="AS18" s="14">
        <f t="shared" si="0"/>
        <v>1</v>
      </c>
      <c r="AT18" s="14">
        <f t="shared" si="0"/>
        <v>1</v>
      </c>
      <c r="AU18" s="14">
        <f t="shared" si="0"/>
        <v>1</v>
      </c>
      <c r="AV18" s="14">
        <f t="shared" si="0"/>
        <v>0.99999999999999989</v>
      </c>
      <c r="AW18" s="14">
        <f t="shared" si="0"/>
        <v>0.99999999999999989</v>
      </c>
      <c r="AX18" s="274">
        <f t="shared" si="0"/>
        <v>1</v>
      </c>
      <c r="AY18" s="14">
        <f t="shared" si="0"/>
        <v>1.0000000000000002</v>
      </c>
      <c r="AZ18" s="14">
        <f t="shared" si="0"/>
        <v>1</v>
      </c>
      <c r="BA18" s="14">
        <f t="shared" si="0"/>
        <v>1</v>
      </c>
      <c r="BB18" s="14">
        <f t="shared" si="0"/>
        <v>0.99999999999999989</v>
      </c>
      <c r="BC18" s="14">
        <f t="shared" si="0"/>
        <v>1</v>
      </c>
      <c r="BD18" s="14">
        <f t="shared" si="0"/>
        <v>1.0000000000000002</v>
      </c>
      <c r="BE18" s="14">
        <f t="shared" si="0"/>
        <v>0.99999999999999989</v>
      </c>
    </row>
    <row r="19" spans="1:57" x14ac:dyDescent="0.2">
      <c r="A19" s="284"/>
      <c r="B19" s="284"/>
    </row>
    <row r="20" spans="1:57" ht="12.75" customHeight="1" x14ac:dyDescent="0.2">
      <c r="A20" s="284"/>
      <c r="B20" s="284"/>
      <c r="C20" s="355" t="str">
        <f>CONCATENATE("Source:  All values are averages for $25,000-$150,000 income classes and are derived from IMPLAN™ using ", D2," state data.")</f>
        <v>Source:  All values are averages for $25,000-$150,000 income classes and are derived from IMPLAN™ using 2014 state data.</v>
      </c>
      <c r="I20" s="65"/>
    </row>
    <row r="21" spans="1:57" ht="17.850000000000001" customHeight="1" x14ac:dyDescent="0.2">
      <c r="A21" s="284"/>
      <c r="B21" s="284"/>
      <c r="C21" s="192"/>
    </row>
    <row r="22" spans="1:57" x14ac:dyDescent="0.2">
      <c r="A22" s="284"/>
      <c r="B22" s="284"/>
      <c r="C22" s="167"/>
    </row>
    <row r="23" spans="1:57" x14ac:dyDescent="0.2">
      <c r="A23" s="284"/>
      <c r="B23" s="284"/>
    </row>
    <row r="24" spans="1:57" x14ac:dyDescent="0.2">
      <c r="A24" s="284"/>
      <c r="B24" s="284"/>
    </row>
    <row r="25" spans="1:57" x14ac:dyDescent="0.2">
      <c r="A25" s="284"/>
      <c r="B25" s="284"/>
    </row>
    <row r="26" spans="1:57" x14ac:dyDescent="0.2">
      <c r="A26" s="284"/>
      <c r="B26" s="284"/>
    </row>
    <row r="27" spans="1:57" x14ac:dyDescent="0.2">
      <c r="A27" s="284"/>
      <c r="B27" s="284"/>
    </row>
    <row r="28" spans="1:57" x14ac:dyDescent="0.2">
      <c r="A28" s="284"/>
      <c r="B28" s="284"/>
    </row>
    <row r="29" spans="1:57" x14ac:dyDescent="0.2">
      <c r="A29" s="284"/>
      <c r="B29" s="284"/>
    </row>
    <row r="30" spans="1:57" x14ac:dyDescent="0.2">
      <c r="A30" s="284"/>
      <c r="B30" s="284"/>
    </row>
    <row r="31" spans="1:57" x14ac:dyDescent="0.2">
      <c r="A31" s="284"/>
      <c r="B31" s="284"/>
    </row>
    <row r="32" spans="1:57" x14ac:dyDescent="0.2">
      <c r="A32" s="284"/>
      <c r="B32" s="284"/>
    </row>
    <row r="33" spans="1:2" x14ac:dyDescent="0.2">
      <c r="A33" s="284"/>
      <c r="B33" s="284"/>
    </row>
    <row r="34" spans="1:2" x14ac:dyDescent="0.2">
      <c r="A34" s="284"/>
      <c r="B34" s="284"/>
    </row>
    <row r="35" spans="1:2" x14ac:dyDescent="0.2">
      <c r="A35" s="284"/>
      <c r="B35" s="284"/>
    </row>
    <row r="36" spans="1:2" x14ac:dyDescent="0.2">
      <c r="A36" s="284"/>
      <c r="B36" s="284"/>
    </row>
    <row r="37" spans="1:2" x14ac:dyDescent="0.2">
      <c r="A37" s="284"/>
      <c r="B37" s="284"/>
    </row>
    <row r="38" spans="1:2" x14ac:dyDescent="0.2">
      <c r="A38" s="284"/>
      <c r="B38" s="284"/>
    </row>
    <row r="39" spans="1:2" x14ac:dyDescent="0.2">
      <c r="A39" s="284"/>
      <c r="B39" s="284"/>
    </row>
    <row r="40" spans="1:2" x14ac:dyDescent="0.2">
      <c r="A40" s="284"/>
      <c r="B40" s="284"/>
    </row>
    <row r="41" spans="1:2" x14ac:dyDescent="0.2">
      <c r="A41" s="284"/>
      <c r="B41" s="284"/>
    </row>
    <row r="42" spans="1:2" x14ac:dyDescent="0.2">
      <c r="A42" s="284"/>
      <c r="B42" s="284"/>
    </row>
    <row r="43" spans="1:2" x14ac:dyDescent="0.2">
      <c r="A43" s="284"/>
      <c r="B43" s="284"/>
    </row>
    <row r="44" spans="1:2" x14ac:dyDescent="0.2">
      <c r="A44" s="284"/>
      <c r="B44" s="284"/>
    </row>
    <row r="45" spans="1:2" x14ac:dyDescent="0.2">
      <c r="A45" s="284"/>
      <c r="B45" s="284"/>
    </row>
    <row r="46" spans="1:2" x14ac:dyDescent="0.2">
      <c r="A46" s="284"/>
      <c r="B46" s="284"/>
    </row>
    <row r="47" spans="1:2" x14ac:dyDescent="0.2">
      <c r="A47" s="284"/>
      <c r="B47" s="284"/>
    </row>
    <row r="48" spans="1:2" x14ac:dyDescent="0.2">
      <c r="A48" s="284"/>
      <c r="B48" s="284"/>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543"/>
  <sheetViews>
    <sheetView workbookViewId="0">
      <selection activeCell="B3" sqref="B3"/>
    </sheetView>
  </sheetViews>
  <sheetFormatPr defaultRowHeight="12.75" x14ac:dyDescent="0.2"/>
  <cols>
    <col min="1" max="1" width="42.5703125" customWidth="1"/>
    <col min="2" max="2" width="19.140625" customWidth="1"/>
    <col min="3" max="3" width="12.7109375" customWidth="1"/>
    <col min="6" max="6" width="10.5703125" customWidth="1"/>
  </cols>
  <sheetData>
    <row r="1" spans="1:19" ht="15.75" x14ac:dyDescent="0.25">
      <c r="A1" s="146" t="s">
        <v>161</v>
      </c>
      <c r="B1" s="110"/>
      <c r="C1" s="110"/>
      <c r="D1" s="110"/>
      <c r="E1" s="146"/>
      <c r="F1" s="110"/>
      <c r="G1" s="110"/>
      <c r="H1" s="110"/>
      <c r="I1" s="110"/>
      <c r="J1" s="110"/>
      <c r="K1" s="110"/>
      <c r="L1" s="110"/>
      <c r="M1" s="110"/>
      <c r="N1" s="110"/>
      <c r="O1" s="110"/>
      <c r="P1" s="110"/>
      <c r="Q1" s="110"/>
      <c r="R1" s="110"/>
      <c r="S1" s="110"/>
    </row>
    <row r="2" spans="1:19" ht="15.75" x14ac:dyDescent="0.25">
      <c r="A2" s="146"/>
      <c r="B2" s="110"/>
      <c r="C2" s="110"/>
      <c r="D2" s="110"/>
      <c r="E2" s="146"/>
      <c r="F2" s="110"/>
      <c r="G2" s="110"/>
      <c r="H2" s="110"/>
      <c r="I2" s="110"/>
      <c r="J2" s="110"/>
      <c r="K2" s="110"/>
      <c r="L2" s="110"/>
      <c r="M2" s="110"/>
      <c r="N2" s="110"/>
      <c r="O2" s="110"/>
      <c r="P2" s="110"/>
      <c r="Q2" s="110"/>
      <c r="R2" s="110"/>
      <c r="S2" s="110"/>
    </row>
    <row r="3" spans="1:19" ht="15.75" x14ac:dyDescent="0.25">
      <c r="A3" s="133" t="s">
        <v>237</v>
      </c>
      <c r="B3" s="283"/>
      <c r="C3" s="111" t="s">
        <v>246</v>
      </c>
      <c r="D3" s="282"/>
      <c r="E3" s="171" t="str">
        <f>IF(B3="","",IF(D3="","Enter Year of Data",IF(D3&gt;2006,IF(D3&lt;2016,"","ERROR - Deflators Data Not Current"),"ERROR - Deflators Data Not Current")))</f>
        <v/>
      </c>
      <c r="F3" s="146"/>
      <c r="G3" s="146"/>
      <c r="H3" s="110"/>
      <c r="I3" s="110"/>
      <c r="J3" s="110"/>
      <c r="K3" s="110"/>
      <c r="L3" s="110"/>
      <c r="M3" s="110"/>
      <c r="N3" s="110"/>
      <c r="O3" s="110"/>
      <c r="P3" s="110"/>
      <c r="Q3" s="110"/>
      <c r="R3" s="110"/>
      <c r="S3" s="110"/>
    </row>
    <row r="4" spans="1:19" ht="15.75" x14ac:dyDescent="0.25">
      <c r="A4" s="133" t="s">
        <v>238</v>
      </c>
      <c r="B4" s="57"/>
      <c r="C4" s="111" t="s">
        <v>246</v>
      </c>
      <c r="D4" s="170"/>
      <c r="E4" s="171" t="str">
        <f>IF(B4="","",IF(D4="","Enter Year of Data",IF(D4&gt;2006,IF(D4&lt;2016,"","ERROR - Deflators Data Not Current"),"ERROR - Deflators Data Not Current")))</f>
        <v/>
      </c>
      <c r="F4" s="146"/>
      <c r="G4" s="146"/>
      <c r="H4" s="110"/>
      <c r="I4" s="110"/>
      <c r="J4" s="110"/>
      <c r="K4" s="110"/>
      <c r="L4" s="110"/>
      <c r="M4" s="110"/>
      <c r="N4" s="110"/>
      <c r="O4" s="110"/>
      <c r="P4" s="110"/>
      <c r="Q4" s="110"/>
      <c r="R4" s="110"/>
      <c r="S4" s="110"/>
    </row>
    <row r="5" spans="1:19" ht="15" customHeight="1" x14ac:dyDescent="0.2">
      <c r="A5" s="280" t="s">
        <v>401</v>
      </c>
      <c r="B5" s="281"/>
      <c r="C5" s="110"/>
      <c r="D5" s="110"/>
      <c r="E5" s="110"/>
      <c r="F5" s="110"/>
      <c r="G5" s="110"/>
      <c r="H5" s="110"/>
      <c r="I5" s="110"/>
      <c r="J5" s="110"/>
      <c r="K5" s="110"/>
      <c r="L5" s="110"/>
      <c r="M5" s="110"/>
      <c r="N5" s="110"/>
      <c r="O5" s="110"/>
      <c r="P5" s="110"/>
      <c r="Q5" s="110"/>
      <c r="R5" s="110"/>
      <c r="S5" s="110"/>
    </row>
    <row r="6" spans="1:19" ht="15" customHeight="1" x14ac:dyDescent="0.2">
      <c r="A6" s="280" t="s">
        <v>469</v>
      </c>
      <c r="B6" s="367"/>
      <c r="C6" s="110"/>
      <c r="D6" s="110"/>
      <c r="E6" s="110"/>
      <c r="F6" s="110"/>
      <c r="G6" s="110"/>
      <c r="H6" s="110"/>
      <c r="I6" s="110"/>
      <c r="J6" s="110"/>
      <c r="K6" s="110"/>
      <c r="L6" s="110"/>
      <c r="M6" s="110"/>
      <c r="N6" s="110"/>
      <c r="O6" s="110"/>
      <c r="P6" s="110"/>
      <c r="Q6" s="110"/>
      <c r="R6" s="110"/>
      <c r="S6" s="110"/>
    </row>
    <row r="7" spans="1:19" ht="24" customHeight="1" x14ac:dyDescent="0.2">
      <c r="A7" s="133" t="s">
        <v>198</v>
      </c>
      <c r="B7" s="110"/>
      <c r="C7" s="110"/>
      <c r="D7" s="178" t="s">
        <v>279</v>
      </c>
      <c r="E7" s="110"/>
      <c r="F7" s="110"/>
      <c r="G7" s="110"/>
      <c r="H7" s="110"/>
      <c r="I7" s="110"/>
      <c r="J7" s="110"/>
      <c r="K7" s="110"/>
      <c r="L7" s="110"/>
      <c r="M7" s="110"/>
      <c r="N7" s="110"/>
      <c r="O7" s="110"/>
      <c r="P7" s="110"/>
      <c r="Q7" s="110"/>
      <c r="R7" s="110"/>
      <c r="S7" s="110"/>
    </row>
    <row r="8" spans="1:19" x14ac:dyDescent="0.2">
      <c r="A8" s="147" t="s">
        <v>203</v>
      </c>
      <c r="B8" s="161" t="s">
        <v>233</v>
      </c>
      <c r="C8" s="161" t="s">
        <v>232</v>
      </c>
      <c r="D8" s="160"/>
      <c r="E8" s="160" t="str">
        <f>B8</f>
        <v>MyCounty</v>
      </c>
      <c r="F8" s="161" t="str">
        <f>C8</f>
        <v>MyRegion</v>
      </c>
      <c r="G8" s="110"/>
      <c r="H8" s="110"/>
      <c r="I8" s="110"/>
      <c r="J8" s="110"/>
      <c r="K8" s="110"/>
      <c r="L8" s="110"/>
      <c r="M8" s="110"/>
      <c r="N8" s="110"/>
      <c r="O8" s="110"/>
      <c r="P8" s="110"/>
      <c r="Q8" s="110"/>
      <c r="R8" s="110"/>
      <c r="S8" s="110"/>
    </row>
    <row r="9" spans="1:19" ht="15" x14ac:dyDescent="0.2">
      <c r="A9" s="148" t="s">
        <v>44</v>
      </c>
      <c r="B9" s="145">
        <v>0</v>
      </c>
      <c r="C9" s="145">
        <v>0</v>
      </c>
      <c r="D9" s="110"/>
      <c r="E9" s="145">
        <v>0</v>
      </c>
      <c r="F9" s="145">
        <v>0</v>
      </c>
      <c r="G9" s="110"/>
      <c r="H9" s="110"/>
      <c r="I9" s="110"/>
      <c r="J9" s="110"/>
      <c r="K9" s="110"/>
      <c r="L9" s="110"/>
      <c r="M9" s="110"/>
      <c r="N9" s="110"/>
      <c r="O9" s="110"/>
      <c r="P9" s="110"/>
      <c r="Q9" s="110"/>
      <c r="R9" s="110"/>
      <c r="S9" s="110"/>
    </row>
    <row r="10" spans="1:19" ht="15" x14ac:dyDescent="0.2">
      <c r="A10" s="148" t="s">
        <v>114</v>
      </c>
      <c r="B10" s="145">
        <v>0</v>
      </c>
      <c r="C10" s="145">
        <v>0</v>
      </c>
      <c r="D10" s="110"/>
      <c r="E10" s="145">
        <v>0</v>
      </c>
      <c r="F10" s="145">
        <v>0</v>
      </c>
      <c r="G10" s="110"/>
      <c r="H10" s="110"/>
      <c r="I10" s="110"/>
      <c r="J10" s="110"/>
      <c r="K10" s="110"/>
      <c r="L10" s="110"/>
      <c r="M10" s="110"/>
      <c r="N10" s="110"/>
      <c r="O10" s="110"/>
      <c r="P10" s="110"/>
      <c r="Q10" s="110"/>
      <c r="R10" s="110"/>
      <c r="S10" s="110"/>
    </row>
    <row r="11" spans="1:19" ht="15" x14ac:dyDescent="0.2">
      <c r="A11" s="148" t="s">
        <v>45</v>
      </c>
      <c r="B11" s="145">
        <v>0</v>
      </c>
      <c r="C11" s="145">
        <v>0</v>
      </c>
      <c r="D11" s="110"/>
      <c r="E11" s="145">
        <v>0</v>
      </c>
      <c r="F11" s="145">
        <v>0</v>
      </c>
      <c r="G11" s="110"/>
      <c r="H11" s="110"/>
      <c r="I11" s="110"/>
      <c r="J11" s="110"/>
      <c r="K11" s="110"/>
      <c r="L11" s="110"/>
      <c r="M11" s="110"/>
      <c r="N11" s="110"/>
      <c r="O11" s="110"/>
      <c r="P11" s="110"/>
      <c r="Q11" s="110"/>
      <c r="R11" s="110"/>
      <c r="S11" s="110"/>
    </row>
    <row r="12" spans="1:19" ht="15" x14ac:dyDescent="0.2">
      <c r="A12" s="148" t="s">
        <v>115</v>
      </c>
      <c r="B12" s="145">
        <v>0</v>
      </c>
      <c r="C12" s="145">
        <v>0</v>
      </c>
      <c r="D12" s="110"/>
      <c r="E12" s="145">
        <v>0</v>
      </c>
      <c r="F12" s="145">
        <v>0</v>
      </c>
      <c r="G12" s="110"/>
      <c r="H12" s="110"/>
      <c r="I12" s="110"/>
      <c r="J12" s="110"/>
      <c r="K12" s="110"/>
      <c r="L12" s="110"/>
      <c r="M12" s="110"/>
      <c r="N12" s="110"/>
      <c r="O12" s="110"/>
      <c r="P12" s="110"/>
      <c r="Q12" s="110"/>
      <c r="R12" s="110"/>
      <c r="S12" s="110"/>
    </row>
    <row r="13" spans="1:19" ht="15" x14ac:dyDescent="0.2">
      <c r="A13" s="148" t="s">
        <v>116</v>
      </c>
      <c r="B13" s="145">
        <v>0</v>
      </c>
      <c r="C13" s="145">
        <v>0</v>
      </c>
      <c r="D13" s="110"/>
      <c r="E13" s="145">
        <v>0</v>
      </c>
      <c r="F13" s="145">
        <v>0</v>
      </c>
      <c r="G13" s="110"/>
      <c r="H13" s="110"/>
      <c r="I13" s="110"/>
      <c r="J13" s="110"/>
      <c r="K13" s="110"/>
      <c r="L13" s="110"/>
      <c r="M13" s="110"/>
      <c r="N13" s="110"/>
      <c r="O13" s="110"/>
      <c r="P13" s="110"/>
      <c r="Q13" s="110"/>
      <c r="R13" s="110"/>
      <c r="S13" s="110"/>
    </row>
    <row r="14" spans="1:19" ht="15" x14ac:dyDescent="0.2">
      <c r="A14" s="148" t="s">
        <v>117</v>
      </c>
      <c r="B14" s="145">
        <v>0</v>
      </c>
      <c r="C14" s="145">
        <v>0</v>
      </c>
      <c r="D14" s="110"/>
      <c r="E14" s="145">
        <v>0</v>
      </c>
      <c r="F14" s="145">
        <v>0</v>
      </c>
      <c r="G14" s="110"/>
      <c r="H14" s="110"/>
      <c r="I14" s="110"/>
      <c r="J14" s="110"/>
      <c r="K14" s="110"/>
      <c r="L14" s="110"/>
      <c r="M14" s="110"/>
      <c r="N14" s="110"/>
      <c r="O14" s="110"/>
      <c r="P14" s="110"/>
      <c r="Q14" s="110"/>
      <c r="R14" s="110"/>
      <c r="S14" s="110"/>
    </row>
    <row r="15" spans="1:19" ht="15" x14ac:dyDescent="0.2">
      <c r="A15" s="148" t="s">
        <v>118</v>
      </c>
      <c r="B15" s="145">
        <v>0</v>
      </c>
      <c r="C15" s="145">
        <v>0</v>
      </c>
      <c r="D15" s="110"/>
      <c r="E15" s="145">
        <v>0</v>
      </c>
      <c r="F15" s="145">
        <v>0</v>
      </c>
      <c r="G15" s="110"/>
      <c r="H15" s="110"/>
      <c r="I15" s="110"/>
      <c r="J15" s="110"/>
      <c r="K15" s="110"/>
      <c r="L15" s="110"/>
      <c r="M15" s="110"/>
      <c r="N15" s="110"/>
      <c r="O15" s="110"/>
      <c r="P15" s="110"/>
      <c r="Q15" s="110"/>
      <c r="R15" s="110"/>
      <c r="S15" s="110"/>
    </row>
    <row r="16" spans="1:19" ht="15" x14ac:dyDescent="0.2">
      <c r="A16" s="148" t="s">
        <v>119</v>
      </c>
      <c r="B16" s="145">
        <v>0</v>
      </c>
      <c r="C16" s="145">
        <v>0</v>
      </c>
      <c r="D16" s="110"/>
      <c r="E16" s="145">
        <v>0</v>
      </c>
      <c r="F16" s="145">
        <v>0</v>
      </c>
      <c r="G16" s="110"/>
      <c r="H16" s="110"/>
      <c r="I16" s="110"/>
      <c r="J16" s="110"/>
      <c r="K16" s="110"/>
      <c r="L16" s="110"/>
      <c r="M16" s="110"/>
      <c r="N16" s="110"/>
      <c r="O16" s="110"/>
      <c r="P16" s="110"/>
      <c r="Q16" s="110"/>
      <c r="R16" s="110"/>
      <c r="S16" s="110"/>
    </row>
    <row r="17" spans="1:19" ht="15" x14ac:dyDescent="0.2">
      <c r="A17" s="148" t="s">
        <v>46</v>
      </c>
      <c r="B17" s="145">
        <v>0</v>
      </c>
      <c r="C17" s="145">
        <v>0</v>
      </c>
      <c r="D17" s="110"/>
      <c r="E17" s="145">
        <v>0</v>
      </c>
      <c r="F17" s="145">
        <v>0</v>
      </c>
      <c r="G17" s="110"/>
      <c r="H17" s="110"/>
      <c r="I17" s="110"/>
      <c r="J17" s="110"/>
      <c r="K17" s="110"/>
      <c r="L17" s="110"/>
      <c r="M17" s="110"/>
      <c r="N17" s="110"/>
      <c r="O17" s="110"/>
      <c r="P17" s="110"/>
      <c r="Q17" s="110"/>
      <c r="R17" s="110"/>
      <c r="S17" s="110"/>
    </row>
    <row r="18" spans="1:19" ht="15" x14ac:dyDescent="0.2">
      <c r="A18" s="148" t="s">
        <v>47</v>
      </c>
      <c r="B18" s="145">
        <v>0</v>
      </c>
      <c r="C18" s="145">
        <v>0</v>
      </c>
      <c r="D18" s="110"/>
      <c r="E18" s="145">
        <v>0</v>
      </c>
      <c r="F18" s="145">
        <v>0</v>
      </c>
      <c r="G18" s="110"/>
      <c r="H18" s="110"/>
      <c r="I18" s="110"/>
      <c r="J18" s="110"/>
      <c r="K18" s="110"/>
      <c r="L18" s="110"/>
      <c r="M18" s="110"/>
      <c r="N18" s="110"/>
      <c r="O18" s="110"/>
      <c r="P18" s="110"/>
      <c r="Q18" s="110"/>
      <c r="R18" s="110"/>
      <c r="S18" s="110"/>
    </row>
    <row r="19" spans="1:19" ht="15" x14ac:dyDescent="0.2">
      <c r="A19" s="148" t="s">
        <v>120</v>
      </c>
      <c r="B19" s="145">
        <v>0</v>
      </c>
      <c r="C19" s="145">
        <v>0</v>
      </c>
      <c r="D19" s="110"/>
      <c r="E19" s="145">
        <v>0</v>
      </c>
      <c r="F19" s="145">
        <v>0</v>
      </c>
      <c r="G19" s="110"/>
      <c r="H19" s="110"/>
      <c r="I19" s="110"/>
      <c r="J19" s="110"/>
      <c r="K19" s="110"/>
      <c r="L19" s="110"/>
      <c r="M19" s="110"/>
      <c r="N19" s="110"/>
      <c r="O19" s="110"/>
      <c r="P19" s="110"/>
      <c r="Q19" s="110"/>
      <c r="R19" s="110"/>
      <c r="S19" s="110"/>
    </row>
    <row r="20" spans="1:19" ht="15" x14ac:dyDescent="0.2">
      <c r="A20" s="148" t="s">
        <v>121</v>
      </c>
      <c r="B20" s="145">
        <v>0</v>
      </c>
      <c r="C20" s="145">
        <v>0</v>
      </c>
      <c r="D20" s="110"/>
      <c r="E20" s="145">
        <v>0</v>
      </c>
      <c r="F20" s="145">
        <v>0</v>
      </c>
      <c r="G20" s="110"/>
      <c r="H20" s="110"/>
      <c r="I20" s="110"/>
      <c r="J20" s="110"/>
      <c r="K20" s="110"/>
      <c r="L20" s="110"/>
      <c r="M20" s="110"/>
      <c r="N20" s="110"/>
      <c r="O20" s="110"/>
      <c r="P20" s="110"/>
      <c r="Q20" s="110"/>
      <c r="R20" s="110"/>
      <c r="S20" s="110"/>
    </row>
    <row r="21" spans="1:19" ht="15" x14ac:dyDescent="0.2">
      <c r="A21" s="148" t="s">
        <v>122</v>
      </c>
      <c r="B21" s="145">
        <v>0</v>
      </c>
      <c r="C21" s="145">
        <v>0</v>
      </c>
      <c r="D21" s="110"/>
      <c r="E21" s="145">
        <v>0</v>
      </c>
      <c r="F21" s="145">
        <v>0</v>
      </c>
      <c r="G21" s="110"/>
      <c r="H21" s="110"/>
      <c r="I21" s="110"/>
      <c r="J21" s="110"/>
      <c r="K21" s="110"/>
      <c r="L21" s="110"/>
      <c r="M21" s="110"/>
      <c r="N21" s="110"/>
      <c r="O21" s="110"/>
      <c r="P21" s="110"/>
      <c r="Q21" s="110"/>
      <c r="R21" s="110"/>
      <c r="S21" s="110"/>
    </row>
    <row r="22" spans="1:19" ht="15" x14ac:dyDescent="0.2">
      <c r="A22" s="148" t="s">
        <v>48</v>
      </c>
      <c r="B22" s="145">
        <v>0</v>
      </c>
      <c r="C22" s="145">
        <v>0</v>
      </c>
      <c r="D22" s="110"/>
      <c r="E22" s="145">
        <v>0</v>
      </c>
      <c r="F22" s="145">
        <v>0</v>
      </c>
      <c r="G22" s="110"/>
      <c r="H22" s="110"/>
      <c r="I22" s="110"/>
      <c r="J22" s="110"/>
      <c r="K22" s="110"/>
      <c r="L22" s="110"/>
      <c r="M22" s="110"/>
      <c r="N22" s="110"/>
      <c r="O22" s="110"/>
      <c r="P22" s="110"/>
      <c r="Q22" s="110"/>
      <c r="R22" s="110"/>
      <c r="S22" s="110"/>
    </row>
    <row r="23" spans="1:19" ht="15" x14ac:dyDescent="0.2">
      <c r="A23" s="148"/>
      <c r="B23" s="156"/>
      <c r="C23" s="156"/>
      <c r="D23" s="154" t="s">
        <v>0</v>
      </c>
      <c r="E23" s="155">
        <f>SUM(E9:E22)</f>
        <v>0</v>
      </c>
      <c r="F23" s="155">
        <f>SUM(F9:F22)</f>
        <v>0</v>
      </c>
      <c r="G23" s="110"/>
      <c r="H23" s="110"/>
      <c r="I23" s="110"/>
      <c r="J23" s="110"/>
      <c r="K23" s="110"/>
      <c r="L23" s="110"/>
      <c r="M23" s="110"/>
      <c r="N23" s="110"/>
      <c r="O23" s="110"/>
      <c r="P23" s="110"/>
      <c r="Q23" s="110"/>
      <c r="R23" s="110"/>
      <c r="S23" s="110"/>
    </row>
    <row r="24" spans="1:19" x14ac:dyDescent="0.2">
      <c r="A24" s="133" t="s">
        <v>198</v>
      </c>
      <c r="B24" s="156"/>
      <c r="C24" s="156"/>
      <c r="D24" s="110"/>
      <c r="E24" s="110"/>
      <c r="F24" s="110"/>
      <c r="G24" s="110"/>
      <c r="H24" s="110"/>
      <c r="I24" s="110"/>
      <c r="J24" s="110"/>
      <c r="K24" s="110"/>
      <c r="L24" s="110"/>
      <c r="M24" s="110"/>
      <c r="N24" s="110"/>
      <c r="O24" s="110"/>
      <c r="P24" s="110"/>
      <c r="Q24" s="110"/>
      <c r="R24" s="110"/>
      <c r="S24" s="110"/>
    </row>
    <row r="25" spans="1:19" x14ac:dyDescent="0.2">
      <c r="A25" s="147" t="s">
        <v>202</v>
      </c>
      <c r="B25" s="154" t="str">
        <f>B8</f>
        <v>MyCounty</v>
      </c>
      <c r="C25" s="161" t="s">
        <v>232</v>
      </c>
      <c r="D25" s="110"/>
      <c r="E25" s="110"/>
      <c r="F25" s="110"/>
      <c r="G25" s="110"/>
      <c r="H25" s="110"/>
      <c r="I25" s="110"/>
      <c r="J25" s="110"/>
      <c r="K25" s="110"/>
      <c r="L25" s="110"/>
      <c r="M25" s="110"/>
      <c r="N25" s="110"/>
      <c r="O25" s="110"/>
      <c r="P25" s="110"/>
      <c r="Q25" s="110"/>
      <c r="R25" s="110"/>
      <c r="S25" s="110"/>
    </row>
    <row r="26" spans="1:19" ht="15" x14ac:dyDescent="0.2">
      <c r="A26" s="148" t="s">
        <v>44</v>
      </c>
      <c r="B26" s="145">
        <v>0</v>
      </c>
      <c r="C26" s="145">
        <v>0</v>
      </c>
      <c r="D26" s="110"/>
      <c r="E26" s="110"/>
      <c r="F26" s="110"/>
      <c r="G26" s="110"/>
      <c r="H26" s="110"/>
      <c r="I26" s="110"/>
      <c r="J26" s="110"/>
      <c r="K26" s="110"/>
      <c r="L26" s="110"/>
      <c r="M26" s="110"/>
      <c r="N26" s="110"/>
      <c r="O26" s="110"/>
      <c r="P26" s="110"/>
      <c r="Q26" s="110"/>
      <c r="R26" s="110"/>
      <c r="S26" s="110"/>
    </row>
    <row r="27" spans="1:19" ht="15" x14ac:dyDescent="0.2">
      <c r="A27" s="148" t="s">
        <v>114</v>
      </c>
      <c r="B27" s="145">
        <v>0</v>
      </c>
      <c r="C27" s="145">
        <v>0</v>
      </c>
      <c r="D27" s="110"/>
      <c r="E27" s="110"/>
      <c r="F27" s="110"/>
      <c r="G27" s="110"/>
      <c r="H27" s="110"/>
      <c r="I27" s="110"/>
      <c r="J27" s="110"/>
      <c r="K27" s="110"/>
      <c r="L27" s="110"/>
      <c r="M27" s="110"/>
      <c r="N27" s="110"/>
      <c r="O27" s="110"/>
      <c r="P27" s="110"/>
      <c r="Q27" s="110"/>
      <c r="R27" s="110"/>
      <c r="S27" s="110"/>
    </row>
    <row r="28" spans="1:19" ht="15" x14ac:dyDescent="0.2">
      <c r="A28" s="148" t="s">
        <v>45</v>
      </c>
      <c r="B28" s="145">
        <v>0</v>
      </c>
      <c r="C28" s="145">
        <v>0</v>
      </c>
      <c r="D28" s="110"/>
      <c r="E28" s="110"/>
      <c r="F28" s="110"/>
      <c r="G28" s="110"/>
      <c r="H28" s="110"/>
      <c r="I28" s="110"/>
      <c r="J28" s="110"/>
      <c r="K28" s="110"/>
      <c r="L28" s="110"/>
      <c r="M28" s="110"/>
      <c r="N28" s="110"/>
      <c r="O28" s="110"/>
      <c r="P28" s="110"/>
      <c r="Q28" s="110"/>
      <c r="R28" s="110"/>
      <c r="S28" s="110"/>
    </row>
    <row r="29" spans="1:19" ht="15" x14ac:dyDescent="0.2">
      <c r="A29" s="148" t="s">
        <v>115</v>
      </c>
      <c r="B29" s="145">
        <v>0</v>
      </c>
      <c r="C29" s="145">
        <v>0</v>
      </c>
      <c r="D29" s="110"/>
      <c r="E29" s="110"/>
      <c r="F29" s="110"/>
      <c r="G29" s="110"/>
      <c r="H29" s="110"/>
      <c r="I29" s="110"/>
      <c r="J29" s="110"/>
      <c r="K29" s="110"/>
      <c r="L29" s="110"/>
      <c r="M29" s="110"/>
      <c r="N29" s="110"/>
      <c r="O29" s="110"/>
      <c r="P29" s="110"/>
      <c r="Q29" s="110"/>
      <c r="R29" s="110"/>
      <c r="S29" s="110"/>
    </row>
    <row r="30" spans="1:19" ht="15" x14ac:dyDescent="0.2">
      <c r="A30" s="148" t="s">
        <v>116</v>
      </c>
      <c r="B30" s="145">
        <v>0</v>
      </c>
      <c r="C30" s="145">
        <v>0</v>
      </c>
      <c r="D30" s="110"/>
      <c r="E30" s="110"/>
      <c r="F30" s="110"/>
      <c r="G30" s="110"/>
      <c r="H30" s="110"/>
      <c r="I30" s="110"/>
      <c r="J30" s="110"/>
      <c r="K30" s="110"/>
      <c r="L30" s="110"/>
      <c r="M30" s="110"/>
      <c r="N30" s="110"/>
      <c r="O30" s="110"/>
      <c r="P30" s="110"/>
      <c r="Q30" s="110"/>
      <c r="R30" s="110"/>
      <c r="S30" s="110"/>
    </row>
    <row r="31" spans="1:19" ht="15" x14ac:dyDescent="0.2">
      <c r="A31" s="148" t="s">
        <v>117</v>
      </c>
      <c r="B31" s="145">
        <v>0</v>
      </c>
      <c r="C31" s="145">
        <v>0</v>
      </c>
      <c r="D31" s="110"/>
      <c r="E31" s="110"/>
      <c r="F31" s="110"/>
      <c r="G31" s="110"/>
      <c r="H31" s="110"/>
      <c r="I31" s="110"/>
      <c r="J31" s="110"/>
      <c r="K31" s="110"/>
      <c r="L31" s="110"/>
      <c r="M31" s="110"/>
      <c r="N31" s="110"/>
      <c r="O31" s="110"/>
      <c r="P31" s="110"/>
      <c r="Q31" s="110"/>
      <c r="R31" s="110"/>
      <c r="S31" s="110"/>
    </row>
    <row r="32" spans="1:19" ht="15" x14ac:dyDescent="0.2">
      <c r="A32" s="148" t="s">
        <v>118</v>
      </c>
      <c r="B32" s="145">
        <v>0</v>
      </c>
      <c r="C32" s="145">
        <v>0</v>
      </c>
      <c r="D32" s="110"/>
      <c r="E32" s="110"/>
      <c r="F32" s="110"/>
      <c r="G32" s="110"/>
      <c r="H32" s="110"/>
      <c r="I32" s="110"/>
      <c r="J32" s="110"/>
      <c r="K32" s="110"/>
      <c r="L32" s="110"/>
      <c r="M32" s="110"/>
      <c r="N32" s="110"/>
      <c r="O32" s="110"/>
      <c r="P32" s="110"/>
      <c r="Q32" s="110"/>
      <c r="R32" s="110"/>
      <c r="S32" s="110"/>
    </row>
    <row r="33" spans="1:19" ht="15" x14ac:dyDescent="0.2">
      <c r="A33" s="148" t="s">
        <v>119</v>
      </c>
      <c r="B33" s="145">
        <v>0</v>
      </c>
      <c r="C33" s="145">
        <v>0</v>
      </c>
      <c r="D33" s="110"/>
      <c r="E33" s="110"/>
      <c r="F33" s="110"/>
      <c r="G33" s="110"/>
      <c r="H33" s="110"/>
      <c r="I33" s="110"/>
      <c r="J33" s="110"/>
      <c r="K33" s="110"/>
      <c r="L33" s="110"/>
      <c r="M33" s="110"/>
      <c r="N33" s="110"/>
      <c r="O33" s="110"/>
      <c r="P33" s="110"/>
      <c r="Q33" s="110"/>
      <c r="R33" s="110"/>
      <c r="S33" s="110"/>
    </row>
    <row r="34" spans="1:19" ht="15" x14ac:dyDescent="0.2">
      <c r="A34" s="148" t="s">
        <v>46</v>
      </c>
      <c r="B34" s="145">
        <v>0</v>
      </c>
      <c r="C34" s="145">
        <v>0</v>
      </c>
      <c r="D34" s="110"/>
      <c r="E34" s="110"/>
      <c r="F34" s="110"/>
      <c r="G34" s="110"/>
      <c r="H34" s="110"/>
      <c r="I34" s="110"/>
      <c r="J34" s="110"/>
      <c r="K34" s="110"/>
      <c r="L34" s="110"/>
      <c r="M34" s="110"/>
      <c r="N34" s="110"/>
      <c r="O34" s="110"/>
      <c r="P34" s="110"/>
      <c r="Q34" s="110"/>
      <c r="R34" s="110"/>
      <c r="S34" s="110"/>
    </row>
    <row r="35" spans="1:19" ht="15" x14ac:dyDescent="0.2">
      <c r="A35" s="148" t="s">
        <v>47</v>
      </c>
      <c r="B35" s="145">
        <v>0</v>
      </c>
      <c r="C35" s="145">
        <v>0</v>
      </c>
      <c r="D35" s="110"/>
      <c r="E35" s="110"/>
      <c r="F35" s="110"/>
      <c r="G35" s="110"/>
      <c r="H35" s="110"/>
      <c r="I35" s="110"/>
      <c r="J35" s="110"/>
      <c r="K35" s="110"/>
      <c r="L35" s="110"/>
      <c r="M35" s="110"/>
      <c r="N35" s="110"/>
      <c r="O35" s="110"/>
      <c r="P35" s="110"/>
      <c r="Q35" s="110"/>
      <c r="R35" s="110"/>
      <c r="S35" s="110"/>
    </row>
    <row r="36" spans="1:19" ht="15" x14ac:dyDescent="0.2">
      <c r="A36" s="148" t="s">
        <v>120</v>
      </c>
      <c r="B36" s="145">
        <v>0</v>
      </c>
      <c r="C36" s="145">
        <v>0</v>
      </c>
      <c r="D36" s="110"/>
      <c r="E36" s="110"/>
      <c r="F36" s="110"/>
      <c r="G36" s="110"/>
      <c r="H36" s="110"/>
      <c r="I36" s="110"/>
      <c r="J36" s="110"/>
      <c r="K36" s="110"/>
      <c r="L36" s="110"/>
      <c r="M36" s="110"/>
      <c r="N36" s="110"/>
      <c r="O36" s="110"/>
      <c r="P36" s="110"/>
      <c r="Q36" s="110"/>
      <c r="R36" s="110"/>
      <c r="S36" s="110"/>
    </row>
    <row r="37" spans="1:19" ht="15" x14ac:dyDescent="0.2">
      <c r="A37" s="148" t="s">
        <v>121</v>
      </c>
      <c r="B37" s="145">
        <v>0</v>
      </c>
      <c r="C37" s="145">
        <v>0</v>
      </c>
      <c r="D37" s="110"/>
      <c r="E37" s="110"/>
      <c r="F37" s="110"/>
      <c r="G37" s="110"/>
      <c r="H37" s="110"/>
      <c r="I37" s="110"/>
      <c r="J37" s="110"/>
      <c r="K37" s="110"/>
      <c r="L37" s="110"/>
      <c r="M37" s="110"/>
      <c r="N37" s="110"/>
      <c r="O37" s="110"/>
      <c r="P37" s="110"/>
      <c r="Q37" s="110"/>
      <c r="R37" s="110"/>
      <c r="S37" s="110"/>
    </row>
    <row r="38" spans="1:19" ht="15" x14ac:dyDescent="0.2">
      <c r="A38" s="148" t="s">
        <v>122</v>
      </c>
      <c r="B38" s="145">
        <v>0</v>
      </c>
      <c r="C38" s="145">
        <v>0</v>
      </c>
      <c r="D38" s="110"/>
      <c r="E38" s="110"/>
      <c r="F38" s="110"/>
      <c r="G38" s="110"/>
      <c r="H38" s="110"/>
      <c r="I38" s="110"/>
      <c r="J38" s="110"/>
      <c r="K38" s="110"/>
      <c r="L38" s="110"/>
      <c r="M38" s="110"/>
      <c r="N38" s="110"/>
      <c r="O38" s="110"/>
      <c r="P38" s="110"/>
      <c r="Q38" s="110"/>
      <c r="R38" s="110"/>
      <c r="S38" s="110"/>
    </row>
    <row r="39" spans="1:19" ht="15" x14ac:dyDescent="0.2">
      <c r="A39" s="148" t="s">
        <v>48</v>
      </c>
      <c r="B39" s="145">
        <v>0</v>
      </c>
      <c r="C39" s="145">
        <v>0</v>
      </c>
      <c r="D39" s="110"/>
      <c r="E39" s="110"/>
      <c r="F39" s="110"/>
      <c r="G39" s="110"/>
      <c r="H39" s="110"/>
      <c r="I39" s="110"/>
      <c r="J39" s="110"/>
      <c r="K39" s="110"/>
      <c r="L39" s="110"/>
      <c r="M39" s="110"/>
      <c r="N39" s="110"/>
      <c r="O39" s="110"/>
      <c r="P39" s="110"/>
      <c r="Q39" s="110"/>
      <c r="R39" s="110"/>
      <c r="S39" s="110"/>
    </row>
    <row r="40" spans="1:19" ht="15" x14ac:dyDescent="0.2">
      <c r="A40" s="148"/>
      <c r="B40" s="156"/>
      <c r="C40" s="156"/>
      <c r="D40" s="110"/>
      <c r="E40" s="110"/>
      <c r="F40" s="110"/>
      <c r="G40" s="110"/>
      <c r="H40" s="110"/>
      <c r="I40" s="110"/>
      <c r="J40" s="110"/>
      <c r="K40" s="110"/>
      <c r="L40" s="110"/>
      <c r="M40" s="110"/>
      <c r="N40" s="110"/>
      <c r="O40" s="110"/>
      <c r="P40" s="110"/>
      <c r="Q40" s="110"/>
      <c r="R40" s="110"/>
      <c r="S40" s="110"/>
    </row>
    <row r="41" spans="1:19" x14ac:dyDescent="0.2">
      <c r="A41" s="133" t="s">
        <v>198</v>
      </c>
      <c r="B41" s="156"/>
      <c r="C41" s="156"/>
      <c r="D41" s="110"/>
      <c r="E41" s="110"/>
      <c r="F41" s="110"/>
      <c r="G41" s="110"/>
      <c r="H41" s="110"/>
      <c r="I41" s="110"/>
      <c r="J41" s="110"/>
      <c r="K41" s="110"/>
      <c r="L41" s="110"/>
      <c r="M41" s="110"/>
      <c r="N41" s="110"/>
      <c r="O41" s="110"/>
      <c r="P41" s="110"/>
      <c r="Q41" s="110"/>
      <c r="R41" s="110"/>
      <c r="S41" s="110"/>
    </row>
    <row r="42" spans="1:19" x14ac:dyDescent="0.2">
      <c r="A42" s="147" t="s">
        <v>204</v>
      </c>
      <c r="B42" s="154" t="str">
        <f>B25</f>
        <v>MyCounty</v>
      </c>
      <c r="C42" s="154" t="str">
        <f>C25</f>
        <v>MyRegion</v>
      </c>
      <c r="D42" s="110"/>
      <c r="E42" s="110"/>
      <c r="F42" s="110"/>
      <c r="G42" s="110"/>
      <c r="H42" s="110"/>
      <c r="I42" s="110"/>
      <c r="J42" s="110"/>
      <c r="K42" s="110"/>
      <c r="L42" s="110"/>
      <c r="M42" s="110"/>
      <c r="N42" s="110"/>
      <c r="O42" s="110"/>
      <c r="P42" s="110"/>
      <c r="Q42" s="110"/>
      <c r="R42" s="110"/>
      <c r="S42" s="110"/>
    </row>
    <row r="43" spans="1:19" ht="15" x14ac:dyDescent="0.2">
      <c r="A43" s="148" t="s">
        <v>44</v>
      </c>
      <c r="B43" s="145">
        <v>0</v>
      </c>
      <c r="C43" s="145">
        <v>0</v>
      </c>
      <c r="D43" s="110"/>
      <c r="E43" s="110"/>
      <c r="F43" s="110"/>
      <c r="G43" s="110"/>
      <c r="H43" s="110"/>
      <c r="I43" s="110"/>
      <c r="J43" s="110"/>
      <c r="K43" s="110"/>
      <c r="L43" s="110"/>
      <c r="M43" s="110"/>
      <c r="N43" s="110"/>
      <c r="O43" s="110"/>
      <c r="P43" s="110"/>
      <c r="Q43" s="110"/>
      <c r="R43" s="110"/>
      <c r="S43" s="110"/>
    </row>
    <row r="44" spans="1:19" ht="15" x14ac:dyDescent="0.2">
      <c r="A44" s="148" t="s">
        <v>114</v>
      </c>
      <c r="B44" s="145">
        <v>0</v>
      </c>
      <c r="C44" s="145">
        <v>0</v>
      </c>
      <c r="D44" s="110"/>
      <c r="E44" s="110"/>
      <c r="F44" s="110"/>
      <c r="G44" s="110"/>
      <c r="H44" s="110"/>
      <c r="I44" s="110"/>
      <c r="J44" s="110"/>
      <c r="K44" s="110"/>
      <c r="L44" s="110"/>
      <c r="M44" s="110"/>
      <c r="N44" s="110"/>
      <c r="O44" s="110"/>
      <c r="P44" s="110"/>
      <c r="Q44" s="110"/>
      <c r="R44" s="110"/>
      <c r="S44" s="110"/>
    </row>
    <row r="45" spans="1:19" ht="15" x14ac:dyDescent="0.2">
      <c r="A45" s="148" t="s">
        <v>45</v>
      </c>
      <c r="B45" s="145">
        <v>0</v>
      </c>
      <c r="C45" s="145">
        <v>0</v>
      </c>
      <c r="D45" s="110"/>
      <c r="E45" s="110"/>
      <c r="F45" s="110"/>
      <c r="G45" s="110"/>
      <c r="H45" s="110"/>
      <c r="I45" s="110"/>
      <c r="J45" s="110"/>
      <c r="K45" s="110"/>
      <c r="L45" s="110"/>
      <c r="M45" s="110"/>
      <c r="N45" s="110"/>
      <c r="O45" s="110"/>
      <c r="P45" s="110"/>
      <c r="Q45" s="110"/>
      <c r="R45" s="110"/>
      <c r="S45" s="110"/>
    </row>
    <row r="46" spans="1:19" ht="15" x14ac:dyDescent="0.2">
      <c r="A46" s="148" t="s">
        <v>115</v>
      </c>
      <c r="B46" s="145">
        <v>0</v>
      </c>
      <c r="C46" s="145">
        <v>0</v>
      </c>
      <c r="D46" s="110"/>
      <c r="E46" s="110"/>
      <c r="F46" s="110"/>
      <c r="G46" s="110"/>
      <c r="H46" s="110"/>
      <c r="I46" s="110"/>
      <c r="J46" s="110"/>
      <c r="K46" s="110"/>
      <c r="L46" s="110"/>
      <c r="M46" s="110"/>
      <c r="N46" s="110"/>
      <c r="O46" s="110"/>
      <c r="P46" s="110"/>
      <c r="Q46" s="110"/>
      <c r="R46" s="110"/>
      <c r="S46" s="110"/>
    </row>
    <row r="47" spans="1:19" ht="15" x14ac:dyDescent="0.2">
      <c r="A47" s="148" t="s">
        <v>116</v>
      </c>
      <c r="B47" s="145">
        <v>0</v>
      </c>
      <c r="C47" s="145">
        <v>0</v>
      </c>
      <c r="D47" s="110"/>
      <c r="E47" s="110"/>
      <c r="F47" s="110"/>
      <c r="G47" s="110"/>
      <c r="H47" s="110"/>
      <c r="I47" s="110"/>
      <c r="J47" s="110"/>
      <c r="K47" s="110"/>
      <c r="L47" s="110"/>
      <c r="M47" s="110"/>
      <c r="N47" s="110"/>
      <c r="O47" s="110"/>
      <c r="P47" s="110"/>
      <c r="Q47" s="110"/>
      <c r="R47" s="110"/>
      <c r="S47" s="110"/>
    </row>
    <row r="48" spans="1:19" ht="15" x14ac:dyDescent="0.2">
      <c r="A48" s="148" t="s">
        <v>117</v>
      </c>
      <c r="B48" s="145">
        <v>0</v>
      </c>
      <c r="C48" s="145">
        <v>0</v>
      </c>
      <c r="D48" s="110"/>
      <c r="E48" s="110"/>
      <c r="F48" s="110"/>
      <c r="G48" s="110"/>
      <c r="H48" s="110"/>
      <c r="I48" s="110"/>
      <c r="J48" s="110"/>
      <c r="K48" s="110"/>
      <c r="L48" s="110"/>
      <c r="M48" s="110"/>
      <c r="N48" s="110"/>
      <c r="O48" s="110"/>
      <c r="P48" s="110"/>
      <c r="Q48" s="110"/>
      <c r="R48" s="110"/>
      <c r="S48" s="110"/>
    </row>
    <row r="49" spans="1:19" ht="15" x14ac:dyDescent="0.2">
      <c r="A49" s="148" t="s">
        <v>118</v>
      </c>
      <c r="B49" s="145">
        <v>0</v>
      </c>
      <c r="C49" s="145">
        <v>0</v>
      </c>
      <c r="D49" s="110"/>
      <c r="E49" s="110"/>
      <c r="F49" s="110"/>
      <c r="G49" s="110"/>
      <c r="H49" s="110"/>
      <c r="I49" s="110"/>
      <c r="J49" s="110"/>
      <c r="K49" s="110"/>
      <c r="L49" s="110"/>
      <c r="M49" s="110"/>
      <c r="N49" s="110"/>
      <c r="O49" s="110"/>
      <c r="P49" s="110"/>
      <c r="Q49" s="110"/>
      <c r="R49" s="110"/>
      <c r="S49" s="110"/>
    </row>
    <row r="50" spans="1:19" ht="15" x14ac:dyDescent="0.2">
      <c r="A50" s="148" t="s">
        <v>119</v>
      </c>
      <c r="B50" s="145">
        <v>0</v>
      </c>
      <c r="C50" s="145">
        <v>0</v>
      </c>
      <c r="D50" s="110"/>
      <c r="E50" s="110"/>
      <c r="F50" s="110"/>
      <c r="G50" s="110"/>
      <c r="H50" s="110"/>
      <c r="I50" s="110"/>
      <c r="J50" s="110"/>
      <c r="K50" s="110"/>
      <c r="L50" s="110"/>
      <c r="M50" s="110"/>
      <c r="N50" s="110"/>
      <c r="O50" s="110"/>
      <c r="P50" s="110"/>
      <c r="Q50" s="110"/>
      <c r="R50" s="110"/>
      <c r="S50" s="110"/>
    </row>
    <row r="51" spans="1:19" ht="15" x14ac:dyDescent="0.2">
      <c r="A51" s="148" t="s">
        <v>46</v>
      </c>
      <c r="B51" s="145">
        <v>0</v>
      </c>
      <c r="C51" s="145">
        <v>0</v>
      </c>
      <c r="D51" s="110"/>
      <c r="E51" s="110"/>
      <c r="F51" s="110"/>
      <c r="G51" s="110"/>
      <c r="H51" s="110"/>
      <c r="I51" s="110"/>
      <c r="J51" s="110"/>
      <c r="K51" s="110"/>
      <c r="L51" s="110"/>
      <c r="M51" s="110"/>
      <c r="N51" s="110"/>
      <c r="O51" s="110"/>
      <c r="P51" s="110"/>
      <c r="Q51" s="110"/>
      <c r="R51" s="110"/>
      <c r="S51" s="110"/>
    </row>
    <row r="52" spans="1:19" ht="15" x14ac:dyDescent="0.2">
      <c r="A52" s="148" t="s">
        <v>47</v>
      </c>
      <c r="B52" s="145">
        <v>0</v>
      </c>
      <c r="C52" s="145">
        <v>0</v>
      </c>
      <c r="D52" s="110"/>
      <c r="E52" s="110"/>
      <c r="F52" s="110"/>
      <c r="G52" s="110"/>
      <c r="H52" s="110"/>
      <c r="I52" s="110"/>
      <c r="J52" s="110"/>
      <c r="K52" s="110"/>
      <c r="L52" s="110"/>
      <c r="M52" s="110"/>
      <c r="N52" s="110"/>
      <c r="O52" s="110"/>
      <c r="P52" s="110"/>
      <c r="Q52" s="110"/>
      <c r="R52" s="110"/>
      <c r="S52" s="110"/>
    </row>
    <row r="53" spans="1:19" ht="15" x14ac:dyDescent="0.2">
      <c r="A53" s="148" t="s">
        <v>120</v>
      </c>
      <c r="B53" s="145">
        <v>0</v>
      </c>
      <c r="C53" s="145">
        <v>0</v>
      </c>
      <c r="D53" s="110"/>
      <c r="E53" s="110"/>
      <c r="F53" s="110"/>
      <c r="G53" s="110"/>
      <c r="H53" s="110"/>
      <c r="I53" s="110"/>
      <c r="J53" s="110"/>
      <c r="K53" s="110"/>
      <c r="L53" s="110"/>
      <c r="M53" s="110"/>
      <c r="N53" s="110"/>
      <c r="O53" s="110"/>
      <c r="P53" s="110"/>
      <c r="Q53" s="110"/>
      <c r="R53" s="110"/>
      <c r="S53" s="110"/>
    </row>
    <row r="54" spans="1:19" ht="15" x14ac:dyDescent="0.2">
      <c r="A54" s="148" t="s">
        <v>121</v>
      </c>
      <c r="B54" s="145">
        <v>0</v>
      </c>
      <c r="C54" s="145">
        <v>0</v>
      </c>
      <c r="D54" s="110"/>
      <c r="E54" s="110"/>
      <c r="F54" s="110"/>
      <c r="G54" s="110"/>
      <c r="H54" s="110"/>
      <c r="I54" s="110"/>
      <c r="J54" s="110"/>
      <c r="K54" s="110"/>
      <c r="L54" s="110"/>
      <c r="M54" s="110"/>
      <c r="N54" s="110"/>
      <c r="O54" s="110"/>
      <c r="P54" s="110"/>
      <c r="Q54" s="110"/>
      <c r="R54" s="110"/>
      <c r="S54" s="110"/>
    </row>
    <row r="55" spans="1:19" ht="15" x14ac:dyDescent="0.2">
      <c r="A55" s="148" t="s">
        <v>122</v>
      </c>
      <c r="B55" s="145">
        <v>0</v>
      </c>
      <c r="C55" s="145">
        <v>0</v>
      </c>
      <c r="D55" s="110"/>
      <c r="E55" s="110"/>
      <c r="F55" s="110"/>
      <c r="G55" s="110"/>
      <c r="H55" s="110"/>
      <c r="I55" s="110"/>
      <c r="J55" s="110"/>
      <c r="K55" s="110"/>
      <c r="L55" s="110"/>
      <c r="M55" s="110"/>
      <c r="N55" s="110"/>
      <c r="O55" s="110"/>
      <c r="P55" s="110"/>
      <c r="Q55" s="110"/>
      <c r="R55" s="110"/>
      <c r="S55" s="110"/>
    </row>
    <row r="56" spans="1:19" ht="15" x14ac:dyDescent="0.2">
      <c r="A56" s="148" t="s">
        <v>48</v>
      </c>
      <c r="B56" s="145">
        <v>0</v>
      </c>
      <c r="C56" s="145">
        <v>0</v>
      </c>
      <c r="D56" s="110"/>
      <c r="E56" s="110"/>
      <c r="F56" s="110"/>
      <c r="G56" s="110"/>
      <c r="H56" s="110"/>
      <c r="I56" s="110"/>
      <c r="J56" s="110"/>
      <c r="K56" s="110"/>
      <c r="L56" s="110"/>
      <c r="M56" s="110"/>
      <c r="N56" s="110"/>
      <c r="O56" s="110"/>
      <c r="P56" s="110"/>
      <c r="Q56" s="110"/>
      <c r="R56" s="110"/>
      <c r="S56" s="110"/>
    </row>
    <row r="57" spans="1:19" ht="15" x14ac:dyDescent="0.2">
      <c r="A57" s="148"/>
      <c r="B57" s="156"/>
      <c r="C57" s="156"/>
      <c r="D57" s="110"/>
      <c r="E57" s="110"/>
      <c r="F57" s="110"/>
      <c r="G57" s="110"/>
      <c r="H57" s="110"/>
      <c r="I57" s="110"/>
      <c r="J57" s="110"/>
      <c r="K57" s="110"/>
      <c r="L57" s="110"/>
      <c r="M57" s="110"/>
      <c r="N57" s="110"/>
      <c r="O57" s="110"/>
      <c r="P57" s="110"/>
      <c r="Q57" s="110"/>
      <c r="R57" s="110"/>
      <c r="S57" s="110"/>
    </row>
    <row r="58" spans="1:19" x14ac:dyDescent="0.2">
      <c r="A58" s="133" t="s">
        <v>199</v>
      </c>
      <c r="B58" s="156"/>
      <c r="C58" s="156"/>
      <c r="D58" s="110"/>
      <c r="E58" s="110"/>
      <c r="F58" s="110"/>
      <c r="G58" s="110"/>
      <c r="H58" s="110"/>
      <c r="I58" s="110"/>
      <c r="J58" s="110"/>
      <c r="K58" s="110"/>
      <c r="L58" s="110"/>
      <c r="M58" s="110"/>
      <c r="N58" s="110"/>
      <c r="O58" s="110"/>
      <c r="P58" s="110"/>
      <c r="Q58" s="110"/>
      <c r="R58" s="110"/>
      <c r="S58" s="110"/>
    </row>
    <row r="59" spans="1:19" x14ac:dyDescent="0.2">
      <c r="A59" s="149" t="s">
        <v>144</v>
      </c>
      <c r="B59" s="154" t="str">
        <f>B42</f>
        <v>MyCounty</v>
      </c>
      <c r="C59" s="154" t="str">
        <f>C42</f>
        <v>MyRegion</v>
      </c>
      <c r="D59" s="110"/>
      <c r="E59" s="110"/>
      <c r="F59" s="110"/>
      <c r="G59" s="110"/>
      <c r="H59" s="110"/>
      <c r="I59" s="110"/>
      <c r="J59" s="110"/>
      <c r="K59" s="110"/>
      <c r="L59" s="110"/>
      <c r="M59" s="110"/>
      <c r="N59" s="110"/>
      <c r="O59" s="110"/>
      <c r="P59" s="110"/>
      <c r="Q59" s="110"/>
      <c r="R59" s="110"/>
      <c r="S59" s="110"/>
    </row>
    <row r="60" spans="1:19" ht="15" x14ac:dyDescent="0.2">
      <c r="A60" s="148" t="s">
        <v>44</v>
      </c>
      <c r="B60" s="145">
        <v>0</v>
      </c>
      <c r="C60" s="145">
        <v>0</v>
      </c>
      <c r="D60" s="110"/>
      <c r="E60" s="110"/>
      <c r="F60" s="110"/>
      <c r="G60" s="110"/>
      <c r="H60" s="110"/>
      <c r="I60" s="110"/>
      <c r="J60" s="110"/>
      <c r="K60" s="110"/>
      <c r="L60" s="110"/>
      <c r="M60" s="110"/>
      <c r="N60" s="110"/>
      <c r="O60" s="110"/>
      <c r="P60" s="110"/>
      <c r="Q60" s="110"/>
      <c r="R60" s="110"/>
      <c r="S60" s="110"/>
    </row>
    <row r="61" spans="1:19" ht="15" x14ac:dyDescent="0.2">
      <c r="A61" s="148" t="s">
        <v>114</v>
      </c>
      <c r="B61" s="145">
        <v>0</v>
      </c>
      <c r="C61" s="145">
        <v>0</v>
      </c>
      <c r="D61" s="110"/>
      <c r="E61" s="110"/>
      <c r="F61" s="110"/>
      <c r="G61" s="110"/>
      <c r="H61" s="110"/>
      <c r="I61" s="110"/>
      <c r="J61" s="110"/>
      <c r="K61" s="110"/>
      <c r="L61" s="110"/>
      <c r="M61" s="110"/>
      <c r="N61" s="110"/>
      <c r="O61" s="110"/>
      <c r="P61" s="110"/>
      <c r="Q61" s="110"/>
      <c r="R61" s="110"/>
      <c r="S61" s="110"/>
    </row>
    <row r="62" spans="1:19" ht="15" x14ac:dyDescent="0.2">
      <c r="A62" s="148" t="s">
        <v>45</v>
      </c>
      <c r="B62" s="145">
        <v>0</v>
      </c>
      <c r="C62" s="145">
        <v>0</v>
      </c>
      <c r="D62" s="110"/>
      <c r="E62" s="110"/>
      <c r="F62" s="110"/>
      <c r="G62" s="110"/>
      <c r="H62" s="110"/>
      <c r="I62" s="110"/>
      <c r="J62" s="110"/>
      <c r="K62" s="110"/>
      <c r="L62" s="110"/>
      <c r="M62" s="110"/>
      <c r="N62" s="110"/>
      <c r="O62" s="110"/>
      <c r="P62" s="110"/>
      <c r="Q62" s="110"/>
      <c r="R62" s="110"/>
      <c r="S62" s="110"/>
    </row>
    <row r="63" spans="1:19" ht="15" x14ac:dyDescent="0.2">
      <c r="A63" s="148" t="s">
        <v>115</v>
      </c>
      <c r="B63" s="145">
        <v>0</v>
      </c>
      <c r="C63" s="145">
        <v>0</v>
      </c>
      <c r="D63" s="110"/>
      <c r="E63" s="110"/>
      <c r="F63" s="110"/>
      <c r="G63" s="110"/>
      <c r="H63" s="110"/>
      <c r="I63" s="110"/>
      <c r="J63" s="110"/>
      <c r="K63" s="110"/>
      <c r="L63" s="110"/>
      <c r="M63" s="110"/>
      <c r="N63" s="110"/>
      <c r="O63" s="110"/>
      <c r="P63" s="110"/>
      <c r="Q63" s="110"/>
      <c r="R63" s="110"/>
      <c r="S63" s="110"/>
    </row>
    <row r="64" spans="1:19" ht="15" x14ac:dyDescent="0.2">
      <c r="A64" s="148" t="s">
        <v>116</v>
      </c>
      <c r="B64" s="145">
        <v>0</v>
      </c>
      <c r="C64" s="145">
        <v>0</v>
      </c>
      <c r="D64" s="110"/>
      <c r="E64" s="110"/>
      <c r="F64" s="110"/>
      <c r="G64" s="110"/>
      <c r="H64" s="110"/>
      <c r="I64" s="110"/>
      <c r="J64" s="110"/>
      <c r="K64" s="110"/>
      <c r="L64" s="110"/>
      <c r="M64" s="110"/>
      <c r="N64" s="110"/>
      <c r="O64" s="110"/>
      <c r="P64" s="110"/>
      <c r="Q64" s="110"/>
      <c r="R64" s="110"/>
      <c r="S64" s="110"/>
    </row>
    <row r="65" spans="1:19" ht="15" x14ac:dyDescent="0.2">
      <c r="A65" s="148" t="s">
        <v>117</v>
      </c>
      <c r="B65" s="145">
        <v>0</v>
      </c>
      <c r="C65" s="145">
        <v>0</v>
      </c>
      <c r="D65" s="110"/>
      <c r="E65" s="110"/>
      <c r="F65" s="110"/>
      <c r="G65" s="110"/>
      <c r="H65" s="110"/>
      <c r="I65" s="110"/>
      <c r="J65" s="110"/>
      <c r="K65" s="110"/>
      <c r="L65" s="110"/>
      <c r="M65" s="110"/>
      <c r="N65" s="110"/>
      <c r="O65" s="110"/>
      <c r="P65" s="110"/>
      <c r="Q65" s="110"/>
      <c r="R65" s="110"/>
      <c r="S65" s="110"/>
    </row>
    <row r="66" spans="1:19" ht="15" x14ac:dyDescent="0.2">
      <c r="A66" s="148" t="s">
        <v>118</v>
      </c>
      <c r="B66" s="145">
        <v>0</v>
      </c>
      <c r="C66" s="145">
        <v>0</v>
      </c>
      <c r="D66" s="110"/>
      <c r="E66" s="110"/>
      <c r="F66" s="110"/>
      <c r="G66" s="110"/>
      <c r="H66" s="110"/>
      <c r="I66" s="110"/>
      <c r="J66" s="110"/>
      <c r="K66" s="110"/>
      <c r="L66" s="110"/>
      <c r="M66" s="110"/>
      <c r="N66" s="110"/>
      <c r="O66" s="110"/>
      <c r="P66" s="110"/>
      <c r="Q66" s="110"/>
      <c r="R66" s="110"/>
      <c r="S66" s="110"/>
    </row>
    <row r="67" spans="1:19" ht="15" x14ac:dyDescent="0.2">
      <c r="A67" s="148" t="s">
        <v>119</v>
      </c>
      <c r="B67" s="145">
        <v>0</v>
      </c>
      <c r="C67" s="145">
        <v>0</v>
      </c>
      <c r="D67" s="110"/>
      <c r="E67" s="110"/>
      <c r="F67" s="110"/>
      <c r="G67" s="110"/>
      <c r="H67" s="110"/>
      <c r="I67" s="110"/>
      <c r="J67" s="110"/>
      <c r="K67" s="110"/>
      <c r="L67" s="110"/>
      <c r="M67" s="110"/>
      <c r="N67" s="110"/>
      <c r="O67" s="110"/>
      <c r="P67" s="110"/>
      <c r="Q67" s="110"/>
      <c r="R67" s="110"/>
      <c r="S67" s="110"/>
    </row>
    <row r="68" spans="1:19" ht="15" x14ac:dyDescent="0.2">
      <c r="A68" s="148" t="s">
        <v>46</v>
      </c>
      <c r="B68" s="145">
        <v>0</v>
      </c>
      <c r="C68" s="145">
        <v>0</v>
      </c>
      <c r="D68" s="110"/>
      <c r="E68" s="110"/>
      <c r="F68" s="110"/>
      <c r="G68" s="110"/>
      <c r="H68" s="110"/>
      <c r="I68" s="110"/>
      <c r="J68" s="110"/>
      <c r="K68" s="110"/>
      <c r="L68" s="110"/>
      <c r="M68" s="110"/>
      <c r="N68" s="110"/>
      <c r="O68" s="110"/>
      <c r="P68" s="110"/>
      <c r="Q68" s="110"/>
      <c r="R68" s="110"/>
      <c r="S68" s="110"/>
    </row>
    <row r="69" spans="1:19" ht="15" x14ac:dyDescent="0.2">
      <c r="A69" s="148" t="s">
        <v>47</v>
      </c>
      <c r="B69" s="145">
        <v>0</v>
      </c>
      <c r="C69" s="145">
        <v>0</v>
      </c>
      <c r="D69" s="110"/>
      <c r="E69" s="110"/>
      <c r="F69" s="110"/>
      <c r="G69" s="110"/>
      <c r="H69" s="110"/>
      <c r="I69" s="110"/>
      <c r="J69" s="110"/>
      <c r="K69" s="110"/>
      <c r="L69" s="110"/>
      <c r="M69" s="110"/>
      <c r="N69" s="110"/>
      <c r="O69" s="110"/>
      <c r="P69" s="110"/>
      <c r="Q69" s="110"/>
      <c r="R69" s="110"/>
      <c r="S69" s="110"/>
    </row>
    <row r="70" spans="1:19" ht="15" x14ac:dyDescent="0.2">
      <c r="A70" s="148" t="s">
        <v>120</v>
      </c>
      <c r="B70" s="145">
        <v>0</v>
      </c>
      <c r="C70" s="145">
        <v>0</v>
      </c>
      <c r="D70" s="110"/>
      <c r="E70" s="110"/>
      <c r="F70" s="110"/>
      <c r="G70" s="110"/>
      <c r="H70" s="110"/>
      <c r="I70" s="110"/>
      <c r="J70" s="110"/>
      <c r="K70" s="110"/>
      <c r="L70" s="110"/>
      <c r="M70" s="110"/>
      <c r="N70" s="110"/>
      <c r="O70" s="110"/>
      <c r="P70" s="110"/>
      <c r="Q70" s="110"/>
      <c r="R70" s="110"/>
      <c r="S70" s="110"/>
    </row>
    <row r="71" spans="1:19" ht="15" x14ac:dyDescent="0.2">
      <c r="A71" s="148" t="s">
        <v>121</v>
      </c>
      <c r="B71" s="145">
        <v>0</v>
      </c>
      <c r="C71" s="145">
        <v>0</v>
      </c>
      <c r="D71" s="110"/>
      <c r="E71" s="110"/>
      <c r="F71" s="110"/>
      <c r="G71" s="110"/>
      <c r="H71" s="110"/>
      <c r="I71" s="110"/>
      <c r="J71" s="110"/>
      <c r="K71" s="110"/>
      <c r="L71" s="110"/>
      <c r="M71" s="110"/>
      <c r="N71" s="110"/>
      <c r="O71" s="110"/>
      <c r="P71" s="110"/>
      <c r="Q71" s="110"/>
      <c r="R71" s="110"/>
      <c r="S71" s="110"/>
    </row>
    <row r="72" spans="1:19" ht="15" x14ac:dyDescent="0.2">
      <c r="A72" s="148" t="s">
        <v>122</v>
      </c>
      <c r="B72" s="145">
        <v>0</v>
      </c>
      <c r="C72" s="145">
        <v>0</v>
      </c>
      <c r="D72" s="110"/>
      <c r="E72" s="110"/>
      <c r="F72" s="110"/>
      <c r="G72" s="110"/>
      <c r="H72" s="110"/>
      <c r="I72" s="110"/>
      <c r="J72" s="110"/>
      <c r="K72" s="110"/>
      <c r="L72" s="110"/>
      <c r="M72" s="110"/>
      <c r="N72" s="110"/>
      <c r="O72" s="110"/>
      <c r="P72" s="110"/>
      <c r="Q72" s="110"/>
      <c r="R72" s="110"/>
      <c r="S72" s="110"/>
    </row>
    <row r="73" spans="1:19" ht="15" x14ac:dyDescent="0.2">
      <c r="A73" s="148" t="s">
        <v>48</v>
      </c>
      <c r="B73" s="145">
        <v>0</v>
      </c>
      <c r="C73" s="145">
        <v>0</v>
      </c>
      <c r="D73" s="110"/>
      <c r="E73" s="110"/>
      <c r="F73" s="110"/>
      <c r="G73" s="110"/>
      <c r="H73" s="110"/>
      <c r="I73" s="110"/>
      <c r="J73" s="110"/>
      <c r="K73" s="110"/>
      <c r="L73" s="110"/>
      <c r="M73" s="110"/>
      <c r="N73" s="110"/>
      <c r="O73" s="110"/>
      <c r="P73" s="110"/>
      <c r="Q73" s="110"/>
      <c r="R73" s="110"/>
      <c r="S73" s="110"/>
    </row>
    <row r="74" spans="1:19" ht="15" x14ac:dyDescent="0.2">
      <c r="A74" s="150"/>
      <c r="B74" s="156"/>
      <c r="C74" s="156"/>
      <c r="D74" s="110"/>
      <c r="E74" s="110"/>
      <c r="F74" s="110"/>
      <c r="G74" s="110"/>
      <c r="H74" s="110"/>
      <c r="I74" s="110"/>
      <c r="J74" s="110"/>
      <c r="K74" s="110"/>
      <c r="L74" s="110"/>
      <c r="M74" s="110"/>
      <c r="N74" s="110"/>
      <c r="O74" s="110"/>
      <c r="P74" s="110"/>
      <c r="Q74" s="110"/>
      <c r="R74" s="110"/>
      <c r="S74" s="110"/>
    </row>
    <row r="75" spans="1:19" x14ac:dyDescent="0.2">
      <c r="A75" s="133" t="s">
        <v>199</v>
      </c>
      <c r="B75" s="156"/>
      <c r="C75" s="156"/>
      <c r="D75" s="110"/>
      <c r="E75" s="110"/>
      <c r="F75" s="110"/>
      <c r="G75" s="110"/>
      <c r="H75" s="110"/>
      <c r="I75" s="110"/>
      <c r="J75" s="110"/>
      <c r="K75" s="110"/>
      <c r="L75" s="110"/>
      <c r="M75" s="110"/>
      <c r="N75" s="110"/>
      <c r="O75" s="110"/>
      <c r="P75" s="110"/>
      <c r="Q75" s="110"/>
      <c r="R75" s="110"/>
      <c r="S75" s="110"/>
    </row>
    <row r="76" spans="1:19" x14ac:dyDescent="0.2">
      <c r="A76" s="151" t="s">
        <v>205</v>
      </c>
      <c r="B76" s="154" t="str">
        <f>B59</f>
        <v>MyCounty</v>
      </c>
      <c r="C76" s="154" t="str">
        <f>C59</f>
        <v>MyRegion</v>
      </c>
      <c r="D76" s="110"/>
      <c r="E76" s="110"/>
      <c r="F76" s="110"/>
      <c r="G76" s="110"/>
      <c r="H76" s="110"/>
      <c r="I76" s="110"/>
      <c r="J76" s="110"/>
      <c r="K76" s="110"/>
      <c r="L76" s="110"/>
      <c r="M76" s="110"/>
      <c r="N76" s="110"/>
      <c r="O76" s="110"/>
      <c r="P76" s="110"/>
      <c r="Q76" s="110"/>
      <c r="R76" s="110"/>
      <c r="S76" s="110"/>
    </row>
    <row r="77" spans="1:19" ht="15" x14ac:dyDescent="0.2">
      <c r="A77" s="148" t="s">
        <v>44</v>
      </c>
      <c r="B77" s="145">
        <v>0</v>
      </c>
      <c r="C77" s="145">
        <v>0</v>
      </c>
      <c r="D77" s="110"/>
      <c r="E77" s="110"/>
      <c r="F77" s="110"/>
      <c r="G77" s="110"/>
      <c r="H77" s="110"/>
      <c r="I77" s="110"/>
      <c r="J77" s="110"/>
      <c r="K77" s="110"/>
      <c r="L77" s="110"/>
      <c r="M77" s="110"/>
      <c r="N77" s="110"/>
      <c r="O77" s="110"/>
      <c r="P77" s="110"/>
      <c r="Q77" s="110"/>
      <c r="R77" s="110"/>
      <c r="S77" s="110"/>
    </row>
    <row r="78" spans="1:19" ht="15" x14ac:dyDescent="0.2">
      <c r="A78" s="148" t="s">
        <v>114</v>
      </c>
      <c r="B78" s="145">
        <v>0</v>
      </c>
      <c r="C78" s="145">
        <v>0</v>
      </c>
      <c r="D78" s="110"/>
      <c r="E78" s="110"/>
      <c r="F78" s="110"/>
      <c r="G78" s="110"/>
      <c r="H78" s="110"/>
      <c r="I78" s="110"/>
      <c r="J78" s="110"/>
      <c r="K78" s="110"/>
      <c r="L78" s="110"/>
      <c r="M78" s="110"/>
      <c r="N78" s="110"/>
      <c r="O78" s="110"/>
      <c r="P78" s="110"/>
      <c r="Q78" s="110"/>
      <c r="R78" s="110"/>
      <c r="S78" s="110"/>
    </row>
    <row r="79" spans="1:19" ht="15" x14ac:dyDescent="0.2">
      <c r="A79" s="148" t="s">
        <v>45</v>
      </c>
      <c r="B79" s="145">
        <v>0</v>
      </c>
      <c r="C79" s="145">
        <v>0</v>
      </c>
      <c r="D79" s="110"/>
      <c r="E79" s="110"/>
      <c r="F79" s="110"/>
      <c r="G79" s="110"/>
      <c r="H79" s="110"/>
      <c r="I79" s="110"/>
      <c r="J79" s="110"/>
      <c r="K79" s="110"/>
      <c r="L79" s="110"/>
      <c r="M79" s="110"/>
      <c r="N79" s="110"/>
      <c r="O79" s="110"/>
      <c r="P79" s="110"/>
      <c r="Q79" s="110"/>
      <c r="R79" s="110"/>
      <c r="S79" s="110"/>
    </row>
    <row r="80" spans="1:19" ht="15" x14ac:dyDescent="0.2">
      <c r="A80" s="148" t="s">
        <v>115</v>
      </c>
      <c r="B80" s="145">
        <v>0</v>
      </c>
      <c r="C80" s="145">
        <v>0</v>
      </c>
      <c r="D80" s="110"/>
      <c r="E80" s="110"/>
      <c r="F80" s="110"/>
      <c r="G80" s="110"/>
      <c r="H80" s="110"/>
      <c r="I80" s="110"/>
      <c r="J80" s="110"/>
      <c r="K80" s="110"/>
      <c r="L80" s="110"/>
      <c r="M80" s="110"/>
      <c r="N80" s="110"/>
      <c r="O80" s="110"/>
      <c r="P80" s="110"/>
      <c r="Q80" s="110"/>
      <c r="R80" s="110"/>
      <c r="S80" s="110"/>
    </row>
    <row r="81" spans="1:19" ht="15" x14ac:dyDescent="0.2">
      <c r="A81" s="148" t="s">
        <v>116</v>
      </c>
      <c r="B81" s="145">
        <v>0</v>
      </c>
      <c r="C81" s="145">
        <v>0</v>
      </c>
      <c r="D81" s="110"/>
      <c r="E81" s="110"/>
      <c r="F81" s="110"/>
      <c r="G81" s="110"/>
      <c r="H81" s="110"/>
      <c r="I81" s="110"/>
      <c r="J81" s="110"/>
      <c r="K81" s="110"/>
      <c r="L81" s="110"/>
      <c r="M81" s="110"/>
      <c r="N81" s="110"/>
      <c r="O81" s="110"/>
      <c r="P81" s="110"/>
      <c r="Q81" s="110"/>
      <c r="R81" s="110"/>
      <c r="S81" s="110"/>
    </row>
    <row r="82" spans="1:19" ht="15" x14ac:dyDescent="0.2">
      <c r="A82" s="148" t="s">
        <v>117</v>
      </c>
      <c r="B82" s="145">
        <v>0</v>
      </c>
      <c r="C82" s="145">
        <v>0</v>
      </c>
      <c r="D82" s="110"/>
      <c r="E82" s="110"/>
      <c r="F82" s="110"/>
      <c r="G82" s="110"/>
      <c r="H82" s="110"/>
      <c r="I82" s="110"/>
      <c r="J82" s="110"/>
      <c r="K82" s="110"/>
      <c r="L82" s="110"/>
      <c r="M82" s="110"/>
      <c r="N82" s="110"/>
      <c r="O82" s="110"/>
      <c r="P82" s="110"/>
      <c r="Q82" s="110"/>
      <c r="R82" s="110"/>
      <c r="S82" s="110"/>
    </row>
    <row r="83" spans="1:19" ht="15" x14ac:dyDescent="0.2">
      <c r="A83" s="148" t="s">
        <v>118</v>
      </c>
      <c r="B83" s="145">
        <v>0</v>
      </c>
      <c r="C83" s="145">
        <v>0</v>
      </c>
      <c r="D83" s="110"/>
      <c r="E83" s="110"/>
      <c r="F83" s="110"/>
      <c r="G83" s="110"/>
      <c r="H83" s="110"/>
      <c r="I83" s="110"/>
      <c r="J83" s="110"/>
      <c r="K83" s="110"/>
      <c r="L83" s="110"/>
      <c r="M83" s="110"/>
      <c r="N83" s="110"/>
      <c r="O83" s="110"/>
      <c r="P83" s="110"/>
      <c r="Q83" s="110"/>
      <c r="R83" s="110"/>
      <c r="S83" s="110"/>
    </row>
    <row r="84" spans="1:19" ht="15" x14ac:dyDescent="0.2">
      <c r="A84" s="148" t="s">
        <v>119</v>
      </c>
      <c r="B84" s="145">
        <v>0</v>
      </c>
      <c r="C84" s="145">
        <v>0</v>
      </c>
      <c r="D84" s="110"/>
      <c r="E84" s="110"/>
      <c r="F84" s="110"/>
      <c r="G84" s="110"/>
      <c r="H84" s="110"/>
      <c r="I84" s="110"/>
      <c r="J84" s="110"/>
      <c r="K84" s="110"/>
      <c r="L84" s="110"/>
      <c r="M84" s="110"/>
      <c r="N84" s="110"/>
      <c r="O84" s="110"/>
      <c r="P84" s="110"/>
      <c r="Q84" s="110"/>
      <c r="R84" s="110"/>
      <c r="S84" s="110"/>
    </row>
    <row r="85" spans="1:19" ht="15" x14ac:dyDescent="0.2">
      <c r="A85" s="148" t="s">
        <v>46</v>
      </c>
      <c r="B85" s="145">
        <v>0</v>
      </c>
      <c r="C85" s="145">
        <v>0</v>
      </c>
      <c r="D85" s="110"/>
      <c r="E85" s="110"/>
      <c r="F85" s="110"/>
      <c r="G85" s="110"/>
      <c r="H85" s="110"/>
      <c r="I85" s="110"/>
      <c r="J85" s="110"/>
      <c r="K85" s="110"/>
      <c r="L85" s="110"/>
      <c r="M85" s="110"/>
      <c r="N85" s="110"/>
      <c r="O85" s="110"/>
      <c r="P85" s="110"/>
      <c r="Q85" s="110"/>
      <c r="R85" s="110"/>
      <c r="S85" s="110"/>
    </row>
    <row r="86" spans="1:19" ht="15" x14ac:dyDescent="0.2">
      <c r="A86" s="148" t="s">
        <v>47</v>
      </c>
      <c r="B86" s="145">
        <v>0</v>
      </c>
      <c r="C86" s="145">
        <v>0</v>
      </c>
      <c r="D86" s="110"/>
      <c r="E86" s="110"/>
      <c r="F86" s="110"/>
      <c r="G86" s="110"/>
      <c r="H86" s="110"/>
      <c r="I86" s="110"/>
      <c r="J86" s="110"/>
      <c r="K86" s="110"/>
      <c r="L86" s="110"/>
      <c r="M86" s="110"/>
      <c r="N86" s="110"/>
      <c r="O86" s="110"/>
      <c r="P86" s="110"/>
      <c r="Q86" s="110"/>
      <c r="R86" s="110"/>
      <c r="S86" s="110"/>
    </row>
    <row r="87" spans="1:19" ht="15" x14ac:dyDescent="0.2">
      <c r="A87" s="148" t="s">
        <v>120</v>
      </c>
      <c r="B87" s="145">
        <v>0</v>
      </c>
      <c r="C87" s="145">
        <v>0</v>
      </c>
      <c r="D87" s="110"/>
      <c r="E87" s="110"/>
      <c r="F87" s="110"/>
      <c r="G87" s="110"/>
      <c r="H87" s="110"/>
      <c r="I87" s="110"/>
      <c r="J87" s="110"/>
      <c r="K87" s="110"/>
      <c r="L87" s="110"/>
      <c r="M87" s="110"/>
      <c r="N87" s="110"/>
      <c r="O87" s="110"/>
      <c r="P87" s="110"/>
      <c r="Q87" s="110"/>
      <c r="R87" s="110"/>
      <c r="S87" s="110"/>
    </row>
    <row r="88" spans="1:19" ht="15" x14ac:dyDescent="0.2">
      <c r="A88" s="148" t="s">
        <v>121</v>
      </c>
      <c r="B88" s="145">
        <v>0</v>
      </c>
      <c r="C88" s="145">
        <v>0</v>
      </c>
      <c r="D88" s="110"/>
      <c r="E88" s="110"/>
      <c r="F88" s="110"/>
      <c r="G88" s="110"/>
      <c r="H88" s="110"/>
      <c r="I88" s="110"/>
      <c r="J88" s="110"/>
      <c r="K88" s="110"/>
      <c r="L88" s="110"/>
      <c r="M88" s="110"/>
      <c r="N88" s="110"/>
      <c r="O88" s="110"/>
      <c r="P88" s="110"/>
      <c r="Q88" s="110"/>
      <c r="R88" s="110"/>
      <c r="S88" s="110"/>
    </row>
    <row r="89" spans="1:19" ht="15" x14ac:dyDescent="0.2">
      <c r="A89" s="148" t="s">
        <v>122</v>
      </c>
      <c r="B89" s="145">
        <v>0</v>
      </c>
      <c r="C89" s="145">
        <v>0</v>
      </c>
      <c r="D89" s="110"/>
      <c r="E89" s="110"/>
      <c r="F89" s="110"/>
      <c r="G89" s="110"/>
      <c r="H89" s="110"/>
      <c r="I89" s="110"/>
      <c r="J89" s="110"/>
      <c r="K89" s="110"/>
      <c r="L89" s="110"/>
      <c r="M89" s="110"/>
      <c r="N89" s="110"/>
      <c r="O89" s="110"/>
      <c r="P89" s="110"/>
      <c r="Q89" s="110"/>
      <c r="R89" s="110"/>
      <c r="S89" s="110"/>
    </row>
    <row r="90" spans="1:19" ht="15" x14ac:dyDescent="0.2">
      <c r="A90" s="148" t="s">
        <v>48</v>
      </c>
      <c r="B90" s="145">
        <v>0</v>
      </c>
      <c r="C90" s="145">
        <v>0</v>
      </c>
      <c r="D90" s="110"/>
      <c r="E90" s="110"/>
      <c r="F90" s="110"/>
      <c r="G90" s="110"/>
      <c r="H90" s="110"/>
      <c r="I90" s="110"/>
      <c r="J90" s="110"/>
      <c r="K90" s="110"/>
      <c r="L90" s="110"/>
      <c r="M90" s="110"/>
      <c r="N90" s="110"/>
      <c r="O90" s="110"/>
      <c r="P90" s="110"/>
      <c r="Q90" s="110"/>
      <c r="R90" s="110"/>
      <c r="S90" s="110"/>
    </row>
    <row r="91" spans="1:19" ht="15" x14ac:dyDescent="0.2">
      <c r="A91" s="150"/>
      <c r="B91" s="156"/>
      <c r="C91" s="156"/>
      <c r="D91" s="110"/>
      <c r="E91" s="110"/>
      <c r="F91" s="110"/>
      <c r="G91" s="110"/>
      <c r="H91" s="110"/>
      <c r="I91" s="110"/>
      <c r="J91" s="110"/>
      <c r="K91" s="110"/>
      <c r="L91" s="110"/>
      <c r="M91" s="110"/>
      <c r="N91" s="110"/>
      <c r="O91" s="110"/>
      <c r="P91" s="110"/>
      <c r="Q91" s="110"/>
      <c r="R91" s="110"/>
      <c r="S91" s="110"/>
    </row>
    <row r="92" spans="1:19" x14ac:dyDescent="0.2">
      <c r="A92" s="133" t="s">
        <v>199</v>
      </c>
      <c r="B92" s="156"/>
      <c r="C92" s="156"/>
      <c r="D92" s="110"/>
      <c r="E92" s="110"/>
      <c r="F92" s="110"/>
      <c r="G92" s="110"/>
      <c r="H92" s="110"/>
      <c r="I92" s="110"/>
      <c r="J92" s="110"/>
      <c r="K92" s="110"/>
      <c r="L92" s="110"/>
      <c r="M92" s="110"/>
      <c r="N92" s="110"/>
      <c r="O92" s="110"/>
      <c r="P92" s="110"/>
      <c r="Q92" s="110"/>
      <c r="R92" s="110"/>
      <c r="S92" s="110"/>
    </row>
    <row r="93" spans="1:19" x14ac:dyDescent="0.2">
      <c r="A93" s="151" t="s">
        <v>206</v>
      </c>
      <c r="B93" s="154" t="str">
        <f>B76</f>
        <v>MyCounty</v>
      </c>
      <c r="C93" s="154" t="str">
        <f>C76</f>
        <v>MyRegion</v>
      </c>
      <c r="D93" s="110"/>
      <c r="E93" s="110"/>
      <c r="F93" s="110"/>
      <c r="G93" s="110"/>
      <c r="H93" s="110"/>
      <c r="I93" s="110"/>
      <c r="J93" s="110"/>
      <c r="K93" s="110"/>
      <c r="L93" s="110"/>
      <c r="M93" s="110"/>
      <c r="N93" s="110"/>
      <c r="O93" s="110"/>
      <c r="P93" s="110"/>
      <c r="Q93" s="110"/>
      <c r="R93" s="110"/>
      <c r="S93" s="110"/>
    </row>
    <row r="94" spans="1:19" ht="15" x14ac:dyDescent="0.2">
      <c r="A94" s="148" t="s">
        <v>44</v>
      </c>
      <c r="B94" s="145">
        <v>0</v>
      </c>
      <c r="C94" s="145">
        <v>0</v>
      </c>
      <c r="D94" s="110"/>
      <c r="E94" s="110"/>
      <c r="F94" s="110"/>
      <c r="G94" s="110"/>
      <c r="H94" s="110"/>
      <c r="I94" s="110"/>
      <c r="J94" s="110"/>
      <c r="K94" s="110"/>
      <c r="L94" s="110"/>
      <c r="M94" s="110"/>
      <c r="N94" s="110"/>
      <c r="O94" s="110"/>
      <c r="P94" s="110"/>
      <c r="Q94" s="110"/>
      <c r="R94" s="110"/>
      <c r="S94" s="110"/>
    </row>
    <row r="95" spans="1:19" ht="15" x14ac:dyDescent="0.2">
      <c r="A95" s="148" t="s">
        <v>114</v>
      </c>
      <c r="B95" s="145">
        <v>0</v>
      </c>
      <c r="C95" s="145">
        <v>0</v>
      </c>
      <c r="D95" s="110"/>
      <c r="E95" s="110"/>
      <c r="F95" s="110"/>
      <c r="G95" s="110"/>
      <c r="H95" s="110"/>
      <c r="I95" s="110"/>
      <c r="J95" s="110"/>
      <c r="K95" s="110"/>
      <c r="L95" s="110"/>
      <c r="M95" s="110"/>
      <c r="N95" s="110"/>
      <c r="O95" s="110"/>
      <c r="P95" s="110"/>
      <c r="Q95" s="110"/>
      <c r="R95" s="110"/>
      <c r="S95" s="110"/>
    </row>
    <row r="96" spans="1:19" ht="15" x14ac:dyDescent="0.2">
      <c r="A96" s="148" t="s">
        <v>45</v>
      </c>
      <c r="B96" s="145">
        <v>0</v>
      </c>
      <c r="C96" s="145">
        <v>0</v>
      </c>
      <c r="D96" s="110"/>
      <c r="E96" s="110"/>
      <c r="F96" s="110"/>
      <c r="G96" s="110"/>
      <c r="H96" s="110"/>
      <c r="I96" s="110"/>
      <c r="J96" s="110"/>
      <c r="K96" s="110"/>
      <c r="L96" s="110"/>
      <c r="M96" s="110"/>
      <c r="N96" s="110"/>
      <c r="O96" s="110"/>
      <c r="P96" s="110"/>
      <c r="Q96" s="110"/>
      <c r="R96" s="110"/>
      <c r="S96" s="110"/>
    </row>
    <row r="97" spans="1:19" ht="15" x14ac:dyDescent="0.2">
      <c r="A97" s="148" t="s">
        <v>115</v>
      </c>
      <c r="B97" s="145">
        <v>0</v>
      </c>
      <c r="C97" s="145">
        <v>0</v>
      </c>
      <c r="D97" s="110"/>
      <c r="E97" s="110"/>
      <c r="F97" s="110"/>
      <c r="G97" s="110"/>
      <c r="H97" s="110"/>
      <c r="I97" s="110"/>
      <c r="J97" s="110"/>
      <c r="K97" s="110"/>
      <c r="L97" s="110"/>
      <c r="M97" s="110"/>
      <c r="N97" s="110"/>
      <c r="O97" s="110"/>
      <c r="P97" s="110"/>
      <c r="Q97" s="110"/>
      <c r="R97" s="110"/>
      <c r="S97" s="110"/>
    </row>
    <row r="98" spans="1:19" ht="15" x14ac:dyDescent="0.2">
      <c r="A98" s="148" t="s">
        <v>116</v>
      </c>
      <c r="B98" s="145">
        <v>0</v>
      </c>
      <c r="C98" s="145">
        <v>0</v>
      </c>
      <c r="D98" s="110"/>
      <c r="E98" s="110"/>
      <c r="F98" s="110"/>
      <c r="G98" s="110"/>
      <c r="H98" s="110"/>
      <c r="I98" s="110"/>
      <c r="J98" s="110"/>
      <c r="K98" s="110"/>
      <c r="L98" s="110"/>
      <c r="M98" s="110"/>
      <c r="N98" s="110"/>
      <c r="O98" s="110"/>
      <c r="P98" s="110"/>
      <c r="Q98" s="110"/>
      <c r="R98" s="110"/>
      <c r="S98" s="110"/>
    </row>
    <row r="99" spans="1:19" ht="15" x14ac:dyDescent="0.2">
      <c r="A99" s="148" t="s">
        <v>117</v>
      </c>
      <c r="B99" s="145">
        <v>0</v>
      </c>
      <c r="C99" s="145">
        <v>0</v>
      </c>
      <c r="D99" s="110"/>
      <c r="E99" s="110"/>
      <c r="F99" s="110"/>
      <c r="G99" s="110"/>
      <c r="H99" s="110"/>
      <c r="I99" s="110"/>
      <c r="J99" s="110"/>
      <c r="K99" s="110"/>
      <c r="L99" s="110"/>
      <c r="M99" s="110"/>
      <c r="N99" s="110"/>
      <c r="O99" s="110"/>
      <c r="P99" s="110"/>
      <c r="Q99" s="110"/>
      <c r="R99" s="110"/>
      <c r="S99" s="110"/>
    </row>
    <row r="100" spans="1:19" ht="15" x14ac:dyDescent="0.2">
      <c r="A100" s="148" t="s">
        <v>118</v>
      </c>
      <c r="B100" s="145">
        <v>0</v>
      </c>
      <c r="C100" s="145">
        <v>0</v>
      </c>
      <c r="D100" s="110"/>
      <c r="E100" s="110"/>
      <c r="F100" s="110"/>
      <c r="G100" s="110"/>
      <c r="H100" s="110"/>
      <c r="I100" s="110"/>
      <c r="J100" s="110"/>
      <c r="K100" s="110"/>
      <c r="L100" s="110"/>
      <c r="M100" s="110"/>
      <c r="N100" s="110"/>
      <c r="O100" s="110"/>
      <c r="P100" s="110"/>
      <c r="Q100" s="110"/>
      <c r="R100" s="110"/>
      <c r="S100" s="110"/>
    </row>
    <row r="101" spans="1:19" ht="15" x14ac:dyDescent="0.2">
      <c r="A101" s="148" t="s">
        <v>119</v>
      </c>
      <c r="B101" s="145">
        <v>0</v>
      </c>
      <c r="C101" s="145">
        <v>0</v>
      </c>
      <c r="D101" s="110"/>
      <c r="E101" s="110"/>
      <c r="F101" s="110"/>
      <c r="G101" s="110"/>
      <c r="H101" s="110"/>
      <c r="I101" s="110"/>
      <c r="J101" s="110"/>
      <c r="K101" s="110"/>
      <c r="L101" s="110"/>
      <c r="M101" s="110"/>
      <c r="N101" s="110"/>
      <c r="O101" s="110"/>
      <c r="P101" s="110"/>
      <c r="Q101" s="110"/>
      <c r="R101" s="110"/>
      <c r="S101" s="110"/>
    </row>
    <row r="102" spans="1:19" ht="15" x14ac:dyDescent="0.2">
      <c r="A102" s="148" t="s">
        <v>46</v>
      </c>
      <c r="B102" s="145">
        <v>0</v>
      </c>
      <c r="C102" s="145">
        <v>0</v>
      </c>
      <c r="D102" s="110"/>
      <c r="E102" s="110"/>
      <c r="F102" s="110"/>
      <c r="G102" s="110"/>
      <c r="H102" s="110"/>
      <c r="I102" s="110"/>
      <c r="J102" s="110"/>
      <c r="K102" s="110"/>
      <c r="L102" s="110"/>
      <c r="M102" s="110"/>
      <c r="N102" s="110"/>
      <c r="O102" s="110"/>
      <c r="P102" s="110"/>
      <c r="Q102" s="110"/>
      <c r="R102" s="110"/>
      <c r="S102" s="110"/>
    </row>
    <row r="103" spans="1:19" ht="15" x14ac:dyDescent="0.2">
      <c r="A103" s="148" t="s">
        <v>47</v>
      </c>
      <c r="B103" s="145">
        <v>0</v>
      </c>
      <c r="C103" s="145">
        <v>0</v>
      </c>
      <c r="D103" s="110"/>
      <c r="E103" s="110"/>
      <c r="F103" s="110"/>
      <c r="G103" s="110"/>
      <c r="H103" s="110"/>
      <c r="I103" s="110"/>
      <c r="J103" s="110"/>
      <c r="K103" s="110"/>
      <c r="L103" s="110"/>
      <c r="M103" s="110"/>
      <c r="N103" s="110"/>
      <c r="O103" s="110"/>
      <c r="P103" s="110"/>
      <c r="Q103" s="110"/>
      <c r="R103" s="110"/>
      <c r="S103" s="110"/>
    </row>
    <row r="104" spans="1:19" ht="15" x14ac:dyDescent="0.2">
      <c r="A104" s="148" t="s">
        <v>120</v>
      </c>
      <c r="B104" s="145">
        <v>0</v>
      </c>
      <c r="C104" s="145">
        <v>0</v>
      </c>
      <c r="D104" s="110"/>
      <c r="E104" s="110"/>
      <c r="F104" s="110"/>
      <c r="G104" s="110"/>
      <c r="H104" s="110"/>
      <c r="I104" s="110"/>
      <c r="J104" s="110"/>
      <c r="K104" s="110"/>
      <c r="L104" s="110"/>
      <c r="M104" s="110"/>
      <c r="N104" s="110"/>
      <c r="O104" s="110"/>
      <c r="P104" s="110"/>
      <c r="Q104" s="110"/>
      <c r="R104" s="110"/>
      <c r="S104" s="110"/>
    </row>
    <row r="105" spans="1:19" ht="15" x14ac:dyDescent="0.2">
      <c r="A105" s="148" t="s">
        <v>121</v>
      </c>
      <c r="B105" s="145">
        <v>0</v>
      </c>
      <c r="C105" s="145">
        <v>0</v>
      </c>
      <c r="D105" s="110"/>
      <c r="E105" s="110"/>
      <c r="F105" s="110"/>
      <c r="G105" s="110"/>
      <c r="H105" s="110"/>
      <c r="I105" s="110"/>
      <c r="J105" s="110"/>
      <c r="K105" s="110"/>
      <c r="L105" s="110"/>
      <c r="M105" s="110"/>
      <c r="N105" s="110"/>
      <c r="O105" s="110"/>
      <c r="P105" s="110"/>
      <c r="Q105" s="110"/>
      <c r="R105" s="110"/>
      <c r="S105" s="110"/>
    </row>
    <row r="106" spans="1:19" ht="15" x14ac:dyDescent="0.2">
      <c r="A106" s="148" t="s">
        <v>122</v>
      </c>
      <c r="B106" s="145">
        <v>0</v>
      </c>
      <c r="C106" s="145">
        <v>0</v>
      </c>
      <c r="D106" s="110"/>
      <c r="E106" s="110"/>
      <c r="F106" s="110"/>
      <c r="G106" s="110"/>
      <c r="H106" s="110"/>
      <c r="I106" s="110"/>
      <c r="J106" s="110"/>
      <c r="K106" s="110"/>
      <c r="L106" s="110"/>
      <c r="M106" s="110"/>
      <c r="N106" s="110"/>
      <c r="O106" s="110"/>
      <c r="P106" s="110"/>
      <c r="Q106" s="110"/>
      <c r="R106" s="110"/>
      <c r="S106" s="110"/>
    </row>
    <row r="107" spans="1:19" ht="15" x14ac:dyDescent="0.2">
      <c r="A107" s="148" t="s">
        <v>48</v>
      </c>
      <c r="B107" s="145">
        <v>0</v>
      </c>
      <c r="C107" s="145">
        <v>0</v>
      </c>
      <c r="D107" s="110"/>
      <c r="E107" s="110"/>
      <c r="F107" s="110"/>
      <c r="G107" s="110"/>
      <c r="H107" s="110"/>
      <c r="I107" s="110"/>
      <c r="J107" s="110"/>
      <c r="K107" s="110"/>
      <c r="L107" s="110"/>
      <c r="M107" s="110"/>
      <c r="N107" s="110"/>
      <c r="O107" s="110"/>
      <c r="P107" s="110"/>
      <c r="Q107" s="110"/>
      <c r="R107" s="110"/>
      <c r="S107" s="110"/>
    </row>
    <row r="108" spans="1:19" ht="15" x14ac:dyDescent="0.2">
      <c r="A108" s="148"/>
      <c r="B108" s="156"/>
      <c r="C108" s="156"/>
      <c r="D108" s="110"/>
      <c r="E108" s="110"/>
      <c r="F108" s="110"/>
      <c r="G108" s="110"/>
      <c r="H108" s="110"/>
      <c r="I108" s="110"/>
      <c r="J108" s="110"/>
      <c r="K108" s="110"/>
      <c r="L108" s="110"/>
      <c r="M108" s="110"/>
      <c r="N108" s="110"/>
      <c r="O108" s="110"/>
      <c r="P108" s="110"/>
      <c r="Q108" s="110"/>
      <c r="R108" s="110"/>
      <c r="S108" s="110"/>
    </row>
    <row r="109" spans="1:19" x14ac:dyDescent="0.2">
      <c r="A109" s="152" t="s">
        <v>200</v>
      </c>
      <c r="B109" s="156"/>
      <c r="C109" s="156"/>
      <c r="D109" s="110"/>
      <c r="E109" s="110"/>
      <c r="F109" s="110"/>
      <c r="G109" s="110"/>
      <c r="H109" s="110"/>
      <c r="I109" s="110"/>
      <c r="J109" s="110"/>
      <c r="K109" s="110"/>
      <c r="L109" s="110"/>
      <c r="M109" s="110"/>
      <c r="N109" s="110"/>
      <c r="O109" s="110"/>
      <c r="P109" s="110"/>
      <c r="Q109" s="110"/>
      <c r="R109" s="110"/>
      <c r="S109" s="110"/>
    </row>
    <row r="110" spans="1:19" x14ac:dyDescent="0.2">
      <c r="A110" s="151" t="s">
        <v>207</v>
      </c>
      <c r="B110" s="154" t="str">
        <f>B93</f>
        <v>MyCounty</v>
      </c>
      <c r="C110" s="154" t="str">
        <f>C93</f>
        <v>MyRegion</v>
      </c>
      <c r="D110" s="110"/>
      <c r="E110" s="110"/>
      <c r="F110" s="110"/>
      <c r="G110" s="110"/>
      <c r="H110" s="110"/>
      <c r="I110" s="110"/>
      <c r="J110" s="110"/>
      <c r="K110" s="110"/>
      <c r="L110" s="110"/>
      <c r="M110" s="110"/>
      <c r="N110" s="110"/>
      <c r="O110" s="110"/>
      <c r="P110" s="110"/>
      <c r="Q110" s="110"/>
      <c r="R110" s="110"/>
      <c r="S110" s="110"/>
    </row>
    <row r="111" spans="1:19" ht="15" x14ac:dyDescent="0.2">
      <c r="A111" s="148" t="s">
        <v>44</v>
      </c>
      <c r="B111" s="145">
        <v>0</v>
      </c>
      <c r="C111" s="145">
        <v>0</v>
      </c>
      <c r="D111" s="110"/>
      <c r="E111" s="110"/>
      <c r="F111" s="110"/>
      <c r="G111" s="110"/>
      <c r="H111" s="110"/>
      <c r="I111" s="110"/>
      <c r="J111" s="110"/>
      <c r="K111" s="110"/>
      <c r="L111" s="110"/>
      <c r="M111" s="110"/>
      <c r="N111" s="110"/>
      <c r="O111" s="110"/>
      <c r="P111" s="110"/>
      <c r="Q111" s="110"/>
      <c r="R111" s="110"/>
      <c r="S111" s="110"/>
    </row>
    <row r="112" spans="1:19" ht="15" x14ac:dyDescent="0.2">
      <c r="A112" s="148" t="s">
        <v>114</v>
      </c>
      <c r="B112" s="145">
        <v>0</v>
      </c>
      <c r="C112" s="145">
        <v>0</v>
      </c>
      <c r="D112" s="110"/>
      <c r="E112" s="110"/>
      <c r="F112" s="110"/>
      <c r="G112" s="110"/>
      <c r="H112" s="110"/>
      <c r="I112" s="110"/>
      <c r="J112" s="110"/>
      <c r="K112" s="110"/>
      <c r="L112" s="110"/>
      <c r="M112" s="110"/>
      <c r="N112" s="110"/>
      <c r="O112" s="110"/>
      <c r="P112" s="110"/>
      <c r="Q112" s="110"/>
      <c r="R112" s="110"/>
      <c r="S112" s="110"/>
    </row>
    <row r="113" spans="1:19" ht="15" x14ac:dyDescent="0.2">
      <c r="A113" s="148" t="s">
        <v>45</v>
      </c>
      <c r="B113" s="145">
        <v>0</v>
      </c>
      <c r="C113" s="145">
        <v>0</v>
      </c>
      <c r="D113" s="110"/>
      <c r="E113" s="110"/>
      <c r="F113" s="110"/>
      <c r="G113" s="110"/>
      <c r="H113" s="110"/>
      <c r="I113" s="110"/>
      <c r="J113" s="110"/>
      <c r="K113" s="110"/>
      <c r="L113" s="110"/>
      <c r="M113" s="110"/>
      <c r="N113" s="110"/>
      <c r="O113" s="110"/>
      <c r="P113" s="110"/>
      <c r="Q113" s="110"/>
      <c r="R113" s="110"/>
      <c r="S113" s="110"/>
    </row>
    <row r="114" spans="1:19" ht="15" x14ac:dyDescent="0.2">
      <c r="A114" s="148" t="s">
        <v>115</v>
      </c>
      <c r="B114" s="145">
        <v>0</v>
      </c>
      <c r="C114" s="145">
        <v>0</v>
      </c>
      <c r="D114" s="110"/>
      <c r="E114" s="110"/>
      <c r="F114" s="110"/>
      <c r="G114" s="110"/>
      <c r="H114" s="110"/>
      <c r="I114" s="110"/>
      <c r="J114" s="110"/>
      <c r="K114" s="110"/>
      <c r="L114" s="110"/>
      <c r="M114" s="110"/>
      <c r="N114" s="110"/>
      <c r="O114" s="110"/>
      <c r="P114" s="110"/>
      <c r="Q114" s="110"/>
      <c r="R114" s="110"/>
      <c r="S114" s="110"/>
    </row>
    <row r="115" spans="1:19" ht="15" x14ac:dyDescent="0.2">
      <c r="A115" s="148" t="s">
        <v>116</v>
      </c>
      <c r="B115" s="145">
        <v>0</v>
      </c>
      <c r="C115" s="145">
        <v>0</v>
      </c>
      <c r="D115" s="110"/>
      <c r="E115" s="110"/>
      <c r="F115" s="110"/>
      <c r="G115" s="110"/>
      <c r="H115" s="110"/>
      <c r="I115" s="110"/>
      <c r="J115" s="110"/>
      <c r="K115" s="110"/>
      <c r="L115" s="110"/>
      <c r="M115" s="110"/>
      <c r="N115" s="110"/>
      <c r="O115" s="110"/>
      <c r="P115" s="110"/>
      <c r="Q115" s="110"/>
      <c r="R115" s="110"/>
      <c r="S115" s="110"/>
    </row>
    <row r="116" spans="1:19" ht="15" x14ac:dyDescent="0.2">
      <c r="A116" s="148" t="s">
        <v>117</v>
      </c>
      <c r="B116" s="145">
        <v>0</v>
      </c>
      <c r="C116" s="145">
        <v>0</v>
      </c>
      <c r="D116" s="110"/>
      <c r="E116" s="110"/>
      <c r="F116" s="110"/>
      <c r="G116" s="110"/>
      <c r="H116" s="110"/>
      <c r="I116" s="110"/>
      <c r="J116" s="110"/>
      <c r="K116" s="110"/>
      <c r="L116" s="110"/>
      <c r="M116" s="110"/>
      <c r="N116" s="110"/>
      <c r="O116" s="110"/>
      <c r="P116" s="110"/>
      <c r="Q116" s="110"/>
      <c r="R116" s="110"/>
      <c r="S116" s="110"/>
    </row>
    <row r="117" spans="1:19" ht="15" x14ac:dyDescent="0.2">
      <c r="A117" s="148" t="s">
        <v>118</v>
      </c>
      <c r="B117" s="145">
        <v>0</v>
      </c>
      <c r="C117" s="145">
        <v>0</v>
      </c>
      <c r="D117" s="110"/>
      <c r="E117" s="110"/>
      <c r="F117" s="110"/>
      <c r="G117" s="110"/>
      <c r="H117" s="110"/>
      <c r="I117" s="110"/>
      <c r="J117" s="110"/>
      <c r="K117" s="110"/>
      <c r="L117" s="110"/>
      <c r="M117" s="110"/>
      <c r="N117" s="110"/>
      <c r="O117" s="110"/>
      <c r="P117" s="110"/>
      <c r="Q117" s="110"/>
      <c r="R117" s="110"/>
      <c r="S117" s="110"/>
    </row>
    <row r="118" spans="1:19" ht="15" x14ac:dyDescent="0.2">
      <c r="A118" s="148" t="s">
        <v>119</v>
      </c>
      <c r="B118" s="145">
        <v>0</v>
      </c>
      <c r="C118" s="145">
        <v>0</v>
      </c>
      <c r="D118" s="110"/>
      <c r="E118" s="110"/>
      <c r="F118" s="110"/>
      <c r="G118" s="110"/>
      <c r="H118" s="110"/>
      <c r="I118" s="110"/>
      <c r="J118" s="110"/>
      <c r="K118" s="110"/>
      <c r="L118" s="110"/>
      <c r="M118" s="110"/>
      <c r="N118" s="110"/>
      <c r="O118" s="110"/>
      <c r="P118" s="110"/>
      <c r="Q118" s="110"/>
      <c r="R118" s="110"/>
      <c r="S118" s="110"/>
    </row>
    <row r="119" spans="1:19" ht="15" x14ac:dyDescent="0.2">
      <c r="A119" s="148" t="s">
        <v>46</v>
      </c>
      <c r="B119" s="145">
        <v>0</v>
      </c>
      <c r="C119" s="145">
        <v>0</v>
      </c>
      <c r="D119" s="110"/>
      <c r="E119" s="110"/>
      <c r="F119" s="110"/>
      <c r="G119" s="110"/>
      <c r="H119" s="110"/>
      <c r="I119" s="110"/>
      <c r="J119" s="110"/>
      <c r="K119" s="110"/>
      <c r="L119" s="110"/>
      <c r="M119" s="110"/>
      <c r="N119" s="110"/>
      <c r="O119" s="110"/>
      <c r="P119" s="110"/>
      <c r="Q119" s="110"/>
      <c r="R119" s="110"/>
      <c r="S119" s="110"/>
    </row>
    <row r="120" spans="1:19" ht="15" x14ac:dyDescent="0.2">
      <c r="A120" s="148" t="s">
        <v>47</v>
      </c>
      <c r="B120" s="145">
        <v>0</v>
      </c>
      <c r="C120" s="145">
        <v>0</v>
      </c>
      <c r="D120" s="110"/>
      <c r="E120" s="110"/>
      <c r="F120" s="110"/>
      <c r="G120" s="110"/>
      <c r="H120" s="110"/>
      <c r="I120" s="110"/>
      <c r="J120" s="110"/>
      <c r="K120" s="110"/>
      <c r="L120" s="110"/>
      <c r="M120" s="110"/>
      <c r="N120" s="110"/>
      <c r="O120" s="110"/>
      <c r="P120" s="110"/>
      <c r="Q120" s="110"/>
      <c r="R120" s="110"/>
      <c r="S120" s="110"/>
    </row>
    <row r="121" spans="1:19" ht="15" x14ac:dyDescent="0.2">
      <c r="A121" s="148" t="s">
        <v>120</v>
      </c>
      <c r="B121" s="145">
        <v>0</v>
      </c>
      <c r="C121" s="145">
        <v>0</v>
      </c>
      <c r="D121" s="110"/>
      <c r="E121" s="110"/>
      <c r="F121" s="110"/>
      <c r="G121" s="110"/>
      <c r="H121" s="110"/>
      <c r="I121" s="110"/>
      <c r="J121" s="110"/>
      <c r="K121" s="110"/>
      <c r="L121" s="110"/>
      <c r="M121" s="110"/>
      <c r="N121" s="110"/>
      <c r="O121" s="110"/>
      <c r="P121" s="110"/>
      <c r="Q121" s="110"/>
      <c r="R121" s="110"/>
      <c r="S121" s="110"/>
    </row>
    <row r="122" spans="1:19" ht="15" x14ac:dyDescent="0.2">
      <c r="A122" s="148" t="s">
        <v>121</v>
      </c>
      <c r="B122" s="145">
        <v>0</v>
      </c>
      <c r="C122" s="145">
        <v>0</v>
      </c>
      <c r="D122" s="110"/>
      <c r="E122" s="110"/>
      <c r="F122" s="110"/>
      <c r="G122" s="110"/>
      <c r="H122" s="110"/>
      <c r="I122" s="110"/>
      <c r="J122" s="110"/>
      <c r="K122" s="110"/>
      <c r="L122" s="110"/>
      <c r="M122" s="110"/>
      <c r="N122" s="110"/>
      <c r="O122" s="110"/>
      <c r="P122" s="110"/>
      <c r="Q122" s="110"/>
      <c r="R122" s="110"/>
      <c r="S122" s="110"/>
    </row>
    <row r="123" spans="1:19" ht="15" x14ac:dyDescent="0.2">
      <c r="A123" s="148" t="s">
        <v>122</v>
      </c>
      <c r="B123" s="145">
        <v>0</v>
      </c>
      <c r="C123" s="145">
        <v>0</v>
      </c>
      <c r="D123" s="110"/>
      <c r="E123" s="110"/>
      <c r="F123" s="110"/>
      <c r="G123" s="110"/>
      <c r="H123" s="110"/>
      <c r="I123" s="110"/>
      <c r="J123" s="110"/>
      <c r="K123" s="110"/>
      <c r="L123" s="110"/>
      <c r="M123" s="110"/>
      <c r="N123" s="110"/>
      <c r="O123" s="110"/>
      <c r="P123" s="110"/>
      <c r="Q123" s="110"/>
      <c r="R123" s="110"/>
      <c r="S123" s="110"/>
    </row>
    <row r="124" spans="1:19" ht="15" x14ac:dyDescent="0.2">
      <c r="A124" s="148" t="s">
        <v>48</v>
      </c>
      <c r="B124" s="145">
        <v>0</v>
      </c>
      <c r="C124" s="145">
        <v>0</v>
      </c>
      <c r="D124" s="110"/>
      <c r="E124" s="110"/>
      <c r="F124" s="110"/>
      <c r="G124" s="110"/>
      <c r="H124" s="110"/>
      <c r="I124" s="110"/>
      <c r="J124" s="110"/>
      <c r="K124" s="110"/>
      <c r="L124" s="110"/>
      <c r="M124" s="110"/>
      <c r="N124" s="110"/>
      <c r="O124" s="110"/>
      <c r="P124" s="110"/>
      <c r="Q124" s="110"/>
      <c r="R124" s="110"/>
      <c r="S124" s="110"/>
    </row>
    <row r="125" spans="1:19" ht="15" x14ac:dyDescent="0.2">
      <c r="A125" s="148"/>
      <c r="B125" s="156"/>
      <c r="C125" s="156"/>
      <c r="D125" s="110"/>
      <c r="E125" s="110"/>
      <c r="F125" s="110"/>
      <c r="G125" s="110"/>
      <c r="H125" s="110"/>
      <c r="I125" s="110"/>
      <c r="J125" s="110"/>
      <c r="K125" s="110"/>
      <c r="L125" s="110"/>
      <c r="M125" s="110"/>
      <c r="N125" s="110"/>
      <c r="O125" s="110"/>
      <c r="P125" s="110"/>
      <c r="Q125" s="110"/>
      <c r="R125" s="110"/>
      <c r="S125" s="110"/>
    </row>
    <row r="126" spans="1:19" x14ac:dyDescent="0.2">
      <c r="A126" s="152" t="s">
        <v>200</v>
      </c>
      <c r="B126" s="156"/>
      <c r="C126" s="156"/>
      <c r="D126" s="110"/>
      <c r="E126" s="110"/>
      <c r="F126" s="110"/>
      <c r="G126" s="110"/>
      <c r="H126" s="110"/>
      <c r="I126" s="110"/>
      <c r="J126" s="110"/>
      <c r="K126" s="110"/>
      <c r="L126" s="110"/>
      <c r="M126" s="110"/>
      <c r="N126" s="110"/>
      <c r="O126" s="110"/>
      <c r="P126" s="110"/>
      <c r="Q126" s="110"/>
      <c r="R126" s="110"/>
      <c r="S126" s="110"/>
    </row>
    <row r="127" spans="1:19" x14ac:dyDescent="0.2">
      <c r="A127" s="151" t="s">
        <v>208</v>
      </c>
      <c r="B127" s="154" t="str">
        <f>B110</f>
        <v>MyCounty</v>
      </c>
      <c r="C127" s="154" t="str">
        <f>C110</f>
        <v>MyRegion</v>
      </c>
      <c r="D127" s="110"/>
      <c r="E127" s="110"/>
      <c r="F127" s="110"/>
      <c r="G127" s="110"/>
      <c r="H127" s="110"/>
      <c r="I127" s="110"/>
      <c r="J127" s="110"/>
      <c r="K127" s="110"/>
      <c r="L127" s="110"/>
      <c r="M127" s="110"/>
      <c r="N127" s="110"/>
      <c r="O127" s="110"/>
      <c r="P127" s="110"/>
      <c r="Q127" s="110"/>
      <c r="R127" s="110"/>
      <c r="S127" s="110"/>
    </row>
    <row r="128" spans="1:19" ht="15" x14ac:dyDescent="0.2">
      <c r="A128" s="148" t="s">
        <v>44</v>
      </c>
      <c r="B128" s="145">
        <v>0</v>
      </c>
      <c r="C128" s="145">
        <v>0</v>
      </c>
      <c r="D128" s="110"/>
      <c r="E128" s="110"/>
      <c r="F128" s="110"/>
      <c r="G128" s="110"/>
      <c r="H128" s="110"/>
      <c r="I128" s="110"/>
      <c r="J128" s="110"/>
      <c r="K128" s="110"/>
      <c r="L128" s="110"/>
      <c r="M128" s="110"/>
      <c r="N128" s="110"/>
      <c r="O128" s="110"/>
      <c r="P128" s="110"/>
      <c r="Q128" s="110"/>
      <c r="R128" s="110"/>
      <c r="S128" s="110"/>
    </row>
    <row r="129" spans="1:19" ht="15" x14ac:dyDescent="0.2">
      <c r="A129" s="148" t="s">
        <v>114</v>
      </c>
      <c r="B129" s="145">
        <v>0</v>
      </c>
      <c r="C129" s="145">
        <v>0</v>
      </c>
      <c r="D129" s="110"/>
      <c r="E129" s="110"/>
      <c r="F129" s="110"/>
      <c r="G129" s="110"/>
      <c r="H129" s="110"/>
      <c r="I129" s="110"/>
      <c r="J129" s="110"/>
      <c r="K129" s="110"/>
      <c r="L129" s="110"/>
      <c r="M129" s="110"/>
      <c r="N129" s="110"/>
      <c r="O129" s="110"/>
      <c r="P129" s="110"/>
      <c r="Q129" s="110"/>
      <c r="R129" s="110"/>
      <c r="S129" s="110"/>
    </row>
    <row r="130" spans="1:19" ht="15" x14ac:dyDescent="0.2">
      <c r="A130" s="148" t="s">
        <v>45</v>
      </c>
      <c r="B130" s="145">
        <v>0</v>
      </c>
      <c r="C130" s="145">
        <v>0</v>
      </c>
      <c r="D130" s="110"/>
      <c r="E130" s="110"/>
      <c r="F130" s="110"/>
      <c r="G130" s="110"/>
      <c r="H130" s="110"/>
      <c r="I130" s="110"/>
      <c r="J130" s="110"/>
      <c r="K130" s="110"/>
      <c r="L130" s="110"/>
      <c r="M130" s="110"/>
      <c r="N130" s="110"/>
      <c r="O130" s="110"/>
      <c r="P130" s="110"/>
      <c r="Q130" s="110"/>
      <c r="R130" s="110"/>
      <c r="S130" s="110"/>
    </row>
    <row r="131" spans="1:19" ht="15" x14ac:dyDescent="0.2">
      <c r="A131" s="148" t="s">
        <v>115</v>
      </c>
      <c r="B131" s="145">
        <v>0</v>
      </c>
      <c r="C131" s="145">
        <v>0</v>
      </c>
      <c r="D131" s="110"/>
      <c r="E131" s="110"/>
      <c r="F131" s="110"/>
      <c r="G131" s="110"/>
      <c r="H131" s="110"/>
      <c r="I131" s="110"/>
      <c r="J131" s="110"/>
      <c r="K131" s="110"/>
      <c r="L131" s="110"/>
      <c r="M131" s="110"/>
      <c r="N131" s="110"/>
      <c r="O131" s="110"/>
      <c r="P131" s="110"/>
      <c r="Q131" s="110"/>
      <c r="R131" s="110"/>
      <c r="S131" s="110"/>
    </row>
    <row r="132" spans="1:19" ht="15" x14ac:dyDescent="0.2">
      <c r="A132" s="148" t="s">
        <v>116</v>
      </c>
      <c r="B132" s="145">
        <v>0</v>
      </c>
      <c r="C132" s="145">
        <v>0</v>
      </c>
      <c r="D132" s="110"/>
      <c r="E132" s="110"/>
      <c r="F132" s="110"/>
      <c r="G132" s="110"/>
      <c r="H132" s="110"/>
      <c r="I132" s="110"/>
      <c r="J132" s="110"/>
      <c r="K132" s="110"/>
      <c r="L132" s="110"/>
      <c r="M132" s="110"/>
      <c r="N132" s="110"/>
      <c r="O132" s="110"/>
      <c r="P132" s="110"/>
      <c r="Q132" s="110"/>
      <c r="R132" s="110"/>
      <c r="S132" s="110"/>
    </row>
    <row r="133" spans="1:19" ht="15" x14ac:dyDescent="0.2">
      <c r="A133" s="148" t="s">
        <v>117</v>
      </c>
      <c r="B133" s="145">
        <v>0</v>
      </c>
      <c r="C133" s="145">
        <v>0</v>
      </c>
      <c r="D133" s="110"/>
      <c r="E133" s="110"/>
      <c r="F133" s="110"/>
      <c r="G133" s="110"/>
      <c r="H133" s="110"/>
      <c r="I133" s="110"/>
      <c r="J133" s="110"/>
      <c r="K133" s="110"/>
      <c r="L133" s="110"/>
      <c r="M133" s="110"/>
      <c r="N133" s="110"/>
      <c r="O133" s="110"/>
      <c r="P133" s="110"/>
      <c r="Q133" s="110"/>
      <c r="R133" s="110"/>
      <c r="S133" s="110"/>
    </row>
    <row r="134" spans="1:19" ht="15" x14ac:dyDescent="0.2">
      <c r="A134" s="148" t="s">
        <v>118</v>
      </c>
      <c r="B134" s="145">
        <v>0</v>
      </c>
      <c r="C134" s="145">
        <v>0</v>
      </c>
      <c r="D134" s="110"/>
      <c r="E134" s="110"/>
      <c r="F134" s="110"/>
      <c r="G134" s="110"/>
      <c r="H134" s="110"/>
      <c r="I134" s="110"/>
      <c r="J134" s="110"/>
      <c r="K134" s="110"/>
      <c r="L134" s="110"/>
      <c r="M134" s="110"/>
      <c r="N134" s="110"/>
      <c r="O134" s="110"/>
      <c r="P134" s="110"/>
      <c r="Q134" s="110"/>
      <c r="R134" s="110"/>
      <c r="S134" s="110"/>
    </row>
    <row r="135" spans="1:19" ht="15" x14ac:dyDescent="0.2">
      <c r="A135" s="148" t="s">
        <v>119</v>
      </c>
      <c r="B135" s="145">
        <v>0</v>
      </c>
      <c r="C135" s="145">
        <v>0</v>
      </c>
      <c r="D135" s="110"/>
      <c r="E135" s="110"/>
      <c r="F135" s="110"/>
      <c r="G135" s="110"/>
      <c r="H135" s="110"/>
      <c r="I135" s="110"/>
      <c r="J135" s="110"/>
      <c r="K135" s="110"/>
      <c r="L135" s="110"/>
      <c r="M135" s="110"/>
      <c r="N135" s="110"/>
      <c r="O135" s="110"/>
      <c r="P135" s="110"/>
      <c r="Q135" s="110"/>
      <c r="R135" s="110"/>
      <c r="S135" s="110"/>
    </row>
    <row r="136" spans="1:19" ht="15" x14ac:dyDescent="0.2">
      <c r="A136" s="148" t="s">
        <v>46</v>
      </c>
      <c r="B136" s="145">
        <v>0</v>
      </c>
      <c r="C136" s="145">
        <v>0</v>
      </c>
      <c r="D136" s="110"/>
      <c r="E136" s="110"/>
      <c r="F136" s="110"/>
      <c r="G136" s="110"/>
      <c r="H136" s="110"/>
      <c r="I136" s="110"/>
      <c r="J136" s="110"/>
      <c r="K136" s="110"/>
      <c r="L136" s="110"/>
      <c r="M136" s="110"/>
      <c r="N136" s="110"/>
      <c r="O136" s="110"/>
      <c r="P136" s="110"/>
      <c r="Q136" s="110"/>
      <c r="R136" s="110"/>
      <c r="S136" s="110"/>
    </row>
    <row r="137" spans="1:19" ht="15" x14ac:dyDescent="0.2">
      <c r="A137" s="148" t="s">
        <v>47</v>
      </c>
      <c r="B137" s="145">
        <v>0</v>
      </c>
      <c r="C137" s="145">
        <v>0</v>
      </c>
      <c r="D137" s="110"/>
      <c r="E137" s="110"/>
      <c r="F137" s="110"/>
      <c r="G137" s="110"/>
      <c r="H137" s="110"/>
      <c r="I137" s="110"/>
      <c r="J137" s="110"/>
      <c r="K137" s="110"/>
      <c r="L137" s="110"/>
      <c r="M137" s="110"/>
      <c r="N137" s="110"/>
      <c r="O137" s="110"/>
      <c r="P137" s="110"/>
      <c r="Q137" s="110"/>
      <c r="R137" s="110"/>
      <c r="S137" s="110"/>
    </row>
    <row r="138" spans="1:19" ht="15" x14ac:dyDescent="0.2">
      <c r="A138" s="148" t="s">
        <v>120</v>
      </c>
      <c r="B138" s="145">
        <v>0</v>
      </c>
      <c r="C138" s="145">
        <v>0</v>
      </c>
      <c r="D138" s="110"/>
      <c r="E138" s="110"/>
      <c r="F138" s="110"/>
      <c r="G138" s="110"/>
      <c r="H138" s="110"/>
      <c r="I138" s="110"/>
      <c r="J138" s="110"/>
      <c r="K138" s="110"/>
      <c r="L138" s="110"/>
      <c r="M138" s="110"/>
      <c r="N138" s="110"/>
      <c r="O138" s="110"/>
      <c r="P138" s="110"/>
      <c r="Q138" s="110"/>
      <c r="R138" s="110"/>
      <c r="S138" s="110"/>
    </row>
    <row r="139" spans="1:19" ht="15" x14ac:dyDescent="0.2">
      <c r="A139" s="148" t="s">
        <v>121</v>
      </c>
      <c r="B139" s="145">
        <v>0</v>
      </c>
      <c r="C139" s="145">
        <v>0</v>
      </c>
      <c r="D139" s="110"/>
      <c r="E139" s="110"/>
      <c r="F139" s="110"/>
      <c r="G139" s="110"/>
      <c r="H139" s="110"/>
      <c r="I139" s="110"/>
      <c r="J139" s="110"/>
      <c r="K139" s="110"/>
      <c r="L139" s="110"/>
      <c r="M139" s="110"/>
      <c r="N139" s="110"/>
      <c r="O139" s="110"/>
      <c r="P139" s="110"/>
      <c r="Q139" s="110"/>
      <c r="R139" s="110"/>
      <c r="S139" s="110"/>
    </row>
    <row r="140" spans="1:19" ht="15" x14ac:dyDescent="0.2">
      <c r="A140" s="148" t="s">
        <v>122</v>
      </c>
      <c r="B140" s="145">
        <v>0</v>
      </c>
      <c r="C140" s="145">
        <v>0</v>
      </c>
      <c r="D140" s="110"/>
      <c r="E140" s="110"/>
      <c r="F140" s="110"/>
      <c r="G140" s="110"/>
      <c r="H140" s="110"/>
      <c r="I140" s="110"/>
      <c r="J140" s="110"/>
      <c r="K140" s="110"/>
      <c r="L140" s="110"/>
      <c r="M140" s="110"/>
      <c r="N140" s="110"/>
      <c r="O140" s="110"/>
      <c r="P140" s="110"/>
      <c r="Q140" s="110"/>
      <c r="R140" s="110"/>
      <c r="S140" s="110"/>
    </row>
    <row r="141" spans="1:19" ht="15" x14ac:dyDescent="0.2">
      <c r="A141" s="148" t="s">
        <v>48</v>
      </c>
      <c r="B141" s="145">
        <v>0</v>
      </c>
      <c r="C141" s="145">
        <v>0</v>
      </c>
      <c r="D141" s="110"/>
      <c r="E141" s="110"/>
      <c r="F141" s="110"/>
      <c r="G141" s="110"/>
      <c r="H141" s="110"/>
      <c r="I141" s="110"/>
      <c r="J141" s="110"/>
      <c r="K141" s="110"/>
      <c r="L141" s="110"/>
      <c r="M141" s="110"/>
      <c r="N141" s="110"/>
      <c r="O141" s="110"/>
      <c r="P141" s="110"/>
      <c r="Q141" s="110"/>
      <c r="R141" s="110"/>
      <c r="S141" s="110"/>
    </row>
    <row r="142" spans="1:19" x14ac:dyDescent="0.2">
      <c r="A142" s="110"/>
      <c r="B142" s="157"/>
      <c r="C142" s="157"/>
      <c r="D142" s="110"/>
      <c r="E142" s="110"/>
      <c r="F142" s="110"/>
      <c r="G142" s="110"/>
      <c r="H142" s="110"/>
      <c r="I142" s="110"/>
      <c r="J142" s="110"/>
      <c r="K142" s="110"/>
      <c r="L142" s="110"/>
      <c r="M142" s="110"/>
      <c r="N142" s="110"/>
      <c r="O142" s="110"/>
      <c r="P142" s="110"/>
      <c r="Q142" s="110"/>
      <c r="R142" s="110"/>
      <c r="S142" s="110"/>
    </row>
    <row r="143" spans="1:19" x14ac:dyDescent="0.2">
      <c r="A143" s="152" t="s">
        <v>200</v>
      </c>
      <c r="B143" s="157"/>
      <c r="C143" s="157"/>
      <c r="D143" s="110"/>
      <c r="E143" s="110"/>
      <c r="F143" s="110"/>
      <c r="G143" s="110"/>
      <c r="H143" s="110"/>
      <c r="I143" s="110"/>
      <c r="J143" s="110"/>
      <c r="K143" s="110"/>
      <c r="L143" s="110"/>
      <c r="M143" s="110"/>
      <c r="N143" s="110"/>
      <c r="O143" s="110"/>
      <c r="P143" s="110"/>
      <c r="Q143" s="110"/>
      <c r="R143" s="110"/>
      <c r="S143" s="110"/>
    </row>
    <row r="144" spans="1:19" x14ac:dyDescent="0.2">
      <c r="A144" s="151" t="s">
        <v>209</v>
      </c>
      <c r="B144" s="162" t="str">
        <f>B127</f>
        <v>MyCounty</v>
      </c>
      <c r="C144" s="162" t="str">
        <f>C127</f>
        <v>MyRegion</v>
      </c>
      <c r="D144" s="110"/>
      <c r="E144" s="110"/>
      <c r="F144" s="110"/>
      <c r="G144" s="110"/>
      <c r="H144" s="110"/>
      <c r="I144" s="110"/>
      <c r="J144" s="110"/>
      <c r="K144" s="110"/>
      <c r="L144" s="110"/>
      <c r="M144" s="110"/>
      <c r="N144" s="110"/>
      <c r="O144" s="110"/>
      <c r="P144" s="110"/>
      <c r="Q144" s="110"/>
      <c r="R144" s="110"/>
      <c r="S144" s="110"/>
    </row>
    <row r="145" spans="1:19" ht="15" x14ac:dyDescent="0.2">
      <c r="A145" s="148" t="s">
        <v>44</v>
      </c>
      <c r="B145" s="145">
        <v>0</v>
      </c>
      <c r="C145" s="145">
        <v>0</v>
      </c>
      <c r="D145" s="110"/>
      <c r="E145" s="110"/>
      <c r="F145" s="110"/>
      <c r="G145" s="110"/>
      <c r="H145" s="110"/>
      <c r="I145" s="110"/>
      <c r="J145" s="110"/>
      <c r="K145" s="110"/>
      <c r="L145" s="110"/>
      <c r="M145" s="110"/>
      <c r="N145" s="110"/>
      <c r="O145" s="110"/>
      <c r="P145" s="110"/>
      <c r="Q145" s="110"/>
      <c r="R145" s="110"/>
      <c r="S145" s="110"/>
    </row>
    <row r="146" spans="1:19" ht="15" x14ac:dyDescent="0.2">
      <c r="A146" s="148" t="s">
        <v>114</v>
      </c>
      <c r="B146" s="145">
        <v>0</v>
      </c>
      <c r="C146" s="145">
        <v>0</v>
      </c>
      <c r="D146" s="110"/>
      <c r="E146" s="110"/>
      <c r="F146" s="110"/>
      <c r="G146" s="110"/>
      <c r="H146" s="110"/>
      <c r="I146" s="110"/>
      <c r="J146" s="110"/>
      <c r="K146" s="110"/>
      <c r="L146" s="110"/>
      <c r="M146" s="110"/>
      <c r="N146" s="110"/>
      <c r="O146" s="110"/>
      <c r="P146" s="110"/>
      <c r="Q146" s="110"/>
      <c r="R146" s="110"/>
      <c r="S146" s="110"/>
    </row>
    <row r="147" spans="1:19" ht="15" x14ac:dyDescent="0.2">
      <c r="A147" s="148" t="s">
        <v>45</v>
      </c>
      <c r="B147" s="145">
        <v>0</v>
      </c>
      <c r="C147" s="145">
        <v>0</v>
      </c>
      <c r="D147" s="110"/>
      <c r="E147" s="110"/>
      <c r="F147" s="110"/>
      <c r="G147" s="110"/>
      <c r="H147" s="110"/>
      <c r="I147" s="110"/>
      <c r="J147" s="110"/>
      <c r="K147" s="110"/>
      <c r="L147" s="110"/>
      <c r="M147" s="110"/>
      <c r="N147" s="110"/>
      <c r="O147" s="110"/>
      <c r="P147" s="110"/>
      <c r="Q147" s="110"/>
      <c r="R147" s="110"/>
      <c r="S147" s="110"/>
    </row>
    <row r="148" spans="1:19" ht="15" x14ac:dyDescent="0.2">
      <c r="A148" s="148" t="s">
        <v>115</v>
      </c>
      <c r="B148" s="145">
        <v>0</v>
      </c>
      <c r="C148" s="145">
        <v>0</v>
      </c>
      <c r="D148" s="110"/>
      <c r="E148" s="110"/>
      <c r="F148" s="110"/>
      <c r="G148" s="110"/>
      <c r="H148" s="110"/>
      <c r="I148" s="110"/>
      <c r="J148" s="110"/>
      <c r="K148" s="110"/>
      <c r="L148" s="110"/>
      <c r="M148" s="110"/>
      <c r="N148" s="110"/>
      <c r="O148" s="110"/>
      <c r="P148" s="110"/>
      <c r="Q148" s="110"/>
      <c r="R148" s="110"/>
      <c r="S148" s="110"/>
    </row>
    <row r="149" spans="1:19" ht="15" x14ac:dyDescent="0.2">
      <c r="A149" s="148" t="s">
        <v>116</v>
      </c>
      <c r="B149" s="145">
        <v>0</v>
      </c>
      <c r="C149" s="145">
        <v>0</v>
      </c>
      <c r="D149" s="110"/>
      <c r="E149" s="110"/>
      <c r="F149" s="110"/>
      <c r="G149" s="110"/>
      <c r="H149" s="110"/>
      <c r="I149" s="110"/>
      <c r="J149" s="110"/>
      <c r="K149" s="110"/>
      <c r="L149" s="110"/>
      <c r="M149" s="110"/>
      <c r="N149" s="110"/>
      <c r="O149" s="110"/>
      <c r="P149" s="110"/>
      <c r="Q149" s="110"/>
      <c r="R149" s="110"/>
      <c r="S149" s="110"/>
    </row>
    <row r="150" spans="1:19" ht="15" x14ac:dyDescent="0.2">
      <c r="A150" s="148" t="s">
        <v>117</v>
      </c>
      <c r="B150" s="145">
        <v>0</v>
      </c>
      <c r="C150" s="145">
        <v>0</v>
      </c>
      <c r="D150" s="110"/>
      <c r="E150" s="110"/>
      <c r="F150" s="110"/>
      <c r="G150" s="110"/>
      <c r="H150" s="110"/>
      <c r="I150" s="110"/>
      <c r="J150" s="110"/>
      <c r="K150" s="110"/>
      <c r="L150" s="110"/>
      <c r="M150" s="110"/>
      <c r="N150" s="110"/>
      <c r="O150" s="110"/>
      <c r="P150" s="110"/>
      <c r="Q150" s="110"/>
      <c r="R150" s="110"/>
      <c r="S150" s="110"/>
    </row>
    <row r="151" spans="1:19" ht="15" x14ac:dyDescent="0.2">
      <c r="A151" s="148" t="s">
        <v>118</v>
      </c>
      <c r="B151" s="145">
        <v>0</v>
      </c>
      <c r="C151" s="145">
        <v>0</v>
      </c>
      <c r="D151" s="110"/>
      <c r="E151" s="110"/>
      <c r="F151" s="110"/>
      <c r="G151" s="110"/>
      <c r="H151" s="110"/>
      <c r="I151" s="110"/>
      <c r="J151" s="110"/>
      <c r="K151" s="110"/>
      <c r="L151" s="110"/>
      <c r="M151" s="110"/>
      <c r="N151" s="110"/>
      <c r="O151" s="110"/>
      <c r="P151" s="110"/>
      <c r="Q151" s="110"/>
      <c r="R151" s="110"/>
      <c r="S151" s="110"/>
    </row>
    <row r="152" spans="1:19" ht="15" x14ac:dyDescent="0.2">
      <c r="A152" s="148" t="s">
        <v>119</v>
      </c>
      <c r="B152" s="145">
        <v>0</v>
      </c>
      <c r="C152" s="145">
        <v>0</v>
      </c>
      <c r="D152" s="110"/>
      <c r="E152" s="110"/>
      <c r="F152" s="110"/>
      <c r="G152" s="110"/>
      <c r="H152" s="110"/>
      <c r="I152" s="110"/>
      <c r="J152" s="110"/>
      <c r="K152" s="110"/>
      <c r="L152" s="110"/>
      <c r="M152" s="110"/>
      <c r="N152" s="110"/>
      <c r="O152" s="110"/>
      <c r="P152" s="110"/>
      <c r="Q152" s="110"/>
      <c r="R152" s="110"/>
      <c r="S152" s="110"/>
    </row>
    <row r="153" spans="1:19" ht="15" x14ac:dyDescent="0.2">
      <c r="A153" s="148" t="s">
        <v>46</v>
      </c>
      <c r="B153" s="145">
        <v>0</v>
      </c>
      <c r="C153" s="145">
        <v>0</v>
      </c>
      <c r="D153" s="110"/>
      <c r="E153" s="110"/>
      <c r="F153" s="110"/>
      <c r="G153" s="110"/>
      <c r="H153" s="110"/>
      <c r="I153" s="110"/>
      <c r="J153" s="110"/>
      <c r="K153" s="110"/>
      <c r="L153" s="110"/>
      <c r="M153" s="110"/>
      <c r="N153" s="110"/>
      <c r="O153" s="110"/>
      <c r="P153" s="110"/>
      <c r="Q153" s="110"/>
      <c r="R153" s="110"/>
      <c r="S153" s="110"/>
    </row>
    <row r="154" spans="1:19" ht="15" x14ac:dyDescent="0.2">
      <c r="A154" s="148" t="s">
        <v>47</v>
      </c>
      <c r="B154" s="145">
        <v>0</v>
      </c>
      <c r="C154" s="145">
        <v>0</v>
      </c>
      <c r="D154" s="110"/>
      <c r="E154" s="110"/>
      <c r="F154" s="110"/>
      <c r="G154" s="110"/>
      <c r="H154" s="110"/>
      <c r="I154" s="110"/>
      <c r="J154" s="110"/>
      <c r="K154" s="110"/>
      <c r="L154" s="110"/>
      <c r="M154" s="110"/>
      <c r="N154" s="110"/>
      <c r="O154" s="110"/>
      <c r="P154" s="110"/>
      <c r="Q154" s="110"/>
      <c r="R154" s="110"/>
      <c r="S154" s="110"/>
    </row>
    <row r="155" spans="1:19" ht="15" x14ac:dyDescent="0.2">
      <c r="A155" s="148" t="s">
        <v>120</v>
      </c>
      <c r="B155" s="145">
        <v>0</v>
      </c>
      <c r="C155" s="145">
        <v>0</v>
      </c>
      <c r="D155" s="110"/>
      <c r="E155" s="110"/>
      <c r="F155" s="110"/>
      <c r="G155" s="110"/>
      <c r="H155" s="110"/>
      <c r="I155" s="110"/>
      <c r="J155" s="110"/>
      <c r="K155" s="110"/>
      <c r="L155" s="110"/>
      <c r="M155" s="110"/>
      <c r="N155" s="110"/>
      <c r="O155" s="110"/>
      <c r="P155" s="110"/>
      <c r="Q155" s="110"/>
      <c r="R155" s="110"/>
      <c r="S155" s="110"/>
    </row>
    <row r="156" spans="1:19" ht="15" x14ac:dyDescent="0.2">
      <c r="A156" s="148" t="s">
        <v>121</v>
      </c>
      <c r="B156" s="145">
        <v>0</v>
      </c>
      <c r="C156" s="145">
        <v>0</v>
      </c>
      <c r="D156" s="110"/>
      <c r="E156" s="110"/>
      <c r="F156" s="110"/>
      <c r="G156" s="110"/>
      <c r="H156" s="110"/>
      <c r="I156" s="110"/>
      <c r="J156" s="110"/>
      <c r="K156" s="110"/>
      <c r="L156" s="110"/>
      <c r="M156" s="110"/>
      <c r="N156" s="110"/>
      <c r="O156" s="110"/>
      <c r="P156" s="110"/>
      <c r="Q156" s="110"/>
      <c r="R156" s="110"/>
      <c r="S156" s="110"/>
    </row>
    <row r="157" spans="1:19" ht="15" x14ac:dyDescent="0.2">
      <c r="A157" s="148" t="s">
        <v>122</v>
      </c>
      <c r="B157" s="145">
        <v>0</v>
      </c>
      <c r="C157" s="145">
        <v>0</v>
      </c>
      <c r="D157" s="110"/>
      <c r="E157" s="110"/>
      <c r="F157" s="110"/>
      <c r="G157" s="110"/>
      <c r="H157" s="110"/>
      <c r="I157" s="110"/>
      <c r="J157" s="110"/>
      <c r="K157" s="110"/>
      <c r="L157" s="110"/>
      <c r="M157" s="110"/>
      <c r="N157" s="110"/>
      <c r="O157" s="110"/>
      <c r="P157" s="110"/>
      <c r="Q157" s="110"/>
      <c r="R157" s="110"/>
      <c r="S157" s="110"/>
    </row>
    <row r="158" spans="1:19" ht="15" x14ac:dyDescent="0.2">
      <c r="A158" s="148" t="s">
        <v>48</v>
      </c>
      <c r="B158" s="145">
        <v>0</v>
      </c>
      <c r="C158" s="145">
        <v>0</v>
      </c>
      <c r="D158" s="110"/>
      <c r="E158" s="110"/>
      <c r="F158" s="110"/>
      <c r="G158" s="110"/>
      <c r="H158" s="110"/>
      <c r="I158" s="110"/>
      <c r="J158" s="110"/>
      <c r="K158" s="110"/>
      <c r="L158" s="110"/>
      <c r="M158" s="110"/>
      <c r="N158" s="110"/>
      <c r="O158" s="110"/>
      <c r="P158" s="110"/>
      <c r="Q158" s="110"/>
      <c r="R158" s="110"/>
      <c r="S158" s="110"/>
    </row>
    <row r="159" spans="1:19" x14ac:dyDescent="0.2">
      <c r="A159" s="110"/>
      <c r="B159" s="110"/>
      <c r="C159" s="110"/>
      <c r="D159" s="110"/>
      <c r="E159" s="110"/>
      <c r="F159" s="110"/>
      <c r="G159" s="110"/>
      <c r="H159" s="110"/>
      <c r="I159" s="110"/>
      <c r="J159" s="110"/>
      <c r="K159" s="110"/>
      <c r="L159" s="110"/>
      <c r="M159" s="110"/>
      <c r="N159" s="110"/>
      <c r="O159" s="110"/>
      <c r="P159" s="110"/>
      <c r="Q159" s="110"/>
      <c r="R159" s="110"/>
      <c r="S159" s="110"/>
    </row>
    <row r="160" spans="1:19" x14ac:dyDescent="0.2">
      <c r="A160" s="408" t="s">
        <v>501</v>
      </c>
      <c r="B160" s="409"/>
      <c r="C160" s="409"/>
      <c r="D160" s="110"/>
      <c r="E160" s="110"/>
      <c r="F160" s="110"/>
      <c r="G160" s="110"/>
      <c r="H160" s="110"/>
      <c r="I160" s="110"/>
      <c r="J160" s="110"/>
      <c r="K160" s="110"/>
      <c r="L160" s="110"/>
      <c r="M160" s="110"/>
      <c r="N160" s="110"/>
      <c r="O160" s="110"/>
      <c r="P160" s="110"/>
      <c r="Q160" s="110"/>
      <c r="R160" s="110"/>
      <c r="S160" s="110"/>
    </row>
    <row r="161" spans="1:19" x14ac:dyDescent="0.2">
      <c r="A161" s="410" t="s">
        <v>522</v>
      </c>
      <c r="B161" s="411" t="s">
        <v>233</v>
      </c>
      <c r="C161" s="411" t="s">
        <v>232</v>
      </c>
      <c r="D161" s="110"/>
      <c r="E161" s="110"/>
      <c r="F161" s="110"/>
      <c r="G161" s="110"/>
      <c r="H161" s="110"/>
      <c r="I161" s="110"/>
      <c r="J161" s="110"/>
      <c r="K161" s="110"/>
      <c r="L161" s="110"/>
      <c r="M161" s="110"/>
      <c r="N161" s="110"/>
      <c r="O161" s="110"/>
      <c r="P161" s="110"/>
      <c r="Q161" s="110"/>
      <c r="R161" s="110"/>
      <c r="S161" s="110"/>
    </row>
    <row r="162" spans="1:19" ht="15" x14ac:dyDescent="0.2">
      <c r="A162" s="412" t="s">
        <v>44</v>
      </c>
      <c r="B162" s="413">
        <v>0</v>
      </c>
      <c r="C162" s="413">
        <v>0</v>
      </c>
      <c r="D162" s="110"/>
      <c r="E162" s="110"/>
      <c r="F162" s="110"/>
      <c r="G162" s="110"/>
      <c r="H162" s="110"/>
      <c r="I162" s="110"/>
      <c r="J162" s="110"/>
      <c r="K162" s="110"/>
      <c r="L162" s="110"/>
      <c r="M162" s="110"/>
      <c r="N162" s="110"/>
      <c r="O162" s="110"/>
      <c r="P162" s="110"/>
      <c r="Q162" s="110"/>
      <c r="R162" s="110"/>
      <c r="S162" s="110"/>
    </row>
    <row r="163" spans="1:19" ht="15" x14ac:dyDescent="0.2">
      <c r="A163" s="412" t="s">
        <v>114</v>
      </c>
      <c r="B163" s="413">
        <v>0</v>
      </c>
      <c r="C163" s="413">
        <v>0</v>
      </c>
      <c r="D163" s="110"/>
      <c r="E163" s="110"/>
      <c r="F163" s="110"/>
      <c r="G163" s="110"/>
      <c r="H163" s="110"/>
      <c r="I163" s="110"/>
      <c r="J163" s="110"/>
      <c r="K163" s="110"/>
      <c r="L163" s="110"/>
      <c r="M163" s="110"/>
      <c r="N163" s="110"/>
      <c r="O163" s="110"/>
      <c r="P163" s="110"/>
      <c r="Q163" s="110"/>
      <c r="R163" s="110"/>
      <c r="S163" s="110"/>
    </row>
    <row r="164" spans="1:19" ht="15" x14ac:dyDescent="0.2">
      <c r="A164" s="412" t="s">
        <v>45</v>
      </c>
      <c r="B164" s="413">
        <v>0</v>
      </c>
      <c r="C164" s="413">
        <v>0</v>
      </c>
      <c r="D164" s="110"/>
      <c r="E164" s="110"/>
      <c r="F164" s="110"/>
      <c r="G164" s="110"/>
      <c r="H164" s="110"/>
      <c r="I164" s="110"/>
      <c r="J164" s="110"/>
      <c r="K164" s="110"/>
      <c r="L164" s="110"/>
      <c r="M164" s="110"/>
      <c r="N164" s="110"/>
      <c r="O164" s="110"/>
      <c r="P164" s="110"/>
      <c r="Q164" s="110"/>
      <c r="R164" s="110"/>
      <c r="S164" s="110"/>
    </row>
    <row r="165" spans="1:19" ht="15" x14ac:dyDescent="0.2">
      <c r="A165" s="412" t="s">
        <v>115</v>
      </c>
      <c r="B165" s="413">
        <v>0</v>
      </c>
      <c r="C165" s="413">
        <v>0</v>
      </c>
      <c r="D165" s="110"/>
      <c r="E165" s="110"/>
      <c r="F165" s="110"/>
      <c r="G165" s="110"/>
      <c r="H165" s="110"/>
      <c r="I165" s="110"/>
      <c r="J165" s="110"/>
      <c r="K165" s="110"/>
      <c r="L165" s="110"/>
      <c r="M165" s="110"/>
      <c r="N165" s="110"/>
      <c r="O165" s="110"/>
      <c r="P165" s="110"/>
      <c r="Q165" s="110"/>
      <c r="R165" s="110"/>
      <c r="S165" s="110"/>
    </row>
    <row r="166" spans="1:19" ht="15" x14ac:dyDescent="0.2">
      <c r="A166" s="412" t="s">
        <v>116</v>
      </c>
      <c r="B166" s="413">
        <v>0</v>
      </c>
      <c r="C166" s="413">
        <v>0</v>
      </c>
      <c r="D166" s="110"/>
      <c r="E166" s="110"/>
      <c r="F166" s="110"/>
      <c r="G166" s="110"/>
      <c r="H166" s="110"/>
      <c r="I166" s="110"/>
      <c r="J166" s="110"/>
      <c r="K166" s="110"/>
      <c r="L166" s="110"/>
      <c r="M166" s="110"/>
      <c r="N166" s="110"/>
      <c r="O166" s="110"/>
      <c r="P166" s="110"/>
      <c r="Q166" s="110"/>
      <c r="R166" s="110"/>
      <c r="S166" s="110"/>
    </row>
    <row r="167" spans="1:19" ht="15" x14ac:dyDescent="0.2">
      <c r="A167" s="412" t="s">
        <v>117</v>
      </c>
      <c r="B167" s="413">
        <v>0</v>
      </c>
      <c r="C167" s="413">
        <v>0</v>
      </c>
      <c r="D167" s="110"/>
      <c r="E167" s="110"/>
      <c r="F167" s="110"/>
      <c r="G167" s="110"/>
      <c r="H167" s="110"/>
      <c r="I167" s="110"/>
      <c r="J167" s="110"/>
      <c r="K167" s="110"/>
      <c r="L167" s="110"/>
      <c r="M167" s="110"/>
      <c r="N167" s="110"/>
      <c r="O167" s="110"/>
      <c r="P167" s="110"/>
      <c r="Q167" s="110"/>
      <c r="R167" s="110"/>
      <c r="S167" s="110"/>
    </row>
    <row r="168" spans="1:19" ht="15" x14ac:dyDescent="0.2">
      <c r="A168" s="412" t="s">
        <v>118</v>
      </c>
      <c r="B168" s="413">
        <v>0</v>
      </c>
      <c r="C168" s="413">
        <v>0</v>
      </c>
      <c r="D168" s="110"/>
      <c r="E168" s="110"/>
      <c r="F168" s="110"/>
      <c r="G168" s="110"/>
      <c r="H168" s="110"/>
      <c r="I168" s="110"/>
      <c r="J168" s="110"/>
      <c r="K168" s="110"/>
      <c r="L168" s="110"/>
      <c r="M168" s="110"/>
      <c r="N168" s="110"/>
      <c r="O168" s="110"/>
      <c r="P168" s="110"/>
      <c r="Q168" s="110"/>
      <c r="R168" s="110"/>
      <c r="S168" s="110"/>
    </row>
    <row r="169" spans="1:19" ht="15" x14ac:dyDescent="0.2">
      <c r="A169" s="412" t="s">
        <v>119</v>
      </c>
      <c r="B169" s="413">
        <v>0</v>
      </c>
      <c r="C169" s="413">
        <v>0</v>
      </c>
      <c r="D169" s="110"/>
      <c r="E169" s="110"/>
      <c r="F169" s="110"/>
      <c r="G169" s="110"/>
      <c r="H169" s="110"/>
      <c r="I169" s="110"/>
      <c r="J169" s="110"/>
      <c r="K169" s="110"/>
      <c r="L169" s="110"/>
      <c r="M169" s="110"/>
      <c r="N169" s="110"/>
      <c r="O169" s="110"/>
      <c r="P169" s="110"/>
      <c r="Q169" s="110"/>
      <c r="R169" s="110"/>
      <c r="S169" s="110"/>
    </row>
    <row r="170" spans="1:19" ht="15" x14ac:dyDescent="0.2">
      <c r="A170" s="412" t="s">
        <v>46</v>
      </c>
      <c r="B170" s="413">
        <v>0</v>
      </c>
      <c r="C170" s="413">
        <v>0</v>
      </c>
      <c r="D170" s="110"/>
      <c r="E170" s="110"/>
      <c r="F170" s="110"/>
      <c r="G170" s="110"/>
      <c r="H170" s="110"/>
      <c r="I170" s="110"/>
      <c r="J170" s="110"/>
      <c r="K170" s="110"/>
      <c r="L170" s="110"/>
      <c r="M170" s="110"/>
      <c r="N170" s="110"/>
      <c r="O170" s="110"/>
      <c r="P170" s="110"/>
      <c r="Q170" s="110"/>
      <c r="R170" s="110"/>
      <c r="S170" s="110"/>
    </row>
    <row r="171" spans="1:19" ht="15" x14ac:dyDescent="0.2">
      <c r="A171" s="412" t="s">
        <v>47</v>
      </c>
      <c r="B171" s="413">
        <v>0</v>
      </c>
      <c r="C171" s="413">
        <v>0</v>
      </c>
      <c r="D171" s="110"/>
      <c r="E171" s="110"/>
      <c r="F171" s="110"/>
      <c r="G171" s="110"/>
      <c r="H171" s="110"/>
      <c r="I171" s="110"/>
      <c r="J171" s="110"/>
      <c r="K171" s="110"/>
      <c r="L171" s="110"/>
      <c r="M171" s="110"/>
      <c r="N171" s="110"/>
      <c r="O171" s="110"/>
      <c r="P171" s="110"/>
      <c r="Q171" s="110"/>
      <c r="R171" s="110"/>
      <c r="S171" s="110"/>
    </row>
    <row r="172" spans="1:19" ht="15" x14ac:dyDescent="0.2">
      <c r="A172" s="412" t="s">
        <v>120</v>
      </c>
      <c r="B172" s="413">
        <v>0</v>
      </c>
      <c r="C172" s="413">
        <v>0</v>
      </c>
      <c r="D172" s="110"/>
      <c r="E172" s="110"/>
      <c r="F172" s="110"/>
      <c r="G172" s="110"/>
      <c r="H172" s="110"/>
      <c r="I172" s="110"/>
      <c r="J172" s="110"/>
      <c r="K172" s="110"/>
      <c r="L172" s="110"/>
      <c r="M172" s="110"/>
      <c r="N172" s="110"/>
      <c r="O172" s="110"/>
      <c r="P172" s="110"/>
      <c r="Q172" s="110"/>
      <c r="R172" s="110"/>
      <c r="S172" s="110"/>
    </row>
    <row r="173" spans="1:19" ht="15" x14ac:dyDescent="0.2">
      <c r="A173" s="412" t="s">
        <v>121</v>
      </c>
      <c r="B173" s="413">
        <v>0</v>
      </c>
      <c r="C173" s="413">
        <v>0</v>
      </c>
      <c r="D173" s="110"/>
      <c r="E173" s="110"/>
      <c r="F173" s="110"/>
      <c r="G173" s="110"/>
      <c r="H173" s="110"/>
      <c r="I173" s="110"/>
      <c r="J173" s="110"/>
      <c r="K173" s="110"/>
      <c r="L173" s="110"/>
      <c r="M173" s="110"/>
      <c r="N173" s="110"/>
      <c r="O173" s="110"/>
      <c r="P173" s="110"/>
      <c r="Q173" s="110"/>
      <c r="R173" s="110"/>
      <c r="S173" s="110"/>
    </row>
    <row r="174" spans="1:19" ht="15" x14ac:dyDescent="0.2">
      <c r="A174" s="412" t="s">
        <v>122</v>
      </c>
      <c r="B174" s="413">
        <v>0</v>
      </c>
      <c r="C174" s="413">
        <v>0</v>
      </c>
      <c r="D174" s="110"/>
      <c r="E174" s="110"/>
      <c r="F174" s="110"/>
      <c r="G174" s="110"/>
      <c r="H174" s="110"/>
      <c r="I174" s="110"/>
      <c r="J174" s="110"/>
      <c r="K174" s="110"/>
      <c r="L174" s="110"/>
      <c r="M174" s="110"/>
      <c r="N174" s="110"/>
      <c r="O174" s="110"/>
      <c r="P174" s="110"/>
      <c r="Q174" s="110"/>
      <c r="R174" s="110"/>
      <c r="S174" s="110"/>
    </row>
    <row r="175" spans="1:19" ht="15" x14ac:dyDescent="0.2">
      <c r="A175" s="412" t="s">
        <v>48</v>
      </c>
      <c r="B175" s="413">
        <v>0</v>
      </c>
      <c r="C175" s="413">
        <v>0</v>
      </c>
      <c r="D175" s="110"/>
      <c r="E175" s="110"/>
      <c r="F175" s="110"/>
      <c r="G175" s="110"/>
      <c r="H175" s="110"/>
      <c r="I175" s="110"/>
      <c r="J175" s="110"/>
      <c r="K175" s="110"/>
      <c r="L175" s="110"/>
      <c r="M175" s="110"/>
      <c r="N175" s="110"/>
      <c r="O175" s="110"/>
      <c r="P175" s="110"/>
      <c r="Q175" s="110"/>
      <c r="R175" s="110"/>
      <c r="S175" s="110"/>
    </row>
    <row r="176" spans="1:19" ht="15" x14ac:dyDescent="0.2">
      <c r="A176" s="412"/>
      <c r="B176" s="409"/>
      <c r="C176" s="409"/>
      <c r="D176" s="110"/>
      <c r="E176" s="110"/>
      <c r="F176" s="110"/>
      <c r="G176" s="110"/>
      <c r="H176" s="110"/>
      <c r="I176" s="110"/>
      <c r="J176" s="110"/>
      <c r="K176" s="110"/>
      <c r="L176" s="110"/>
      <c r="M176" s="110"/>
      <c r="N176" s="110"/>
      <c r="O176" s="110"/>
      <c r="P176" s="110"/>
      <c r="Q176" s="110"/>
      <c r="R176" s="110"/>
      <c r="S176" s="110"/>
    </row>
    <row r="177" spans="1:19" x14ac:dyDescent="0.2">
      <c r="A177" s="408" t="s">
        <v>501</v>
      </c>
      <c r="B177" s="409"/>
      <c r="C177" s="409"/>
      <c r="D177" s="110"/>
      <c r="E177" s="110"/>
      <c r="F177" s="110"/>
      <c r="G177" s="110"/>
      <c r="H177" s="110"/>
      <c r="I177" s="110"/>
      <c r="J177" s="110"/>
      <c r="K177" s="110"/>
      <c r="L177" s="110"/>
      <c r="M177" s="110"/>
      <c r="N177" s="110"/>
      <c r="O177" s="110"/>
      <c r="P177" s="110"/>
      <c r="Q177" s="110"/>
      <c r="R177" s="110"/>
      <c r="S177" s="110"/>
    </row>
    <row r="178" spans="1:19" x14ac:dyDescent="0.2">
      <c r="A178" s="410" t="s">
        <v>523</v>
      </c>
      <c r="B178" s="411" t="s">
        <v>233</v>
      </c>
      <c r="C178" s="411" t="s">
        <v>232</v>
      </c>
      <c r="D178" s="110"/>
      <c r="E178" s="110"/>
      <c r="F178" s="110"/>
      <c r="G178" s="110"/>
      <c r="H178" s="110"/>
      <c r="I178" s="110"/>
      <c r="J178" s="110"/>
      <c r="K178" s="110"/>
      <c r="L178" s="110"/>
      <c r="M178" s="110"/>
      <c r="N178" s="110"/>
      <c r="O178" s="110"/>
      <c r="P178" s="110"/>
      <c r="Q178" s="110"/>
      <c r="R178" s="110"/>
      <c r="S178" s="110"/>
    </row>
    <row r="179" spans="1:19" ht="15" x14ac:dyDescent="0.2">
      <c r="A179" s="412" t="s">
        <v>44</v>
      </c>
      <c r="B179" s="413">
        <v>0</v>
      </c>
      <c r="C179" s="413">
        <v>0</v>
      </c>
      <c r="D179" s="110"/>
      <c r="E179" s="110"/>
      <c r="F179" s="110"/>
      <c r="G179" s="110"/>
      <c r="H179" s="110"/>
      <c r="I179" s="110"/>
      <c r="J179" s="110"/>
      <c r="K179" s="110"/>
      <c r="L179" s="110"/>
      <c r="M179" s="110"/>
      <c r="N179" s="110"/>
      <c r="O179" s="110"/>
      <c r="P179" s="110"/>
      <c r="Q179" s="110"/>
      <c r="R179" s="110"/>
      <c r="S179" s="110"/>
    </row>
    <row r="180" spans="1:19" ht="15" x14ac:dyDescent="0.2">
      <c r="A180" s="412" t="s">
        <v>114</v>
      </c>
      <c r="B180" s="413">
        <v>0</v>
      </c>
      <c r="C180" s="413">
        <v>0</v>
      </c>
      <c r="D180" s="110"/>
      <c r="E180" s="110"/>
      <c r="F180" s="110"/>
      <c r="G180" s="110"/>
      <c r="H180" s="110"/>
      <c r="I180" s="110"/>
      <c r="J180" s="110"/>
      <c r="K180" s="110"/>
      <c r="L180" s="110"/>
      <c r="M180" s="110"/>
      <c r="N180" s="110"/>
      <c r="O180" s="110"/>
      <c r="P180" s="110"/>
      <c r="Q180" s="110"/>
      <c r="R180" s="110"/>
      <c r="S180" s="110"/>
    </row>
    <row r="181" spans="1:19" ht="15" x14ac:dyDescent="0.2">
      <c r="A181" s="412" t="s">
        <v>45</v>
      </c>
      <c r="B181" s="413">
        <v>0</v>
      </c>
      <c r="C181" s="413">
        <v>0</v>
      </c>
      <c r="D181" s="110"/>
      <c r="E181" s="110"/>
      <c r="F181" s="110"/>
      <c r="G181" s="110"/>
      <c r="H181" s="110"/>
      <c r="I181" s="110"/>
      <c r="J181" s="110"/>
      <c r="K181" s="110"/>
      <c r="L181" s="110"/>
      <c r="M181" s="110"/>
      <c r="N181" s="110"/>
      <c r="O181" s="110"/>
      <c r="P181" s="110"/>
      <c r="Q181" s="110"/>
      <c r="R181" s="110"/>
      <c r="S181" s="110"/>
    </row>
    <row r="182" spans="1:19" ht="15" x14ac:dyDescent="0.2">
      <c r="A182" s="412" t="s">
        <v>115</v>
      </c>
      <c r="B182" s="413">
        <v>0</v>
      </c>
      <c r="C182" s="413">
        <v>0</v>
      </c>
      <c r="D182" s="110"/>
      <c r="E182" s="110"/>
      <c r="F182" s="110"/>
      <c r="G182" s="110"/>
      <c r="H182" s="110"/>
      <c r="I182" s="110"/>
      <c r="J182" s="110"/>
      <c r="K182" s="110"/>
      <c r="L182" s="110"/>
      <c r="M182" s="110"/>
      <c r="N182" s="110"/>
      <c r="O182" s="110"/>
      <c r="P182" s="110"/>
      <c r="Q182" s="110"/>
      <c r="R182" s="110"/>
      <c r="S182" s="110"/>
    </row>
    <row r="183" spans="1:19" ht="15" x14ac:dyDescent="0.2">
      <c r="A183" s="412" t="s">
        <v>116</v>
      </c>
      <c r="B183" s="413">
        <v>0</v>
      </c>
      <c r="C183" s="413">
        <v>0</v>
      </c>
      <c r="D183" s="110"/>
      <c r="E183" s="110"/>
      <c r="F183" s="110"/>
      <c r="G183" s="110"/>
      <c r="H183" s="110"/>
      <c r="I183" s="110"/>
      <c r="J183" s="110"/>
      <c r="K183" s="110"/>
      <c r="L183" s="110"/>
      <c r="M183" s="110"/>
      <c r="N183" s="110"/>
      <c r="O183" s="110"/>
      <c r="P183" s="110"/>
      <c r="Q183" s="110"/>
      <c r="R183" s="110"/>
      <c r="S183" s="110"/>
    </row>
    <row r="184" spans="1:19" ht="15" x14ac:dyDescent="0.2">
      <c r="A184" s="412" t="s">
        <v>117</v>
      </c>
      <c r="B184" s="413">
        <v>0</v>
      </c>
      <c r="C184" s="413">
        <v>0</v>
      </c>
      <c r="D184" s="110"/>
      <c r="E184" s="110"/>
      <c r="F184" s="110"/>
      <c r="G184" s="110"/>
      <c r="H184" s="110"/>
      <c r="I184" s="110"/>
      <c r="J184" s="110"/>
      <c r="K184" s="110"/>
      <c r="L184" s="110"/>
      <c r="M184" s="110"/>
      <c r="N184" s="110"/>
      <c r="O184" s="110"/>
      <c r="P184" s="110"/>
      <c r="Q184" s="110"/>
      <c r="R184" s="110"/>
      <c r="S184" s="110"/>
    </row>
    <row r="185" spans="1:19" ht="15" x14ac:dyDescent="0.2">
      <c r="A185" s="412" t="s">
        <v>118</v>
      </c>
      <c r="B185" s="413">
        <v>0</v>
      </c>
      <c r="C185" s="413">
        <v>0</v>
      </c>
      <c r="D185" s="110"/>
      <c r="E185" s="110"/>
      <c r="F185" s="110"/>
      <c r="G185" s="110"/>
      <c r="H185" s="110"/>
      <c r="I185" s="110"/>
      <c r="J185" s="110"/>
      <c r="K185" s="110"/>
      <c r="L185" s="110"/>
      <c r="M185" s="110"/>
      <c r="N185" s="110"/>
      <c r="O185" s="110"/>
      <c r="P185" s="110"/>
      <c r="Q185" s="110"/>
      <c r="R185" s="110"/>
      <c r="S185" s="110"/>
    </row>
    <row r="186" spans="1:19" ht="15" x14ac:dyDescent="0.2">
      <c r="A186" s="412" t="s">
        <v>119</v>
      </c>
      <c r="B186" s="413">
        <v>0</v>
      </c>
      <c r="C186" s="413">
        <v>0</v>
      </c>
      <c r="D186" s="110"/>
      <c r="E186" s="110"/>
      <c r="F186" s="110"/>
      <c r="G186" s="110"/>
      <c r="H186" s="110"/>
      <c r="I186" s="110"/>
      <c r="J186" s="110"/>
      <c r="K186" s="110"/>
      <c r="L186" s="110"/>
      <c r="M186" s="110"/>
      <c r="N186" s="110"/>
      <c r="O186" s="110"/>
      <c r="P186" s="110"/>
      <c r="Q186" s="110"/>
      <c r="R186" s="110"/>
      <c r="S186" s="110"/>
    </row>
    <row r="187" spans="1:19" ht="15" x14ac:dyDescent="0.2">
      <c r="A187" s="412" t="s">
        <v>46</v>
      </c>
      <c r="B187" s="413">
        <v>0</v>
      </c>
      <c r="C187" s="413">
        <v>0</v>
      </c>
      <c r="D187" s="110"/>
      <c r="E187" s="110"/>
      <c r="F187" s="110"/>
      <c r="G187" s="110"/>
      <c r="H187" s="110"/>
      <c r="I187" s="110"/>
      <c r="J187" s="110"/>
      <c r="K187" s="110"/>
      <c r="L187" s="110"/>
      <c r="M187" s="110"/>
      <c r="N187" s="110"/>
      <c r="O187" s="110"/>
      <c r="P187" s="110"/>
      <c r="Q187" s="110"/>
      <c r="R187" s="110"/>
      <c r="S187" s="110"/>
    </row>
    <row r="188" spans="1:19" ht="15" x14ac:dyDescent="0.2">
      <c r="A188" s="412" t="s">
        <v>47</v>
      </c>
      <c r="B188" s="413">
        <v>0</v>
      </c>
      <c r="C188" s="413">
        <v>0</v>
      </c>
      <c r="D188" s="110"/>
      <c r="E188" s="110"/>
      <c r="F188" s="110"/>
      <c r="G188" s="110"/>
      <c r="H188" s="110"/>
      <c r="I188" s="110"/>
      <c r="J188" s="110"/>
      <c r="K188" s="110"/>
      <c r="L188" s="110"/>
      <c r="M188" s="110"/>
      <c r="N188" s="110"/>
      <c r="O188" s="110"/>
      <c r="P188" s="110"/>
      <c r="Q188" s="110"/>
      <c r="R188" s="110"/>
      <c r="S188" s="110"/>
    </row>
    <row r="189" spans="1:19" ht="15" x14ac:dyDescent="0.2">
      <c r="A189" s="412" t="s">
        <v>120</v>
      </c>
      <c r="B189" s="413">
        <v>0</v>
      </c>
      <c r="C189" s="413">
        <v>0</v>
      </c>
      <c r="D189" s="110"/>
      <c r="E189" s="110"/>
      <c r="F189" s="110"/>
      <c r="G189" s="110"/>
      <c r="H189" s="110"/>
      <c r="I189" s="110"/>
      <c r="J189" s="110"/>
      <c r="K189" s="110"/>
      <c r="L189" s="110"/>
      <c r="M189" s="110"/>
      <c r="N189" s="110"/>
      <c r="O189" s="110"/>
      <c r="P189" s="110"/>
      <c r="Q189" s="110"/>
      <c r="R189" s="110"/>
      <c r="S189" s="110"/>
    </row>
    <row r="190" spans="1:19" ht="15" x14ac:dyDescent="0.2">
      <c r="A190" s="412" t="s">
        <v>121</v>
      </c>
      <c r="B190" s="413">
        <v>0</v>
      </c>
      <c r="C190" s="413">
        <v>0</v>
      </c>
      <c r="D190" s="110"/>
      <c r="E190" s="110"/>
      <c r="F190" s="110"/>
      <c r="G190" s="110"/>
      <c r="H190" s="110"/>
      <c r="I190" s="110"/>
      <c r="J190" s="110"/>
      <c r="K190" s="110"/>
      <c r="L190" s="110"/>
      <c r="M190" s="110"/>
      <c r="N190" s="110"/>
      <c r="O190" s="110"/>
      <c r="P190" s="110"/>
      <c r="Q190" s="110"/>
      <c r="R190" s="110"/>
      <c r="S190" s="110"/>
    </row>
    <row r="191" spans="1:19" ht="15" x14ac:dyDescent="0.2">
      <c r="A191" s="412" t="s">
        <v>122</v>
      </c>
      <c r="B191" s="413">
        <v>0</v>
      </c>
      <c r="C191" s="413">
        <v>0</v>
      </c>
      <c r="D191" s="110"/>
      <c r="E191" s="110"/>
      <c r="F191" s="110"/>
      <c r="G191" s="110"/>
      <c r="H191" s="110"/>
      <c r="I191" s="110"/>
      <c r="J191" s="110"/>
      <c r="K191" s="110"/>
      <c r="L191" s="110"/>
      <c r="M191" s="110"/>
      <c r="N191" s="110"/>
      <c r="O191" s="110"/>
      <c r="P191" s="110"/>
      <c r="Q191" s="110"/>
      <c r="R191" s="110"/>
      <c r="S191" s="110"/>
    </row>
    <row r="192" spans="1:19" ht="15" x14ac:dyDescent="0.2">
      <c r="A192" s="412" t="s">
        <v>48</v>
      </c>
      <c r="B192" s="413">
        <v>0</v>
      </c>
      <c r="C192" s="413">
        <v>0</v>
      </c>
      <c r="D192" s="110"/>
      <c r="E192" s="110"/>
      <c r="F192" s="110"/>
      <c r="G192" s="110"/>
      <c r="H192" s="110"/>
      <c r="I192" s="110"/>
      <c r="J192" s="110"/>
      <c r="K192" s="110"/>
      <c r="L192" s="110"/>
      <c r="M192" s="110"/>
      <c r="N192" s="110"/>
      <c r="O192" s="110"/>
      <c r="P192" s="110"/>
      <c r="Q192" s="110"/>
      <c r="R192" s="110"/>
      <c r="S192" s="110"/>
    </row>
    <row r="193" spans="1:19" x14ac:dyDescent="0.2">
      <c r="A193" s="414"/>
      <c r="B193" s="415"/>
      <c r="C193" s="415"/>
      <c r="D193" s="110"/>
      <c r="E193" s="110"/>
      <c r="F193" s="110"/>
      <c r="G193" s="110"/>
      <c r="H193" s="110"/>
      <c r="I193" s="110"/>
      <c r="J193" s="110"/>
      <c r="K193" s="110"/>
      <c r="L193" s="110"/>
      <c r="M193" s="110"/>
      <c r="N193" s="110"/>
      <c r="O193" s="110"/>
      <c r="P193" s="110"/>
      <c r="Q193" s="110"/>
      <c r="R193" s="110"/>
      <c r="S193" s="110"/>
    </row>
    <row r="194" spans="1:19" x14ac:dyDescent="0.2">
      <c r="A194" s="408" t="s">
        <v>501</v>
      </c>
      <c r="B194" s="415"/>
      <c r="C194" s="415"/>
      <c r="D194" s="110"/>
      <c r="E194" s="110"/>
      <c r="F194" s="110"/>
      <c r="G194" s="110"/>
      <c r="H194" s="110"/>
      <c r="I194" s="110"/>
      <c r="J194" s="110"/>
      <c r="K194" s="110"/>
      <c r="L194" s="110"/>
      <c r="M194" s="110"/>
      <c r="N194" s="110"/>
      <c r="O194" s="110"/>
      <c r="P194" s="110"/>
      <c r="Q194" s="110"/>
      <c r="R194" s="110"/>
      <c r="S194" s="110"/>
    </row>
    <row r="195" spans="1:19" x14ac:dyDescent="0.2">
      <c r="A195" s="410" t="s">
        <v>524</v>
      </c>
      <c r="B195" s="411" t="s">
        <v>233</v>
      </c>
      <c r="C195" s="411" t="s">
        <v>232</v>
      </c>
      <c r="D195" s="110"/>
      <c r="E195" s="110"/>
      <c r="F195" s="110"/>
      <c r="G195" s="110"/>
      <c r="H195" s="110"/>
      <c r="I195" s="110"/>
      <c r="J195" s="110"/>
      <c r="K195" s="110"/>
      <c r="L195" s="110"/>
      <c r="M195" s="110"/>
      <c r="N195" s="110"/>
      <c r="O195" s="110"/>
      <c r="P195" s="110"/>
      <c r="Q195" s="110"/>
      <c r="R195" s="110"/>
      <c r="S195" s="110"/>
    </row>
    <row r="196" spans="1:19" ht="15" x14ac:dyDescent="0.2">
      <c r="A196" s="412" t="s">
        <v>44</v>
      </c>
      <c r="B196" s="413">
        <v>0</v>
      </c>
      <c r="C196" s="413">
        <v>0</v>
      </c>
      <c r="D196" s="110"/>
      <c r="E196" s="110"/>
      <c r="F196" s="110"/>
      <c r="G196" s="110"/>
      <c r="H196" s="110"/>
      <c r="I196" s="110"/>
      <c r="J196" s="110"/>
      <c r="K196" s="110"/>
      <c r="L196" s="110"/>
      <c r="M196" s="110"/>
      <c r="N196" s="110"/>
      <c r="O196" s="110"/>
      <c r="P196" s="110"/>
      <c r="Q196" s="110"/>
      <c r="R196" s="110"/>
      <c r="S196" s="110"/>
    </row>
    <row r="197" spans="1:19" ht="15" x14ac:dyDescent="0.2">
      <c r="A197" s="412" t="s">
        <v>114</v>
      </c>
      <c r="B197" s="413">
        <v>0</v>
      </c>
      <c r="C197" s="413">
        <v>0</v>
      </c>
      <c r="D197" s="110"/>
      <c r="E197" s="110"/>
      <c r="F197" s="110"/>
      <c r="G197" s="110"/>
      <c r="H197" s="110"/>
      <c r="I197" s="110"/>
      <c r="J197" s="110"/>
      <c r="K197" s="110"/>
      <c r="L197" s="110"/>
      <c r="M197" s="110"/>
      <c r="N197" s="110"/>
      <c r="O197" s="110"/>
      <c r="P197" s="110"/>
      <c r="Q197" s="110"/>
      <c r="R197" s="110"/>
      <c r="S197" s="110"/>
    </row>
    <row r="198" spans="1:19" ht="15" x14ac:dyDescent="0.2">
      <c r="A198" s="412" t="s">
        <v>45</v>
      </c>
      <c r="B198" s="413">
        <v>0</v>
      </c>
      <c r="C198" s="413">
        <v>0</v>
      </c>
      <c r="D198" s="110"/>
      <c r="E198" s="110"/>
      <c r="F198" s="110"/>
      <c r="G198" s="110"/>
      <c r="H198" s="110"/>
      <c r="I198" s="110"/>
      <c r="J198" s="110"/>
      <c r="K198" s="110"/>
      <c r="L198" s="110"/>
      <c r="M198" s="110"/>
      <c r="N198" s="110"/>
      <c r="O198" s="110"/>
      <c r="P198" s="110"/>
      <c r="Q198" s="110"/>
      <c r="R198" s="110"/>
      <c r="S198" s="110"/>
    </row>
    <row r="199" spans="1:19" ht="15" x14ac:dyDescent="0.2">
      <c r="A199" s="412" t="s">
        <v>115</v>
      </c>
      <c r="B199" s="413">
        <v>0</v>
      </c>
      <c r="C199" s="413">
        <v>0</v>
      </c>
      <c r="D199" s="110"/>
      <c r="E199" s="110"/>
      <c r="F199" s="110"/>
      <c r="G199" s="110"/>
      <c r="H199" s="110"/>
      <c r="I199" s="110"/>
      <c r="J199" s="110"/>
      <c r="K199" s="110"/>
      <c r="L199" s="110"/>
      <c r="M199" s="110"/>
      <c r="N199" s="110"/>
      <c r="O199" s="110"/>
      <c r="P199" s="110"/>
      <c r="Q199" s="110"/>
      <c r="R199" s="110"/>
      <c r="S199" s="110"/>
    </row>
    <row r="200" spans="1:19" ht="15" x14ac:dyDescent="0.2">
      <c r="A200" s="412" t="s">
        <v>116</v>
      </c>
      <c r="B200" s="413">
        <v>0</v>
      </c>
      <c r="C200" s="413">
        <v>0</v>
      </c>
      <c r="D200" s="110"/>
      <c r="E200" s="110"/>
      <c r="F200" s="110"/>
      <c r="G200" s="110"/>
      <c r="H200" s="110"/>
      <c r="I200" s="110"/>
      <c r="J200" s="110"/>
      <c r="K200" s="110"/>
      <c r="L200" s="110"/>
      <c r="M200" s="110"/>
      <c r="N200" s="110"/>
      <c r="O200" s="110"/>
      <c r="P200" s="110"/>
      <c r="Q200" s="110"/>
      <c r="R200" s="110"/>
      <c r="S200" s="110"/>
    </row>
    <row r="201" spans="1:19" ht="15" x14ac:dyDescent="0.2">
      <c r="A201" s="412" t="s">
        <v>117</v>
      </c>
      <c r="B201" s="413">
        <v>0</v>
      </c>
      <c r="C201" s="413">
        <v>0</v>
      </c>
      <c r="D201" s="110"/>
      <c r="E201" s="110"/>
      <c r="F201" s="110"/>
      <c r="G201" s="110"/>
      <c r="H201" s="110"/>
      <c r="I201" s="110"/>
      <c r="J201" s="110"/>
      <c r="K201" s="110"/>
      <c r="L201" s="110"/>
      <c r="M201" s="110"/>
      <c r="N201" s="110"/>
      <c r="O201" s="110"/>
      <c r="P201" s="110"/>
      <c r="Q201" s="110"/>
      <c r="R201" s="110"/>
      <c r="S201" s="110"/>
    </row>
    <row r="202" spans="1:19" ht="15" x14ac:dyDescent="0.2">
      <c r="A202" s="412" t="s">
        <v>118</v>
      </c>
      <c r="B202" s="413">
        <v>0</v>
      </c>
      <c r="C202" s="413">
        <v>0</v>
      </c>
      <c r="D202" s="110"/>
      <c r="E202" s="110"/>
      <c r="F202" s="110"/>
      <c r="G202" s="110"/>
      <c r="H202" s="110"/>
      <c r="I202" s="110"/>
      <c r="J202" s="110"/>
      <c r="K202" s="110"/>
      <c r="L202" s="110"/>
      <c r="M202" s="110"/>
      <c r="N202" s="110"/>
      <c r="O202" s="110"/>
      <c r="P202" s="110"/>
      <c r="Q202" s="110"/>
      <c r="R202" s="110"/>
      <c r="S202" s="110"/>
    </row>
    <row r="203" spans="1:19" ht="15" x14ac:dyDescent="0.2">
      <c r="A203" s="412" t="s">
        <v>119</v>
      </c>
      <c r="B203" s="413">
        <v>0</v>
      </c>
      <c r="C203" s="413">
        <v>0</v>
      </c>
      <c r="D203" s="110"/>
      <c r="E203" s="110"/>
      <c r="F203" s="110"/>
      <c r="G203" s="110"/>
      <c r="H203" s="110"/>
      <c r="I203" s="110"/>
      <c r="J203" s="110"/>
      <c r="K203" s="110"/>
      <c r="L203" s="110"/>
      <c r="M203" s="110"/>
      <c r="N203" s="110"/>
      <c r="O203" s="110"/>
      <c r="P203" s="110"/>
      <c r="Q203" s="110"/>
      <c r="R203" s="110"/>
      <c r="S203" s="110"/>
    </row>
    <row r="204" spans="1:19" ht="15" x14ac:dyDescent="0.2">
      <c r="A204" s="412" t="s">
        <v>46</v>
      </c>
      <c r="B204" s="413">
        <v>0</v>
      </c>
      <c r="C204" s="413">
        <v>0</v>
      </c>
      <c r="D204" s="110"/>
      <c r="E204" s="110"/>
      <c r="F204" s="110"/>
      <c r="G204" s="110"/>
      <c r="H204" s="110"/>
      <c r="I204" s="110"/>
      <c r="J204" s="110"/>
      <c r="K204" s="110"/>
      <c r="L204" s="110"/>
      <c r="M204" s="110"/>
      <c r="N204" s="110"/>
      <c r="O204" s="110"/>
      <c r="P204" s="110"/>
      <c r="Q204" s="110"/>
      <c r="R204" s="110"/>
      <c r="S204" s="110"/>
    </row>
    <row r="205" spans="1:19" ht="15" x14ac:dyDescent="0.2">
      <c r="A205" s="412" t="s">
        <v>47</v>
      </c>
      <c r="B205" s="413">
        <v>0</v>
      </c>
      <c r="C205" s="413">
        <v>0</v>
      </c>
      <c r="D205" s="110"/>
      <c r="E205" s="110"/>
      <c r="F205" s="110"/>
      <c r="G205" s="110"/>
      <c r="H205" s="110"/>
      <c r="I205" s="110"/>
      <c r="J205" s="110"/>
      <c r="K205" s="110"/>
      <c r="L205" s="110"/>
      <c r="M205" s="110"/>
      <c r="N205" s="110"/>
      <c r="O205" s="110"/>
      <c r="P205" s="110"/>
      <c r="Q205" s="110"/>
      <c r="R205" s="110"/>
      <c r="S205" s="110"/>
    </row>
    <row r="206" spans="1:19" ht="15" x14ac:dyDescent="0.2">
      <c r="A206" s="412" t="s">
        <v>120</v>
      </c>
      <c r="B206" s="413">
        <v>0</v>
      </c>
      <c r="C206" s="413">
        <v>0</v>
      </c>
      <c r="D206" s="110"/>
      <c r="E206" s="110"/>
      <c r="F206" s="110"/>
      <c r="G206" s="110"/>
      <c r="H206" s="110"/>
      <c r="I206" s="110"/>
      <c r="J206" s="110"/>
      <c r="K206" s="110"/>
      <c r="L206" s="110"/>
      <c r="M206" s="110"/>
      <c r="N206" s="110"/>
      <c r="O206" s="110"/>
      <c r="P206" s="110"/>
      <c r="Q206" s="110"/>
      <c r="R206" s="110"/>
      <c r="S206" s="110"/>
    </row>
    <row r="207" spans="1:19" ht="15" x14ac:dyDescent="0.2">
      <c r="A207" s="412" t="s">
        <v>121</v>
      </c>
      <c r="B207" s="413">
        <v>0</v>
      </c>
      <c r="C207" s="413">
        <v>0</v>
      </c>
      <c r="D207" s="110"/>
      <c r="E207" s="110"/>
      <c r="F207" s="110"/>
      <c r="G207" s="110"/>
      <c r="H207" s="110"/>
      <c r="I207" s="110"/>
      <c r="J207" s="110"/>
      <c r="K207" s="110"/>
      <c r="L207" s="110"/>
      <c r="M207" s="110"/>
      <c r="N207" s="110"/>
      <c r="O207" s="110"/>
      <c r="P207" s="110"/>
      <c r="Q207" s="110"/>
      <c r="R207" s="110"/>
      <c r="S207" s="110"/>
    </row>
    <row r="208" spans="1:19" ht="15" x14ac:dyDescent="0.2">
      <c r="A208" s="412" t="s">
        <v>122</v>
      </c>
      <c r="B208" s="413">
        <v>0</v>
      </c>
      <c r="C208" s="413">
        <v>0</v>
      </c>
      <c r="D208" s="110"/>
      <c r="E208" s="110"/>
      <c r="F208" s="110"/>
      <c r="G208" s="110"/>
      <c r="H208" s="110"/>
      <c r="I208" s="110"/>
      <c r="J208" s="110"/>
      <c r="K208" s="110"/>
      <c r="L208" s="110"/>
      <c r="M208" s="110"/>
      <c r="N208" s="110"/>
      <c r="O208" s="110"/>
      <c r="P208" s="110"/>
      <c r="Q208" s="110"/>
      <c r="R208" s="110"/>
      <c r="S208" s="110"/>
    </row>
    <row r="209" spans="1:19" ht="15" x14ac:dyDescent="0.2">
      <c r="A209" s="412" t="s">
        <v>48</v>
      </c>
      <c r="B209" s="413">
        <v>0</v>
      </c>
      <c r="C209" s="413">
        <v>0</v>
      </c>
      <c r="D209" s="110"/>
      <c r="E209" s="110"/>
      <c r="F209" s="110"/>
      <c r="G209" s="110"/>
      <c r="H209" s="110"/>
      <c r="I209" s="110"/>
      <c r="J209" s="110"/>
      <c r="K209" s="110"/>
      <c r="L209" s="110"/>
      <c r="M209" s="110"/>
      <c r="N209" s="110"/>
      <c r="O209" s="110"/>
      <c r="P209" s="110"/>
      <c r="Q209" s="110"/>
      <c r="R209" s="110"/>
      <c r="S209" s="110"/>
    </row>
    <row r="210" spans="1:19" x14ac:dyDescent="0.2">
      <c r="A210" s="110"/>
      <c r="B210" s="110"/>
      <c r="C210" s="110"/>
      <c r="D210" s="110"/>
      <c r="E210" s="110"/>
      <c r="F210" s="110"/>
      <c r="G210" s="110"/>
      <c r="H210" s="110"/>
      <c r="I210" s="110"/>
      <c r="J210" s="110"/>
      <c r="K210" s="110"/>
      <c r="L210" s="110"/>
      <c r="M210" s="110"/>
      <c r="N210" s="110"/>
      <c r="O210" s="110"/>
      <c r="P210" s="110"/>
      <c r="Q210" s="110"/>
      <c r="R210" s="110"/>
      <c r="S210" s="110"/>
    </row>
    <row r="211" spans="1:19" x14ac:dyDescent="0.2">
      <c r="A211" s="110"/>
      <c r="B211" s="110"/>
      <c r="C211" s="110"/>
      <c r="D211" s="110"/>
      <c r="E211" s="110"/>
      <c r="F211" s="110"/>
      <c r="G211" s="110"/>
      <c r="H211" s="110"/>
      <c r="I211" s="110"/>
      <c r="J211" s="110"/>
      <c r="K211" s="110"/>
      <c r="L211" s="110"/>
      <c r="M211" s="110"/>
      <c r="N211" s="110"/>
      <c r="O211" s="110"/>
      <c r="P211" s="110"/>
      <c r="Q211" s="110"/>
      <c r="R211" s="110"/>
      <c r="S211" s="110"/>
    </row>
    <row r="212" spans="1:19" x14ac:dyDescent="0.2">
      <c r="A212" s="110"/>
      <c r="B212" s="110"/>
      <c r="C212" s="110"/>
      <c r="D212" s="110"/>
      <c r="E212" s="110"/>
      <c r="F212" s="110"/>
      <c r="G212" s="110"/>
      <c r="H212" s="110"/>
      <c r="I212" s="110"/>
      <c r="J212" s="110"/>
      <c r="K212" s="110"/>
      <c r="L212" s="110"/>
      <c r="M212" s="110"/>
      <c r="N212" s="110"/>
      <c r="O212" s="110"/>
      <c r="P212" s="110"/>
      <c r="Q212" s="110"/>
      <c r="R212" s="110"/>
      <c r="S212" s="110"/>
    </row>
    <row r="213" spans="1:19" x14ac:dyDescent="0.2">
      <c r="A213" s="110"/>
      <c r="B213" s="110"/>
      <c r="C213" s="110"/>
      <c r="D213" s="110"/>
      <c r="E213" s="110"/>
      <c r="F213" s="110"/>
      <c r="G213" s="110"/>
      <c r="H213" s="110"/>
      <c r="I213" s="110"/>
      <c r="J213" s="110"/>
      <c r="K213" s="110"/>
      <c r="L213" s="110"/>
      <c r="M213" s="110"/>
      <c r="N213" s="110"/>
      <c r="O213" s="110"/>
      <c r="P213" s="110"/>
      <c r="Q213" s="110"/>
      <c r="R213" s="110"/>
      <c r="S213" s="110"/>
    </row>
    <row r="214" spans="1:19" x14ac:dyDescent="0.2">
      <c r="A214" s="110"/>
      <c r="B214" s="110"/>
      <c r="C214" s="110"/>
      <c r="D214" s="110"/>
      <c r="E214" s="110"/>
      <c r="F214" s="110"/>
      <c r="G214" s="110"/>
      <c r="H214" s="110"/>
      <c r="I214" s="110"/>
      <c r="J214" s="110"/>
      <c r="K214" s="110"/>
      <c r="L214" s="110"/>
      <c r="M214" s="110"/>
      <c r="N214" s="110"/>
      <c r="O214" s="110"/>
      <c r="P214" s="110"/>
      <c r="Q214" s="110"/>
      <c r="R214" s="110"/>
      <c r="S214" s="110"/>
    </row>
    <row r="215" spans="1:19" x14ac:dyDescent="0.2">
      <c r="A215" s="110"/>
      <c r="B215" s="110"/>
      <c r="C215" s="110"/>
      <c r="D215" s="110"/>
      <c r="E215" s="110"/>
      <c r="F215" s="110"/>
      <c r="G215" s="110"/>
      <c r="H215" s="110"/>
      <c r="I215" s="110"/>
      <c r="J215" s="110"/>
      <c r="K215" s="110"/>
      <c r="L215" s="110"/>
      <c r="M215" s="110"/>
      <c r="N215" s="110"/>
      <c r="O215" s="110"/>
      <c r="P215" s="110"/>
      <c r="Q215" s="110"/>
      <c r="R215" s="110"/>
      <c r="S215" s="110"/>
    </row>
    <row r="216" spans="1:19" x14ac:dyDescent="0.2">
      <c r="A216" s="110"/>
      <c r="B216" s="110"/>
      <c r="C216" s="110"/>
      <c r="D216" s="110"/>
      <c r="E216" s="110"/>
      <c r="F216" s="110"/>
      <c r="G216" s="110"/>
      <c r="H216" s="110"/>
      <c r="I216" s="110"/>
      <c r="J216" s="110"/>
      <c r="K216" s="110"/>
      <c r="L216" s="110"/>
      <c r="M216" s="110"/>
      <c r="N216" s="110"/>
      <c r="O216" s="110"/>
      <c r="P216" s="110"/>
      <c r="Q216" s="110"/>
      <c r="R216" s="110"/>
      <c r="S216" s="110"/>
    </row>
    <row r="217" spans="1:19" x14ac:dyDescent="0.2">
      <c r="A217" s="110"/>
      <c r="B217" s="110"/>
      <c r="C217" s="110"/>
      <c r="D217" s="110"/>
      <c r="E217" s="110"/>
      <c r="F217" s="110"/>
      <c r="G217" s="110"/>
      <c r="H217" s="110"/>
      <c r="I217" s="110"/>
      <c r="J217" s="110"/>
      <c r="K217" s="110"/>
      <c r="L217" s="110"/>
      <c r="M217" s="110"/>
      <c r="N217" s="110"/>
      <c r="O217" s="110"/>
      <c r="P217" s="110"/>
      <c r="Q217" s="110"/>
      <c r="R217" s="110"/>
      <c r="S217" s="110"/>
    </row>
    <row r="218" spans="1:19" x14ac:dyDescent="0.2">
      <c r="A218" s="110"/>
      <c r="B218" s="110"/>
      <c r="C218" s="110"/>
      <c r="D218" s="110"/>
      <c r="E218" s="110"/>
      <c r="F218" s="110"/>
      <c r="G218" s="110"/>
      <c r="H218" s="110"/>
      <c r="I218" s="110"/>
      <c r="J218" s="110"/>
      <c r="K218" s="110"/>
      <c r="L218" s="110"/>
      <c r="M218" s="110"/>
      <c r="N218" s="110"/>
      <c r="O218" s="110"/>
      <c r="P218" s="110"/>
      <c r="Q218" s="110"/>
      <c r="R218" s="110"/>
      <c r="S218" s="110"/>
    </row>
    <row r="219" spans="1:19" x14ac:dyDescent="0.2">
      <c r="A219" s="110"/>
      <c r="B219" s="110"/>
      <c r="C219" s="110"/>
      <c r="D219" s="110"/>
      <c r="E219" s="110"/>
      <c r="F219" s="110"/>
      <c r="G219" s="110"/>
      <c r="H219" s="110"/>
      <c r="I219" s="110"/>
      <c r="J219" s="110"/>
      <c r="K219" s="110"/>
      <c r="L219" s="110"/>
      <c r="M219" s="110"/>
      <c r="N219" s="110"/>
      <c r="O219" s="110"/>
      <c r="P219" s="110"/>
      <c r="Q219" s="110"/>
      <c r="R219" s="110"/>
      <c r="S219" s="110"/>
    </row>
    <row r="220" spans="1:19" x14ac:dyDescent="0.2">
      <c r="A220" s="110"/>
      <c r="B220" s="110"/>
      <c r="C220" s="110"/>
      <c r="D220" s="110"/>
      <c r="E220" s="110"/>
      <c r="F220" s="110"/>
      <c r="G220" s="110"/>
      <c r="H220" s="110"/>
      <c r="I220" s="110"/>
      <c r="J220" s="110"/>
      <c r="K220" s="110"/>
      <c r="L220" s="110"/>
      <c r="M220" s="110"/>
      <c r="N220" s="110"/>
      <c r="O220" s="110"/>
      <c r="P220" s="110"/>
      <c r="Q220" s="110"/>
      <c r="R220" s="110"/>
      <c r="S220" s="110"/>
    </row>
    <row r="221" spans="1:19" x14ac:dyDescent="0.2">
      <c r="A221" s="110"/>
      <c r="B221" s="110"/>
      <c r="C221" s="110"/>
      <c r="D221" s="110"/>
      <c r="E221" s="110"/>
      <c r="F221" s="110"/>
      <c r="G221" s="110"/>
      <c r="H221" s="110"/>
      <c r="I221" s="110"/>
      <c r="J221" s="110"/>
      <c r="K221" s="110"/>
      <c r="L221" s="110"/>
      <c r="M221" s="110"/>
      <c r="N221" s="110"/>
      <c r="O221" s="110"/>
      <c r="P221" s="110"/>
      <c r="Q221" s="110"/>
      <c r="R221" s="110"/>
      <c r="S221" s="110"/>
    </row>
    <row r="222" spans="1:19" x14ac:dyDescent="0.2">
      <c r="A222" s="110"/>
      <c r="B222" s="110"/>
      <c r="C222" s="110"/>
      <c r="D222" s="110"/>
      <c r="E222" s="110"/>
      <c r="F222" s="110"/>
      <c r="G222" s="110"/>
      <c r="H222" s="110"/>
      <c r="I222" s="110"/>
      <c r="J222" s="110"/>
      <c r="K222" s="110"/>
      <c r="L222" s="110"/>
      <c r="M222" s="110"/>
      <c r="N222" s="110"/>
      <c r="O222" s="110"/>
      <c r="P222" s="110"/>
      <c r="Q222" s="110"/>
      <c r="R222" s="110"/>
      <c r="S222" s="110"/>
    </row>
    <row r="223" spans="1:19" x14ac:dyDescent="0.2">
      <c r="A223" s="110"/>
      <c r="B223" s="110"/>
      <c r="C223" s="110"/>
      <c r="D223" s="110"/>
      <c r="E223" s="110"/>
      <c r="F223" s="110"/>
      <c r="G223" s="110"/>
      <c r="H223" s="110"/>
      <c r="I223" s="110"/>
      <c r="J223" s="110"/>
      <c r="K223" s="110"/>
      <c r="L223" s="110"/>
      <c r="M223" s="110"/>
      <c r="N223" s="110"/>
      <c r="O223" s="110"/>
      <c r="P223" s="110"/>
      <c r="Q223" s="110"/>
      <c r="R223" s="110"/>
      <c r="S223" s="110"/>
    </row>
    <row r="224" spans="1:19" x14ac:dyDescent="0.2">
      <c r="A224" s="110"/>
      <c r="B224" s="110"/>
      <c r="C224" s="110"/>
      <c r="D224" s="110"/>
      <c r="E224" s="110"/>
      <c r="F224" s="110"/>
      <c r="G224" s="110"/>
      <c r="H224" s="110"/>
      <c r="I224" s="110"/>
      <c r="J224" s="110"/>
      <c r="K224" s="110"/>
      <c r="L224" s="110"/>
      <c r="M224" s="110"/>
      <c r="N224" s="110"/>
      <c r="O224" s="110"/>
      <c r="P224" s="110"/>
      <c r="Q224" s="110"/>
      <c r="R224" s="110"/>
      <c r="S224" s="110"/>
    </row>
    <row r="225" spans="1:19" x14ac:dyDescent="0.2">
      <c r="A225" s="110"/>
      <c r="B225" s="110"/>
      <c r="C225" s="110"/>
      <c r="D225" s="110"/>
      <c r="E225" s="110"/>
      <c r="F225" s="110"/>
      <c r="G225" s="110"/>
      <c r="H225" s="110"/>
      <c r="I225" s="110"/>
      <c r="J225" s="110"/>
      <c r="K225" s="110"/>
      <c r="L225" s="110"/>
      <c r="M225" s="110"/>
      <c r="N225" s="110"/>
      <c r="O225" s="110"/>
      <c r="P225" s="110"/>
      <c r="Q225" s="110"/>
      <c r="R225" s="110"/>
      <c r="S225" s="110"/>
    </row>
    <row r="226" spans="1:19" x14ac:dyDescent="0.2">
      <c r="A226" s="110"/>
      <c r="B226" s="110"/>
      <c r="C226" s="110"/>
      <c r="D226" s="110"/>
      <c r="E226" s="110"/>
      <c r="F226" s="110"/>
      <c r="G226" s="110"/>
      <c r="H226" s="110"/>
      <c r="I226" s="110"/>
      <c r="J226" s="110"/>
      <c r="K226" s="110"/>
      <c r="L226" s="110"/>
      <c r="M226" s="110"/>
      <c r="N226" s="110"/>
      <c r="O226" s="110"/>
      <c r="P226" s="110"/>
      <c r="Q226" s="110"/>
      <c r="R226" s="110"/>
      <c r="S226" s="110"/>
    </row>
    <row r="227" spans="1:19" x14ac:dyDescent="0.2">
      <c r="A227" s="110"/>
      <c r="B227" s="110"/>
      <c r="C227" s="110"/>
      <c r="D227" s="110"/>
      <c r="E227" s="110"/>
      <c r="F227" s="110"/>
      <c r="G227" s="110"/>
      <c r="H227" s="110"/>
      <c r="I227" s="110"/>
      <c r="J227" s="110"/>
      <c r="K227" s="110"/>
      <c r="L227" s="110"/>
      <c r="M227" s="110"/>
      <c r="N227" s="110"/>
      <c r="O227" s="110"/>
      <c r="P227" s="110"/>
      <c r="Q227" s="110"/>
      <c r="R227" s="110"/>
      <c r="S227" s="110"/>
    </row>
    <row r="228" spans="1:19" x14ac:dyDescent="0.2">
      <c r="A228" s="110"/>
      <c r="B228" s="110"/>
      <c r="C228" s="110"/>
      <c r="D228" s="110"/>
      <c r="E228" s="110"/>
      <c r="F228" s="110"/>
      <c r="G228" s="110"/>
      <c r="H228" s="110"/>
      <c r="I228" s="110"/>
      <c r="J228" s="110"/>
      <c r="K228" s="110"/>
      <c r="L228" s="110"/>
      <c r="M228" s="110"/>
      <c r="N228" s="110"/>
      <c r="O228" s="110"/>
      <c r="P228" s="110"/>
      <c r="Q228" s="110"/>
      <c r="R228" s="110"/>
      <c r="S228" s="110"/>
    </row>
    <row r="229" spans="1:19" x14ac:dyDescent="0.2">
      <c r="A229" s="110"/>
      <c r="B229" s="110"/>
      <c r="C229" s="110"/>
      <c r="D229" s="110"/>
      <c r="E229" s="110"/>
      <c r="F229" s="110"/>
      <c r="G229" s="110"/>
      <c r="H229" s="110"/>
      <c r="I229" s="110"/>
      <c r="J229" s="110"/>
      <c r="K229" s="110"/>
      <c r="L229" s="110"/>
      <c r="M229" s="110"/>
      <c r="N229" s="110"/>
      <c r="O229" s="110"/>
      <c r="P229" s="110"/>
      <c r="Q229" s="110"/>
      <c r="R229" s="110"/>
      <c r="S229" s="110"/>
    </row>
    <row r="230" spans="1:19" x14ac:dyDescent="0.2">
      <c r="A230" s="110"/>
      <c r="B230" s="110"/>
      <c r="C230" s="110"/>
      <c r="D230" s="110"/>
      <c r="E230" s="110"/>
      <c r="F230" s="110"/>
      <c r="G230" s="110"/>
      <c r="H230" s="110"/>
      <c r="I230" s="110"/>
      <c r="J230" s="110"/>
      <c r="K230" s="110"/>
      <c r="L230" s="110"/>
      <c r="M230" s="110"/>
      <c r="N230" s="110"/>
      <c r="O230" s="110"/>
      <c r="P230" s="110"/>
      <c r="Q230" s="110"/>
      <c r="R230" s="110"/>
      <c r="S230" s="110"/>
    </row>
    <row r="231" spans="1:19" x14ac:dyDescent="0.2">
      <c r="A231" s="110"/>
      <c r="B231" s="110"/>
      <c r="C231" s="110"/>
      <c r="D231" s="110"/>
      <c r="E231" s="110"/>
      <c r="F231" s="110"/>
      <c r="G231" s="110"/>
      <c r="H231" s="110"/>
      <c r="I231" s="110"/>
      <c r="J231" s="110"/>
      <c r="K231" s="110"/>
      <c r="L231" s="110"/>
      <c r="M231" s="110"/>
      <c r="N231" s="110"/>
      <c r="O231" s="110"/>
      <c r="P231" s="110"/>
      <c r="Q231" s="110"/>
      <c r="R231" s="110"/>
      <c r="S231" s="110"/>
    </row>
    <row r="232" spans="1:19" x14ac:dyDescent="0.2">
      <c r="A232" s="110"/>
      <c r="B232" s="110"/>
      <c r="C232" s="110"/>
      <c r="D232" s="110"/>
      <c r="E232" s="110"/>
      <c r="F232" s="110"/>
      <c r="G232" s="110"/>
      <c r="H232" s="110"/>
      <c r="I232" s="110"/>
      <c r="J232" s="110"/>
      <c r="K232" s="110"/>
      <c r="L232" s="110"/>
      <c r="M232" s="110"/>
      <c r="N232" s="110"/>
      <c r="O232" s="110"/>
      <c r="P232" s="110"/>
      <c r="Q232" s="110"/>
      <c r="R232" s="110"/>
      <c r="S232" s="110"/>
    </row>
    <row r="233" spans="1:19" x14ac:dyDescent="0.2">
      <c r="A233" s="110"/>
      <c r="B233" s="110"/>
      <c r="C233" s="110"/>
      <c r="D233" s="110"/>
      <c r="E233" s="110"/>
      <c r="F233" s="110"/>
      <c r="G233" s="110"/>
      <c r="H233" s="110"/>
      <c r="I233" s="110"/>
      <c r="J233" s="110"/>
      <c r="K233" s="110"/>
      <c r="L233" s="110"/>
      <c r="M233" s="110"/>
      <c r="N233" s="110"/>
      <c r="O233" s="110"/>
      <c r="P233" s="110"/>
      <c r="Q233" s="110"/>
      <c r="R233" s="110"/>
      <c r="S233" s="110"/>
    </row>
    <row r="234" spans="1:19" x14ac:dyDescent="0.2">
      <c r="A234" s="110"/>
      <c r="B234" s="110"/>
      <c r="C234" s="110"/>
      <c r="D234" s="110"/>
      <c r="E234" s="110"/>
      <c r="F234" s="110"/>
      <c r="G234" s="110"/>
      <c r="H234" s="110"/>
      <c r="I234" s="110"/>
      <c r="J234" s="110"/>
      <c r="K234" s="110"/>
      <c r="L234" s="110"/>
      <c r="M234" s="110"/>
      <c r="N234" s="110"/>
      <c r="O234" s="110"/>
      <c r="P234" s="110"/>
      <c r="Q234" s="110"/>
      <c r="R234" s="110"/>
      <c r="S234" s="110"/>
    </row>
    <row r="235" spans="1:19" x14ac:dyDescent="0.2">
      <c r="A235" s="110"/>
      <c r="B235" s="110"/>
      <c r="C235" s="110"/>
      <c r="D235" s="110"/>
      <c r="E235" s="110"/>
      <c r="F235" s="110"/>
      <c r="G235" s="110"/>
      <c r="H235" s="110"/>
      <c r="I235" s="110"/>
      <c r="J235" s="110"/>
      <c r="K235" s="110"/>
      <c r="L235" s="110"/>
      <c r="M235" s="110"/>
      <c r="N235" s="110"/>
      <c r="O235" s="110"/>
      <c r="P235" s="110"/>
      <c r="Q235" s="110"/>
      <c r="R235" s="110"/>
      <c r="S235" s="110"/>
    </row>
    <row r="236" spans="1:19" x14ac:dyDescent="0.2">
      <c r="A236" s="110"/>
      <c r="B236" s="110"/>
      <c r="C236" s="110"/>
      <c r="D236" s="110"/>
      <c r="E236" s="110"/>
      <c r="F236" s="110"/>
      <c r="G236" s="110"/>
      <c r="H236" s="110"/>
      <c r="I236" s="110"/>
      <c r="J236" s="110"/>
      <c r="K236" s="110"/>
      <c r="L236" s="110"/>
      <c r="M236" s="110"/>
      <c r="N236" s="110"/>
      <c r="O236" s="110"/>
      <c r="P236" s="110"/>
      <c r="Q236" s="110"/>
      <c r="R236" s="110"/>
      <c r="S236" s="110"/>
    </row>
    <row r="237" spans="1:19" x14ac:dyDescent="0.2">
      <c r="A237" s="110"/>
      <c r="B237" s="110"/>
      <c r="C237" s="110"/>
      <c r="D237" s="110"/>
      <c r="E237" s="110"/>
      <c r="F237" s="110"/>
      <c r="G237" s="110"/>
      <c r="H237" s="110"/>
      <c r="I237" s="110"/>
      <c r="J237" s="110"/>
      <c r="K237" s="110"/>
      <c r="L237" s="110"/>
      <c r="M237" s="110"/>
      <c r="N237" s="110"/>
      <c r="O237" s="110"/>
      <c r="P237" s="110"/>
      <c r="Q237" s="110"/>
      <c r="R237" s="110"/>
      <c r="S237" s="110"/>
    </row>
    <row r="238" spans="1:19" x14ac:dyDescent="0.2">
      <c r="A238" s="110"/>
      <c r="B238" s="110"/>
      <c r="C238" s="110"/>
      <c r="D238" s="110"/>
      <c r="E238" s="110"/>
      <c r="F238" s="110"/>
      <c r="G238" s="110"/>
      <c r="H238" s="110"/>
      <c r="I238" s="110"/>
      <c r="J238" s="110"/>
      <c r="K238" s="110"/>
      <c r="L238" s="110"/>
      <c r="M238" s="110"/>
      <c r="N238" s="110"/>
      <c r="O238" s="110"/>
      <c r="P238" s="110"/>
      <c r="Q238" s="110"/>
      <c r="R238" s="110"/>
      <c r="S238" s="110"/>
    </row>
    <row r="239" spans="1:19" x14ac:dyDescent="0.2">
      <c r="A239" s="110"/>
      <c r="B239" s="110"/>
      <c r="C239" s="110"/>
      <c r="D239" s="110"/>
      <c r="E239" s="110"/>
      <c r="F239" s="110"/>
      <c r="G239" s="110"/>
      <c r="H239" s="110"/>
      <c r="I239" s="110"/>
      <c r="J239" s="110"/>
      <c r="K239" s="110"/>
      <c r="L239" s="110"/>
      <c r="M239" s="110"/>
      <c r="N239" s="110"/>
      <c r="O239" s="110"/>
      <c r="P239" s="110"/>
      <c r="Q239" s="110"/>
      <c r="R239" s="110"/>
      <c r="S239" s="110"/>
    </row>
    <row r="240" spans="1:19" x14ac:dyDescent="0.2">
      <c r="A240" s="153"/>
      <c r="B240" s="153"/>
    </row>
    <row r="241" spans="1:2" x14ac:dyDescent="0.2">
      <c r="A241" s="153"/>
      <c r="B241" s="153"/>
    </row>
    <row r="242" spans="1:2" x14ac:dyDescent="0.2">
      <c r="A242" s="153"/>
      <c r="B242" s="153"/>
    </row>
    <row r="243" spans="1:2" x14ac:dyDescent="0.2">
      <c r="A243" s="153"/>
      <c r="B243" s="153"/>
    </row>
    <row r="244" spans="1:2" x14ac:dyDescent="0.2">
      <c r="A244" s="153"/>
      <c r="B244" s="153"/>
    </row>
    <row r="245" spans="1:2" x14ac:dyDescent="0.2">
      <c r="A245" s="153"/>
      <c r="B245" s="153"/>
    </row>
    <row r="246" spans="1:2" x14ac:dyDescent="0.2">
      <c r="A246" s="153"/>
      <c r="B246" s="153"/>
    </row>
    <row r="247" spans="1:2" x14ac:dyDescent="0.2">
      <c r="A247" s="153"/>
      <c r="B247" s="153"/>
    </row>
    <row r="248" spans="1:2" x14ac:dyDescent="0.2">
      <c r="A248" s="153"/>
      <c r="B248" s="153"/>
    </row>
    <row r="249" spans="1:2" x14ac:dyDescent="0.2">
      <c r="A249" s="153"/>
      <c r="B249" s="153"/>
    </row>
    <row r="250" spans="1:2" x14ac:dyDescent="0.2">
      <c r="A250" s="153"/>
      <c r="B250" s="153"/>
    </row>
    <row r="251" spans="1:2" x14ac:dyDescent="0.2">
      <c r="A251" s="153"/>
      <c r="B251" s="153"/>
    </row>
    <row r="252" spans="1:2" x14ac:dyDescent="0.2">
      <c r="A252" s="153"/>
      <c r="B252" s="153"/>
    </row>
    <row r="253" spans="1:2" x14ac:dyDescent="0.2">
      <c r="A253" s="153"/>
      <c r="B253" s="153"/>
    </row>
    <row r="254" spans="1:2" x14ac:dyDescent="0.2">
      <c r="A254" s="153"/>
      <c r="B254" s="153"/>
    </row>
    <row r="255" spans="1:2" x14ac:dyDescent="0.2">
      <c r="A255" s="153"/>
      <c r="B255" s="153"/>
    </row>
    <row r="256" spans="1:2" x14ac:dyDescent="0.2">
      <c r="A256" s="153"/>
      <c r="B256" s="153"/>
    </row>
    <row r="257" spans="1:2" x14ac:dyDescent="0.2">
      <c r="A257" s="153"/>
      <c r="B257" s="153"/>
    </row>
    <row r="258" spans="1:2" x14ac:dyDescent="0.2">
      <c r="A258" s="153"/>
      <c r="B258" s="153"/>
    </row>
    <row r="259" spans="1:2" x14ac:dyDescent="0.2">
      <c r="A259" s="153"/>
      <c r="B259" s="153"/>
    </row>
    <row r="260" spans="1:2" x14ac:dyDescent="0.2">
      <c r="A260" s="153"/>
      <c r="B260" s="153"/>
    </row>
    <row r="261" spans="1:2" x14ac:dyDescent="0.2">
      <c r="A261" s="153"/>
      <c r="B261" s="153"/>
    </row>
    <row r="262" spans="1:2" x14ac:dyDescent="0.2">
      <c r="A262" s="153"/>
      <c r="B262" s="153"/>
    </row>
    <row r="263" spans="1:2" x14ac:dyDescent="0.2">
      <c r="A263" s="153"/>
      <c r="B263" s="153"/>
    </row>
    <row r="264" spans="1:2" x14ac:dyDescent="0.2">
      <c r="A264" s="153"/>
      <c r="B264" s="153"/>
    </row>
    <row r="265" spans="1:2" x14ac:dyDescent="0.2">
      <c r="A265" s="153"/>
      <c r="B265" s="153"/>
    </row>
    <row r="266" spans="1:2" x14ac:dyDescent="0.2">
      <c r="A266" s="153"/>
      <c r="B266" s="153"/>
    </row>
    <row r="267" spans="1:2" x14ac:dyDescent="0.2">
      <c r="A267" s="153"/>
      <c r="B267" s="153"/>
    </row>
    <row r="268" spans="1:2" x14ac:dyDescent="0.2">
      <c r="A268" s="153"/>
      <c r="B268" s="153"/>
    </row>
    <row r="269" spans="1:2" x14ac:dyDescent="0.2">
      <c r="A269" s="153"/>
      <c r="B269" s="153"/>
    </row>
    <row r="270" spans="1:2" x14ac:dyDescent="0.2">
      <c r="A270" s="153"/>
      <c r="B270" s="153"/>
    </row>
    <row r="271" spans="1:2" x14ac:dyDescent="0.2">
      <c r="A271" s="153"/>
      <c r="B271" s="153"/>
    </row>
    <row r="272" spans="1:2" x14ac:dyDescent="0.2">
      <c r="A272" s="153"/>
      <c r="B272" s="153"/>
    </row>
    <row r="273" spans="1:2" x14ac:dyDescent="0.2">
      <c r="A273" s="153"/>
      <c r="B273" s="153"/>
    </row>
    <row r="274" spans="1:2" x14ac:dyDescent="0.2">
      <c r="A274" s="153"/>
      <c r="B274" s="153"/>
    </row>
    <row r="275" spans="1:2" x14ac:dyDescent="0.2">
      <c r="A275" s="153"/>
      <c r="B275" s="153"/>
    </row>
    <row r="276" spans="1:2" x14ac:dyDescent="0.2">
      <c r="A276" s="153"/>
      <c r="B276" s="153"/>
    </row>
    <row r="277" spans="1:2" x14ac:dyDescent="0.2">
      <c r="A277" s="153"/>
      <c r="B277" s="153"/>
    </row>
    <row r="278" spans="1:2" x14ac:dyDescent="0.2">
      <c r="A278" s="153"/>
      <c r="B278" s="153"/>
    </row>
    <row r="279" spans="1:2" x14ac:dyDescent="0.2">
      <c r="A279" s="153"/>
      <c r="B279" s="153"/>
    </row>
    <row r="280" spans="1:2" x14ac:dyDescent="0.2">
      <c r="A280" s="153"/>
      <c r="B280" s="153"/>
    </row>
    <row r="281" spans="1:2" x14ac:dyDescent="0.2">
      <c r="A281" s="153"/>
      <c r="B281" s="153"/>
    </row>
    <row r="282" spans="1:2" x14ac:dyDescent="0.2">
      <c r="A282" s="153"/>
      <c r="B282" s="153"/>
    </row>
    <row r="283" spans="1:2" x14ac:dyDescent="0.2">
      <c r="A283" s="153"/>
      <c r="B283" s="153"/>
    </row>
    <row r="284" spans="1:2" x14ac:dyDescent="0.2">
      <c r="A284" s="153"/>
      <c r="B284" s="153"/>
    </row>
    <row r="285" spans="1:2" x14ac:dyDescent="0.2">
      <c r="A285" s="153"/>
      <c r="B285" s="153"/>
    </row>
    <row r="286" spans="1:2" x14ac:dyDescent="0.2">
      <c r="A286" s="153"/>
      <c r="B286" s="153"/>
    </row>
    <row r="287" spans="1:2" x14ac:dyDescent="0.2">
      <c r="A287" s="153"/>
      <c r="B287" s="153"/>
    </row>
    <row r="288" spans="1:2" x14ac:dyDescent="0.2">
      <c r="A288" s="153"/>
      <c r="B288" s="153"/>
    </row>
    <row r="289" spans="1:2" x14ac:dyDescent="0.2">
      <c r="A289" s="153"/>
      <c r="B289" s="153"/>
    </row>
    <row r="290" spans="1:2" x14ac:dyDescent="0.2">
      <c r="A290" s="153"/>
      <c r="B290" s="153"/>
    </row>
    <row r="291" spans="1:2" x14ac:dyDescent="0.2">
      <c r="A291" s="153"/>
      <c r="B291" s="153"/>
    </row>
    <row r="292" spans="1:2" x14ac:dyDescent="0.2">
      <c r="A292" s="153"/>
      <c r="B292" s="153"/>
    </row>
    <row r="293" spans="1:2" x14ac:dyDescent="0.2">
      <c r="A293" s="153"/>
      <c r="B293" s="153"/>
    </row>
    <row r="294" spans="1:2" x14ac:dyDescent="0.2">
      <c r="A294" s="153"/>
      <c r="B294" s="153"/>
    </row>
    <row r="295" spans="1:2" x14ac:dyDescent="0.2">
      <c r="A295" s="153"/>
      <c r="B295" s="153"/>
    </row>
    <row r="296" spans="1:2" x14ac:dyDescent="0.2">
      <c r="A296" s="153"/>
      <c r="B296" s="153"/>
    </row>
    <row r="297" spans="1:2" x14ac:dyDescent="0.2">
      <c r="A297" s="153"/>
      <c r="B297" s="153"/>
    </row>
    <row r="298" spans="1:2" x14ac:dyDescent="0.2">
      <c r="A298" s="153"/>
      <c r="B298" s="153"/>
    </row>
    <row r="299" spans="1:2" x14ac:dyDescent="0.2">
      <c r="A299" s="153"/>
      <c r="B299" s="153"/>
    </row>
    <row r="300" spans="1:2" x14ac:dyDescent="0.2">
      <c r="A300" s="153"/>
      <c r="B300" s="153"/>
    </row>
    <row r="301" spans="1:2" x14ac:dyDescent="0.2">
      <c r="A301" s="153"/>
      <c r="B301" s="153"/>
    </row>
    <row r="302" spans="1:2" x14ac:dyDescent="0.2">
      <c r="A302" s="153"/>
      <c r="B302" s="153"/>
    </row>
    <row r="303" spans="1:2" x14ac:dyDescent="0.2">
      <c r="A303" s="153"/>
      <c r="B303" s="153"/>
    </row>
    <row r="304" spans="1:2" x14ac:dyDescent="0.2">
      <c r="A304" s="153"/>
      <c r="B304" s="153"/>
    </row>
    <row r="305" spans="1:2" x14ac:dyDescent="0.2">
      <c r="A305" s="153"/>
      <c r="B305" s="153"/>
    </row>
    <row r="306" spans="1:2" x14ac:dyDescent="0.2">
      <c r="A306" s="153"/>
      <c r="B306" s="153"/>
    </row>
    <row r="307" spans="1:2" x14ac:dyDescent="0.2">
      <c r="A307" s="153"/>
      <c r="B307" s="153"/>
    </row>
    <row r="308" spans="1:2" x14ac:dyDescent="0.2">
      <c r="A308" s="153"/>
      <c r="B308" s="153"/>
    </row>
    <row r="309" spans="1:2" x14ac:dyDescent="0.2">
      <c r="A309" s="153"/>
      <c r="B309" s="153"/>
    </row>
    <row r="310" spans="1:2" x14ac:dyDescent="0.2">
      <c r="A310" s="153"/>
      <c r="B310" s="153"/>
    </row>
    <row r="311" spans="1:2" x14ac:dyDescent="0.2">
      <c r="A311" s="153"/>
      <c r="B311" s="153"/>
    </row>
    <row r="312" spans="1:2" x14ac:dyDescent="0.2">
      <c r="A312" s="153"/>
      <c r="B312" s="153"/>
    </row>
    <row r="313" spans="1:2" x14ac:dyDescent="0.2">
      <c r="A313" s="153"/>
      <c r="B313" s="153"/>
    </row>
    <row r="314" spans="1:2" x14ac:dyDescent="0.2">
      <c r="A314" s="153"/>
      <c r="B314" s="153"/>
    </row>
    <row r="315" spans="1:2" x14ac:dyDescent="0.2">
      <c r="A315" s="153"/>
      <c r="B315" s="153"/>
    </row>
    <row r="316" spans="1:2" x14ac:dyDescent="0.2">
      <c r="A316" s="153"/>
      <c r="B316" s="153"/>
    </row>
    <row r="317" spans="1:2" x14ac:dyDescent="0.2">
      <c r="A317" s="153"/>
      <c r="B317" s="153"/>
    </row>
    <row r="318" spans="1:2" x14ac:dyDescent="0.2">
      <c r="A318" s="153"/>
      <c r="B318" s="153"/>
    </row>
    <row r="319" spans="1:2" x14ac:dyDescent="0.2">
      <c r="A319" s="153"/>
      <c r="B319" s="153"/>
    </row>
    <row r="320" spans="1:2" x14ac:dyDescent="0.2">
      <c r="A320" s="153"/>
      <c r="B320" s="153"/>
    </row>
    <row r="321" spans="1:2" x14ac:dyDescent="0.2">
      <c r="A321" s="153"/>
      <c r="B321" s="153"/>
    </row>
    <row r="322" spans="1:2" x14ac:dyDescent="0.2">
      <c r="A322" s="153"/>
      <c r="B322" s="153"/>
    </row>
    <row r="323" spans="1:2" x14ac:dyDescent="0.2">
      <c r="A323" s="153"/>
      <c r="B323" s="153"/>
    </row>
    <row r="324" spans="1:2" x14ac:dyDescent="0.2">
      <c r="A324" s="153"/>
      <c r="B324" s="153"/>
    </row>
    <row r="325" spans="1:2" x14ac:dyDescent="0.2">
      <c r="A325" s="153"/>
      <c r="B325" s="153"/>
    </row>
    <row r="326" spans="1:2" x14ac:dyDescent="0.2">
      <c r="A326" s="153"/>
      <c r="B326" s="153"/>
    </row>
    <row r="327" spans="1:2" x14ac:dyDescent="0.2">
      <c r="A327" s="153"/>
      <c r="B327" s="153"/>
    </row>
    <row r="328" spans="1:2" x14ac:dyDescent="0.2">
      <c r="A328" s="153"/>
      <c r="B328" s="153"/>
    </row>
    <row r="329" spans="1:2" x14ac:dyDescent="0.2">
      <c r="A329" s="153"/>
      <c r="B329" s="153"/>
    </row>
    <row r="330" spans="1:2" x14ac:dyDescent="0.2">
      <c r="A330" s="153"/>
      <c r="B330" s="153"/>
    </row>
    <row r="331" spans="1:2" x14ac:dyDescent="0.2">
      <c r="A331" s="153"/>
      <c r="B331" s="153"/>
    </row>
    <row r="332" spans="1:2" x14ac:dyDescent="0.2">
      <c r="A332" s="153"/>
      <c r="B332" s="153"/>
    </row>
    <row r="333" spans="1:2" x14ac:dyDescent="0.2">
      <c r="A333" s="153"/>
      <c r="B333" s="153"/>
    </row>
    <row r="334" spans="1:2" x14ac:dyDescent="0.2">
      <c r="A334" s="153"/>
      <c r="B334" s="153"/>
    </row>
    <row r="335" spans="1:2" x14ac:dyDescent="0.2">
      <c r="A335" s="153"/>
      <c r="B335" s="153"/>
    </row>
    <row r="336" spans="1:2" x14ac:dyDescent="0.2">
      <c r="A336" s="153"/>
      <c r="B336" s="153"/>
    </row>
    <row r="337" spans="1:2" x14ac:dyDescent="0.2">
      <c r="A337" s="153"/>
      <c r="B337" s="153"/>
    </row>
    <row r="338" spans="1:2" x14ac:dyDescent="0.2">
      <c r="A338" s="153"/>
      <c r="B338" s="153"/>
    </row>
    <row r="339" spans="1:2" x14ac:dyDescent="0.2">
      <c r="A339" s="153"/>
      <c r="B339" s="153"/>
    </row>
    <row r="340" spans="1:2" x14ac:dyDescent="0.2">
      <c r="A340" s="153"/>
      <c r="B340" s="153"/>
    </row>
    <row r="341" spans="1:2" x14ac:dyDescent="0.2">
      <c r="A341" s="153"/>
      <c r="B341" s="153"/>
    </row>
    <row r="342" spans="1:2" x14ac:dyDescent="0.2">
      <c r="A342" s="153"/>
      <c r="B342" s="153"/>
    </row>
    <row r="343" spans="1:2" x14ac:dyDescent="0.2">
      <c r="A343" s="153"/>
      <c r="B343" s="153"/>
    </row>
    <row r="344" spans="1:2" x14ac:dyDescent="0.2">
      <c r="A344" s="153"/>
      <c r="B344" s="153"/>
    </row>
    <row r="345" spans="1:2" x14ac:dyDescent="0.2">
      <c r="A345" s="153"/>
      <c r="B345" s="153"/>
    </row>
    <row r="346" spans="1:2" x14ac:dyDescent="0.2">
      <c r="A346" s="153"/>
      <c r="B346" s="153"/>
    </row>
    <row r="347" spans="1:2" x14ac:dyDescent="0.2">
      <c r="A347" s="153"/>
      <c r="B347" s="153"/>
    </row>
    <row r="348" spans="1:2" x14ac:dyDescent="0.2">
      <c r="A348" s="153"/>
      <c r="B348" s="153"/>
    </row>
    <row r="349" spans="1:2" x14ac:dyDescent="0.2">
      <c r="A349" s="153"/>
      <c r="B349" s="153"/>
    </row>
    <row r="350" spans="1:2" x14ac:dyDescent="0.2">
      <c r="A350" s="153"/>
      <c r="B350" s="153"/>
    </row>
    <row r="351" spans="1:2" x14ac:dyDescent="0.2">
      <c r="A351" s="153"/>
      <c r="B351" s="153"/>
    </row>
    <row r="352" spans="1:2" x14ac:dyDescent="0.2">
      <c r="A352" s="153"/>
      <c r="B352" s="153"/>
    </row>
    <row r="353" spans="1:2" x14ac:dyDescent="0.2">
      <c r="A353" s="153"/>
      <c r="B353" s="153"/>
    </row>
    <row r="354" spans="1:2" x14ac:dyDescent="0.2">
      <c r="A354" s="153"/>
      <c r="B354" s="153"/>
    </row>
    <row r="355" spans="1:2" x14ac:dyDescent="0.2">
      <c r="A355" s="153"/>
      <c r="B355" s="153"/>
    </row>
    <row r="356" spans="1:2" x14ac:dyDescent="0.2">
      <c r="A356" s="153"/>
      <c r="B356" s="153"/>
    </row>
    <row r="357" spans="1:2" x14ac:dyDescent="0.2">
      <c r="A357" s="153"/>
      <c r="B357" s="153"/>
    </row>
    <row r="358" spans="1:2" x14ac:dyDescent="0.2">
      <c r="A358" s="153"/>
      <c r="B358" s="153"/>
    </row>
    <row r="359" spans="1:2" x14ac:dyDescent="0.2">
      <c r="A359" s="153"/>
      <c r="B359" s="153"/>
    </row>
    <row r="360" spans="1:2" x14ac:dyDescent="0.2">
      <c r="A360" s="153"/>
      <c r="B360" s="153"/>
    </row>
    <row r="361" spans="1:2" x14ac:dyDescent="0.2">
      <c r="A361" s="153"/>
      <c r="B361" s="153"/>
    </row>
    <row r="362" spans="1:2" x14ac:dyDescent="0.2">
      <c r="A362" s="153"/>
      <c r="B362" s="153"/>
    </row>
    <row r="363" spans="1:2" x14ac:dyDescent="0.2">
      <c r="A363" s="153"/>
      <c r="B363" s="153"/>
    </row>
    <row r="364" spans="1:2" x14ac:dyDescent="0.2">
      <c r="A364" s="153"/>
      <c r="B364" s="153"/>
    </row>
    <row r="365" spans="1:2" x14ac:dyDescent="0.2">
      <c r="A365" s="153"/>
      <c r="B365" s="153"/>
    </row>
    <row r="366" spans="1:2" x14ac:dyDescent="0.2">
      <c r="A366" s="153"/>
      <c r="B366" s="153"/>
    </row>
    <row r="367" spans="1:2" x14ac:dyDescent="0.2">
      <c r="A367" s="153"/>
      <c r="B367" s="153"/>
    </row>
    <row r="368" spans="1:2" x14ac:dyDescent="0.2">
      <c r="A368" s="153"/>
      <c r="B368" s="153"/>
    </row>
    <row r="369" spans="1:2" x14ac:dyDescent="0.2">
      <c r="A369" s="153"/>
      <c r="B369" s="153"/>
    </row>
    <row r="370" spans="1:2" x14ac:dyDescent="0.2">
      <c r="A370" s="153"/>
      <c r="B370" s="153"/>
    </row>
    <row r="371" spans="1:2" x14ac:dyDescent="0.2">
      <c r="A371" s="153"/>
      <c r="B371" s="153"/>
    </row>
    <row r="372" spans="1:2" x14ac:dyDescent="0.2">
      <c r="A372" s="153"/>
      <c r="B372" s="153"/>
    </row>
    <row r="373" spans="1:2" x14ac:dyDescent="0.2">
      <c r="A373" s="153"/>
      <c r="B373" s="153"/>
    </row>
    <row r="374" spans="1:2" x14ac:dyDescent="0.2">
      <c r="A374" s="153"/>
      <c r="B374" s="153"/>
    </row>
    <row r="375" spans="1:2" x14ac:dyDescent="0.2">
      <c r="A375" s="153"/>
      <c r="B375" s="153"/>
    </row>
    <row r="376" spans="1:2" x14ac:dyDescent="0.2">
      <c r="A376" s="153"/>
      <c r="B376" s="153"/>
    </row>
    <row r="377" spans="1:2" x14ac:dyDescent="0.2">
      <c r="A377" s="153"/>
      <c r="B377" s="153"/>
    </row>
    <row r="378" spans="1:2" x14ac:dyDescent="0.2">
      <c r="A378" s="153"/>
      <c r="B378" s="153"/>
    </row>
    <row r="379" spans="1:2" x14ac:dyDescent="0.2">
      <c r="A379" s="153"/>
      <c r="B379" s="153"/>
    </row>
    <row r="380" spans="1:2" x14ac:dyDescent="0.2">
      <c r="A380" s="153"/>
      <c r="B380" s="153"/>
    </row>
    <row r="381" spans="1:2" x14ac:dyDescent="0.2">
      <c r="A381" s="153"/>
      <c r="B381" s="153"/>
    </row>
    <row r="382" spans="1:2" x14ac:dyDescent="0.2">
      <c r="A382" s="153"/>
      <c r="B382" s="153"/>
    </row>
    <row r="383" spans="1:2" x14ac:dyDescent="0.2">
      <c r="A383" s="153"/>
      <c r="B383" s="153"/>
    </row>
    <row r="384" spans="1:2" x14ac:dyDescent="0.2">
      <c r="A384" s="153"/>
      <c r="B384" s="153"/>
    </row>
    <row r="385" spans="1:2" x14ac:dyDescent="0.2">
      <c r="A385" s="153"/>
      <c r="B385" s="153"/>
    </row>
    <row r="386" spans="1:2" x14ac:dyDescent="0.2">
      <c r="A386" s="153"/>
      <c r="B386" s="153"/>
    </row>
    <row r="387" spans="1:2" x14ac:dyDescent="0.2">
      <c r="A387" s="153"/>
      <c r="B387" s="153"/>
    </row>
    <row r="388" spans="1:2" x14ac:dyDescent="0.2">
      <c r="A388" s="153"/>
      <c r="B388" s="153"/>
    </row>
    <row r="389" spans="1:2" x14ac:dyDescent="0.2">
      <c r="A389" s="153"/>
      <c r="B389" s="153"/>
    </row>
    <row r="390" spans="1:2" x14ac:dyDescent="0.2">
      <c r="A390" s="153"/>
      <c r="B390" s="153"/>
    </row>
    <row r="391" spans="1:2" x14ac:dyDescent="0.2">
      <c r="A391" s="153"/>
      <c r="B391" s="153"/>
    </row>
    <row r="392" spans="1:2" x14ac:dyDescent="0.2">
      <c r="A392" s="153"/>
      <c r="B392" s="153"/>
    </row>
    <row r="393" spans="1:2" x14ac:dyDescent="0.2">
      <c r="A393" s="153"/>
      <c r="B393" s="153"/>
    </row>
    <row r="394" spans="1:2" x14ac:dyDescent="0.2">
      <c r="A394" s="153"/>
      <c r="B394" s="153"/>
    </row>
    <row r="395" spans="1:2" x14ac:dyDescent="0.2">
      <c r="A395" s="153"/>
      <c r="B395" s="153"/>
    </row>
    <row r="396" spans="1:2" x14ac:dyDescent="0.2">
      <c r="A396" s="153"/>
      <c r="B396" s="153"/>
    </row>
    <row r="397" spans="1:2" x14ac:dyDescent="0.2">
      <c r="A397" s="153"/>
      <c r="B397" s="153"/>
    </row>
    <row r="398" spans="1:2" x14ac:dyDescent="0.2">
      <c r="A398" s="153"/>
      <c r="B398" s="153"/>
    </row>
    <row r="399" spans="1:2" x14ac:dyDescent="0.2">
      <c r="A399" s="153"/>
      <c r="B399" s="153"/>
    </row>
    <row r="400" spans="1:2" x14ac:dyDescent="0.2">
      <c r="A400" s="153"/>
      <c r="B400" s="153"/>
    </row>
    <row r="401" spans="1:2" x14ac:dyDescent="0.2">
      <c r="A401" s="153"/>
      <c r="B401" s="153"/>
    </row>
    <row r="402" spans="1:2" x14ac:dyDescent="0.2">
      <c r="A402" s="153"/>
      <c r="B402" s="153"/>
    </row>
    <row r="403" spans="1:2" x14ac:dyDescent="0.2">
      <c r="A403" s="153"/>
      <c r="B403" s="153"/>
    </row>
    <row r="404" spans="1:2" x14ac:dyDescent="0.2">
      <c r="A404" s="153"/>
      <c r="B404" s="153"/>
    </row>
    <row r="405" spans="1:2" x14ac:dyDescent="0.2">
      <c r="A405" s="153"/>
      <c r="B405" s="153"/>
    </row>
    <row r="406" spans="1:2" x14ac:dyDescent="0.2">
      <c r="A406" s="153"/>
      <c r="B406" s="153"/>
    </row>
    <row r="407" spans="1:2" x14ac:dyDescent="0.2">
      <c r="A407" s="153"/>
      <c r="B407" s="153"/>
    </row>
    <row r="408" spans="1:2" x14ac:dyDescent="0.2">
      <c r="A408" s="153"/>
      <c r="B408" s="153"/>
    </row>
    <row r="409" spans="1:2" x14ac:dyDescent="0.2">
      <c r="A409" s="153"/>
      <c r="B409" s="153"/>
    </row>
    <row r="410" spans="1:2" x14ac:dyDescent="0.2">
      <c r="A410" s="153"/>
      <c r="B410" s="153"/>
    </row>
    <row r="411" spans="1:2" x14ac:dyDescent="0.2">
      <c r="A411" s="153"/>
      <c r="B411" s="153"/>
    </row>
    <row r="412" spans="1:2" x14ac:dyDescent="0.2">
      <c r="A412" s="153"/>
      <c r="B412" s="153"/>
    </row>
    <row r="413" spans="1:2" x14ac:dyDescent="0.2">
      <c r="A413" s="153"/>
      <c r="B413" s="153"/>
    </row>
    <row r="414" spans="1:2" x14ac:dyDescent="0.2">
      <c r="A414" s="153"/>
      <c r="B414" s="153"/>
    </row>
    <row r="415" spans="1:2" x14ac:dyDescent="0.2">
      <c r="A415" s="153"/>
      <c r="B415" s="153"/>
    </row>
    <row r="416" spans="1:2" x14ac:dyDescent="0.2">
      <c r="A416" s="153"/>
      <c r="B416" s="153"/>
    </row>
    <row r="417" spans="1:2" x14ac:dyDescent="0.2">
      <c r="A417" s="153"/>
      <c r="B417" s="153"/>
    </row>
    <row r="418" spans="1:2" x14ac:dyDescent="0.2">
      <c r="A418" s="153"/>
      <c r="B418" s="153"/>
    </row>
    <row r="419" spans="1:2" x14ac:dyDescent="0.2">
      <c r="A419" s="153"/>
      <c r="B419" s="153"/>
    </row>
    <row r="420" spans="1:2" x14ac:dyDescent="0.2">
      <c r="A420" s="153"/>
      <c r="B420" s="153"/>
    </row>
    <row r="421" spans="1:2" x14ac:dyDescent="0.2">
      <c r="A421" s="153"/>
      <c r="B421" s="153"/>
    </row>
    <row r="422" spans="1:2" x14ac:dyDescent="0.2">
      <c r="A422" s="153"/>
      <c r="B422" s="153"/>
    </row>
    <row r="423" spans="1:2" x14ac:dyDescent="0.2">
      <c r="A423" s="153"/>
      <c r="B423" s="153"/>
    </row>
    <row r="424" spans="1:2" x14ac:dyDescent="0.2">
      <c r="A424" s="153"/>
      <c r="B424" s="153"/>
    </row>
    <row r="425" spans="1:2" x14ac:dyDescent="0.2">
      <c r="A425" s="153"/>
      <c r="B425" s="153"/>
    </row>
    <row r="426" spans="1:2" x14ac:dyDescent="0.2">
      <c r="A426" s="153"/>
      <c r="B426" s="153"/>
    </row>
    <row r="427" spans="1:2" x14ac:dyDescent="0.2">
      <c r="A427" s="153"/>
      <c r="B427" s="153"/>
    </row>
    <row r="428" spans="1:2" x14ac:dyDescent="0.2">
      <c r="A428" s="153"/>
      <c r="B428" s="153"/>
    </row>
    <row r="429" spans="1:2" x14ac:dyDescent="0.2">
      <c r="A429" s="153"/>
      <c r="B429" s="153"/>
    </row>
    <row r="430" spans="1:2" x14ac:dyDescent="0.2">
      <c r="A430" s="153"/>
      <c r="B430" s="153"/>
    </row>
    <row r="431" spans="1:2" x14ac:dyDescent="0.2">
      <c r="A431" s="153"/>
      <c r="B431" s="153"/>
    </row>
    <row r="432" spans="1:2" x14ac:dyDescent="0.2">
      <c r="A432" s="153"/>
      <c r="B432" s="153"/>
    </row>
    <row r="433" spans="1:2" x14ac:dyDescent="0.2">
      <c r="A433" s="153"/>
      <c r="B433" s="153"/>
    </row>
    <row r="434" spans="1:2" x14ac:dyDescent="0.2">
      <c r="A434" s="153"/>
      <c r="B434" s="153"/>
    </row>
    <row r="435" spans="1:2" x14ac:dyDescent="0.2">
      <c r="A435" s="153"/>
      <c r="B435" s="153"/>
    </row>
    <row r="436" spans="1:2" x14ac:dyDescent="0.2">
      <c r="A436" s="153"/>
      <c r="B436" s="153"/>
    </row>
    <row r="437" spans="1:2" x14ac:dyDescent="0.2">
      <c r="A437" s="153"/>
      <c r="B437" s="153"/>
    </row>
    <row r="438" spans="1:2" x14ac:dyDescent="0.2">
      <c r="A438" s="153"/>
      <c r="B438" s="153"/>
    </row>
    <row r="439" spans="1:2" x14ac:dyDescent="0.2">
      <c r="A439" s="153"/>
      <c r="B439" s="153"/>
    </row>
    <row r="440" spans="1:2" x14ac:dyDescent="0.2">
      <c r="A440" s="153"/>
      <c r="B440" s="153"/>
    </row>
    <row r="441" spans="1:2" x14ac:dyDescent="0.2">
      <c r="A441" s="153"/>
      <c r="B441" s="153"/>
    </row>
    <row r="442" spans="1:2" x14ac:dyDescent="0.2">
      <c r="A442" s="153"/>
      <c r="B442" s="153"/>
    </row>
    <row r="443" spans="1:2" x14ac:dyDescent="0.2">
      <c r="A443" s="153"/>
      <c r="B443" s="153"/>
    </row>
    <row r="444" spans="1:2" x14ac:dyDescent="0.2">
      <c r="A444" s="153"/>
      <c r="B444" s="153"/>
    </row>
    <row r="445" spans="1:2" x14ac:dyDescent="0.2">
      <c r="A445" s="153"/>
      <c r="B445" s="153"/>
    </row>
    <row r="446" spans="1:2" x14ac:dyDescent="0.2">
      <c r="A446" s="153"/>
      <c r="B446" s="153"/>
    </row>
    <row r="447" spans="1:2" x14ac:dyDescent="0.2">
      <c r="A447" s="153"/>
      <c r="B447" s="153"/>
    </row>
    <row r="448" spans="1:2" x14ac:dyDescent="0.2">
      <c r="A448" s="153"/>
      <c r="B448" s="153"/>
    </row>
    <row r="449" spans="1:2" x14ac:dyDescent="0.2">
      <c r="A449" s="153"/>
      <c r="B449" s="153"/>
    </row>
    <row r="450" spans="1:2" x14ac:dyDescent="0.2">
      <c r="A450" s="153"/>
      <c r="B450" s="153"/>
    </row>
    <row r="451" spans="1:2" x14ac:dyDescent="0.2">
      <c r="A451" s="153"/>
      <c r="B451" s="153"/>
    </row>
    <row r="452" spans="1:2" x14ac:dyDescent="0.2">
      <c r="A452" s="153"/>
      <c r="B452" s="153"/>
    </row>
    <row r="453" spans="1:2" x14ac:dyDescent="0.2">
      <c r="A453" s="153"/>
      <c r="B453" s="153"/>
    </row>
    <row r="454" spans="1:2" x14ac:dyDescent="0.2">
      <c r="A454" s="153"/>
      <c r="B454" s="153"/>
    </row>
    <row r="455" spans="1:2" x14ac:dyDescent="0.2">
      <c r="A455" s="153"/>
      <c r="B455" s="153"/>
    </row>
    <row r="456" spans="1:2" x14ac:dyDescent="0.2">
      <c r="A456" s="153"/>
      <c r="B456" s="153"/>
    </row>
    <row r="457" spans="1:2" x14ac:dyDescent="0.2">
      <c r="A457" s="153"/>
      <c r="B457" s="153"/>
    </row>
    <row r="458" spans="1:2" x14ac:dyDescent="0.2">
      <c r="A458" s="153"/>
      <c r="B458" s="153"/>
    </row>
    <row r="459" spans="1:2" x14ac:dyDescent="0.2">
      <c r="A459" s="153"/>
      <c r="B459" s="153"/>
    </row>
    <row r="460" spans="1:2" x14ac:dyDescent="0.2">
      <c r="A460" s="153"/>
      <c r="B460" s="153"/>
    </row>
    <row r="461" spans="1:2" x14ac:dyDescent="0.2">
      <c r="A461" s="153"/>
      <c r="B461" s="153"/>
    </row>
    <row r="462" spans="1:2" x14ac:dyDescent="0.2">
      <c r="A462" s="153"/>
      <c r="B462" s="153"/>
    </row>
    <row r="463" spans="1:2" x14ac:dyDescent="0.2">
      <c r="A463" s="153"/>
      <c r="B463" s="153"/>
    </row>
    <row r="464" spans="1:2" x14ac:dyDescent="0.2">
      <c r="A464" s="153"/>
      <c r="B464" s="153"/>
    </row>
    <row r="465" spans="1:2" x14ac:dyDescent="0.2">
      <c r="A465" s="153"/>
      <c r="B465" s="153"/>
    </row>
    <row r="466" spans="1:2" x14ac:dyDescent="0.2">
      <c r="A466" s="153"/>
      <c r="B466" s="153"/>
    </row>
    <row r="467" spans="1:2" x14ac:dyDescent="0.2">
      <c r="A467" s="153"/>
      <c r="B467" s="153"/>
    </row>
    <row r="468" spans="1:2" x14ac:dyDescent="0.2">
      <c r="A468" s="153"/>
      <c r="B468" s="153"/>
    </row>
    <row r="469" spans="1:2" x14ac:dyDescent="0.2">
      <c r="A469" s="153"/>
      <c r="B469" s="153"/>
    </row>
    <row r="470" spans="1:2" x14ac:dyDescent="0.2">
      <c r="A470" s="153"/>
      <c r="B470" s="153"/>
    </row>
    <row r="471" spans="1:2" x14ac:dyDescent="0.2">
      <c r="A471" s="153"/>
      <c r="B471" s="153"/>
    </row>
    <row r="472" spans="1:2" x14ac:dyDescent="0.2">
      <c r="A472" s="153"/>
      <c r="B472" s="153"/>
    </row>
    <row r="473" spans="1:2" x14ac:dyDescent="0.2">
      <c r="A473" s="153"/>
      <c r="B473" s="153"/>
    </row>
    <row r="474" spans="1:2" x14ac:dyDescent="0.2">
      <c r="A474" s="153"/>
      <c r="B474" s="153"/>
    </row>
    <row r="475" spans="1:2" x14ac:dyDescent="0.2">
      <c r="A475" s="153"/>
      <c r="B475" s="153"/>
    </row>
    <row r="476" spans="1:2" x14ac:dyDescent="0.2">
      <c r="A476" s="153"/>
      <c r="B476" s="153"/>
    </row>
    <row r="477" spans="1:2" x14ac:dyDescent="0.2">
      <c r="A477" s="153"/>
      <c r="B477" s="153"/>
    </row>
    <row r="478" spans="1:2" x14ac:dyDescent="0.2">
      <c r="A478" s="153"/>
      <c r="B478" s="153"/>
    </row>
    <row r="479" spans="1:2" x14ac:dyDescent="0.2">
      <c r="A479" s="153"/>
      <c r="B479" s="153"/>
    </row>
    <row r="480" spans="1:2" x14ac:dyDescent="0.2">
      <c r="A480" s="153"/>
      <c r="B480" s="153"/>
    </row>
    <row r="481" spans="1:2" x14ac:dyDescent="0.2">
      <c r="A481" s="153"/>
      <c r="B481" s="153"/>
    </row>
    <row r="482" spans="1:2" x14ac:dyDescent="0.2">
      <c r="A482" s="153"/>
      <c r="B482" s="153"/>
    </row>
    <row r="483" spans="1:2" x14ac:dyDescent="0.2">
      <c r="A483" s="153"/>
      <c r="B483" s="153"/>
    </row>
    <row r="484" spans="1:2" x14ac:dyDescent="0.2">
      <c r="A484" s="153"/>
      <c r="B484" s="153"/>
    </row>
    <row r="485" spans="1:2" x14ac:dyDescent="0.2">
      <c r="A485" s="153"/>
      <c r="B485" s="153"/>
    </row>
    <row r="486" spans="1:2" x14ac:dyDescent="0.2">
      <c r="A486" s="153"/>
      <c r="B486" s="153"/>
    </row>
    <row r="487" spans="1:2" x14ac:dyDescent="0.2">
      <c r="A487" s="153"/>
      <c r="B487" s="153"/>
    </row>
    <row r="488" spans="1:2" x14ac:dyDescent="0.2">
      <c r="A488" s="153"/>
      <c r="B488" s="153"/>
    </row>
    <row r="489" spans="1:2" x14ac:dyDescent="0.2">
      <c r="A489" s="153"/>
      <c r="B489" s="153"/>
    </row>
    <row r="490" spans="1:2" x14ac:dyDescent="0.2">
      <c r="A490" s="153"/>
      <c r="B490" s="153"/>
    </row>
    <row r="491" spans="1:2" x14ac:dyDescent="0.2">
      <c r="A491" s="153"/>
      <c r="B491" s="153"/>
    </row>
    <row r="492" spans="1:2" x14ac:dyDescent="0.2">
      <c r="A492" s="153"/>
      <c r="B492" s="153"/>
    </row>
    <row r="493" spans="1:2" x14ac:dyDescent="0.2">
      <c r="A493" s="153"/>
      <c r="B493" s="153"/>
    </row>
    <row r="494" spans="1:2" x14ac:dyDescent="0.2">
      <c r="A494" s="153"/>
      <c r="B494" s="153"/>
    </row>
    <row r="495" spans="1:2" x14ac:dyDescent="0.2">
      <c r="A495" s="153"/>
      <c r="B495" s="153"/>
    </row>
    <row r="496" spans="1:2" x14ac:dyDescent="0.2">
      <c r="A496" s="153"/>
      <c r="B496" s="153"/>
    </row>
    <row r="497" spans="1:2" x14ac:dyDescent="0.2">
      <c r="A497" s="153"/>
      <c r="B497" s="153"/>
    </row>
    <row r="498" spans="1:2" x14ac:dyDescent="0.2">
      <c r="A498" s="153"/>
      <c r="B498" s="153"/>
    </row>
    <row r="499" spans="1:2" x14ac:dyDescent="0.2">
      <c r="A499" s="153"/>
      <c r="B499" s="153"/>
    </row>
    <row r="500" spans="1:2" x14ac:dyDescent="0.2">
      <c r="A500" s="153"/>
      <c r="B500" s="153"/>
    </row>
    <row r="501" spans="1:2" x14ac:dyDescent="0.2">
      <c r="A501" s="153"/>
      <c r="B501" s="153"/>
    </row>
    <row r="502" spans="1:2" x14ac:dyDescent="0.2">
      <c r="A502" s="153"/>
      <c r="B502" s="153"/>
    </row>
    <row r="503" spans="1:2" x14ac:dyDescent="0.2">
      <c r="A503" s="153"/>
      <c r="B503" s="153"/>
    </row>
    <row r="504" spans="1:2" x14ac:dyDescent="0.2">
      <c r="A504" s="153"/>
      <c r="B504" s="153"/>
    </row>
    <row r="505" spans="1:2" x14ac:dyDescent="0.2">
      <c r="A505" s="153"/>
      <c r="B505" s="153"/>
    </row>
    <row r="506" spans="1:2" x14ac:dyDescent="0.2">
      <c r="A506" s="153"/>
      <c r="B506" s="153"/>
    </row>
    <row r="507" spans="1:2" x14ac:dyDescent="0.2">
      <c r="A507" s="153"/>
      <c r="B507" s="153"/>
    </row>
    <row r="508" spans="1:2" x14ac:dyDescent="0.2">
      <c r="A508" s="153"/>
      <c r="B508" s="153"/>
    </row>
    <row r="509" spans="1:2" x14ac:dyDescent="0.2">
      <c r="A509" s="153"/>
      <c r="B509" s="153"/>
    </row>
    <row r="510" spans="1:2" x14ac:dyDescent="0.2">
      <c r="A510" s="153"/>
      <c r="B510" s="153"/>
    </row>
    <row r="511" spans="1:2" x14ac:dyDescent="0.2">
      <c r="A511" s="153"/>
      <c r="B511" s="153"/>
    </row>
    <row r="512" spans="1:2" x14ac:dyDescent="0.2">
      <c r="A512" s="153"/>
      <c r="B512" s="153"/>
    </row>
    <row r="513" spans="1:2" x14ac:dyDescent="0.2">
      <c r="A513" s="153"/>
      <c r="B513" s="153"/>
    </row>
    <row r="514" spans="1:2" x14ac:dyDescent="0.2">
      <c r="A514" s="153"/>
      <c r="B514" s="153"/>
    </row>
    <row r="515" spans="1:2" x14ac:dyDescent="0.2">
      <c r="A515" s="153"/>
      <c r="B515" s="153"/>
    </row>
    <row r="516" spans="1:2" x14ac:dyDescent="0.2">
      <c r="A516" s="153"/>
      <c r="B516" s="153"/>
    </row>
    <row r="517" spans="1:2" x14ac:dyDescent="0.2">
      <c r="A517" s="153"/>
      <c r="B517" s="153"/>
    </row>
    <row r="518" spans="1:2" x14ac:dyDescent="0.2">
      <c r="A518" s="153"/>
      <c r="B518" s="153"/>
    </row>
    <row r="519" spans="1:2" x14ac:dyDescent="0.2">
      <c r="A519" s="153"/>
      <c r="B519" s="153"/>
    </row>
    <row r="520" spans="1:2" x14ac:dyDescent="0.2">
      <c r="A520" s="153"/>
      <c r="B520" s="153"/>
    </row>
    <row r="521" spans="1:2" x14ac:dyDescent="0.2">
      <c r="A521" s="153"/>
      <c r="B521" s="153"/>
    </row>
    <row r="522" spans="1:2" x14ac:dyDescent="0.2">
      <c r="A522" s="153"/>
      <c r="B522" s="153"/>
    </row>
    <row r="523" spans="1:2" x14ac:dyDescent="0.2">
      <c r="A523" s="153"/>
      <c r="B523" s="153"/>
    </row>
    <row r="524" spans="1:2" x14ac:dyDescent="0.2">
      <c r="A524" s="153"/>
      <c r="B524" s="153"/>
    </row>
    <row r="525" spans="1:2" x14ac:dyDescent="0.2">
      <c r="A525" s="153"/>
      <c r="B525" s="153"/>
    </row>
    <row r="526" spans="1:2" x14ac:dyDescent="0.2">
      <c r="A526" s="153"/>
      <c r="B526" s="153"/>
    </row>
    <row r="527" spans="1:2" x14ac:dyDescent="0.2">
      <c r="A527" s="153"/>
      <c r="B527" s="153"/>
    </row>
    <row r="528" spans="1:2" x14ac:dyDescent="0.2">
      <c r="A528" s="153"/>
      <c r="B528" s="153"/>
    </row>
    <row r="529" spans="1:2" x14ac:dyDescent="0.2">
      <c r="A529" s="153"/>
      <c r="B529" s="153"/>
    </row>
    <row r="530" spans="1:2" x14ac:dyDescent="0.2">
      <c r="A530" s="153"/>
      <c r="B530" s="153"/>
    </row>
    <row r="531" spans="1:2" x14ac:dyDescent="0.2">
      <c r="A531" s="153"/>
      <c r="B531" s="153"/>
    </row>
    <row r="532" spans="1:2" x14ac:dyDescent="0.2">
      <c r="A532" s="153"/>
      <c r="B532" s="153"/>
    </row>
    <row r="533" spans="1:2" x14ac:dyDescent="0.2">
      <c r="A533" s="153"/>
      <c r="B533" s="153"/>
    </row>
    <row r="534" spans="1:2" x14ac:dyDescent="0.2">
      <c r="A534" s="153"/>
      <c r="B534" s="153"/>
    </row>
    <row r="535" spans="1:2" x14ac:dyDescent="0.2">
      <c r="A535" s="153"/>
      <c r="B535" s="153"/>
    </row>
    <row r="536" spans="1:2" x14ac:dyDescent="0.2">
      <c r="A536" s="153"/>
      <c r="B536" s="153"/>
    </row>
    <row r="537" spans="1:2" x14ac:dyDescent="0.2">
      <c r="A537" s="153"/>
      <c r="B537" s="153"/>
    </row>
    <row r="538" spans="1:2" x14ac:dyDescent="0.2">
      <c r="A538" s="153"/>
      <c r="B538" s="153"/>
    </row>
    <row r="539" spans="1:2" x14ac:dyDescent="0.2">
      <c r="A539" s="153"/>
      <c r="B539" s="153"/>
    </row>
    <row r="540" spans="1:2" x14ac:dyDescent="0.2">
      <c r="A540" s="153"/>
      <c r="B540" s="153"/>
    </row>
    <row r="541" spans="1:2" x14ac:dyDescent="0.2">
      <c r="A541" s="153"/>
      <c r="B541" s="153"/>
    </row>
    <row r="542" spans="1:2" x14ac:dyDescent="0.2">
      <c r="A542" s="153"/>
      <c r="B542" s="153"/>
    </row>
    <row r="543" spans="1:2" x14ac:dyDescent="0.2">
      <c r="A543" s="153"/>
      <c r="B543" s="153"/>
    </row>
  </sheetData>
  <sheetProtection password="DFD3" sheet="1" objects="1" scenarios="1"/>
  <phoneticPr fontId="0" type="noConversion"/>
  <pageMargins left="0.75" right="0.75" top="1" bottom="1" header="0.5" footer="0.5"/>
  <pageSetup orientation="portrait" horizontalDpi="360"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K137"/>
  <sheetViews>
    <sheetView workbookViewId="0">
      <selection activeCell="AG1" sqref="AG1"/>
    </sheetView>
  </sheetViews>
  <sheetFormatPr defaultRowHeight="12.75" x14ac:dyDescent="0.2"/>
  <cols>
    <col min="1" max="1" width="206.5703125" style="275" customWidth="1"/>
    <col min="2" max="2" width="54.28515625" style="275" customWidth="1"/>
    <col min="3" max="3" width="54.42578125" customWidth="1"/>
    <col min="4" max="4" width="16.42578125" customWidth="1"/>
    <col min="5" max="5" width="14.140625" bestFit="1" customWidth="1"/>
    <col min="6" max="6" width="16" customWidth="1"/>
    <col min="7" max="7" width="14.42578125" customWidth="1"/>
    <col min="8" max="8" width="13" customWidth="1"/>
    <col min="9" max="9" width="12" customWidth="1"/>
    <col min="10" max="10" width="12.7109375" customWidth="1"/>
    <col min="11" max="11" width="12.85546875" customWidth="1"/>
    <col min="12" max="12" width="11.5703125" bestFit="1" customWidth="1"/>
    <col min="13" max="13" width="12.85546875" customWidth="1"/>
    <col min="14" max="14" width="20.7109375" customWidth="1"/>
    <col min="15" max="15" width="14" bestFit="1" customWidth="1"/>
    <col min="16" max="16" width="15" bestFit="1" customWidth="1"/>
    <col min="17" max="17" width="15" customWidth="1"/>
    <col min="18" max="19" width="15" bestFit="1" customWidth="1"/>
    <col min="20" max="20" width="13.42578125" customWidth="1"/>
    <col min="23" max="23" width="10" bestFit="1" customWidth="1"/>
  </cols>
  <sheetData>
    <row r="1" spans="1:21" x14ac:dyDescent="0.2">
      <c r="A1" s="284"/>
      <c r="B1" s="284"/>
      <c r="D1" s="10" t="s">
        <v>318</v>
      </c>
      <c r="E1" s="10" t="s">
        <v>316</v>
      </c>
      <c r="F1" s="10" t="s">
        <v>317</v>
      </c>
      <c r="G1" s="10" t="s">
        <v>319</v>
      </c>
      <c r="I1" s="10" t="s">
        <v>393</v>
      </c>
      <c r="J1" s="14">
        <v>5.0648030553255896E-2</v>
      </c>
    </row>
    <row r="2" spans="1:21" x14ac:dyDescent="0.2">
      <c r="A2" s="284"/>
      <c r="B2" s="284"/>
      <c r="D2" s="99">
        <f>ProjectData!B16</f>
        <v>0.65</v>
      </c>
      <c r="E2" s="10">
        <f>ProjectData!B17</f>
        <v>7000</v>
      </c>
      <c r="F2" s="10">
        <f>ProjectData!B18</f>
        <v>36</v>
      </c>
      <c r="G2" s="222">
        <f>ProjectData!B15</f>
        <v>500</v>
      </c>
      <c r="J2" s="38"/>
    </row>
    <row r="3" spans="1:21" x14ac:dyDescent="0.2">
      <c r="A3" s="284"/>
      <c r="B3" s="284"/>
      <c r="F3" s="10" t="s">
        <v>45</v>
      </c>
    </row>
    <row r="4" spans="1:21" x14ac:dyDescent="0.2">
      <c r="A4" s="284"/>
      <c r="B4" s="284"/>
      <c r="D4" s="10" t="s">
        <v>327</v>
      </c>
      <c r="E4" s="10" t="s">
        <v>324</v>
      </c>
      <c r="F4" s="10" t="s">
        <v>142</v>
      </c>
      <c r="G4" s="10" t="s">
        <v>143</v>
      </c>
    </row>
    <row r="5" spans="1:21" ht="23.25" x14ac:dyDescent="0.35">
      <c r="A5" s="285" t="s">
        <v>406</v>
      </c>
      <c r="B5" s="285"/>
      <c r="D5" s="223">
        <f>ProjectData!B15*1000</f>
        <v>500000</v>
      </c>
      <c r="E5" s="223">
        <f>G2*D2*8760</f>
        <v>2847000</v>
      </c>
      <c r="F5" s="72">
        <f>ProjectData!B19</f>
        <v>1250</v>
      </c>
      <c r="G5" s="72">
        <f>F5*D5</f>
        <v>625000000</v>
      </c>
    </row>
    <row r="6" spans="1:21" x14ac:dyDescent="0.2">
      <c r="A6" s="284"/>
      <c r="B6" s="284"/>
    </row>
    <row r="7" spans="1:21" ht="15.75" x14ac:dyDescent="0.25">
      <c r="A7" s="286" t="s">
        <v>407</v>
      </c>
      <c r="B7" s="286"/>
      <c r="D7" s="10" t="s">
        <v>328</v>
      </c>
      <c r="E7" s="10" t="s">
        <v>332</v>
      </c>
      <c r="F7" s="10" t="s">
        <v>333</v>
      </c>
      <c r="G7" s="10" t="s">
        <v>325</v>
      </c>
    </row>
    <row r="8" spans="1:21" ht="15" x14ac:dyDescent="0.2">
      <c r="A8" s="287"/>
      <c r="B8" s="287"/>
      <c r="D8" s="10" t="s">
        <v>329</v>
      </c>
      <c r="E8" s="19" t="s">
        <v>142</v>
      </c>
      <c r="F8" s="10" t="s">
        <v>334</v>
      </c>
      <c r="G8" s="10" t="s">
        <v>326</v>
      </c>
    </row>
    <row r="9" spans="1:21" ht="15.75" x14ac:dyDescent="0.25">
      <c r="A9" s="286" t="s">
        <v>408</v>
      </c>
      <c r="B9" s="286"/>
      <c r="D9" s="128">
        <f>ProjectData!B20</f>
        <v>3.25</v>
      </c>
      <c r="E9" s="105">
        <f>ProjectData!B22</f>
        <v>8.25</v>
      </c>
      <c r="F9" s="128">
        <f>ProjectData!B23</f>
        <v>2.9</v>
      </c>
      <c r="G9" s="128">
        <f>D57/E5</f>
        <v>22.75</v>
      </c>
    </row>
    <row r="10" spans="1:21" ht="15.75" x14ac:dyDescent="0.25">
      <c r="A10" s="286"/>
      <c r="B10" s="286"/>
      <c r="E10" s="10"/>
    </row>
    <row r="11" spans="1:21" ht="15.75" x14ac:dyDescent="0.25">
      <c r="A11" s="286" t="s">
        <v>409</v>
      </c>
      <c r="B11" s="286"/>
      <c r="C11" s="76"/>
      <c r="D11" s="17" t="s">
        <v>168</v>
      </c>
      <c r="E11" s="1"/>
    </row>
    <row r="12" spans="1:21" x14ac:dyDescent="0.2">
      <c r="A12" s="284"/>
      <c r="B12" s="284"/>
      <c r="F12" s="1"/>
      <c r="H12" s="11" t="s">
        <v>256</v>
      </c>
      <c r="I12" s="11" t="s">
        <v>253</v>
      </c>
      <c r="J12" s="11" t="s">
        <v>254</v>
      </c>
      <c r="K12" s="11" t="s">
        <v>255</v>
      </c>
    </row>
    <row r="13" spans="1:21" ht="15.75" x14ac:dyDescent="0.25">
      <c r="A13" s="284"/>
      <c r="B13" s="284"/>
      <c r="C13" s="193" t="s">
        <v>306</v>
      </c>
      <c r="F13" s="11"/>
      <c r="H13" s="182">
        <v>30000</v>
      </c>
      <c r="I13" s="182">
        <v>100000</v>
      </c>
      <c r="J13" s="182">
        <v>300000</v>
      </c>
      <c r="K13" s="11">
        <v>400000</v>
      </c>
      <c r="M13" s="11">
        <f>ProjectData!F13</f>
        <v>0</v>
      </c>
    </row>
    <row r="14" spans="1:21" ht="15" x14ac:dyDescent="0.25">
      <c r="A14" s="284"/>
      <c r="B14" s="284"/>
      <c r="C14" s="3" t="s">
        <v>297</v>
      </c>
      <c r="D14" s="11" t="s">
        <v>101</v>
      </c>
      <c r="E14" s="11" t="s">
        <v>222</v>
      </c>
      <c r="F14" s="11" t="s">
        <v>166</v>
      </c>
      <c r="G14" s="11" t="s">
        <v>251</v>
      </c>
      <c r="H14" s="11" t="s">
        <v>252</v>
      </c>
      <c r="I14" s="11" t="s">
        <v>252</v>
      </c>
      <c r="J14" s="11" t="s">
        <v>252</v>
      </c>
      <c r="K14" s="11" t="s">
        <v>252</v>
      </c>
      <c r="O14">
        <v>30000</v>
      </c>
    </row>
    <row r="15" spans="1:21" x14ac:dyDescent="0.2">
      <c r="A15" s="284"/>
      <c r="B15" s="284"/>
      <c r="C15" s="2" t="s">
        <v>301</v>
      </c>
      <c r="E15" s="11" t="s">
        <v>223</v>
      </c>
      <c r="F15" s="11" t="s">
        <v>167</v>
      </c>
      <c r="G15" s="30" t="s">
        <v>1</v>
      </c>
      <c r="H15" s="30" t="s">
        <v>1</v>
      </c>
      <c r="I15" s="30" t="s">
        <v>1</v>
      </c>
      <c r="J15" s="30" t="s">
        <v>1</v>
      </c>
      <c r="K15" s="30" t="s">
        <v>1</v>
      </c>
      <c r="L15" s="10"/>
      <c r="O15">
        <v>100000</v>
      </c>
      <c r="R15">
        <v>300000</v>
      </c>
      <c r="U15">
        <v>400000</v>
      </c>
    </row>
    <row r="16" spans="1:21" ht="14.25" x14ac:dyDescent="0.2">
      <c r="A16" s="284"/>
      <c r="B16" s="284"/>
      <c r="C16" s="2" t="s">
        <v>300</v>
      </c>
      <c r="D16" s="8">
        <f>G$5*F16</f>
        <v>220588235.29411766</v>
      </c>
      <c r="E16" s="72">
        <f>D16/D$5</f>
        <v>441.1764705882353</v>
      </c>
      <c r="F16" s="363">
        <v>0.35294117647058826</v>
      </c>
      <c r="G16" s="7">
        <f>IF(ProjectData!$B$13="UNITED STATES",1,0)</f>
        <v>0</v>
      </c>
      <c r="H16" s="92">
        <v>0</v>
      </c>
      <c r="I16" s="92">
        <v>0</v>
      </c>
      <c r="J16" s="190">
        <v>0</v>
      </c>
      <c r="K16" s="92">
        <v>0</v>
      </c>
      <c r="L16" s="216"/>
      <c r="M16" s="38">
        <f>(M$13-H$13)/(I$13-H$13)</f>
        <v>-0.42857142857142855</v>
      </c>
      <c r="N16" s="92">
        <f>+I16-H16</f>
        <v>0</v>
      </c>
      <c r="O16" s="92">
        <f>H16+(N16*M16)</f>
        <v>0</v>
      </c>
      <c r="P16" s="252">
        <f>(M$13-I$13)/(J$13-I$13)</f>
        <v>-0.5</v>
      </c>
      <c r="Q16" s="92">
        <f>J16-I16</f>
        <v>0</v>
      </c>
      <c r="R16" s="92">
        <f>I16+(P16*Q16)</f>
        <v>0</v>
      </c>
      <c r="S16" s="252">
        <f>IF((M$13-J$13)/(K$13-J$13)&gt;1,1,(M$13-J$13)/(K$13-J$13))</f>
        <v>-3</v>
      </c>
      <c r="T16" s="92">
        <f>K16-J16</f>
        <v>0</v>
      </c>
      <c r="U16" s="92">
        <f>J16+(S16*T16)</f>
        <v>0</v>
      </c>
    </row>
    <row r="17" spans="1:21" ht="14.25" x14ac:dyDescent="0.2">
      <c r="A17" s="284"/>
      <c r="B17" s="284"/>
      <c r="C17" s="2" t="s">
        <v>299</v>
      </c>
      <c r="D17" s="8">
        <f>G$5*F17</f>
        <v>55147058.823529415</v>
      </c>
      <c r="E17" s="72">
        <f>D17/D$5</f>
        <v>110.29411764705883</v>
      </c>
      <c r="F17" s="363">
        <v>8.8235294117647065E-2</v>
      </c>
      <c r="G17" s="7">
        <f>IF(ProjectData!$B$13="UNITED STATES",1,0.75)</f>
        <v>0.75</v>
      </c>
      <c r="H17" s="92">
        <v>5.0196850393700778E-3</v>
      </c>
      <c r="I17" s="92">
        <v>4.5177165354330702E-2</v>
      </c>
      <c r="J17" s="92">
        <v>0.75</v>
      </c>
      <c r="K17" s="92">
        <v>0.75</v>
      </c>
      <c r="L17" s="216"/>
      <c r="M17" s="38">
        <f>(M$13-H$13)/(I$13-H$13)</f>
        <v>-0.42857142857142855</v>
      </c>
      <c r="N17" s="92">
        <f>+I17-H17</f>
        <v>4.0157480314960622E-2</v>
      </c>
      <c r="O17" s="92">
        <f>H17+(N17*M17)</f>
        <v>-1.2190663667041616E-2</v>
      </c>
      <c r="P17" s="252">
        <f>(M$13-I$13)/(J$13-I$13)</f>
        <v>-0.5</v>
      </c>
      <c r="Q17" s="92">
        <f>J17-I17</f>
        <v>0.7048228346456693</v>
      </c>
      <c r="R17" s="92">
        <f>I17+(P17*Q17)</f>
        <v>-0.30723425196850396</v>
      </c>
      <c r="S17" s="252">
        <f>IF((M$13-J$13)/(K$13-J$13)&gt;1,1,(M$13-J$13)/(K$13-J$13))</f>
        <v>-3</v>
      </c>
      <c r="T17" s="92">
        <f>K17-J17</f>
        <v>0</v>
      </c>
      <c r="U17" s="92">
        <f>J17+(S17*T17)</f>
        <v>0.75</v>
      </c>
    </row>
    <row r="18" spans="1:21" ht="15.75" x14ac:dyDescent="0.25">
      <c r="A18" s="286" t="s">
        <v>410</v>
      </c>
      <c r="B18" s="286"/>
      <c r="C18" s="2" t="s">
        <v>369</v>
      </c>
      <c r="D18" s="8">
        <f>G$5*F18</f>
        <v>99264705.882352948</v>
      </c>
      <c r="E18" s="72">
        <f>D18/D$5</f>
        <v>198.52941176470588</v>
      </c>
      <c r="F18" s="363">
        <v>0.15882352941176472</v>
      </c>
      <c r="G18" s="7">
        <f>IF(ProjectData!$B$13="UNITED STATES",1,0.05)</f>
        <v>0.05</v>
      </c>
      <c r="H18" s="92">
        <v>0</v>
      </c>
      <c r="I18" s="92">
        <v>0</v>
      </c>
      <c r="J18" s="92">
        <v>0.05</v>
      </c>
      <c r="K18" s="92">
        <v>0.05</v>
      </c>
      <c r="L18" s="216"/>
      <c r="M18" s="38">
        <f>(M$13-H$13)/(I$13-H$13)</f>
        <v>-0.42857142857142855</v>
      </c>
      <c r="N18" s="92">
        <f>+I18-H18</f>
        <v>0</v>
      </c>
      <c r="O18" s="92">
        <f>H18+(N18*M18)</f>
        <v>0</v>
      </c>
      <c r="P18" s="252">
        <f>(M$13-I$13)/(J$13-I$13)</f>
        <v>-0.5</v>
      </c>
      <c r="Q18" s="92">
        <f>J18-I18</f>
        <v>0.05</v>
      </c>
      <c r="R18" s="92">
        <f>I18+(P18*Q18)</f>
        <v>-2.5000000000000001E-2</v>
      </c>
      <c r="S18" s="252">
        <f>IF((M$13-J$13)/(K$13-J$13)&gt;1,1,(M$13-J$13)/(K$13-J$13))</f>
        <v>-3</v>
      </c>
      <c r="T18" s="92">
        <f>K18-J18</f>
        <v>0</v>
      </c>
      <c r="U18" s="92">
        <f>J18+(S18*T18)</f>
        <v>0.05</v>
      </c>
    </row>
    <row r="19" spans="1:21" x14ac:dyDescent="0.2">
      <c r="A19" s="284"/>
      <c r="B19" s="284"/>
      <c r="C19" s="2" t="s">
        <v>453</v>
      </c>
      <c r="D19" s="8">
        <f>SUM(D16:D18)</f>
        <v>375000000</v>
      </c>
      <c r="E19" s="72">
        <f>D19/D$5</f>
        <v>750</v>
      </c>
      <c r="F19" s="216">
        <f>SUM(F16:F18)</f>
        <v>0.60000000000000009</v>
      </c>
      <c r="G19" s="7"/>
      <c r="H19" s="92"/>
      <c r="I19" s="92"/>
      <c r="J19" s="92"/>
      <c r="K19" s="92"/>
      <c r="L19" s="216"/>
      <c r="M19" s="38">
        <f>(M$13-H$13)/(I$13-H$13)</f>
        <v>-0.42857142857142855</v>
      </c>
      <c r="N19" s="92">
        <f>+I19-H19</f>
        <v>0</v>
      </c>
      <c r="O19" s="92">
        <f>H19+(N19*M19)</f>
        <v>0</v>
      </c>
      <c r="P19" s="252">
        <f>(M$13-I$13)/(J$13-I$13)</f>
        <v>-0.5</v>
      </c>
      <c r="Q19" s="92">
        <f>J19-I19</f>
        <v>0</v>
      </c>
      <c r="R19" s="92">
        <f>I19+(P19*Q19)</f>
        <v>0</v>
      </c>
      <c r="S19" s="252">
        <f>IF((M$13-J$13)/(K$13-J$13)&gt;1,1,(M$13-J$13)/(K$13-J$13))</f>
        <v>-3</v>
      </c>
      <c r="T19" s="92">
        <f>K19-J19</f>
        <v>0</v>
      </c>
      <c r="U19" s="92">
        <f>J19+(S19*T19)</f>
        <v>0</v>
      </c>
    </row>
    <row r="20" spans="1:21" x14ac:dyDescent="0.2">
      <c r="A20" s="284"/>
      <c r="B20" s="284"/>
      <c r="C20" s="2" t="s">
        <v>452</v>
      </c>
      <c r="D20" s="18"/>
      <c r="E20" s="72"/>
      <c r="F20" s="216"/>
      <c r="G20" s="7"/>
      <c r="H20" s="92"/>
      <c r="I20" s="92"/>
      <c r="J20" s="92"/>
      <c r="K20" s="92"/>
      <c r="L20" s="216"/>
      <c r="M20" s="38"/>
      <c r="N20" s="92"/>
      <c r="O20" s="92"/>
      <c r="Q20" s="92"/>
      <c r="R20" s="92"/>
      <c r="S20" s="252"/>
      <c r="T20" s="92"/>
      <c r="U20" s="92"/>
    </row>
    <row r="21" spans="1:21" ht="14.25" x14ac:dyDescent="0.2">
      <c r="A21" s="284"/>
      <c r="B21" s="284"/>
      <c r="C21" s="2" t="s">
        <v>298</v>
      </c>
      <c r="D21" s="8">
        <f>G$5*F21</f>
        <v>106617647.05882353</v>
      </c>
      <c r="E21" s="72">
        <f>D21/D$5</f>
        <v>213.23529411764704</v>
      </c>
      <c r="F21" s="363">
        <v>0.17058823529411765</v>
      </c>
      <c r="G21" s="7">
        <f>IF(ProjectData!$B$13="UNITED STATES",1,0.5)</f>
        <v>0.5</v>
      </c>
      <c r="H21" s="92">
        <v>5.0196850393700778E-3</v>
      </c>
      <c r="I21" s="92">
        <v>4.5177165354330702E-2</v>
      </c>
      <c r="J21" s="92">
        <v>0.5</v>
      </c>
      <c r="K21" s="92">
        <v>0.5</v>
      </c>
      <c r="L21" s="216"/>
      <c r="M21" s="38">
        <f>(M$13-H$13)/(I$13-H$13)</f>
        <v>-0.42857142857142855</v>
      </c>
      <c r="N21" s="92">
        <f>+I21-H21</f>
        <v>4.0157480314960622E-2</v>
      </c>
      <c r="O21" s="92">
        <f>H21+(N21*M21)</f>
        <v>-1.2190663667041616E-2</v>
      </c>
      <c r="P21" s="252">
        <f>(M$13-I$13)/(J$13-I$13)</f>
        <v>-0.5</v>
      </c>
      <c r="Q21" s="92">
        <f>J21-I21</f>
        <v>0.4548228346456693</v>
      </c>
      <c r="R21" s="92">
        <f>I21+(P21*Q21)</f>
        <v>-0.18223425196850396</v>
      </c>
      <c r="S21" s="252">
        <f>IF((M$13-J$13)/(K$13-J$13)&gt;1,1,(M$13-J$13)/(K$13-J$13))</f>
        <v>-3</v>
      </c>
      <c r="T21" s="92">
        <f>K21-J21</f>
        <v>0</v>
      </c>
      <c r="U21" s="92">
        <f>J21+(S21*T21)</f>
        <v>0.5</v>
      </c>
    </row>
    <row r="22" spans="1:21" ht="14.25" x14ac:dyDescent="0.2">
      <c r="A22" s="284"/>
      <c r="B22" s="284"/>
      <c r="C22" s="2" t="s">
        <v>456</v>
      </c>
      <c r="D22" s="8">
        <f>G$5*F22</f>
        <v>58823529.411764704</v>
      </c>
      <c r="E22" s="72">
        <f>D22/D$5</f>
        <v>117.64705882352941</v>
      </c>
      <c r="F22" s="363">
        <v>9.4117647058823528E-2</v>
      </c>
      <c r="G22" s="7">
        <f>IF(ProjectData!$B$13="UNITED STATES",1,0)</f>
        <v>0</v>
      </c>
      <c r="H22" s="92">
        <v>0</v>
      </c>
      <c r="I22" s="92">
        <v>0</v>
      </c>
      <c r="J22" s="92">
        <v>0</v>
      </c>
      <c r="K22" s="92">
        <v>0</v>
      </c>
      <c r="L22" s="216"/>
      <c r="M22" s="38">
        <f>(M$13-H$13)/(I$13-H$13)</f>
        <v>-0.42857142857142855</v>
      </c>
      <c r="N22" s="92">
        <f>+I22-H22</f>
        <v>0</v>
      </c>
      <c r="O22" s="92">
        <f>H22+(N22*M22)</f>
        <v>0</v>
      </c>
      <c r="P22" s="252">
        <f>(M$13-I$13)/(J$13-I$13)</f>
        <v>-0.5</v>
      </c>
      <c r="Q22" s="92">
        <f>J22-I22</f>
        <v>0</v>
      </c>
      <c r="R22" s="92">
        <f>I22+(P22*Q22)</f>
        <v>0</v>
      </c>
      <c r="S22" s="252">
        <f>IF((M$13-J$13)/(K$13-J$13)&gt;1,1,(M$13-J$13)/(K$13-J$13))</f>
        <v>-3</v>
      </c>
      <c r="T22" s="92">
        <f>K22-J22</f>
        <v>0</v>
      </c>
      <c r="U22" s="92">
        <f>J22+(S22*T22)</f>
        <v>0</v>
      </c>
    </row>
    <row r="23" spans="1:21" ht="14.25" x14ac:dyDescent="0.2">
      <c r="A23" s="284"/>
      <c r="B23" s="284"/>
      <c r="C23" s="2" t="s">
        <v>454</v>
      </c>
      <c r="D23" s="8">
        <f>G$5*F23</f>
        <v>3676470.588235294</v>
      </c>
      <c r="E23" s="72">
        <f>D23/D$5</f>
        <v>7.3529411764705879</v>
      </c>
      <c r="F23" s="363">
        <v>5.8823529411764705E-3</v>
      </c>
      <c r="G23" s="7">
        <v>1</v>
      </c>
      <c r="H23" s="92"/>
      <c r="I23" s="92"/>
      <c r="J23" s="92"/>
      <c r="K23" s="92"/>
      <c r="L23" s="216"/>
      <c r="M23" s="38"/>
      <c r="N23" s="92"/>
      <c r="O23" s="92"/>
      <c r="P23" s="252"/>
      <c r="Q23" s="92"/>
      <c r="R23" s="92"/>
      <c r="S23" s="252"/>
      <c r="T23" s="92"/>
      <c r="U23" s="92"/>
    </row>
    <row r="24" spans="1:21" x14ac:dyDescent="0.2">
      <c r="A24" s="284"/>
      <c r="B24" s="284"/>
      <c r="C24" s="2" t="s">
        <v>453</v>
      </c>
      <c r="D24" s="8">
        <f>SUM(D21:D23)</f>
        <v>169117647.05882353</v>
      </c>
      <c r="E24" s="72">
        <f>D24/D$5</f>
        <v>338.23529411764707</v>
      </c>
      <c r="F24" s="216">
        <f>F22+F21+F23</f>
        <v>0.27058823529411763</v>
      </c>
      <c r="G24" s="7"/>
      <c r="H24" s="92"/>
      <c r="I24" s="92"/>
      <c r="J24" s="92"/>
      <c r="K24" s="92"/>
      <c r="L24" s="216"/>
      <c r="M24" s="38"/>
      <c r="N24" s="92"/>
      <c r="O24" s="92"/>
      <c r="P24" s="252"/>
      <c r="Q24" s="92"/>
      <c r="R24" s="92"/>
      <c r="S24" s="252"/>
      <c r="T24" s="92"/>
      <c r="U24" s="92"/>
    </row>
    <row r="25" spans="1:21" x14ac:dyDescent="0.2">
      <c r="A25" s="284"/>
      <c r="B25" s="284"/>
      <c r="C25" s="2" t="s">
        <v>305</v>
      </c>
      <c r="D25" s="8">
        <f>D24+D19</f>
        <v>544117647.05882359</v>
      </c>
      <c r="E25" s="72">
        <f>D25/D$5</f>
        <v>1088.2352941176471</v>
      </c>
      <c r="F25" s="216">
        <f>F24+F19</f>
        <v>0.87058823529411766</v>
      </c>
      <c r="G25" s="7"/>
      <c r="H25" s="92"/>
      <c r="I25" s="92"/>
      <c r="J25" s="92"/>
      <c r="K25" s="92"/>
      <c r="L25" s="216"/>
      <c r="M25" s="38"/>
      <c r="N25" s="92"/>
      <c r="O25" s="92"/>
      <c r="P25" s="252"/>
      <c r="Q25" s="92"/>
      <c r="R25" s="92"/>
      <c r="S25" s="252"/>
      <c r="T25" s="92"/>
      <c r="U25" s="92"/>
    </row>
    <row r="26" spans="1:21" ht="15" x14ac:dyDescent="0.25">
      <c r="A26" s="284"/>
      <c r="B26" s="284"/>
      <c r="C26" s="4" t="s">
        <v>2</v>
      </c>
      <c r="D26" s="8"/>
      <c r="E26" s="72"/>
      <c r="F26" s="216"/>
      <c r="G26" s="7"/>
      <c r="H26" s="92"/>
      <c r="I26" s="92"/>
      <c r="J26" s="92"/>
      <c r="K26" s="92"/>
      <c r="L26" s="216"/>
      <c r="M26" s="38"/>
      <c r="N26" s="92"/>
      <c r="O26" s="92"/>
      <c r="P26" s="252"/>
      <c r="Q26" s="92"/>
      <c r="R26" s="92"/>
      <c r="S26" s="252"/>
      <c r="T26" s="92"/>
      <c r="U26" s="92"/>
    </row>
    <row r="27" spans="1:21" ht="14.25" x14ac:dyDescent="0.2">
      <c r="A27" s="284"/>
      <c r="B27" s="284"/>
      <c r="C27" s="2" t="s">
        <v>455</v>
      </c>
      <c r="D27" s="8">
        <f t="shared" ref="D27:D32" si="0">G$5*F27</f>
        <v>14705882.352941176</v>
      </c>
      <c r="E27" s="72">
        <f t="shared" ref="E27:E33" si="1">D27/D$5</f>
        <v>29.411764705882351</v>
      </c>
      <c r="F27" s="363">
        <v>2.3529411764705882E-2</v>
      </c>
      <c r="G27" s="7">
        <f>IF(ProjectData!$B$13="UNITED STATES",1,0)</f>
        <v>0</v>
      </c>
      <c r="H27" s="92">
        <v>0</v>
      </c>
      <c r="I27" s="92">
        <v>0</v>
      </c>
      <c r="J27" s="92">
        <v>0</v>
      </c>
      <c r="K27" s="92">
        <v>0</v>
      </c>
      <c r="L27" s="216"/>
      <c r="M27" s="38">
        <f t="shared" ref="M27:M32" si="2">(M$13-H$13)/(I$13-H$13)</f>
        <v>-0.42857142857142855</v>
      </c>
      <c r="N27" s="92">
        <f t="shared" ref="N27:N32" si="3">+I27-H27</f>
        <v>0</v>
      </c>
      <c r="O27" s="92">
        <f t="shared" ref="O27:O32" si="4">H27+(N27*M27)</f>
        <v>0</v>
      </c>
      <c r="P27" s="252">
        <f t="shared" ref="P27:P32" si="5">(M$13-I$13)/(J$13-I$13)</f>
        <v>-0.5</v>
      </c>
      <c r="Q27" s="92">
        <f t="shared" ref="Q27:Q32" si="6">J27-I27</f>
        <v>0</v>
      </c>
      <c r="R27" s="92">
        <f t="shared" ref="R27:R32" si="7">I27+(P27*Q27)</f>
        <v>0</v>
      </c>
      <c r="S27" s="252">
        <f t="shared" ref="S27:S32" si="8">IF((M$13-J$13)/(K$13-J$13)&gt;1,1,(M$13-J$13)/(K$13-J$13))</f>
        <v>-3</v>
      </c>
      <c r="T27" s="92">
        <f t="shared" ref="T27:T32" si="9">K27-J27</f>
        <v>0</v>
      </c>
      <c r="U27" s="92">
        <f t="shared" ref="U27:U32" si="10">J27+(S27*T27)</f>
        <v>0</v>
      </c>
    </row>
    <row r="28" spans="1:21" ht="14.25" x14ac:dyDescent="0.2">
      <c r="A28" s="284"/>
      <c r="B28" s="284"/>
      <c r="C28" s="2" t="s">
        <v>295</v>
      </c>
      <c r="D28" s="8">
        <f t="shared" si="0"/>
        <v>3676470.588235294</v>
      </c>
      <c r="E28" s="72">
        <f t="shared" si="1"/>
        <v>7.3529411764705879</v>
      </c>
      <c r="F28" s="363">
        <v>5.8823529411764705E-3</v>
      </c>
      <c r="G28" s="7">
        <f>IF(ProjectData!$B$13="UNITED STATES",1,0)</f>
        <v>0</v>
      </c>
      <c r="H28" s="92">
        <v>0</v>
      </c>
      <c r="I28" s="92">
        <v>0</v>
      </c>
      <c r="J28" s="92">
        <v>0</v>
      </c>
      <c r="K28" s="92">
        <v>0</v>
      </c>
      <c r="L28" s="216"/>
      <c r="M28" s="38">
        <f t="shared" si="2"/>
        <v>-0.42857142857142855</v>
      </c>
      <c r="N28" s="92">
        <f t="shared" si="3"/>
        <v>0</v>
      </c>
      <c r="O28" s="92">
        <f t="shared" si="4"/>
        <v>0</v>
      </c>
      <c r="P28" s="252">
        <f t="shared" si="5"/>
        <v>-0.5</v>
      </c>
      <c r="Q28" s="92">
        <f t="shared" si="6"/>
        <v>0</v>
      </c>
      <c r="R28" s="92">
        <f t="shared" si="7"/>
        <v>0</v>
      </c>
      <c r="S28" s="252">
        <f t="shared" si="8"/>
        <v>-3</v>
      </c>
      <c r="T28" s="92">
        <f t="shared" si="9"/>
        <v>0</v>
      </c>
      <c r="U28" s="92">
        <f t="shared" si="10"/>
        <v>0</v>
      </c>
    </row>
    <row r="29" spans="1:21" ht="14.25" x14ac:dyDescent="0.2">
      <c r="A29" s="284"/>
      <c r="B29" s="284"/>
      <c r="C29" s="195" t="s">
        <v>293</v>
      </c>
      <c r="D29" s="8">
        <f t="shared" si="0"/>
        <v>29411764.705882352</v>
      </c>
      <c r="E29" s="72">
        <f t="shared" si="1"/>
        <v>58.823529411764703</v>
      </c>
      <c r="F29" s="363">
        <v>4.7058823529411764E-2</v>
      </c>
      <c r="G29" s="7">
        <v>1</v>
      </c>
      <c r="H29" s="92">
        <v>1</v>
      </c>
      <c r="I29" s="92">
        <v>1</v>
      </c>
      <c r="J29" s="92">
        <v>1</v>
      </c>
      <c r="K29" s="92">
        <v>1</v>
      </c>
      <c r="L29" s="216"/>
      <c r="M29" s="38">
        <f t="shared" si="2"/>
        <v>-0.42857142857142855</v>
      </c>
      <c r="N29" s="92">
        <f t="shared" si="3"/>
        <v>0</v>
      </c>
      <c r="O29" s="92">
        <f t="shared" si="4"/>
        <v>1</v>
      </c>
      <c r="P29" s="252">
        <f t="shared" si="5"/>
        <v>-0.5</v>
      </c>
      <c r="Q29" s="92">
        <f t="shared" si="6"/>
        <v>0</v>
      </c>
      <c r="R29" s="92">
        <f t="shared" si="7"/>
        <v>1</v>
      </c>
      <c r="S29" s="252">
        <f t="shared" si="8"/>
        <v>-3</v>
      </c>
      <c r="T29" s="92">
        <f t="shared" si="9"/>
        <v>0</v>
      </c>
      <c r="U29" s="92">
        <f t="shared" si="10"/>
        <v>1</v>
      </c>
    </row>
    <row r="30" spans="1:21" ht="14.25" x14ac:dyDescent="0.2">
      <c r="A30" s="284"/>
      <c r="B30" s="284"/>
      <c r="C30" s="2" t="s">
        <v>457</v>
      </c>
      <c r="D30" s="8">
        <f t="shared" si="0"/>
        <v>14705882.352941176</v>
      </c>
      <c r="E30" s="72">
        <f t="shared" si="1"/>
        <v>29.411764705882351</v>
      </c>
      <c r="F30" s="363">
        <v>2.3529411764705882E-2</v>
      </c>
      <c r="G30" s="7">
        <v>1</v>
      </c>
      <c r="H30" s="92">
        <v>1</v>
      </c>
      <c r="I30" s="92">
        <v>1</v>
      </c>
      <c r="J30" s="92">
        <v>1</v>
      </c>
      <c r="K30" s="92">
        <v>1</v>
      </c>
      <c r="L30" s="216"/>
      <c r="M30" s="38">
        <f t="shared" si="2"/>
        <v>-0.42857142857142855</v>
      </c>
      <c r="N30" s="92">
        <f t="shared" si="3"/>
        <v>0</v>
      </c>
      <c r="O30" s="92">
        <f t="shared" si="4"/>
        <v>1</v>
      </c>
      <c r="P30" s="252">
        <f t="shared" si="5"/>
        <v>-0.5</v>
      </c>
      <c r="Q30" s="92">
        <f t="shared" si="6"/>
        <v>0</v>
      </c>
      <c r="R30" s="92">
        <f t="shared" si="7"/>
        <v>1</v>
      </c>
      <c r="S30" s="252">
        <f t="shared" si="8"/>
        <v>-3</v>
      </c>
      <c r="T30" s="92">
        <f t="shared" si="9"/>
        <v>0</v>
      </c>
      <c r="U30" s="92">
        <f t="shared" si="10"/>
        <v>1</v>
      </c>
    </row>
    <row r="31" spans="1:21" ht="14.25" x14ac:dyDescent="0.2">
      <c r="A31" s="284"/>
      <c r="B31" s="284"/>
      <c r="C31" s="2" t="s">
        <v>296</v>
      </c>
      <c r="D31" s="8">
        <f t="shared" si="0"/>
        <v>14705882.352941176</v>
      </c>
      <c r="E31" s="72">
        <f t="shared" si="1"/>
        <v>29.411764705882351</v>
      </c>
      <c r="F31" s="363">
        <v>2.3529411764705882E-2</v>
      </c>
      <c r="G31" s="7">
        <f>IF(ProjectData!$B$13="UNITED STATES",1,0.25)</f>
        <v>0.25</v>
      </c>
      <c r="H31" s="92">
        <v>0</v>
      </c>
      <c r="I31" s="92">
        <v>0</v>
      </c>
      <c r="J31" s="92">
        <v>0.25</v>
      </c>
      <c r="K31" s="92">
        <v>0.25</v>
      </c>
      <c r="L31" s="216"/>
      <c r="M31" s="38">
        <f t="shared" si="2"/>
        <v>-0.42857142857142855</v>
      </c>
      <c r="N31" s="92">
        <f t="shared" si="3"/>
        <v>0</v>
      </c>
      <c r="O31" s="92">
        <f t="shared" si="4"/>
        <v>0</v>
      </c>
      <c r="P31" s="252">
        <f t="shared" si="5"/>
        <v>-0.5</v>
      </c>
      <c r="Q31" s="92">
        <f t="shared" si="6"/>
        <v>0.25</v>
      </c>
      <c r="R31" s="92">
        <f t="shared" si="7"/>
        <v>-0.125</v>
      </c>
      <c r="S31" s="252">
        <f t="shared" si="8"/>
        <v>-3</v>
      </c>
      <c r="T31" s="92">
        <f t="shared" si="9"/>
        <v>0</v>
      </c>
      <c r="U31" s="92">
        <f t="shared" si="10"/>
        <v>0.25</v>
      </c>
    </row>
    <row r="32" spans="1:21" ht="14.25" x14ac:dyDescent="0.2">
      <c r="A32" s="284"/>
      <c r="B32" s="284"/>
      <c r="C32" s="2" t="s">
        <v>347</v>
      </c>
      <c r="D32" s="8">
        <f t="shared" si="0"/>
        <v>3676470.588235294</v>
      </c>
      <c r="E32" s="72">
        <f t="shared" si="1"/>
        <v>7.3529411764705879</v>
      </c>
      <c r="F32" s="363">
        <v>5.8823529411764705E-3</v>
      </c>
      <c r="G32" s="7">
        <f>IF(ProjectData!$B$13="UNITED STATES",1,0.05)</f>
        <v>0.05</v>
      </c>
      <c r="H32" s="92">
        <v>0</v>
      </c>
      <c r="I32" s="92">
        <v>0</v>
      </c>
      <c r="J32" s="92">
        <v>0.01</v>
      </c>
      <c r="K32" s="92">
        <v>0.02</v>
      </c>
      <c r="L32" s="216"/>
      <c r="M32" s="38">
        <f t="shared" si="2"/>
        <v>-0.42857142857142855</v>
      </c>
      <c r="N32" s="92">
        <f t="shared" si="3"/>
        <v>0</v>
      </c>
      <c r="O32" s="92">
        <f t="shared" si="4"/>
        <v>0</v>
      </c>
      <c r="P32" s="252">
        <f t="shared" si="5"/>
        <v>-0.5</v>
      </c>
      <c r="Q32" s="92">
        <f t="shared" si="6"/>
        <v>0.01</v>
      </c>
      <c r="R32" s="92">
        <f t="shared" si="7"/>
        <v>-5.0000000000000001E-3</v>
      </c>
      <c r="S32" s="252">
        <f t="shared" si="8"/>
        <v>-3</v>
      </c>
      <c r="T32" s="92">
        <f t="shared" si="9"/>
        <v>0.01</v>
      </c>
      <c r="U32" s="92">
        <f t="shared" si="10"/>
        <v>-1.9999999999999997E-2</v>
      </c>
    </row>
    <row r="33" spans="1:21" x14ac:dyDescent="0.2">
      <c r="A33" s="284"/>
      <c r="B33" s="284"/>
      <c r="C33" s="2" t="s">
        <v>307</v>
      </c>
      <c r="D33" s="8">
        <f>SUM(D27:D32)</f>
        <v>80882352.941176459</v>
      </c>
      <c r="E33" s="72">
        <f t="shared" si="1"/>
        <v>161.76470588235293</v>
      </c>
      <c r="F33" s="216">
        <f>SUM(F27:F32)</f>
        <v>0.12941176470588237</v>
      </c>
      <c r="G33" s="7"/>
      <c r="M33" s="38"/>
      <c r="N33" s="92"/>
      <c r="O33" s="92"/>
      <c r="Q33" s="92"/>
      <c r="R33" s="92"/>
      <c r="S33" s="252"/>
      <c r="T33" s="92"/>
      <c r="U33" s="92"/>
    </row>
    <row r="34" spans="1:21" ht="15" x14ac:dyDescent="0.25">
      <c r="A34" s="284"/>
      <c r="B34" s="284"/>
      <c r="C34" s="4" t="s">
        <v>446</v>
      </c>
      <c r="D34" s="8">
        <f>D33+D25</f>
        <v>625000000</v>
      </c>
      <c r="E34" s="72">
        <f>E33+E25</f>
        <v>1250</v>
      </c>
      <c r="F34" s="216">
        <f>F33+F25</f>
        <v>1</v>
      </c>
      <c r="G34" s="7"/>
      <c r="H34" s="92"/>
      <c r="I34" s="92"/>
      <c r="J34" s="92"/>
      <c r="K34" s="92"/>
      <c r="M34" s="38"/>
      <c r="N34" s="92"/>
      <c r="O34" s="92"/>
      <c r="P34" s="252"/>
      <c r="Q34" s="92"/>
      <c r="R34" s="92"/>
      <c r="S34" s="252"/>
      <c r="T34" s="92"/>
      <c r="U34" s="92"/>
    </row>
    <row r="35" spans="1:21" x14ac:dyDescent="0.2">
      <c r="A35" s="284"/>
      <c r="B35" s="284"/>
      <c r="C35" s="345" t="s">
        <v>447</v>
      </c>
      <c r="D35" s="8">
        <f>(D19+D32)*D87</f>
        <v>15147058.823529413</v>
      </c>
      <c r="E35" s="72"/>
      <c r="F35" s="216"/>
      <c r="G35" s="7">
        <v>1</v>
      </c>
      <c r="H35" s="92">
        <v>1</v>
      </c>
      <c r="I35" s="92">
        <v>1</v>
      </c>
      <c r="J35" s="92">
        <v>1</v>
      </c>
      <c r="K35" s="92">
        <v>1</v>
      </c>
      <c r="M35" s="38">
        <f>(M$13-H$13)/(I$13-H$13)</f>
        <v>-0.42857142857142855</v>
      </c>
      <c r="N35" s="92">
        <f>+I35-H35</f>
        <v>0</v>
      </c>
      <c r="O35" s="92">
        <f>H35+(N35*M35)</f>
        <v>1</v>
      </c>
      <c r="P35" s="252">
        <f>(M$13-I$13)/(J$13-I$13)</f>
        <v>-0.5</v>
      </c>
      <c r="Q35" s="92">
        <f>J35-I35</f>
        <v>0</v>
      </c>
      <c r="R35" s="92">
        <f>I35+(P35*Q35)</f>
        <v>1</v>
      </c>
      <c r="S35" s="252">
        <f>IF((M$13-J$13)/(K$13-J$13)&gt;1,1,(M$13-J$13)/(K$13-J$13))</f>
        <v>-3</v>
      </c>
      <c r="T35" s="92">
        <f>K35-J35</f>
        <v>0</v>
      </c>
      <c r="U35" s="92">
        <f>J35+(S35*T35)</f>
        <v>1</v>
      </c>
    </row>
    <row r="36" spans="1:21" x14ac:dyDescent="0.2">
      <c r="A36" s="284"/>
      <c r="B36" s="284"/>
      <c r="C36" s="78" t="s">
        <v>448</v>
      </c>
      <c r="D36" s="8">
        <f>D35+D34</f>
        <v>640147058.82352936</v>
      </c>
      <c r="E36" s="72"/>
      <c r="F36" s="216"/>
      <c r="G36" s="7"/>
      <c r="H36" s="92"/>
      <c r="I36" s="92"/>
      <c r="J36" s="92"/>
      <c r="K36" s="92"/>
      <c r="M36" s="38"/>
      <c r="N36" s="92"/>
      <c r="O36" s="92"/>
      <c r="P36" s="252"/>
      <c r="Q36" s="92"/>
      <c r="R36" s="92"/>
      <c r="S36" s="252"/>
      <c r="T36" s="92"/>
      <c r="U36" s="92"/>
    </row>
    <row r="37" spans="1:21" x14ac:dyDescent="0.2">
      <c r="A37" s="284"/>
      <c r="B37" s="284"/>
      <c r="C37" s="2"/>
      <c r="D37" s="8"/>
      <c r="E37" s="72"/>
      <c r="F37" s="216"/>
      <c r="G37" s="7"/>
      <c r="H37" s="7"/>
      <c r="I37" s="7"/>
      <c r="J37" s="7"/>
      <c r="K37" s="7"/>
      <c r="M37" s="38"/>
      <c r="N37" s="92"/>
      <c r="O37" s="92"/>
      <c r="P37" s="252"/>
      <c r="Q37" s="92"/>
      <c r="R37" s="92"/>
      <c r="S37" s="252"/>
      <c r="T37" s="92"/>
      <c r="U37" s="92"/>
    </row>
    <row r="38" spans="1:21" ht="15" x14ac:dyDescent="0.25">
      <c r="A38" s="284"/>
      <c r="B38" s="284"/>
      <c r="C38" s="4"/>
      <c r="D38" s="8"/>
      <c r="E38" s="72"/>
      <c r="F38" s="99"/>
      <c r="G38" s="7"/>
      <c r="H38" s="11" t="s">
        <v>256</v>
      </c>
      <c r="I38" s="11" t="s">
        <v>253</v>
      </c>
      <c r="J38" s="11" t="s">
        <v>254</v>
      </c>
      <c r="K38" s="11" t="s">
        <v>255</v>
      </c>
      <c r="M38" s="38"/>
      <c r="N38" s="92"/>
      <c r="O38" s="92"/>
      <c r="P38" s="252"/>
      <c r="Q38" s="92"/>
      <c r="R38" s="92"/>
      <c r="S38" s="252"/>
      <c r="T38" s="92"/>
      <c r="U38" s="92"/>
    </row>
    <row r="39" spans="1:21" ht="15" x14ac:dyDescent="0.25">
      <c r="A39" s="284"/>
      <c r="B39" s="284"/>
      <c r="C39" s="4"/>
      <c r="D39" s="8"/>
      <c r="E39" s="72"/>
      <c r="F39" s="92"/>
      <c r="G39" s="7"/>
      <c r="H39" s="182">
        <v>30000</v>
      </c>
      <c r="I39" s="182">
        <v>100000</v>
      </c>
      <c r="J39" s="182">
        <v>300000</v>
      </c>
      <c r="K39" s="11">
        <v>400000</v>
      </c>
      <c r="M39" s="38"/>
      <c r="N39" s="92"/>
      <c r="O39" s="92"/>
      <c r="P39" s="252"/>
      <c r="Q39" s="92"/>
      <c r="R39" s="92"/>
      <c r="S39" s="252"/>
      <c r="T39" s="92"/>
      <c r="U39" s="92"/>
    </row>
    <row r="40" spans="1:21" ht="15" x14ac:dyDescent="0.25">
      <c r="A40" s="284"/>
      <c r="B40" s="284"/>
      <c r="C40" s="4"/>
      <c r="D40" s="8"/>
      <c r="F40" s="8"/>
      <c r="G40" s="7"/>
      <c r="H40" s="11" t="s">
        <v>252</v>
      </c>
      <c r="I40" s="11" t="s">
        <v>252</v>
      </c>
      <c r="J40" s="11" t="s">
        <v>252</v>
      </c>
      <c r="K40" s="11" t="s">
        <v>252</v>
      </c>
      <c r="M40" s="38"/>
      <c r="N40" s="92"/>
      <c r="O40" s="92"/>
      <c r="P40" s="252"/>
      <c r="Q40" s="92"/>
      <c r="R40" s="92"/>
      <c r="S40" s="252"/>
      <c r="T40" s="92"/>
      <c r="U40" s="92"/>
    </row>
    <row r="41" spans="1:21" ht="15.75" x14ac:dyDescent="0.25">
      <c r="A41" s="284"/>
      <c r="B41" s="284"/>
      <c r="C41" s="220" t="s">
        <v>370</v>
      </c>
      <c r="D41" s="11" t="s">
        <v>101</v>
      </c>
      <c r="E41" s="11" t="s">
        <v>222</v>
      </c>
      <c r="F41" s="11" t="s">
        <v>166</v>
      </c>
      <c r="G41" s="30" t="s">
        <v>1</v>
      </c>
      <c r="H41" s="30" t="s">
        <v>1</v>
      </c>
      <c r="I41" s="30" t="s">
        <v>1</v>
      </c>
      <c r="J41" s="30" t="s">
        <v>1</v>
      </c>
      <c r="K41" s="30" t="s">
        <v>1</v>
      </c>
      <c r="M41" s="38"/>
      <c r="N41" s="92"/>
      <c r="O41" s="92"/>
      <c r="P41" s="252"/>
      <c r="Q41" s="92"/>
      <c r="R41" s="92"/>
      <c r="S41" s="252"/>
      <c r="T41" s="92"/>
      <c r="U41" s="92"/>
    </row>
    <row r="42" spans="1:21" ht="15" x14ac:dyDescent="0.25">
      <c r="A42" s="284"/>
      <c r="B42" s="284"/>
      <c r="C42" s="3" t="s">
        <v>321</v>
      </c>
      <c r="E42" s="11" t="s">
        <v>223</v>
      </c>
      <c r="F42" s="11" t="s">
        <v>167</v>
      </c>
      <c r="M42" s="38"/>
      <c r="N42" s="92"/>
      <c r="O42" s="92"/>
      <c r="Q42" s="92"/>
      <c r="R42" s="92"/>
      <c r="S42" s="252"/>
      <c r="T42" s="92"/>
      <c r="U42" s="92"/>
    </row>
    <row r="43" spans="1:21" x14ac:dyDescent="0.2">
      <c r="A43" s="284"/>
      <c r="B43" s="284"/>
      <c r="C43" s="35"/>
      <c r="E43" s="11"/>
      <c r="F43" s="368">
        <f>D44/D50</f>
        <v>0.41820000000000018</v>
      </c>
      <c r="M43" s="38"/>
      <c r="N43" s="92"/>
      <c r="O43" s="92"/>
      <c r="Q43" s="92"/>
      <c r="R43" s="92"/>
      <c r="S43" s="252"/>
      <c r="T43" s="92"/>
      <c r="U43" s="92"/>
    </row>
    <row r="44" spans="1:21" x14ac:dyDescent="0.2">
      <c r="A44" s="284"/>
      <c r="B44" s="284"/>
      <c r="C44" s="35" t="s">
        <v>302</v>
      </c>
      <c r="D44" s="72">
        <f>G2*J1*K93</f>
        <v>1725075.0000000007</v>
      </c>
      <c r="E44" s="128">
        <f>F44*E$9</f>
        <v>3.45</v>
      </c>
      <c r="F44" s="364">
        <v>0.41818181818181821</v>
      </c>
      <c r="G44" s="7">
        <v>1</v>
      </c>
      <c r="H44" s="92">
        <v>1</v>
      </c>
      <c r="I44" s="92">
        <v>1</v>
      </c>
      <c r="J44" s="92">
        <v>1</v>
      </c>
      <c r="K44" s="92">
        <v>1</v>
      </c>
      <c r="M44" s="38">
        <f>(M$13-H$13)/(I$13-H$13)</f>
        <v>-0.42857142857142855</v>
      </c>
      <c r="N44" s="92">
        <f>+I44-H44</f>
        <v>0</v>
      </c>
      <c r="O44" s="92">
        <f>H44+(N44*M44)</f>
        <v>1</v>
      </c>
      <c r="P44" s="252">
        <f>(M$13-I$13)/(J$13-I$13)</f>
        <v>-0.5</v>
      </c>
      <c r="Q44" s="92">
        <f>J44-I44</f>
        <v>0</v>
      </c>
      <c r="R44" s="92">
        <f>I44+(P44*Q44)</f>
        <v>1</v>
      </c>
      <c r="S44" s="252">
        <f>IF((M$13-J$13)/(K$13-J$13)&gt;1,1,(M$13-J$13)/(K$13-J$13))</f>
        <v>-3</v>
      </c>
      <c r="T44" s="92">
        <f>K44-J44</f>
        <v>0</v>
      </c>
      <c r="U44" s="92">
        <f>J44+(S44*T44)</f>
        <v>1</v>
      </c>
    </row>
    <row r="45" spans="1:21" x14ac:dyDescent="0.2">
      <c r="A45" s="284"/>
      <c r="B45" s="284"/>
      <c r="C45" s="2"/>
      <c r="D45" s="72">
        <f>+E45*D$5</f>
        <v>0</v>
      </c>
      <c r="E45" s="128">
        <f>F45*E$9</f>
        <v>0</v>
      </c>
      <c r="F45" s="365">
        <v>0</v>
      </c>
      <c r="G45" s="7">
        <v>1</v>
      </c>
      <c r="H45" s="92">
        <v>1</v>
      </c>
      <c r="I45" s="92">
        <v>1</v>
      </c>
      <c r="J45" s="92">
        <v>1</v>
      </c>
      <c r="K45" s="92">
        <v>1</v>
      </c>
      <c r="M45" s="38">
        <f>(M$13-H$13)/(I$13-H$13)</f>
        <v>-0.42857142857142855</v>
      </c>
      <c r="N45" s="92">
        <f>+I45-H45</f>
        <v>0</v>
      </c>
      <c r="O45" s="92">
        <f>H45+(N45*M45)</f>
        <v>1</v>
      </c>
      <c r="P45" s="252">
        <f>(M$13-I$13)/(J$13-I$13)</f>
        <v>-0.5</v>
      </c>
      <c r="Q45" s="92">
        <f>J45-I45</f>
        <v>0</v>
      </c>
      <c r="R45" s="92">
        <f>I45+(P45*Q45)</f>
        <v>1</v>
      </c>
      <c r="S45" s="252">
        <f>IF((M$13-J$13)/(K$13-J$13)&gt;1,1,(M$13-J$13)/(K$13-J$13))</f>
        <v>-3</v>
      </c>
      <c r="T45" s="92">
        <f>K45-J45</f>
        <v>0</v>
      </c>
      <c r="U45" s="92">
        <f>J45+(S45*T45)</f>
        <v>1</v>
      </c>
    </row>
    <row r="46" spans="1:21" x14ac:dyDescent="0.2">
      <c r="A46" s="284"/>
      <c r="B46" s="284"/>
      <c r="C46" s="2"/>
      <c r="D46" s="72">
        <f>+E46*D$5</f>
        <v>0</v>
      </c>
      <c r="E46" s="128">
        <f>F46*E$9</f>
        <v>0</v>
      </c>
      <c r="F46" s="365">
        <v>0</v>
      </c>
      <c r="G46" s="7">
        <f>IF(ProjectData!$B$13="UNITED STATES",1,0.9)</f>
        <v>0.9</v>
      </c>
      <c r="H46" s="92">
        <v>0.9</v>
      </c>
      <c r="I46" s="92">
        <v>0.9</v>
      </c>
      <c r="J46" s="92">
        <v>0.9</v>
      </c>
      <c r="K46" s="92">
        <v>0.9</v>
      </c>
      <c r="M46" s="38">
        <f>(M$13-H$13)/(I$13-H$13)</f>
        <v>-0.42857142857142855</v>
      </c>
      <c r="N46" s="92">
        <f>+I46-H46</f>
        <v>0</v>
      </c>
      <c r="O46" s="92">
        <f>H46+(N46*M46)</f>
        <v>0.9</v>
      </c>
      <c r="P46" s="252">
        <f>(M$13-I$13)/(J$13-I$13)</f>
        <v>-0.5</v>
      </c>
      <c r="Q46" s="92">
        <f>J46-I46</f>
        <v>0</v>
      </c>
      <c r="R46" s="92">
        <f>I46+(P46*Q46)</f>
        <v>0.9</v>
      </c>
      <c r="S46" s="252">
        <f>IF((M$13-J$13)/(K$13-J$13)&gt;1,1,(M$13-J$13)/(K$13-J$13))</f>
        <v>-3</v>
      </c>
      <c r="T46" s="92">
        <f>K46-J46</f>
        <v>0</v>
      </c>
      <c r="U46" s="92">
        <f>J46+(S46*T46)</f>
        <v>0.9</v>
      </c>
    </row>
    <row r="47" spans="1:21" x14ac:dyDescent="0.2">
      <c r="A47" s="284"/>
      <c r="B47" s="284"/>
      <c r="C47" s="2" t="s">
        <v>342</v>
      </c>
      <c r="D47" s="72">
        <f>SUM(D44:D46)</f>
        <v>1725075.0000000007</v>
      </c>
      <c r="E47" s="128">
        <f>SUM(E44:E46)</f>
        <v>3.45</v>
      </c>
      <c r="F47" s="365">
        <f>SUM(F44:F46)</f>
        <v>0.41818181818181821</v>
      </c>
      <c r="G47" s="7"/>
      <c r="M47" s="38"/>
      <c r="N47" s="92"/>
      <c r="O47" s="92"/>
      <c r="Q47" s="92"/>
      <c r="R47" s="92"/>
      <c r="S47" s="252"/>
      <c r="T47" s="92"/>
      <c r="U47" s="92"/>
    </row>
    <row r="48" spans="1:21" x14ac:dyDescent="0.2">
      <c r="A48" s="284"/>
      <c r="B48" s="284"/>
      <c r="C48" s="2" t="s">
        <v>343</v>
      </c>
      <c r="D48" s="72">
        <f>((E$9*D$5)-D$47)*F51</f>
        <v>249992.18749999991</v>
      </c>
      <c r="E48" s="128">
        <f>F48*E$9</f>
        <v>0.5</v>
      </c>
      <c r="F48" s="366">
        <v>6.0606060606060608E-2</v>
      </c>
      <c r="G48" s="7">
        <f>IF(ProjectData!$B$13="UNITED STATES",1,0.25)</f>
        <v>0.25</v>
      </c>
      <c r="H48" s="92">
        <v>0</v>
      </c>
      <c r="I48" s="92">
        <v>0</v>
      </c>
      <c r="J48" s="92">
        <v>0</v>
      </c>
      <c r="K48" s="92">
        <v>0.25</v>
      </c>
      <c r="M48" s="38">
        <f>(M$13-H$13)/(I$13-H$13)</f>
        <v>-0.42857142857142855</v>
      </c>
      <c r="N48" s="92">
        <f>+I48-H48</f>
        <v>0</v>
      </c>
      <c r="O48" s="92">
        <f>H48+(N48*M48)</f>
        <v>0</v>
      </c>
      <c r="P48" s="252">
        <f>(M$13-I$13)/(J$13-I$13)</f>
        <v>-0.5</v>
      </c>
      <c r="Q48" s="92">
        <f>J48-I48</f>
        <v>0</v>
      </c>
      <c r="R48" s="92">
        <f>I48+(P48*Q48)</f>
        <v>0</v>
      </c>
      <c r="S48" s="252">
        <f>IF((M$13-J$13)/(K$13-J$13)&gt;1,1,(M$13-J$13)/(K$13-J$13))</f>
        <v>-3</v>
      </c>
      <c r="T48" s="92">
        <f>K48-J48</f>
        <v>0.25</v>
      </c>
      <c r="U48" s="92">
        <f>J48+(S48*T48)</f>
        <v>-0.75</v>
      </c>
    </row>
    <row r="49" spans="1:21" x14ac:dyDescent="0.2">
      <c r="A49" s="284"/>
      <c r="B49" s="284"/>
      <c r="C49" s="2" t="s">
        <v>345</v>
      </c>
      <c r="D49" s="72">
        <f>((E$9*D$5)-D$47)*F52</f>
        <v>2149932.8124999991</v>
      </c>
      <c r="E49" s="128">
        <f>F49*E$9</f>
        <v>4.3</v>
      </c>
      <c r="F49" s="366">
        <v>0.52121212121212124</v>
      </c>
      <c r="G49" s="7">
        <f>IF(ProjectData!$B$13="UNITED STATES",1,0.85)</f>
        <v>0.85</v>
      </c>
      <c r="H49" s="92">
        <v>0</v>
      </c>
      <c r="I49" s="92">
        <v>0</v>
      </c>
      <c r="J49" s="92">
        <v>0.25</v>
      </c>
      <c r="K49" s="92">
        <v>0.85</v>
      </c>
      <c r="M49" s="38">
        <f>(M$13-H$13)/(I$13-H$13)</f>
        <v>-0.42857142857142855</v>
      </c>
      <c r="N49" s="92">
        <f>+I49-H49</f>
        <v>0</v>
      </c>
      <c r="O49" s="92">
        <f>H49+(N49*M49)</f>
        <v>0</v>
      </c>
      <c r="P49" s="252">
        <f>(M$13-I$13)/(J$13-I$13)</f>
        <v>-0.5</v>
      </c>
      <c r="Q49" s="92">
        <f>J49-I49</f>
        <v>0.25</v>
      </c>
      <c r="R49" s="92">
        <f>I49+(P49*Q49)</f>
        <v>-0.125</v>
      </c>
      <c r="S49" s="252">
        <f>IF((M$13-J$13)/(K$13-J$13)&gt;1,1,(M$13-J$13)/(K$13-J$13))</f>
        <v>-3</v>
      </c>
      <c r="T49" s="92">
        <f>K49-J49</f>
        <v>0.6</v>
      </c>
      <c r="U49" s="92">
        <f>J49+(S49*T49)</f>
        <v>-1.5499999999999998</v>
      </c>
    </row>
    <row r="50" spans="1:21" x14ac:dyDescent="0.2">
      <c r="A50" s="284"/>
      <c r="B50" s="284"/>
      <c r="C50" s="2" t="s">
        <v>344</v>
      </c>
      <c r="D50" s="72">
        <f>D49+D48+D47</f>
        <v>4125000</v>
      </c>
      <c r="E50" s="236">
        <f>+E49+E48+E47</f>
        <v>8.25</v>
      </c>
      <c r="F50" s="365">
        <f>F49+F48+F47</f>
        <v>1</v>
      </c>
      <c r="G50" s="7"/>
      <c r="M50" s="38"/>
      <c r="N50" s="92"/>
      <c r="O50" s="92"/>
      <c r="P50" s="252"/>
      <c r="Q50" s="92"/>
      <c r="R50" s="92"/>
      <c r="S50" s="252"/>
      <c r="T50" s="92"/>
      <c r="U50" s="92"/>
    </row>
    <row r="51" spans="1:21" x14ac:dyDescent="0.2">
      <c r="A51" s="284"/>
      <c r="B51" s="284"/>
      <c r="C51" s="2"/>
      <c r="D51" s="72"/>
      <c r="E51" s="225" t="s">
        <v>222</v>
      </c>
      <c r="F51" s="365">
        <f>F48/(F48+F49)</f>
        <v>0.10416666666666667</v>
      </c>
      <c r="G51" s="7"/>
      <c r="M51" s="38"/>
      <c r="N51" s="92"/>
      <c r="O51" s="92"/>
      <c r="Q51" s="92"/>
      <c r="R51" s="92"/>
      <c r="S51" s="252"/>
      <c r="T51" s="92"/>
      <c r="U51" s="92"/>
    </row>
    <row r="52" spans="1:21" ht="15" x14ac:dyDescent="0.25">
      <c r="C52" s="3" t="s">
        <v>322</v>
      </c>
      <c r="D52" s="8"/>
      <c r="E52" s="225" t="s">
        <v>331</v>
      </c>
      <c r="F52" s="365">
        <f>1-F51</f>
        <v>0.89583333333333337</v>
      </c>
      <c r="G52" s="7"/>
      <c r="M52" s="38"/>
      <c r="N52" s="92"/>
      <c r="O52" s="92"/>
      <c r="Q52" s="92"/>
      <c r="R52" s="92"/>
      <c r="S52" s="252"/>
      <c r="T52" s="92"/>
      <c r="U52" s="92"/>
    </row>
    <row r="53" spans="1:21" ht="14.25" x14ac:dyDescent="0.2">
      <c r="C53" s="347" t="s">
        <v>459</v>
      </c>
      <c r="D53" s="72">
        <f>+E53*E$5</f>
        <v>6975150.0000000009</v>
      </c>
      <c r="E53" s="128">
        <f>F53*F$9</f>
        <v>2.4500000000000002</v>
      </c>
      <c r="F53" s="366">
        <v>0.84482758620689669</v>
      </c>
      <c r="G53" s="7">
        <f>IF(ProjectData!$B$13="UNITED STATES",1,0.05)</f>
        <v>0.05</v>
      </c>
      <c r="H53" s="92">
        <v>0</v>
      </c>
      <c r="I53" s="92">
        <v>0</v>
      </c>
      <c r="J53" s="92">
        <v>0.05</v>
      </c>
      <c r="K53" s="92">
        <v>0.05</v>
      </c>
      <c r="M53" s="38">
        <f>(M$13-H$13)/(I$13-H$13)</f>
        <v>-0.42857142857142855</v>
      </c>
      <c r="N53" s="92">
        <f>+I53-H53</f>
        <v>0</v>
      </c>
      <c r="O53" s="92">
        <f>H53+(N53*M53)</f>
        <v>0</v>
      </c>
      <c r="P53" s="252">
        <f>(M$13-I$13)/(J$13-I$13)</f>
        <v>-0.5</v>
      </c>
      <c r="Q53" s="92">
        <f>J53-I53</f>
        <v>0.05</v>
      </c>
      <c r="R53" s="92">
        <f>I53+(P53*Q53)</f>
        <v>-2.5000000000000001E-2</v>
      </c>
      <c r="S53" s="252">
        <f>IF((M$13-J$13)/(K$13-J$13)&gt;1,1,(M$13-J$13)/(K$13-J$13))</f>
        <v>-3</v>
      </c>
      <c r="T53" s="92">
        <f>K53-J53</f>
        <v>0</v>
      </c>
      <c r="U53" s="92">
        <f>J53+(S53*T53)</f>
        <v>0.05</v>
      </c>
    </row>
    <row r="54" spans="1:21" x14ac:dyDescent="0.2">
      <c r="C54" t="s">
        <v>335</v>
      </c>
      <c r="D54" s="72">
        <f>+E54*E$5</f>
        <v>427050</v>
      </c>
      <c r="E54" s="128">
        <f>F54*F$9</f>
        <v>0.15</v>
      </c>
      <c r="F54" s="366">
        <v>5.1724137931034482E-2</v>
      </c>
      <c r="G54" s="7">
        <v>1</v>
      </c>
      <c r="H54" s="92">
        <v>1</v>
      </c>
      <c r="I54" s="92">
        <v>1</v>
      </c>
      <c r="J54" s="92">
        <v>1</v>
      </c>
      <c r="K54" s="92">
        <v>1</v>
      </c>
      <c r="M54" s="38">
        <f>(M$13-H$13)/(I$13-H$13)</f>
        <v>-0.42857142857142855</v>
      </c>
      <c r="N54" s="92">
        <f>+I54-H54</f>
        <v>0</v>
      </c>
      <c r="O54" s="92">
        <f>H54+(N54*M54)</f>
        <v>1</v>
      </c>
      <c r="P54" s="252">
        <f>(M$13-I$13)/(J$13-I$13)</f>
        <v>-0.5</v>
      </c>
      <c r="Q54" s="92">
        <f>J54-I54</f>
        <v>0</v>
      </c>
      <c r="R54" s="92">
        <f>I54+(P54*Q54)</f>
        <v>1</v>
      </c>
      <c r="S54" s="252">
        <f>IF((M$13-J$13)/(K$13-J$13)&gt;1,1,(M$13-J$13)/(K$13-J$13))</f>
        <v>-3</v>
      </c>
      <c r="T54" s="92">
        <f>K54-J54</f>
        <v>0</v>
      </c>
      <c r="U54" s="92">
        <f>J54+(S54*T54)</f>
        <v>1</v>
      </c>
    </row>
    <row r="55" spans="1:21" x14ac:dyDescent="0.2">
      <c r="C55" t="s">
        <v>336</v>
      </c>
      <c r="D55" s="72">
        <f>+E55*E$5</f>
        <v>854100</v>
      </c>
      <c r="E55" s="128">
        <f>F55*F$9</f>
        <v>0.3</v>
      </c>
      <c r="F55" s="366">
        <v>0.10344827586206896</v>
      </c>
      <c r="G55" s="7">
        <f>IF(ProjectData!$B$13="UNITED STATES",1,0.85)</f>
        <v>0.85</v>
      </c>
      <c r="H55" s="92">
        <v>0</v>
      </c>
      <c r="I55" s="92">
        <v>0</v>
      </c>
      <c r="J55" s="92">
        <v>0.85</v>
      </c>
      <c r="K55" s="92">
        <v>0.85</v>
      </c>
      <c r="M55" s="38">
        <f>(M$13-H$13)/(I$13-H$13)</f>
        <v>-0.42857142857142855</v>
      </c>
      <c r="N55" s="92">
        <f>+I55-H55</f>
        <v>0</v>
      </c>
      <c r="O55" s="92">
        <f>H55+(N55*M55)</f>
        <v>0</v>
      </c>
      <c r="P55" s="252">
        <f>(M$13-I$13)/(J$13-I$13)</f>
        <v>-0.5</v>
      </c>
      <c r="Q55" s="92">
        <f>J55-I55</f>
        <v>0.85</v>
      </c>
      <c r="R55" s="92">
        <f>I55+(P55*Q55)</f>
        <v>-0.42499999999999999</v>
      </c>
      <c r="S55" s="252">
        <f>IF((M$13-J$13)/(K$13-J$13)&gt;1,1,(M$13-J$13)/(K$13-J$13))</f>
        <v>-3</v>
      </c>
      <c r="T55" s="92">
        <f>K55-J55</f>
        <v>0</v>
      </c>
      <c r="U55" s="92">
        <f>J55+(S55*T55)</f>
        <v>0.85</v>
      </c>
    </row>
    <row r="56" spans="1:21" x14ac:dyDescent="0.2">
      <c r="C56" t="s">
        <v>337</v>
      </c>
      <c r="D56" s="72">
        <f>SUM(D53:D55)</f>
        <v>8256300.0000000009</v>
      </c>
      <c r="E56" s="128">
        <f>SUM(E53:E55)</f>
        <v>2.9</v>
      </c>
      <c r="F56" s="216">
        <f>SUM(F53:F55)</f>
        <v>1.0000000000000002</v>
      </c>
      <c r="G56" s="7"/>
      <c r="H56" s="92"/>
      <c r="I56" s="92"/>
      <c r="J56" s="92"/>
      <c r="K56" s="92"/>
      <c r="M56" s="38"/>
      <c r="N56" s="92"/>
      <c r="O56" s="92"/>
      <c r="P56" s="252"/>
      <c r="Q56" s="92"/>
      <c r="R56" s="92"/>
      <c r="S56" s="252"/>
      <c r="T56" s="92"/>
      <c r="U56" s="92"/>
    </row>
    <row r="57" spans="1:21" x14ac:dyDescent="0.2">
      <c r="C57" s="1" t="s">
        <v>338</v>
      </c>
      <c r="D57" s="72">
        <f>G2*D2*8.76*E2*D9</f>
        <v>64769250</v>
      </c>
      <c r="E57" s="128">
        <f>D57/E5</f>
        <v>22.75</v>
      </c>
      <c r="F57" s="97"/>
      <c r="G57" s="7">
        <f>ProjectData!B21</f>
        <v>0</v>
      </c>
      <c r="H57" s="7">
        <f>IF(ProjectData!$B$13="UNITED STATES",1,0)</f>
        <v>0</v>
      </c>
      <c r="I57" s="92"/>
      <c r="J57" s="92"/>
      <c r="K57" s="92"/>
      <c r="M57" s="38"/>
      <c r="N57" s="92"/>
      <c r="O57" s="92"/>
      <c r="P57" s="252"/>
      <c r="Q57" s="92"/>
      <c r="R57" s="92"/>
      <c r="S57" s="252"/>
      <c r="T57" s="92"/>
      <c r="U57" s="92"/>
    </row>
    <row r="58" spans="1:21" x14ac:dyDescent="0.2">
      <c r="C58" s="346" t="s">
        <v>447</v>
      </c>
      <c r="D58" s="72">
        <f>(D48+D54+D55)*D87</f>
        <v>61245.6875</v>
      </c>
      <c r="G58" s="348">
        <v>1</v>
      </c>
      <c r="H58" s="406">
        <f>IF(ProjectData!B26="Y",1,ProjectData!$D$94)</f>
        <v>1</v>
      </c>
      <c r="M58" s="38"/>
      <c r="N58" s="92"/>
      <c r="O58" s="92"/>
      <c r="P58" s="252"/>
      <c r="Q58" s="92"/>
      <c r="R58" s="92"/>
      <c r="S58" s="252"/>
      <c r="T58" s="92"/>
      <c r="U58" s="92"/>
    </row>
    <row r="59" spans="1:21" x14ac:dyDescent="0.2">
      <c r="C59" s="1" t="s">
        <v>449</v>
      </c>
      <c r="D59" s="72">
        <v>0</v>
      </c>
      <c r="G59" s="348">
        <v>1</v>
      </c>
      <c r="M59" s="38"/>
      <c r="N59" s="92"/>
      <c r="O59" s="92"/>
      <c r="P59" s="252"/>
      <c r="Q59" s="92"/>
      <c r="R59" s="92"/>
      <c r="S59" s="252"/>
      <c r="T59" s="92"/>
      <c r="U59" s="92"/>
    </row>
    <row r="60" spans="1:21" x14ac:dyDescent="0.2">
      <c r="C60" s="1" t="s">
        <v>450</v>
      </c>
      <c r="D60" s="72">
        <f>SUM(D56:D59)+D50</f>
        <v>77211795.6875</v>
      </c>
      <c r="M60" s="38"/>
      <c r="N60" s="92"/>
      <c r="O60" s="92"/>
      <c r="P60" s="252"/>
      <c r="Q60" s="92"/>
      <c r="R60" s="92"/>
      <c r="S60" s="252"/>
      <c r="T60" s="92"/>
      <c r="U60" s="92"/>
    </row>
    <row r="61" spans="1:21" x14ac:dyDescent="0.2">
      <c r="D61" s="248"/>
      <c r="E61" s="249"/>
      <c r="F61" s="97"/>
      <c r="G61" s="7"/>
      <c r="H61" s="92"/>
      <c r="I61" s="92"/>
      <c r="J61" s="92"/>
      <c r="K61" s="92"/>
      <c r="M61" s="38"/>
      <c r="N61" s="92"/>
      <c r="O61" s="92"/>
      <c r="P61" s="252"/>
      <c r="Q61" s="92"/>
      <c r="R61" s="92"/>
      <c r="S61" s="252"/>
      <c r="T61" s="92"/>
      <c r="U61" s="92"/>
    </row>
    <row r="62" spans="1:21" x14ac:dyDescent="0.2">
      <c r="C62" s="24" t="s">
        <v>182</v>
      </c>
      <c r="D62" s="8">
        <f>Calculations!F199</f>
        <v>48750000</v>
      </c>
      <c r="E62" s="20"/>
      <c r="F62" s="8"/>
      <c r="G62" s="89"/>
      <c r="H62" s="92"/>
      <c r="I62" s="92"/>
      <c r="J62" s="92"/>
      <c r="K62" s="92"/>
      <c r="M62" s="38"/>
      <c r="N62" s="92"/>
      <c r="O62" s="92"/>
      <c r="P62" s="252"/>
      <c r="Q62" s="92"/>
      <c r="R62" s="92"/>
      <c r="S62" s="252"/>
      <c r="T62" s="92"/>
      <c r="U62" s="92"/>
    </row>
    <row r="63" spans="1:21" x14ac:dyDescent="0.2">
      <c r="C63" s="24" t="s">
        <v>190</v>
      </c>
      <c r="D63" s="8"/>
      <c r="E63" s="20"/>
      <c r="F63" s="8"/>
      <c r="G63" s="7"/>
      <c r="H63" s="7"/>
      <c r="I63" s="7"/>
      <c r="J63" s="7"/>
      <c r="K63" s="7"/>
      <c r="M63" s="38"/>
      <c r="N63" s="92"/>
      <c r="O63" s="92"/>
      <c r="Q63" s="92"/>
      <c r="R63" s="92"/>
      <c r="S63" s="252"/>
      <c r="T63" s="92"/>
      <c r="U63" s="92"/>
    </row>
    <row r="64" spans="1:21" x14ac:dyDescent="0.2">
      <c r="C64" s="24" t="s">
        <v>191</v>
      </c>
      <c r="D64" s="8"/>
      <c r="E64" s="20"/>
      <c r="F64" s="8"/>
      <c r="G64" s="7"/>
      <c r="H64" s="7"/>
      <c r="I64" s="7"/>
      <c r="J64" s="7"/>
      <c r="K64" s="7"/>
      <c r="M64" s="38"/>
      <c r="N64" s="92"/>
      <c r="O64" s="92"/>
      <c r="P64" s="252"/>
      <c r="Q64" s="92"/>
      <c r="R64" s="92"/>
      <c r="S64" s="252"/>
      <c r="T64" s="92"/>
      <c r="U64" s="92"/>
    </row>
    <row r="65" spans="3:21" x14ac:dyDescent="0.2">
      <c r="C65" t="s">
        <v>130</v>
      </c>
      <c r="D65" s="8">
        <f>D89</f>
        <v>0</v>
      </c>
      <c r="E65" s="20"/>
      <c r="F65" s="92"/>
      <c r="G65" s="7"/>
      <c r="H65" s="7"/>
      <c r="I65" s="7"/>
      <c r="J65" s="7"/>
      <c r="K65" s="7"/>
      <c r="S65" s="252"/>
      <c r="T65" s="92"/>
      <c r="U65" s="92"/>
    </row>
    <row r="66" spans="3:21" x14ac:dyDescent="0.2">
      <c r="C66" s="24" t="s">
        <v>339</v>
      </c>
      <c r="D66" s="8">
        <f>+D65+D62+D60</f>
        <v>125961795.6875</v>
      </c>
      <c r="E66" s="128"/>
      <c r="F66" s="97"/>
      <c r="I66" s="8"/>
    </row>
    <row r="68" spans="3:21" ht="15.75" x14ac:dyDescent="0.25">
      <c r="C68" s="77" t="s">
        <v>126</v>
      </c>
    </row>
    <row r="69" spans="3:21" ht="15" x14ac:dyDescent="0.25">
      <c r="C69" s="3" t="s">
        <v>102</v>
      </c>
      <c r="F69" s="30" t="s">
        <v>1</v>
      </c>
    </row>
    <row r="70" spans="3:21" x14ac:dyDescent="0.2">
      <c r="C70" s="1" t="s">
        <v>170</v>
      </c>
      <c r="F70" s="30"/>
      <c r="I70" s="119"/>
    </row>
    <row r="71" spans="3:21" x14ac:dyDescent="0.2">
      <c r="C71" s="13" t="s">
        <v>103</v>
      </c>
      <c r="D71" s="15">
        <v>0.8</v>
      </c>
      <c r="E71" s="15"/>
      <c r="F71" s="7">
        <f>IF(ProjectData!$B$13="UNITED STATES",1,0)</f>
        <v>0</v>
      </c>
    </row>
    <row r="72" spans="3:21" x14ac:dyDescent="0.2">
      <c r="C72" s="13" t="s">
        <v>104</v>
      </c>
      <c r="D72" s="10">
        <v>20</v>
      </c>
      <c r="E72" s="10"/>
      <c r="F72" s="10"/>
      <c r="H72" s="92"/>
    </row>
    <row r="73" spans="3:21" x14ac:dyDescent="0.2">
      <c r="C73" s="13" t="s">
        <v>105</v>
      </c>
      <c r="D73" s="15">
        <v>0.1</v>
      </c>
      <c r="E73" s="15"/>
      <c r="F73" s="10"/>
      <c r="P73" s="91"/>
      <c r="Q73" s="91"/>
      <c r="R73" s="91"/>
      <c r="S73" s="91"/>
    </row>
    <row r="74" spans="3:21" x14ac:dyDescent="0.2">
      <c r="C74" s="93" t="s">
        <v>176</v>
      </c>
      <c r="D74" s="91">
        <f>D62</f>
        <v>48750000</v>
      </c>
      <c r="E74" s="15"/>
      <c r="F74" s="10"/>
      <c r="H74" s="90"/>
      <c r="P74" s="91"/>
      <c r="Q74" s="91"/>
      <c r="R74" s="91"/>
      <c r="S74" s="91"/>
    </row>
    <row r="75" spans="3:21" x14ac:dyDescent="0.2">
      <c r="C75" s="17" t="s">
        <v>218</v>
      </c>
      <c r="D75" s="91"/>
      <c r="E75" s="11"/>
      <c r="F75" s="11" t="s">
        <v>1</v>
      </c>
      <c r="H75" s="90"/>
      <c r="P75" s="91"/>
      <c r="Q75" s="91"/>
      <c r="R75" s="91"/>
      <c r="S75" s="91"/>
    </row>
    <row r="76" spans="3:21" x14ac:dyDescent="0.2">
      <c r="C76" s="93" t="s">
        <v>171</v>
      </c>
      <c r="D76" s="99">
        <f>1-D71</f>
        <v>0.19999999999999996</v>
      </c>
      <c r="E76" s="102"/>
      <c r="F76" s="11"/>
      <c r="H76" s="90"/>
      <c r="P76" s="91"/>
      <c r="Q76" s="91"/>
      <c r="R76" s="91"/>
      <c r="S76" s="91"/>
    </row>
    <row r="77" spans="3:21" x14ac:dyDescent="0.2">
      <c r="C77" s="93" t="s">
        <v>173</v>
      </c>
      <c r="D77" s="99">
        <v>0</v>
      </c>
      <c r="E77" s="15"/>
      <c r="F77" s="106">
        <v>1</v>
      </c>
      <c r="H77" s="90"/>
      <c r="P77" s="91"/>
      <c r="Q77" s="91"/>
      <c r="R77" s="91"/>
      <c r="S77" s="91"/>
    </row>
    <row r="78" spans="3:21" x14ac:dyDescent="0.2">
      <c r="C78" s="93" t="s">
        <v>174</v>
      </c>
      <c r="D78" s="99">
        <f>1-D77</f>
        <v>1</v>
      </c>
      <c r="E78" s="15"/>
      <c r="F78" s="7">
        <f>IF(ProjectData!$B$13="UNITED STATES",1,0)</f>
        <v>0</v>
      </c>
      <c r="H78" s="90"/>
      <c r="P78" s="91"/>
      <c r="Q78" s="91"/>
      <c r="R78" s="91"/>
      <c r="S78" s="91"/>
    </row>
    <row r="79" spans="3:21" x14ac:dyDescent="0.2">
      <c r="C79" s="98" t="s">
        <v>172</v>
      </c>
      <c r="D79" s="99">
        <v>0.16</v>
      </c>
      <c r="E79" s="15"/>
      <c r="F79" s="10"/>
      <c r="H79" s="90"/>
      <c r="P79" s="91"/>
      <c r="Q79" s="91"/>
      <c r="R79" s="91"/>
      <c r="S79" s="91"/>
    </row>
    <row r="80" spans="3:21" x14ac:dyDescent="0.2">
      <c r="C80" s="93" t="s">
        <v>175</v>
      </c>
      <c r="D80" s="100">
        <v>10</v>
      </c>
      <c r="E80" s="15"/>
      <c r="F80" s="10"/>
      <c r="H80" s="90"/>
      <c r="K80" s="38"/>
      <c r="P80" s="91"/>
      <c r="Q80" s="91"/>
      <c r="R80" s="91"/>
      <c r="S80" s="91"/>
    </row>
    <row r="81" spans="3:88" ht="15" x14ac:dyDescent="0.25">
      <c r="C81" s="101" t="s">
        <v>149</v>
      </c>
      <c r="D81" s="15"/>
      <c r="E81" s="15"/>
      <c r="F81" s="10"/>
      <c r="P81" s="91"/>
      <c r="Q81" s="91"/>
      <c r="R81" s="91"/>
      <c r="S81" s="91"/>
    </row>
    <row r="82" spans="3:88" x14ac:dyDescent="0.2">
      <c r="C82" s="24" t="s">
        <v>215</v>
      </c>
      <c r="D82" s="79">
        <v>0</v>
      </c>
      <c r="P82" s="91"/>
      <c r="Q82" s="91"/>
      <c r="R82" s="91"/>
      <c r="S82" s="91"/>
    </row>
    <row r="83" spans="3:88" x14ac:dyDescent="0.2">
      <c r="C83" s="24" t="s">
        <v>217</v>
      </c>
      <c r="D83" s="15">
        <v>1</v>
      </c>
      <c r="H83" s="91"/>
      <c r="P83" s="91"/>
      <c r="Q83" s="91"/>
      <c r="R83" s="91"/>
      <c r="S83" s="91"/>
    </row>
    <row r="84" spans="3:88" x14ac:dyDescent="0.2">
      <c r="C84" s="24" t="s">
        <v>216</v>
      </c>
      <c r="D84" s="99">
        <v>1</v>
      </c>
      <c r="H84" s="91"/>
      <c r="P84" s="91"/>
      <c r="Q84" s="91"/>
      <c r="R84" s="91"/>
      <c r="S84" s="91"/>
    </row>
    <row r="85" spans="3:88" x14ac:dyDescent="0.2">
      <c r="C85" s="24" t="s">
        <v>214</v>
      </c>
      <c r="D85" s="72">
        <f>+D34*D83*D84</f>
        <v>625000000</v>
      </c>
      <c r="P85" s="91"/>
      <c r="Q85" s="91"/>
      <c r="R85" s="91"/>
      <c r="S85" s="91"/>
    </row>
    <row r="86" spans="3:88" x14ac:dyDescent="0.2">
      <c r="C86" s="24" t="s">
        <v>153</v>
      </c>
      <c r="D86" s="72">
        <f>+D82*D85</f>
        <v>0</v>
      </c>
      <c r="F86" s="7">
        <v>1</v>
      </c>
      <c r="K86">
        <v>79720</v>
      </c>
      <c r="P86" s="91"/>
      <c r="Q86" s="91"/>
      <c r="R86" s="91"/>
      <c r="S86" s="91"/>
    </row>
    <row r="87" spans="3:88" x14ac:dyDescent="0.2">
      <c r="C87" s="31" t="s">
        <v>437</v>
      </c>
      <c r="D87" s="216">
        <f>AJ113</f>
        <v>0.04</v>
      </c>
      <c r="F87" s="336">
        <v>1</v>
      </c>
      <c r="P87" s="91"/>
      <c r="Q87" s="91"/>
      <c r="R87" s="91"/>
      <c r="S87" s="91"/>
    </row>
    <row r="88" spans="3:88" x14ac:dyDescent="0.2">
      <c r="C88" s="78" t="s">
        <v>150</v>
      </c>
      <c r="D88" s="72"/>
      <c r="F88" s="7"/>
      <c r="I88">
        <f>80*26</f>
        <v>2080</v>
      </c>
      <c r="J88">
        <v>38.32692307692308</v>
      </c>
      <c r="K88">
        <f>J88*I88</f>
        <v>79720</v>
      </c>
      <c r="L88">
        <f>J88*J89</f>
        <v>23.913658129841139</v>
      </c>
      <c r="M88">
        <v>14</v>
      </c>
      <c r="N88">
        <f>M88+L88</f>
        <v>37.913658129841139</v>
      </c>
      <c r="P88" s="91"/>
      <c r="Q88" s="91"/>
      <c r="R88" s="91"/>
      <c r="S88" s="91"/>
    </row>
    <row r="89" spans="3:88" x14ac:dyDescent="0.2">
      <c r="C89" s="137" t="s">
        <v>151</v>
      </c>
      <c r="D89" s="136">
        <v>0</v>
      </c>
      <c r="J89" s="14">
        <f>1-M93</f>
        <v>0.62393889751717968</v>
      </c>
      <c r="P89" s="91"/>
      <c r="Q89" s="91"/>
      <c r="R89" s="91"/>
      <c r="S89" s="91"/>
    </row>
    <row r="90" spans="3:88" x14ac:dyDescent="0.2">
      <c r="C90" s="24" t="s">
        <v>210</v>
      </c>
      <c r="D90" s="10" t="s">
        <v>348</v>
      </c>
      <c r="F90" s="7">
        <v>1</v>
      </c>
      <c r="L90" s="24" t="s">
        <v>241</v>
      </c>
      <c r="P90" s="91"/>
      <c r="Q90" s="91"/>
      <c r="R90" s="91"/>
      <c r="S90" s="91"/>
    </row>
    <row r="91" spans="3:88" ht="38.25" x14ac:dyDescent="0.2">
      <c r="E91" s="20">
        <f>27.854867731412</f>
        <v>27.854867731412</v>
      </c>
      <c r="H91" s="24" t="s">
        <v>136</v>
      </c>
      <c r="L91" t="s">
        <v>242</v>
      </c>
      <c r="M91" s="84">
        <v>7.1186945514116112E-2</v>
      </c>
      <c r="N91" t="s">
        <v>135</v>
      </c>
      <c r="P91" s="91"/>
      <c r="Q91" t="s">
        <v>242</v>
      </c>
      <c r="R91" s="353">
        <f>(M91/M$93)*R$93</f>
        <v>7.1186945514116112E-2</v>
      </c>
      <c r="S91" s="91"/>
      <c r="AH91" s="337"/>
      <c r="AI91" s="275"/>
      <c r="AJ91" s="275" t="s">
        <v>50</v>
      </c>
      <c r="AK91" s="275" t="s">
        <v>51</v>
      </c>
      <c r="AL91" s="275" t="s">
        <v>52</v>
      </c>
      <c r="AM91" s="275" t="s">
        <v>53</v>
      </c>
      <c r="AN91" s="275" t="s">
        <v>54</v>
      </c>
      <c r="AO91" s="275" t="s">
        <v>55</v>
      </c>
      <c r="AP91" s="275" t="s">
        <v>56</v>
      </c>
      <c r="AQ91" s="275" t="s">
        <v>57</v>
      </c>
      <c r="AR91" s="275" t="s">
        <v>58</v>
      </c>
      <c r="AS91" s="275" t="s">
        <v>59</v>
      </c>
      <c r="AT91" s="275" t="s">
        <v>60</v>
      </c>
      <c r="AU91" s="275" t="s">
        <v>61</v>
      </c>
      <c r="AV91" s="275" t="s">
        <v>62</v>
      </c>
      <c r="AW91" s="275" t="s">
        <v>63</v>
      </c>
      <c r="AX91" s="275" t="s">
        <v>64</v>
      </c>
      <c r="AY91" s="275" t="s">
        <v>65</v>
      </c>
      <c r="AZ91" s="275" t="s">
        <v>66</v>
      </c>
      <c r="BA91" s="275" t="s">
        <v>67</v>
      </c>
      <c r="BB91" s="275" t="s">
        <v>68</v>
      </c>
      <c r="BC91" s="275" t="s">
        <v>69</v>
      </c>
      <c r="BD91" s="275" t="s">
        <v>70</v>
      </c>
      <c r="BE91" s="275" t="s">
        <v>71</v>
      </c>
      <c r="BF91" s="275" t="s">
        <v>72</v>
      </c>
      <c r="BG91" s="275" t="s">
        <v>73</v>
      </c>
      <c r="BH91" s="275" t="s">
        <v>74</v>
      </c>
      <c r="BI91" s="275" t="s">
        <v>75</v>
      </c>
      <c r="BJ91" s="275" t="s">
        <v>76</v>
      </c>
      <c r="BK91" s="288" t="s">
        <v>233</v>
      </c>
      <c r="BL91" s="288" t="s">
        <v>232</v>
      </c>
      <c r="BM91" s="275" t="s">
        <v>77</v>
      </c>
      <c r="BN91" s="275" t="s">
        <v>78</v>
      </c>
      <c r="BO91" s="275" t="s">
        <v>79</v>
      </c>
      <c r="BP91" s="275" t="s">
        <v>80</v>
      </c>
      <c r="BQ91" s="275" t="s">
        <v>81</v>
      </c>
      <c r="BR91" s="275" t="s">
        <v>82</v>
      </c>
      <c r="BS91" s="275" t="s">
        <v>83</v>
      </c>
      <c r="BT91" s="275" t="s">
        <v>84</v>
      </c>
      <c r="BU91" s="275" t="s">
        <v>85</v>
      </c>
      <c r="BV91" s="275" t="s">
        <v>86</v>
      </c>
      <c r="BW91" s="275" t="s">
        <v>87</v>
      </c>
      <c r="BX91" s="275" t="s">
        <v>88</v>
      </c>
      <c r="BY91" s="275" t="s">
        <v>89</v>
      </c>
      <c r="BZ91" s="275" t="s">
        <v>90</v>
      </c>
      <c r="CA91" s="275" t="s">
        <v>91</v>
      </c>
      <c r="CB91" s="275" t="s">
        <v>92</v>
      </c>
      <c r="CC91" s="275" t="s">
        <v>93</v>
      </c>
      <c r="CD91" s="275" t="s">
        <v>94</v>
      </c>
      <c r="CE91" s="275" t="s">
        <v>95</v>
      </c>
      <c r="CF91" s="275" t="s">
        <v>96</v>
      </c>
      <c r="CG91" s="275" t="s">
        <v>97</v>
      </c>
      <c r="CH91" s="275" t="s">
        <v>98</v>
      </c>
      <c r="CI91" s="275" t="s">
        <v>99</v>
      </c>
      <c r="CJ91" s="275" t="s">
        <v>49</v>
      </c>
    </row>
    <row r="92" spans="3:88" x14ac:dyDescent="0.2">
      <c r="C92" s="30" t="s">
        <v>239</v>
      </c>
      <c r="D92" t="s">
        <v>148</v>
      </c>
      <c r="E92" t="s">
        <v>131</v>
      </c>
      <c r="F92" s="24" t="s">
        <v>241</v>
      </c>
      <c r="G92" s="24" t="s">
        <v>241</v>
      </c>
      <c r="H92" t="s">
        <v>133</v>
      </c>
      <c r="I92" t="s">
        <v>135</v>
      </c>
      <c r="L92" t="s">
        <v>243</v>
      </c>
      <c r="M92" s="84">
        <v>0.30487415696870424</v>
      </c>
      <c r="N92" t="s">
        <v>148</v>
      </c>
      <c r="O92" t="s">
        <v>131</v>
      </c>
      <c r="P92" s="24" t="s">
        <v>241</v>
      </c>
      <c r="Q92" t="s">
        <v>243</v>
      </c>
      <c r="R92" s="353">
        <f>(M92/M$93)*R$93</f>
        <v>0.30487415696870424</v>
      </c>
      <c r="S92" s="91"/>
      <c r="AH92" s="338">
        <v>2</v>
      </c>
      <c r="AI92" s="275"/>
      <c r="AJ92" s="339"/>
      <c r="AK92" s="339"/>
      <c r="AL92" s="339"/>
      <c r="AM92" s="339"/>
      <c r="AN92" s="339"/>
      <c r="AO92" s="339"/>
      <c r="AP92" s="339"/>
      <c r="AQ92" s="339"/>
      <c r="AR92" s="337"/>
      <c r="AS92" s="337"/>
      <c r="AT92" s="337"/>
      <c r="AU92" s="337"/>
      <c r="AV92" s="339"/>
      <c r="AW92" s="339"/>
      <c r="AX92" s="339"/>
      <c r="AY92" s="339"/>
      <c r="AZ92" s="339"/>
      <c r="BA92" s="339"/>
      <c r="BB92" s="339"/>
      <c r="BC92" s="339"/>
      <c r="BD92" s="339"/>
      <c r="BE92" s="339"/>
      <c r="BF92" s="339"/>
      <c r="BG92" s="339"/>
      <c r="BH92" s="339"/>
      <c r="BI92" s="339"/>
      <c r="BJ92" s="339"/>
      <c r="BK92" s="339"/>
      <c r="BL92" s="339"/>
      <c r="BM92" s="339"/>
      <c r="BN92" s="339"/>
      <c r="BO92" s="339"/>
      <c r="BP92" s="339"/>
      <c r="BQ92" s="339"/>
      <c r="BR92" s="339"/>
      <c r="BS92" s="339"/>
      <c r="BT92" s="339"/>
      <c r="BU92" s="339"/>
      <c r="BV92" s="339"/>
      <c r="BW92" s="339"/>
      <c r="BX92" s="339"/>
      <c r="BY92" s="339"/>
      <c r="BZ92" s="339"/>
      <c r="CA92" s="339"/>
      <c r="CB92" s="339"/>
      <c r="CC92" s="339"/>
      <c r="CD92" s="339"/>
      <c r="CE92" s="339"/>
      <c r="CF92" s="339"/>
      <c r="CG92" s="339"/>
      <c r="CH92" s="339"/>
      <c r="CI92" s="339"/>
      <c r="CJ92" s="339"/>
    </row>
    <row r="93" spans="3:88" x14ac:dyDescent="0.2">
      <c r="C93" s="35" t="s">
        <v>365</v>
      </c>
      <c r="D93" s="20">
        <f>(E93+F93)</f>
        <v>32.750058460700231</v>
      </c>
      <c r="E93" s="20">
        <v>23.799857725510488</v>
      </c>
      <c r="F93" s="20">
        <f>+E93*G93</f>
        <v>8.9502007351897426</v>
      </c>
      <c r="G93" s="7">
        <f>M93</f>
        <v>0.37606110248282032</v>
      </c>
      <c r="H93" s="14">
        <f>(DefaultData!D44*G44)/(D93*(52*40))</f>
        <v>25.324015276627954</v>
      </c>
      <c r="I93" s="14">
        <f>(Calculations!D67*Calculations!E67)/(N93*52*40)</f>
        <v>25.324015276627946</v>
      </c>
      <c r="J93" s="92"/>
      <c r="K93">
        <f>D93*52*40</f>
        <v>68120.12159825649</v>
      </c>
      <c r="L93" s="92" t="s">
        <v>0</v>
      </c>
      <c r="M93" s="353">
        <f>M92+M91</f>
        <v>0.37606110248282032</v>
      </c>
      <c r="N93" s="20">
        <f>O93+P93</f>
        <v>32.750058460700231</v>
      </c>
      <c r="O93" s="20">
        <f>ProjectData!B99</f>
        <v>23.799857725510488</v>
      </c>
      <c r="P93" s="20">
        <f>+O93*ProjectData!D99</f>
        <v>8.9502007351897426</v>
      </c>
      <c r="Q93" s="92" t="s">
        <v>0</v>
      </c>
      <c r="R93" s="353">
        <f>ProjectData!D99</f>
        <v>0.37606110248282032</v>
      </c>
      <c r="S93" s="91"/>
      <c r="AH93" s="338">
        <f>AH92+1</f>
        <v>3</v>
      </c>
      <c r="AI93" s="275"/>
      <c r="AJ93" s="339"/>
      <c r="AK93" s="339"/>
      <c r="AL93" s="339"/>
      <c r="AM93" s="339"/>
      <c r="AN93" s="339"/>
      <c r="AO93" s="339"/>
      <c r="AP93" s="339"/>
      <c r="AQ93" s="339"/>
      <c r="AR93" s="337"/>
      <c r="AS93" s="337"/>
      <c r="AT93" s="337"/>
      <c r="AU93" s="337"/>
      <c r="AV93" s="339"/>
      <c r="AW93" s="339"/>
      <c r="AX93" s="339"/>
      <c r="AY93" s="339"/>
      <c r="AZ93" s="339"/>
      <c r="BA93" s="339"/>
      <c r="BB93" s="339"/>
      <c r="BC93" s="339"/>
      <c r="BD93" s="339"/>
      <c r="BE93" s="339"/>
      <c r="BF93" s="339"/>
      <c r="BG93" s="339"/>
      <c r="BH93" s="339"/>
      <c r="BI93" s="339"/>
      <c r="BJ93" s="339"/>
      <c r="BK93" s="339"/>
      <c r="BL93" s="339"/>
      <c r="BM93" s="339"/>
      <c r="BN93" s="339"/>
      <c r="BO93" s="339"/>
      <c r="BP93" s="339"/>
      <c r="BQ93" s="339"/>
      <c r="BR93" s="339"/>
      <c r="BS93" s="339"/>
      <c r="BT93" s="339"/>
      <c r="BU93" s="339"/>
      <c r="BV93" s="339"/>
      <c r="BW93" s="339"/>
      <c r="BX93" s="339"/>
      <c r="BY93" s="339"/>
      <c r="BZ93" s="339"/>
      <c r="CA93" s="339"/>
      <c r="CB93" s="339"/>
      <c r="CC93" s="339"/>
      <c r="CD93" s="339"/>
      <c r="CE93" s="339"/>
      <c r="CF93" s="339"/>
      <c r="CG93" s="339"/>
      <c r="CH93" s="339"/>
      <c r="CI93" s="339"/>
      <c r="CJ93" s="339"/>
    </row>
    <row r="94" spans="3:88" x14ac:dyDescent="0.2">
      <c r="C94" s="2"/>
      <c r="D94" s="20">
        <f>(E94+F94)</f>
        <v>0</v>
      </c>
      <c r="E94" s="20"/>
      <c r="F94" s="20">
        <f>+E94*G94</f>
        <v>0</v>
      </c>
      <c r="G94" s="7">
        <f>G93</f>
        <v>0.37606110248282032</v>
      </c>
      <c r="H94" s="14"/>
      <c r="I94" s="14"/>
      <c r="J94" s="92"/>
      <c r="K94">
        <f>D94*80*26</f>
        <v>0</v>
      </c>
      <c r="P94" s="91"/>
      <c r="Q94" s="91"/>
      <c r="R94" s="91"/>
      <c r="S94" s="91"/>
      <c r="AH94" s="338">
        <f t="shared" ref="AH94:AH108" si="11">AH93+1</f>
        <v>4</v>
      </c>
      <c r="AI94" s="275"/>
      <c r="AJ94" s="339"/>
      <c r="AK94" s="339"/>
      <c r="AL94" s="339"/>
      <c r="AM94" s="339"/>
      <c r="AN94" s="339"/>
      <c r="AO94" s="339"/>
      <c r="AP94" s="339"/>
      <c r="AQ94" s="339"/>
      <c r="AR94" s="337"/>
      <c r="AS94" s="337"/>
      <c r="AT94" s="337"/>
      <c r="AU94" s="337"/>
      <c r="AV94" s="339"/>
      <c r="AW94" s="339"/>
      <c r="AX94" s="339"/>
      <c r="AY94" s="339"/>
      <c r="AZ94" s="339"/>
      <c r="BA94" s="339"/>
      <c r="BB94" s="339"/>
      <c r="BC94" s="339"/>
      <c r="BD94" s="339"/>
      <c r="BE94" s="339"/>
      <c r="BF94" s="339"/>
      <c r="BG94" s="339"/>
      <c r="BH94" s="339"/>
      <c r="BI94" s="339"/>
      <c r="BJ94" s="339"/>
      <c r="BK94" s="339"/>
      <c r="BL94" s="339"/>
      <c r="BM94" s="339"/>
      <c r="BN94" s="339"/>
      <c r="BO94" s="339"/>
      <c r="BP94" s="339"/>
      <c r="BQ94" s="339"/>
      <c r="BR94" s="339"/>
      <c r="BS94" s="339"/>
      <c r="BT94" s="339"/>
      <c r="BU94" s="339"/>
      <c r="BV94" s="339"/>
      <c r="BW94" s="339"/>
      <c r="BX94" s="339"/>
      <c r="BY94" s="339"/>
      <c r="BZ94" s="339"/>
      <c r="CA94" s="339"/>
      <c r="CB94" s="339"/>
      <c r="CC94" s="339"/>
      <c r="CD94" s="339"/>
      <c r="CE94" s="339"/>
      <c r="CF94" s="339"/>
      <c r="CG94" s="339"/>
      <c r="CH94" s="339"/>
      <c r="CI94" s="339"/>
      <c r="CJ94" s="339"/>
    </row>
    <row r="95" spans="3:88" x14ac:dyDescent="0.2">
      <c r="C95" s="2"/>
      <c r="D95" s="20">
        <f>(E95+F95)</f>
        <v>0</v>
      </c>
      <c r="E95" s="20"/>
      <c r="F95" s="20">
        <f>+E95*G95</f>
        <v>0</v>
      </c>
      <c r="G95" s="7">
        <f>G94</f>
        <v>0.37606110248282032</v>
      </c>
      <c r="H95" s="14"/>
      <c r="I95" s="14"/>
      <c r="J95" s="92"/>
      <c r="K95">
        <f>D95*80*26</f>
        <v>0</v>
      </c>
      <c r="P95" s="91"/>
      <c r="Q95" s="91"/>
      <c r="R95" s="91"/>
      <c r="S95" s="91"/>
      <c r="AH95" s="338">
        <f t="shared" si="11"/>
        <v>5</v>
      </c>
      <c r="AI95" s="275"/>
      <c r="AJ95" s="339"/>
      <c r="AK95" s="339"/>
      <c r="AL95" s="339"/>
      <c r="AM95" s="339"/>
      <c r="AN95" s="339"/>
      <c r="AO95" s="339"/>
      <c r="AP95" s="339"/>
      <c r="AQ95" s="339"/>
      <c r="AR95" s="337"/>
      <c r="AS95" s="337"/>
      <c r="AT95" s="337"/>
      <c r="AU95" s="337"/>
      <c r="AV95" s="339"/>
      <c r="AW95" s="339"/>
      <c r="AX95" s="339"/>
      <c r="AY95" s="339"/>
      <c r="AZ95" s="339"/>
      <c r="BA95" s="339"/>
      <c r="BB95" s="339"/>
      <c r="BC95" s="339"/>
      <c r="BD95" s="339"/>
      <c r="BE95" s="339"/>
      <c r="BF95" s="339"/>
      <c r="BG95" s="339"/>
      <c r="BH95" s="339"/>
      <c r="BI95" s="339"/>
      <c r="BJ95" s="339"/>
      <c r="BK95" s="339"/>
      <c r="BL95" s="339"/>
      <c r="BM95" s="339"/>
      <c r="BN95" s="339"/>
      <c r="BO95" s="339"/>
      <c r="BP95" s="339"/>
      <c r="BQ95" s="339"/>
      <c r="BR95" s="339"/>
      <c r="BS95" s="339"/>
      <c r="BT95" s="339"/>
      <c r="BU95" s="339"/>
      <c r="BV95" s="339"/>
      <c r="BW95" s="339"/>
      <c r="BX95" s="339"/>
      <c r="BY95" s="339"/>
      <c r="BZ95" s="339"/>
      <c r="CA95" s="339"/>
      <c r="CB95" s="339"/>
      <c r="CC95" s="339"/>
      <c r="CD95" s="339"/>
      <c r="CE95" s="339"/>
      <c r="CF95" s="339"/>
      <c r="CG95" s="339"/>
      <c r="CH95" s="339"/>
      <c r="CI95" s="339"/>
      <c r="CJ95" s="339"/>
    </row>
    <row r="96" spans="3:88" x14ac:dyDescent="0.2">
      <c r="D96" s="20">
        <f>(E96+F96)</f>
        <v>32.750058460700231</v>
      </c>
      <c r="E96" s="20">
        <f>ProjectData!B99</f>
        <v>23.799857725510488</v>
      </c>
      <c r="F96" s="20">
        <f>+E96*G96</f>
        <v>8.9502007351897426</v>
      </c>
      <c r="G96" s="7">
        <f>M93</f>
        <v>0.37606110248282032</v>
      </c>
      <c r="H96" s="14">
        <f>SUM(H93:H95)</f>
        <v>25.324015276627954</v>
      </c>
      <c r="I96" s="14">
        <f>SUM(I93:I95)</f>
        <v>25.324015276627946</v>
      </c>
      <c r="P96" s="91"/>
      <c r="Q96" s="91"/>
      <c r="R96" s="91"/>
      <c r="S96" s="91"/>
      <c r="AH96" s="338">
        <f t="shared" si="11"/>
        <v>6</v>
      </c>
      <c r="AI96" s="340"/>
      <c r="AJ96" s="341"/>
      <c r="AK96" s="341"/>
      <c r="AL96" s="341"/>
      <c r="AM96" s="341"/>
      <c r="AN96" s="341"/>
      <c r="AO96" s="341"/>
      <c r="AP96" s="341"/>
      <c r="AQ96" s="341"/>
      <c r="AR96" s="341"/>
      <c r="AS96" s="341"/>
      <c r="AT96" s="341"/>
      <c r="AU96" s="341"/>
      <c r="AV96" s="341"/>
      <c r="AW96" s="341"/>
      <c r="AX96" s="341"/>
      <c r="AY96" s="341"/>
      <c r="AZ96" s="341"/>
      <c r="BA96" s="341"/>
      <c r="BB96" s="341"/>
      <c r="BC96" s="341"/>
      <c r="BD96" s="341"/>
      <c r="BE96" s="341"/>
      <c r="BF96" s="341"/>
      <c r="BG96" s="341"/>
      <c r="BH96" s="341"/>
      <c r="BI96" s="341"/>
      <c r="BJ96" s="341"/>
      <c r="BK96" s="341"/>
      <c r="BL96" s="341"/>
      <c r="BM96" s="341"/>
      <c r="BN96" s="341"/>
      <c r="BO96" s="341"/>
      <c r="BP96" s="341"/>
      <c r="BQ96" s="341"/>
      <c r="BR96" s="341"/>
      <c r="BS96" s="341"/>
      <c r="BT96" s="341"/>
      <c r="BU96" s="341"/>
      <c r="BV96" s="341"/>
      <c r="BW96" s="341"/>
      <c r="BX96" s="341"/>
      <c r="BY96" s="341"/>
      <c r="BZ96" s="341"/>
      <c r="CA96" s="341"/>
      <c r="CB96" s="341"/>
      <c r="CC96" s="341"/>
      <c r="CD96" s="341"/>
      <c r="CE96" s="341"/>
      <c r="CF96" s="341"/>
      <c r="CG96" s="341"/>
      <c r="CH96" s="341"/>
      <c r="CI96" s="341"/>
      <c r="CJ96" s="341"/>
    </row>
    <row r="97" spans="3:89" x14ac:dyDescent="0.2">
      <c r="AH97" s="338">
        <f t="shared" si="11"/>
        <v>7</v>
      </c>
      <c r="AI97" s="340"/>
      <c r="AJ97" s="341"/>
      <c r="AK97" s="341"/>
      <c r="AL97" s="341"/>
      <c r="AM97" s="341"/>
      <c r="AN97" s="341"/>
      <c r="AO97" s="341"/>
      <c r="AP97" s="341"/>
      <c r="AQ97" s="341"/>
      <c r="AR97" s="341"/>
      <c r="AS97" s="341"/>
      <c r="AT97" s="341"/>
      <c r="AU97" s="341"/>
      <c r="AV97" s="341"/>
      <c r="AW97" s="341"/>
      <c r="AX97" s="341"/>
      <c r="AY97" s="341"/>
      <c r="AZ97" s="341"/>
      <c r="BA97" s="341"/>
      <c r="BB97" s="341"/>
      <c r="BC97" s="341"/>
      <c r="BD97" s="341"/>
      <c r="BE97" s="341"/>
      <c r="BF97" s="341"/>
      <c r="BG97" s="341"/>
      <c r="BH97" s="341"/>
      <c r="BI97" s="341"/>
      <c r="BJ97" s="341"/>
      <c r="BK97" s="341"/>
      <c r="BL97" s="341"/>
      <c r="BM97" s="341"/>
      <c r="BN97" s="341"/>
      <c r="BO97" s="341"/>
      <c r="BP97" s="341"/>
      <c r="BQ97" s="341"/>
      <c r="BR97" s="341"/>
      <c r="BS97" s="341"/>
      <c r="BT97" s="341"/>
      <c r="BU97" s="341"/>
      <c r="BV97" s="341"/>
      <c r="BW97" s="341"/>
      <c r="BX97" s="341"/>
      <c r="BY97" s="341"/>
      <c r="BZ97" s="341"/>
      <c r="CA97" s="341"/>
      <c r="CB97" s="341"/>
      <c r="CC97" s="341"/>
      <c r="CD97" s="341"/>
      <c r="CE97" s="275"/>
      <c r="CF97" s="337"/>
      <c r="CG97" s="337"/>
      <c r="CH97" s="337"/>
      <c r="CI97" s="337"/>
      <c r="CJ97" s="337"/>
    </row>
    <row r="98" spans="3:89" x14ac:dyDescent="0.2">
      <c r="C98" s="1" t="s">
        <v>227</v>
      </c>
      <c r="P98" s="91"/>
      <c r="Q98" s="91"/>
      <c r="R98" s="91"/>
      <c r="S98" s="91"/>
      <c r="AH98" s="338">
        <f t="shared" si="11"/>
        <v>8</v>
      </c>
      <c r="AI98" s="340" t="s">
        <v>251</v>
      </c>
      <c r="AJ98" s="337" t="str">
        <f>ProjectData!B13</f>
        <v>WYOMING</v>
      </c>
      <c r="AK98" s="337"/>
      <c r="AL98" s="337"/>
      <c r="AM98" s="337"/>
      <c r="AN98" s="337"/>
      <c r="AO98" s="337"/>
      <c r="AP98" s="337"/>
      <c r="AQ98" s="337"/>
      <c r="AR98" s="337"/>
      <c r="AS98" s="337"/>
      <c r="AT98" s="337"/>
      <c r="AU98" s="337"/>
      <c r="AV98" s="337"/>
      <c r="AW98" s="337"/>
      <c r="AX98" s="337"/>
      <c r="AY98" s="337"/>
      <c r="AZ98" s="337"/>
      <c r="BA98" s="337"/>
      <c r="BB98" s="337"/>
      <c r="BC98" s="337"/>
      <c r="BD98" s="337"/>
      <c r="BE98" s="337"/>
      <c r="BF98" s="337"/>
      <c r="BG98" s="337"/>
      <c r="BH98" s="337"/>
      <c r="BI98" s="337"/>
      <c r="BJ98" s="337"/>
      <c r="BK98" s="337"/>
      <c r="BL98" s="337"/>
      <c r="BM98" s="337"/>
      <c r="BN98" s="337"/>
      <c r="BO98" s="337"/>
      <c r="BP98" s="337"/>
      <c r="BQ98" s="337"/>
      <c r="BR98" s="337"/>
      <c r="BS98" s="337"/>
      <c r="BT98" s="337"/>
      <c r="BU98" s="337"/>
      <c r="BV98" s="337"/>
      <c r="BW98" s="337"/>
      <c r="BX98" s="337"/>
      <c r="BY98" s="337"/>
      <c r="BZ98" s="337"/>
      <c r="CA98" s="337"/>
      <c r="CB98" s="337"/>
      <c r="CC98" s="337"/>
      <c r="CD98" s="337"/>
      <c r="CE98" s="337"/>
      <c r="CF98" s="337"/>
      <c r="CG98" s="337"/>
      <c r="CH98" s="337"/>
      <c r="CI98" s="337"/>
      <c r="CJ98" s="337"/>
    </row>
    <row r="99" spans="3:89" x14ac:dyDescent="0.2">
      <c r="D99" t="s">
        <v>44</v>
      </c>
      <c r="E99" t="s">
        <v>114</v>
      </c>
      <c r="F99" t="s">
        <v>45</v>
      </c>
      <c r="G99" t="s">
        <v>229</v>
      </c>
      <c r="H99" t="s">
        <v>116</v>
      </c>
      <c r="I99" t="s">
        <v>117</v>
      </c>
      <c r="J99" t="s">
        <v>118</v>
      </c>
      <c r="K99" t="s">
        <v>119</v>
      </c>
      <c r="L99" t="s">
        <v>46</v>
      </c>
      <c r="M99" t="s">
        <v>47</v>
      </c>
      <c r="N99" t="s">
        <v>120</v>
      </c>
      <c r="O99" t="s">
        <v>228</v>
      </c>
      <c r="P99" s="91" t="s">
        <v>122</v>
      </c>
      <c r="Q99" s="91" t="s">
        <v>48</v>
      </c>
      <c r="R99" s="91" t="s">
        <v>0</v>
      </c>
      <c r="S99" s="91"/>
      <c r="AH99" s="338">
        <f t="shared" si="11"/>
        <v>9</v>
      </c>
      <c r="AI99" s="340" t="s">
        <v>460</v>
      </c>
      <c r="AJ99" s="341">
        <f>ProjectData!B15</f>
        <v>500</v>
      </c>
      <c r="AK99" s="337"/>
      <c r="AL99" s="337"/>
      <c r="AM99" s="337"/>
      <c r="AN99" s="337"/>
      <c r="AO99" s="337"/>
      <c r="AP99" s="337"/>
      <c r="AQ99" s="337"/>
      <c r="AR99" s="337"/>
      <c r="AS99" s="337"/>
      <c r="AT99" s="337"/>
      <c r="AU99" s="337"/>
      <c r="AV99" s="337"/>
      <c r="AW99" s="337"/>
      <c r="AX99" s="337"/>
      <c r="AY99" s="337"/>
      <c r="AZ99" s="337"/>
      <c r="BA99" s="337"/>
      <c r="BB99" s="337"/>
      <c r="BC99" s="337"/>
      <c r="BD99" s="337"/>
      <c r="BE99" s="337"/>
      <c r="BF99" s="337"/>
      <c r="BG99" s="337"/>
      <c r="BH99" s="337"/>
      <c r="BI99" s="337"/>
      <c r="BJ99" s="337"/>
      <c r="BK99" s="337"/>
      <c r="BL99" s="337"/>
      <c r="BM99" s="337"/>
      <c r="BN99" s="337"/>
      <c r="BO99" s="337"/>
      <c r="BP99" s="337"/>
      <c r="BQ99" s="337"/>
      <c r="BR99" s="337"/>
      <c r="BS99" s="337"/>
      <c r="BT99" s="337"/>
      <c r="BU99" s="337"/>
      <c r="BV99" s="337"/>
      <c r="BW99" s="337"/>
      <c r="BX99" s="337"/>
      <c r="BY99" s="337"/>
      <c r="BZ99" s="337"/>
      <c r="CA99" s="337"/>
      <c r="CB99" s="337"/>
      <c r="CC99" s="337"/>
      <c r="CD99" s="337"/>
      <c r="CE99" s="337"/>
      <c r="CF99" s="337"/>
      <c r="CG99" s="337"/>
      <c r="CH99" s="337"/>
      <c r="CI99" s="337"/>
      <c r="CJ99" s="337"/>
    </row>
    <row r="100" spans="3:89" ht="15" x14ac:dyDescent="0.2">
      <c r="C100" s="6" t="s">
        <v>44</v>
      </c>
      <c r="D100" s="65">
        <v>0.58366899999999999</v>
      </c>
      <c r="E100" s="65">
        <v>0</v>
      </c>
      <c r="F100" s="65">
        <v>0</v>
      </c>
      <c r="G100" s="65">
        <v>0</v>
      </c>
      <c r="H100" s="65">
        <v>0</v>
      </c>
      <c r="I100" s="65">
        <v>0</v>
      </c>
      <c r="J100" s="65">
        <v>0</v>
      </c>
      <c r="K100" s="65">
        <v>5.1572E-2</v>
      </c>
      <c r="L100" s="65">
        <v>7.2450000000000001E-2</v>
      </c>
      <c r="M100" s="65">
        <v>0.29230899999999999</v>
      </c>
      <c r="N100" s="65">
        <v>0</v>
      </c>
      <c r="O100" s="65">
        <v>0</v>
      </c>
      <c r="P100" s="65">
        <v>0</v>
      </c>
      <c r="Q100" s="65">
        <v>0</v>
      </c>
      <c r="R100" s="140">
        <f>SUM(D100:Q100)</f>
        <v>1</v>
      </c>
      <c r="S100" s="140"/>
      <c r="AH100" s="338">
        <f t="shared" si="11"/>
        <v>10</v>
      </c>
      <c r="AI100" s="340"/>
      <c r="AJ100" s="337"/>
      <c r="AK100" s="337"/>
      <c r="AL100" s="337"/>
      <c r="AM100" s="337"/>
      <c r="AN100" s="337"/>
      <c r="AO100" s="337"/>
      <c r="AP100" s="337"/>
      <c r="AQ100" s="337"/>
      <c r="AR100" s="337"/>
      <c r="AS100" s="337"/>
      <c r="AT100" s="337"/>
      <c r="AU100" s="337"/>
      <c r="AV100" s="337"/>
      <c r="AW100" s="337"/>
      <c r="AX100" s="337"/>
      <c r="AY100" s="337"/>
      <c r="AZ100" s="337"/>
      <c r="BA100" s="337"/>
      <c r="BB100" s="337"/>
      <c r="BC100" s="337"/>
      <c r="BD100" s="337"/>
      <c r="BE100" s="337"/>
      <c r="BF100" s="337"/>
      <c r="BG100" s="337"/>
      <c r="BH100" s="337"/>
      <c r="BI100" s="337"/>
      <c r="BJ100" s="337"/>
      <c r="BK100" s="337"/>
      <c r="BL100" s="337"/>
      <c r="BM100" s="337"/>
      <c r="BN100" s="337"/>
      <c r="BO100" s="337"/>
      <c r="BP100" s="337"/>
      <c r="BQ100" s="337"/>
      <c r="BR100" s="337"/>
      <c r="BS100" s="337"/>
      <c r="BT100" s="337"/>
      <c r="BU100" s="337"/>
      <c r="BV100" s="337"/>
      <c r="BW100" s="337"/>
      <c r="BX100" s="337"/>
      <c r="BY100" s="337"/>
      <c r="BZ100" s="337"/>
      <c r="CA100" s="337"/>
      <c r="CB100" s="337"/>
      <c r="CC100" s="337"/>
      <c r="CD100" s="337"/>
      <c r="CE100" s="337"/>
      <c r="CF100" s="337"/>
      <c r="CG100" s="337"/>
      <c r="CH100" s="337"/>
      <c r="CI100" s="337"/>
      <c r="CJ100" s="337"/>
    </row>
    <row r="101" spans="3:89" ht="15" x14ac:dyDescent="0.2">
      <c r="C101" s="6" t="s">
        <v>114</v>
      </c>
      <c r="D101" s="65">
        <v>0</v>
      </c>
      <c r="E101" s="65">
        <v>0.36205100000000001</v>
      </c>
      <c r="F101" s="65">
        <v>0</v>
      </c>
      <c r="G101" s="65">
        <v>0</v>
      </c>
      <c r="H101" s="65">
        <v>0</v>
      </c>
      <c r="I101" s="65">
        <v>0</v>
      </c>
      <c r="J101" s="65">
        <v>0</v>
      </c>
      <c r="K101" s="65">
        <f>0.284423+0.346126</f>
        <v>0.63054900000000003</v>
      </c>
      <c r="L101" s="65">
        <v>7.4000000000000003E-3</v>
      </c>
      <c r="M101" s="65">
        <v>0</v>
      </c>
      <c r="N101" s="65">
        <v>0</v>
      </c>
      <c r="O101" s="65">
        <v>0</v>
      </c>
      <c r="P101" s="65">
        <v>0</v>
      </c>
      <c r="Q101" s="65">
        <v>0</v>
      </c>
      <c r="R101" s="140">
        <f t="shared" ref="R101:R113" si="12">SUM(D101:Q101)</f>
        <v>1</v>
      </c>
      <c r="S101" s="140"/>
      <c r="AH101" s="338">
        <f t="shared" si="11"/>
        <v>11</v>
      </c>
      <c r="AI101" s="337"/>
      <c r="AJ101" s="337"/>
      <c r="AK101" s="337"/>
      <c r="AL101" s="337"/>
      <c r="AM101" s="337"/>
      <c r="AN101" s="337"/>
      <c r="AO101" s="337"/>
      <c r="AP101" s="337"/>
      <c r="AQ101" s="337"/>
      <c r="AR101" s="337"/>
      <c r="AS101" s="337"/>
      <c r="AT101" s="337"/>
      <c r="AU101" s="337"/>
      <c r="AV101" s="337"/>
      <c r="AW101" s="337"/>
      <c r="AX101" s="337"/>
      <c r="AY101" s="337"/>
      <c r="AZ101" s="337"/>
      <c r="BA101" s="337"/>
      <c r="BB101" s="337"/>
      <c r="BC101" s="337"/>
      <c r="BD101" s="337"/>
      <c r="BE101" s="337"/>
      <c r="BF101" s="337"/>
      <c r="BG101" s="337"/>
      <c r="BH101" s="337"/>
      <c r="BI101" s="337"/>
      <c r="BJ101" s="337"/>
      <c r="BK101" s="337"/>
      <c r="BL101" s="337"/>
      <c r="BM101" s="337"/>
      <c r="BN101" s="337"/>
      <c r="BO101" s="337"/>
      <c r="BP101" s="337"/>
      <c r="BQ101" s="337"/>
      <c r="BR101" s="337"/>
      <c r="BS101" s="337"/>
      <c r="BT101" s="337"/>
      <c r="BU101" s="337"/>
      <c r="BV101" s="337"/>
      <c r="BW101" s="337"/>
      <c r="BX101" s="337"/>
      <c r="BY101" s="337"/>
      <c r="BZ101" s="337"/>
      <c r="CA101" s="337"/>
      <c r="CB101" s="337"/>
      <c r="CC101" s="337"/>
      <c r="CD101" s="337"/>
      <c r="CE101" s="337"/>
      <c r="CF101" s="337"/>
      <c r="CG101" s="337"/>
      <c r="CH101" s="337"/>
      <c r="CI101" s="337"/>
      <c r="CJ101" s="337"/>
    </row>
    <row r="102" spans="3:89" ht="15" x14ac:dyDescent="0.2">
      <c r="C102" s="6" t="s">
        <v>45</v>
      </c>
      <c r="D102" s="65">
        <v>0</v>
      </c>
      <c r="E102" s="65">
        <v>0</v>
      </c>
      <c r="F102" s="65">
        <v>1</v>
      </c>
      <c r="G102" s="65">
        <v>0</v>
      </c>
      <c r="H102" s="65">
        <v>0</v>
      </c>
      <c r="I102" s="65">
        <v>0</v>
      </c>
      <c r="J102" s="65">
        <v>0</v>
      </c>
      <c r="K102" s="65">
        <v>0</v>
      </c>
      <c r="L102" s="65">
        <v>0</v>
      </c>
      <c r="M102" s="65">
        <v>0</v>
      </c>
      <c r="N102" s="65">
        <v>0</v>
      </c>
      <c r="O102" s="65">
        <v>0</v>
      </c>
      <c r="P102" s="65">
        <v>0</v>
      </c>
      <c r="Q102" s="65">
        <v>0</v>
      </c>
      <c r="R102" s="140">
        <f t="shared" si="12"/>
        <v>1</v>
      </c>
      <c r="S102" s="140"/>
      <c r="AH102" s="338">
        <f t="shared" si="11"/>
        <v>12</v>
      </c>
      <c r="AI102" s="340"/>
      <c r="AJ102" s="342"/>
      <c r="AK102" s="342"/>
      <c r="AL102" s="337"/>
      <c r="AM102" s="337"/>
      <c r="AN102" s="337"/>
      <c r="AO102" s="337"/>
      <c r="AP102" s="337"/>
      <c r="AQ102" s="337"/>
      <c r="AR102" s="337"/>
      <c r="AS102" s="337"/>
      <c r="AT102" s="337"/>
      <c r="AU102" s="337"/>
      <c r="AV102" s="337"/>
      <c r="AW102" s="337"/>
      <c r="AX102" s="337"/>
      <c r="AY102" s="337"/>
      <c r="AZ102" s="337"/>
      <c r="BA102" s="337"/>
      <c r="BB102" s="337"/>
      <c r="BC102" s="337"/>
      <c r="BD102" s="337"/>
      <c r="BE102" s="337"/>
      <c r="BF102" s="337"/>
      <c r="BG102" s="337"/>
      <c r="BH102" s="337"/>
      <c r="BI102" s="337"/>
      <c r="BJ102" s="337"/>
      <c r="BK102" s="337"/>
      <c r="BL102" s="337"/>
      <c r="BM102" s="337"/>
      <c r="BN102" s="337"/>
      <c r="BO102" s="337"/>
      <c r="BP102" s="337"/>
      <c r="BQ102" s="337"/>
      <c r="BR102" s="337"/>
      <c r="BS102" s="337"/>
      <c r="BT102" s="337"/>
      <c r="BU102" s="337"/>
      <c r="BV102" s="337"/>
      <c r="BW102" s="337"/>
      <c r="BX102" s="337"/>
      <c r="BY102" s="337"/>
      <c r="BZ102" s="337"/>
      <c r="CA102" s="337"/>
      <c r="CB102" s="337"/>
      <c r="CC102" s="337"/>
      <c r="CD102" s="337"/>
      <c r="CE102" s="337"/>
      <c r="CF102" s="337"/>
      <c r="CG102" s="337"/>
      <c r="CH102" s="337"/>
      <c r="CI102" s="337"/>
      <c r="CJ102" s="337"/>
    </row>
    <row r="103" spans="3:89" ht="15" x14ac:dyDescent="0.2">
      <c r="C103" s="6" t="s">
        <v>115</v>
      </c>
      <c r="D103" s="65">
        <v>0</v>
      </c>
      <c r="E103" s="65">
        <v>0</v>
      </c>
      <c r="F103" s="65">
        <v>0</v>
      </c>
      <c r="G103" s="65">
        <v>0.55841200000000002</v>
      </c>
      <c r="H103" s="65">
        <v>0</v>
      </c>
      <c r="I103" s="65">
        <v>0</v>
      </c>
      <c r="J103" s="65">
        <v>0</v>
      </c>
      <c r="K103" s="65">
        <v>2.3014E-2</v>
      </c>
      <c r="L103" s="65">
        <f>0.080398+0.338175</f>
        <v>0.41857299999999997</v>
      </c>
      <c r="M103" s="65">
        <v>0</v>
      </c>
      <c r="N103" s="65">
        <v>0</v>
      </c>
      <c r="O103" s="65">
        <v>0</v>
      </c>
      <c r="P103" s="65">
        <v>0</v>
      </c>
      <c r="Q103" s="65">
        <v>0</v>
      </c>
      <c r="R103" s="140">
        <f t="shared" si="12"/>
        <v>0.99999899999999997</v>
      </c>
      <c r="S103" s="140"/>
      <c r="AH103" s="338">
        <f t="shared" si="11"/>
        <v>13</v>
      </c>
      <c r="AI103" s="340"/>
      <c r="AJ103" s="342"/>
      <c r="AK103" s="337"/>
      <c r="AL103" s="337"/>
      <c r="AM103" s="337"/>
      <c r="AN103" s="337"/>
      <c r="AO103" s="337"/>
      <c r="AP103" s="349"/>
      <c r="AQ103" s="337"/>
      <c r="AR103" s="337"/>
      <c r="AS103" s="337"/>
      <c r="AT103" s="337"/>
      <c r="AU103" s="337"/>
      <c r="AV103" s="337"/>
      <c r="AW103" s="337"/>
      <c r="AX103" s="337"/>
      <c r="AY103" s="337"/>
      <c r="AZ103" s="337"/>
      <c r="BA103" s="337"/>
      <c r="BB103" s="337"/>
      <c r="BC103" s="337"/>
      <c r="BD103" s="337"/>
      <c r="BE103" s="337"/>
      <c r="BF103" s="337"/>
      <c r="BG103" s="337"/>
      <c r="BH103" s="337"/>
      <c r="BI103" s="337"/>
      <c r="BJ103" s="337"/>
      <c r="BK103" s="337"/>
      <c r="BL103" s="337"/>
      <c r="BM103" s="337"/>
      <c r="BN103" s="337"/>
      <c r="BO103" s="337"/>
      <c r="BP103" s="337"/>
      <c r="BQ103" s="337"/>
      <c r="BR103" s="337"/>
      <c r="BS103" s="337"/>
      <c r="BT103" s="337"/>
      <c r="BU103" s="337"/>
      <c r="BV103" s="337"/>
      <c r="BW103" s="337"/>
      <c r="BX103" s="337"/>
      <c r="BY103" s="337"/>
      <c r="BZ103" s="337"/>
      <c r="CA103" s="337"/>
      <c r="CB103" s="337"/>
      <c r="CC103" s="337"/>
      <c r="CD103" s="337"/>
      <c r="CE103" s="337"/>
      <c r="CF103" s="337"/>
      <c r="CG103" s="337"/>
      <c r="CH103" s="337"/>
      <c r="CI103" s="337"/>
      <c r="CJ103" s="337"/>
    </row>
    <row r="104" spans="3:89" ht="15" x14ac:dyDescent="0.2">
      <c r="C104" s="6" t="s">
        <v>116</v>
      </c>
      <c r="D104" s="65">
        <v>0</v>
      </c>
      <c r="E104" s="65">
        <v>0</v>
      </c>
      <c r="F104" s="65">
        <v>0</v>
      </c>
      <c r="G104" s="65">
        <v>0</v>
      </c>
      <c r="H104" s="65">
        <v>1</v>
      </c>
      <c r="I104" s="65">
        <v>0</v>
      </c>
      <c r="J104" s="65">
        <v>0</v>
      </c>
      <c r="K104" s="65">
        <v>0</v>
      </c>
      <c r="L104" s="65">
        <v>0</v>
      </c>
      <c r="M104" s="65">
        <v>0</v>
      </c>
      <c r="N104" s="65">
        <v>0</v>
      </c>
      <c r="O104" s="65">
        <v>0</v>
      </c>
      <c r="P104" s="65">
        <v>0</v>
      </c>
      <c r="Q104" s="65">
        <v>0</v>
      </c>
      <c r="R104" s="140">
        <f t="shared" si="12"/>
        <v>1</v>
      </c>
      <c r="S104" s="140"/>
      <c r="AH104" s="338">
        <f t="shared" si="11"/>
        <v>14</v>
      </c>
      <c r="AI104" s="337"/>
      <c r="AJ104" s="342"/>
      <c r="AK104" s="337"/>
      <c r="AL104" s="337"/>
      <c r="AM104" s="337"/>
      <c r="AN104" s="337"/>
      <c r="AO104" s="337"/>
      <c r="AP104" s="337"/>
      <c r="AQ104" s="337"/>
      <c r="AR104" s="337"/>
      <c r="AS104" s="337"/>
      <c r="AT104" s="337"/>
      <c r="AU104" s="337"/>
      <c r="AV104" s="337"/>
      <c r="AW104" s="337"/>
      <c r="AX104" s="337"/>
      <c r="AY104" s="337"/>
      <c r="AZ104" s="337"/>
      <c r="BA104" s="337"/>
      <c r="BB104" s="337"/>
      <c r="BC104" s="337"/>
      <c r="BD104" s="337"/>
      <c r="BE104" s="337"/>
      <c r="BF104" s="337"/>
      <c r="BG104" s="337"/>
      <c r="BH104" s="337"/>
      <c r="BI104" s="337"/>
      <c r="BJ104" s="337"/>
      <c r="BK104" s="337"/>
      <c r="BL104" s="337"/>
      <c r="BM104" s="337"/>
      <c r="BN104" s="337"/>
      <c r="BO104" s="337"/>
      <c r="BP104" s="337"/>
      <c r="BQ104" s="337"/>
      <c r="BR104" s="337"/>
      <c r="BS104" s="337"/>
      <c r="BT104" s="337"/>
      <c r="BU104" s="337"/>
      <c r="BV104" s="337"/>
      <c r="BW104" s="337"/>
      <c r="BX104" s="337"/>
      <c r="BY104" s="337"/>
      <c r="BZ104" s="337"/>
      <c r="CA104" s="337"/>
      <c r="CB104" s="337"/>
      <c r="CC104" s="337"/>
      <c r="CD104" s="337"/>
      <c r="CE104" s="337"/>
      <c r="CF104" s="337"/>
      <c r="CG104" s="337"/>
      <c r="CH104" s="337"/>
      <c r="CI104" s="337"/>
      <c r="CJ104" s="337"/>
    </row>
    <row r="105" spans="3:89" ht="25.5" x14ac:dyDescent="0.2">
      <c r="C105" s="6" t="s">
        <v>117</v>
      </c>
      <c r="D105" s="65">
        <v>0</v>
      </c>
      <c r="E105" s="65">
        <v>0</v>
      </c>
      <c r="F105" s="65">
        <v>0</v>
      </c>
      <c r="G105" s="65">
        <v>0</v>
      </c>
      <c r="H105" s="65">
        <v>0</v>
      </c>
      <c r="I105" s="65">
        <v>0.63125100000000001</v>
      </c>
      <c r="J105" s="65">
        <v>0</v>
      </c>
      <c r="K105" s="65">
        <f>0.000889</f>
        <v>8.8900000000000003E-4</v>
      </c>
      <c r="L105" s="65">
        <f>0.1018+0.266059</f>
        <v>0.36785899999999999</v>
      </c>
      <c r="M105" s="65">
        <v>0</v>
      </c>
      <c r="N105" s="65">
        <v>0</v>
      </c>
      <c r="O105" s="65">
        <v>0</v>
      </c>
      <c r="P105" s="65">
        <v>0</v>
      </c>
      <c r="Q105" s="65">
        <v>0</v>
      </c>
      <c r="R105" s="140">
        <f t="shared" si="12"/>
        <v>0.99999900000000008</v>
      </c>
      <c r="S105" s="140"/>
      <c r="AH105" s="338">
        <f t="shared" si="11"/>
        <v>15</v>
      </c>
      <c r="AI105" s="340" t="s">
        <v>444</v>
      </c>
      <c r="AJ105" s="434">
        <v>0.04</v>
      </c>
      <c r="AK105" s="434">
        <v>0</v>
      </c>
      <c r="AL105" s="434">
        <v>5.6000000000000001E-2</v>
      </c>
      <c r="AM105" s="434">
        <v>6.5000000000000002E-2</v>
      </c>
      <c r="AN105" s="434">
        <v>7.4999999999999997E-2</v>
      </c>
      <c r="AO105" s="434">
        <v>2.9000000000000001E-2</v>
      </c>
      <c r="AP105" s="434">
        <v>6.3500000000000001E-2</v>
      </c>
      <c r="AQ105" s="434">
        <v>0</v>
      </c>
      <c r="AR105" s="434">
        <v>5.7500000000000002E-2</v>
      </c>
      <c r="AS105" s="434">
        <v>0.06</v>
      </c>
      <c r="AT105" s="434">
        <v>0.04</v>
      </c>
      <c r="AU105" s="434">
        <v>0.04</v>
      </c>
      <c r="AV105" s="434">
        <v>0.06</v>
      </c>
      <c r="AW105" s="434">
        <v>6.25E-2</v>
      </c>
      <c r="AX105" s="434">
        <v>7.0000000000000007E-2</v>
      </c>
      <c r="AY105" s="434">
        <v>0.06</v>
      </c>
      <c r="AZ105" s="434">
        <v>6.5000000000000002E-2</v>
      </c>
      <c r="BA105" s="434">
        <v>0.06</v>
      </c>
      <c r="BB105" s="434">
        <v>0.05</v>
      </c>
      <c r="BC105" s="434">
        <v>5.5E-2</v>
      </c>
      <c r="BD105" s="434">
        <v>0.06</v>
      </c>
      <c r="BE105" s="434">
        <v>6.25E-2</v>
      </c>
      <c r="BF105" s="434">
        <v>0.06</v>
      </c>
      <c r="BG105" s="434">
        <v>6.8750000000000006E-2</v>
      </c>
      <c r="BH105" s="434">
        <v>7.0000000000000007E-2</v>
      </c>
      <c r="BI105" s="435">
        <v>4.2250000000000003E-2</v>
      </c>
      <c r="BJ105" s="435">
        <v>0</v>
      </c>
      <c r="BK105" s="343">
        <f>'User Add-in Location'!$B$6</f>
        <v>0</v>
      </c>
      <c r="BL105" s="343">
        <f>'User Add-in Location'!B6</f>
        <v>0</v>
      </c>
      <c r="BM105" s="435">
        <v>5.5E-2</v>
      </c>
      <c r="BN105" s="435">
        <v>6.8500000000000005E-2</v>
      </c>
      <c r="BO105" s="435">
        <v>0</v>
      </c>
      <c r="BP105" s="435">
        <v>7.0000000000000007E-2</v>
      </c>
      <c r="BQ105" s="435">
        <v>5.1249999999999997E-2</v>
      </c>
      <c r="BR105" s="435">
        <v>0.04</v>
      </c>
      <c r="BS105" s="435">
        <v>4.7500000000000001E-2</v>
      </c>
      <c r="BT105" s="435">
        <v>0.05</v>
      </c>
      <c r="BU105" s="435">
        <v>5.7500000000000002E-2</v>
      </c>
      <c r="BV105" s="435">
        <v>4.4999999999999998E-2</v>
      </c>
      <c r="BW105" s="435">
        <v>0</v>
      </c>
      <c r="BX105" s="435">
        <v>0.06</v>
      </c>
      <c r="BY105" s="435">
        <v>7.0000000000000007E-2</v>
      </c>
      <c r="BZ105" s="435">
        <v>0.06</v>
      </c>
      <c r="CA105" s="435">
        <v>4.4999999999999998E-2</v>
      </c>
      <c r="CB105" s="435">
        <v>7.0000000000000007E-2</v>
      </c>
      <c r="CC105" s="435">
        <v>6.25E-2</v>
      </c>
      <c r="CD105" s="436">
        <v>4.7E-2</v>
      </c>
      <c r="CE105" s="435">
        <v>0.06</v>
      </c>
      <c r="CF105" s="435">
        <v>4.2999999999999997E-2</v>
      </c>
      <c r="CG105" s="435">
        <v>6.5000000000000002E-2</v>
      </c>
      <c r="CH105" s="435">
        <v>0.06</v>
      </c>
      <c r="CI105" s="435">
        <v>0.05</v>
      </c>
      <c r="CJ105" s="435">
        <v>0.04</v>
      </c>
      <c r="CK105" s="435">
        <v>5.1499999999999997E-2</v>
      </c>
    </row>
    <row r="106" spans="3:89" ht="15" x14ac:dyDescent="0.2">
      <c r="C106" s="6" t="s">
        <v>118</v>
      </c>
      <c r="D106" s="65">
        <v>0</v>
      </c>
      <c r="E106" s="65">
        <v>0</v>
      </c>
      <c r="F106" s="65">
        <v>0</v>
      </c>
      <c r="G106" s="65">
        <v>0</v>
      </c>
      <c r="H106" s="65">
        <v>0</v>
      </c>
      <c r="I106" s="65">
        <v>0</v>
      </c>
      <c r="J106" s="65">
        <v>0.51277399999999995</v>
      </c>
      <c r="K106" s="65">
        <v>1.2135999999999999E-2</v>
      </c>
      <c r="L106" s="65">
        <f>0.075345+0.399745</f>
        <v>0.47509000000000001</v>
      </c>
      <c r="M106" s="65">
        <v>0</v>
      </c>
      <c r="N106" s="65">
        <v>0</v>
      </c>
      <c r="O106" s="65">
        <v>0</v>
      </c>
      <c r="P106" s="65">
        <v>0</v>
      </c>
      <c r="Q106" s="65">
        <v>0</v>
      </c>
      <c r="R106" s="140">
        <f t="shared" si="12"/>
        <v>1</v>
      </c>
      <c r="S106" s="140"/>
      <c r="AH106" s="338">
        <f t="shared" si="11"/>
        <v>16</v>
      </c>
      <c r="AI106" s="340" t="s">
        <v>438</v>
      </c>
      <c r="AJ106" s="434">
        <v>0.04</v>
      </c>
      <c r="AK106" s="434">
        <v>0</v>
      </c>
      <c r="AL106" s="434">
        <v>5.6000000000000001E-2</v>
      </c>
      <c r="AM106" s="434">
        <v>6.5000000000000002E-2</v>
      </c>
      <c r="AN106" s="434">
        <v>7.4999999999999997E-2</v>
      </c>
      <c r="AO106" s="434">
        <v>2.9000000000000001E-2</v>
      </c>
      <c r="AP106" s="434">
        <v>6.3500000000000001E-2</v>
      </c>
      <c r="AQ106" s="434">
        <v>0</v>
      </c>
      <c r="AR106" s="434">
        <v>5.7500000000000002E-2</v>
      </c>
      <c r="AS106" s="434">
        <v>0.06</v>
      </c>
      <c r="AT106" s="434">
        <v>0.04</v>
      </c>
      <c r="AU106" s="434">
        <v>0.04</v>
      </c>
      <c r="AV106" s="434">
        <v>0.06</v>
      </c>
      <c r="AW106" s="434">
        <v>6.25E-2</v>
      </c>
      <c r="AX106" s="434">
        <v>7.0000000000000007E-2</v>
      </c>
      <c r="AY106" s="434">
        <v>0.06</v>
      </c>
      <c r="AZ106" s="434">
        <v>6.5000000000000002E-2</v>
      </c>
      <c r="BA106" s="434">
        <v>0.06</v>
      </c>
      <c r="BB106" s="434">
        <v>0.05</v>
      </c>
      <c r="BC106" s="434">
        <v>5.5E-2</v>
      </c>
      <c r="BD106" s="434">
        <v>0.06</v>
      </c>
      <c r="BE106" s="434">
        <v>6.25E-2</v>
      </c>
      <c r="BF106" s="434">
        <v>0.06</v>
      </c>
      <c r="BG106" s="434">
        <v>6.8750000000000006E-2</v>
      </c>
      <c r="BH106" s="434">
        <v>7.0000000000000007E-2</v>
      </c>
      <c r="BI106" s="435">
        <v>4.2250000000000003E-2</v>
      </c>
      <c r="BJ106" s="435">
        <v>0</v>
      </c>
      <c r="BK106" s="343">
        <f>'User Add-in Location'!$B$6</f>
        <v>0</v>
      </c>
      <c r="BL106" s="343">
        <f>'User Add-in Location'!$B$6</f>
        <v>0</v>
      </c>
      <c r="BM106" s="435">
        <v>5.5E-2</v>
      </c>
      <c r="BN106" s="435">
        <v>6.8500000000000005E-2</v>
      </c>
      <c r="BO106" s="435">
        <v>0</v>
      </c>
      <c r="BP106" s="435">
        <v>7.0000000000000007E-2</v>
      </c>
      <c r="BQ106" s="435">
        <v>5.1249999999999997E-2</v>
      </c>
      <c r="BR106" s="435">
        <v>0.04</v>
      </c>
      <c r="BS106" s="435">
        <v>4.7500000000000001E-2</v>
      </c>
      <c r="BT106" s="435">
        <v>0.05</v>
      </c>
      <c r="BU106" s="435">
        <v>5.7500000000000002E-2</v>
      </c>
      <c r="BV106" s="435">
        <v>4.4999999999999998E-2</v>
      </c>
      <c r="BW106" s="435">
        <v>0</v>
      </c>
      <c r="BX106" s="435">
        <v>0.06</v>
      </c>
      <c r="BY106" s="435">
        <v>7.0000000000000007E-2</v>
      </c>
      <c r="BZ106" s="435">
        <v>0.06</v>
      </c>
      <c r="CA106" s="435">
        <v>4.4999999999999998E-2</v>
      </c>
      <c r="CB106" s="435">
        <v>7.0000000000000007E-2</v>
      </c>
      <c r="CC106" s="435">
        <v>6.25E-2</v>
      </c>
      <c r="CD106" s="436">
        <v>4.7E-2</v>
      </c>
      <c r="CE106" s="435">
        <v>0.06</v>
      </c>
      <c r="CF106" s="435">
        <v>4.2999999999999997E-2</v>
      </c>
      <c r="CG106" s="435">
        <v>6.5000000000000002E-2</v>
      </c>
      <c r="CH106" s="435">
        <v>0.06</v>
      </c>
      <c r="CI106" s="435">
        <v>0.05</v>
      </c>
      <c r="CJ106" s="435">
        <v>0.04</v>
      </c>
      <c r="CK106" s="435">
        <v>5.1499999999999997E-2</v>
      </c>
    </row>
    <row r="107" spans="3:89" ht="51" x14ac:dyDescent="0.2">
      <c r="C107" s="6" t="s">
        <v>119</v>
      </c>
      <c r="D107" s="65">
        <v>0</v>
      </c>
      <c r="E107" s="65">
        <v>0</v>
      </c>
      <c r="F107" s="65">
        <v>0</v>
      </c>
      <c r="G107" s="65">
        <v>0</v>
      </c>
      <c r="H107" s="65">
        <v>0</v>
      </c>
      <c r="I107" s="65">
        <v>0</v>
      </c>
      <c r="J107" s="65">
        <v>0</v>
      </c>
      <c r="K107" s="65">
        <v>1</v>
      </c>
      <c r="L107" s="65">
        <v>0</v>
      </c>
      <c r="M107" s="65">
        <v>0</v>
      </c>
      <c r="N107" s="65">
        <v>0</v>
      </c>
      <c r="O107" s="65">
        <v>0</v>
      </c>
      <c r="P107" s="65">
        <v>0</v>
      </c>
      <c r="Q107" s="65">
        <v>0</v>
      </c>
      <c r="R107" s="140">
        <f t="shared" si="12"/>
        <v>1</v>
      </c>
      <c r="S107" s="140"/>
      <c r="AH107" s="338">
        <f t="shared" si="11"/>
        <v>17</v>
      </c>
      <c r="AI107" s="340" t="s">
        <v>445</v>
      </c>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row>
    <row r="108" spans="3:89" ht="15" x14ac:dyDescent="0.2">
      <c r="C108" s="6" t="s">
        <v>46</v>
      </c>
      <c r="D108" s="65">
        <v>0</v>
      </c>
      <c r="E108" s="65">
        <v>0</v>
      </c>
      <c r="F108" s="65">
        <v>0</v>
      </c>
      <c r="G108" s="65">
        <v>0</v>
      </c>
      <c r="H108" s="65">
        <v>0</v>
      </c>
      <c r="I108" s="65">
        <v>0</v>
      </c>
      <c r="J108" s="65">
        <v>0</v>
      </c>
      <c r="K108" s="65">
        <v>0</v>
      </c>
      <c r="L108" s="65">
        <v>1</v>
      </c>
      <c r="M108" s="65">
        <v>0</v>
      </c>
      <c r="N108" s="65">
        <v>0</v>
      </c>
      <c r="O108" s="65">
        <v>0</v>
      </c>
      <c r="P108" s="65">
        <v>0</v>
      </c>
      <c r="Q108" s="65">
        <v>0</v>
      </c>
      <c r="R108" s="140">
        <f t="shared" si="12"/>
        <v>1</v>
      </c>
      <c r="S108" s="140"/>
      <c r="AH108" s="338">
        <f t="shared" si="11"/>
        <v>18</v>
      </c>
      <c r="AI108" s="337" t="s">
        <v>438</v>
      </c>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337"/>
      <c r="CC108" s="337"/>
      <c r="CD108" s="337"/>
      <c r="CE108" s="337"/>
      <c r="CF108" s="337"/>
      <c r="CG108" s="337"/>
      <c r="CH108" s="337"/>
      <c r="CI108" s="337"/>
      <c r="CJ108" s="337"/>
    </row>
    <row r="109" spans="3:89" ht="15" x14ac:dyDescent="0.2">
      <c r="C109" s="6" t="s">
        <v>47</v>
      </c>
      <c r="D109" s="65">
        <v>0</v>
      </c>
      <c r="E109" s="65">
        <v>0</v>
      </c>
      <c r="F109" s="65">
        <v>0</v>
      </c>
      <c r="G109" s="65">
        <v>0</v>
      </c>
      <c r="H109" s="65">
        <v>0</v>
      </c>
      <c r="I109" s="65">
        <v>0</v>
      </c>
      <c r="J109" s="65">
        <v>0</v>
      </c>
      <c r="K109" s="65">
        <v>0</v>
      </c>
      <c r="L109" s="65">
        <f>1-M109</f>
        <v>0.68871400000000005</v>
      </c>
      <c r="M109" s="65">
        <v>0.31128600000000001</v>
      </c>
      <c r="N109" s="65">
        <v>0</v>
      </c>
      <c r="O109" s="65">
        <v>0</v>
      </c>
      <c r="P109" s="65">
        <v>0</v>
      </c>
      <c r="Q109" s="65">
        <v>0</v>
      </c>
      <c r="R109" s="140">
        <f t="shared" si="12"/>
        <v>1</v>
      </c>
      <c r="S109" s="140"/>
      <c r="AH109" s="337"/>
      <c r="AI109" s="337"/>
      <c r="AJ109" s="337"/>
      <c r="AK109" s="337"/>
      <c r="AL109" s="337"/>
      <c r="AM109" s="337"/>
      <c r="AN109" s="337"/>
      <c r="AO109" s="337"/>
      <c r="AP109" s="337"/>
      <c r="AQ109" s="337"/>
      <c r="AR109" s="337"/>
      <c r="AS109" s="337"/>
      <c r="AT109" s="337"/>
      <c r="AU109" s="337"/>
      <c r="AV109" s="337"/>
      <c r="AW109" s="337"/>
      <c r="AX109" s="337"/>
      <c r="AY109" s="337"/>
      <c r="AZ109" s="337"/>
      <c r="BA109" s="337"/>
      <c r="BB109" s="337"/>
      <c r="BC109" s="337"/>
      <c r="BD109" s="337"/>
      <c r="BE109" s="337"/>
      <c r="BF109" s="337"/>
      <c r="BG109" s="337"/>
      <c r="BH109" s="337"/>
      <c r="BI109" s="337"/>
      <c r="BJ109" s="337"/>
      <c r="BK109" s="337"/>
      <c r="BL109" s="337"/>
      <c r="BM109" s="337"/>
      <c r="BN109" s="337"/>
      <c r="BO109" s="337"/>
      <c r="BP109" s="337"/>
      <c r="BQ109" s="337"/>
      <c r="BR109" s="337"/>
      <c r="BS109" s="337"/>
      <c r="BT109" s="337"/>
      <c r="BU109" s="337"/>
      <c r="BV109" s="337"/>
      <c r="BW109" s="337"/>
      <c r="BX109" s="337"/>
      <c r="BY109" s="337"/>
      <c r="BZ109" s="337"/>
      <c r="CA109" s="337"/>
      <c r="CB109" s="337"/>
      <c r="CC109" s="337"/>
      <c r="CD109" s="337"/>
      <c r="CE109" s="337"/>
      <c r="CF109" s="337"/>
      <c r="CG109" s="337"/>
      <c r="CH109" s="337"/>
      <c r="CI109" s="337"/>
      <c r="CJ109" s="337"/>
    </row>
    <row r="110" spans="3:89" ht="38.25" x14ac:dyDescent="0.2">
      <c r="C110" s="6" t="s">
        <v>120</v>
      </c>
      <c r="D110" s="65">
        <v>0</v>
      </c>
      <c r="E110" s="65">
        <v>0</v>
      </c>
      <c r="F110" s="65">
        <v>0</v>
      </c>
      <c r="G110" s="65">
        <v>0</v>
      </c>
      <c r="H110" s="65">
        <v>0</v>
      </c>
      <c r="I110" s="65">
        <v>0</v>
      </c>
      <c r="J110" s="65">
        <v>0</v>
      </c>
      <c r="K110" s="65">
        <v>0</v>
      </c>
      <c r="L110" s="65">
        <v>0</v>
      </c>
      <c r="M110" s="65">
        <v>0</v>
      </c>
      <c r="N110" s="65">
        <v>1</v>
      </c>
      <c r="O110" s="65">
        <v>0</v>
      </c>
      <c r="P110" s="65">
        <v>0</v>
      </c>
      <c r="Q110" s="65">
        <v>0</v>
      </c>
      <c r="R110" s="140">
        <f t="shared" si="12"/>
        <v>1</v>
      </c>
      <c r="S110" s="140"/>
      <c r="AH110" s="337"/>
      <c r="AI110" s="340" t="s">
        <v>439</v>
      </c>
      <c r="AJ110" s="92">
        <f>HLOOKUP(AJ$98,AJ$91:CJ$108,AJ111)</f>
        <v>0</v>
      </c>
      <c r="AK110" s="334" t="s">
        <v>440</v>
      </c>
      <c r="AL110" s="92">
        <f>1-AJ110</f>
        <v>1</v>
      </c>
      <c r="AM110" s="337"/>
      <c r="AN110" s="337"/>
      <c r="AO110" s="337"/>
      <c r="AP110" s="337"/>
      <c r="AQ110" s="337"/>
      <c r="AR110" s="337"/>
      <c r="AS110" s="337"/>
      <c r="AT110" s="337"/>
      <c r="AU110" s="337"/>
      <c r="AV110" s="337"/>
      <c r="AW110" s="337"/>
      <c r="AX110" s="337"/>
      <c r="AY110" s="337"/>
      <c r="AZ110" s="337"/>
      <c r="BA110" s="337"/>
      <c r="BB110" s="337"/>
      <c r="BC110" s="337"/>
      <c r="BD110" s="337"/>
      <c r="BE110" s="337"/>
      <c r="BF110" s="337"/>
      <c r="BG110" s="337"/>
      <c r="BH110" s="337"/>
      <c r="BI110" s="337"/>
      <c r="BJ110" s="337"/>
      <c r="BK110" s="337"/>
      <c r="BL110" s="337"/>
      <c r="BM110" s="337"/>
      <c r="BN110" s="337"/>
      <c r="BO110" s="337"/>
      <c r="BP110" s="337"/>
      <c r="BQ110" s="337"/>
      <c r="BR110" s="337"/>
      <c r="BS110" s="337"/>
      <c r="BT110" s="337"/>
      <c r="BU110" s="337"/>
      <c r="BV110" s="337"/>
      <c r="BW110" s="337"/>
      <c r="BX110" s="337"/>
      <c r="BY110" s="337"/>
      <c r="BZ110" s="337"/>
      <c r="CA110" s="337"/>
      <c r="CB110" s="337"/>
      <c r="CC110" s="337"/>
      <c r="CD110" s="337"/>
      <c r="CE110" s="337"/>
      <c r="CF110" s="337"/>
      <c r="CG110" s="337"/>
      <c r="CH110" s="337"/>
      <c r="CI110" s="337"/>
      <c r="CJ110" s="337"/>
    </row>
    <row r="111" spans="3:89" ht="15" x14ac:dyDescent="0.2">
      <c r="C111" s="6" t="s">
        <v>121</v>
      </c>
      <c r="D111" s="65">
        <v>0</v>
      </c>
      <c r="E111" s="65">
        <v>0</v>
      </c>
      <c r="F111" s="65">
        <v>0</v>
      </c>
      <c r="G111" s="65">
        <v>0</v>
      </c>
      <c r="H111" s="65">
        <v>0</v>
      </c>
      <c r="I111" s="65">
        <v>0</v>
      </c>
      <c r="J111" s="65">
        <v>0</v>
      </c>
      <c r="K111" s="65">
        <v>4.2428E-2</v>
      </c>
      <c r="L111" s="65">
        <v>9.2082999999999998E-2</v>
      </c>
      <c r="M111" s="65">
        <v>0.361097</v>
      </c>
      <c r="N111" s="65">
        <v>0</v>
      </c>
      <c r="O111" s="65">
        <v>0.50439199999999995</v>
      </c>
      <c r="P111" s="65">
        <v>0</v>
      </c>
      <c r="Q111" s="65">
        <v>0</v>
      </c>
      <c r="R111" s="140">
        <f t="shared" si="12"/>
        <v>1</v>
      </c>
      <c r="S111" s="140"/>
      <c r="AH111" s="337"/>
      <c r="AI111" s="340" t="s">
        <v>441</v>
      </c>
      <c r="AJ111" s="337">
        <f>IF(AJ99&lt;10,AH107,AH108)</f>
        <v>18</v>
      </c>
      <c r="AK111" s="337"/>
      <c r="AL111" s="337"/>
      <c r="AM111" s="337"/>
      <c r="AN111" s="337"/>
      <c r="AO111" s="337"/>
      <c r="AP111" s="337"/>
      <c r="AQ111" s="337"/>
      <c r="AR111" s="337"/>
      <c r="AS111" s="337"/>
      <c r="AT111" s="337"/>
      <c r="AU111" s="337"/>
      <c r="AV111" s="337"/>
      <c r="AW111" s="337"/>
      <c r="AX111" s="337"/>
      <c r="AY111" s="337"/>
      <c r="AZ111" s="337"/>
      <c r="BA111" s="337"/>
      <c r="BB111" s="337"/>
      <c r="BC111" s="337"/>
      <c r="BD111" s="337"/>
      <c r="BE111" s="337"/>
      <c r="BF111" s="337"/>
      <c r="BG111" s="337"/>
      <c r="BH111" s="337"/>
      <c r="BI111" s="337"/>
      <c r="BJ111" s="337"/>
      <c r="BK111" s="337"/>
      <c r="BL111" s="337"/>
      <c r="BM111" s="337"/>
      <c r="BN111" s="337"/>
      <c r="BO111" s="337"/>
      <c r="BP111" s="337"/>
      <c r="BQ111" s="337"/>
      <c r="BR111" s="337"/>
      <c r="BS111" s="337"/>
      <c r="BT111" s="337"/>
      <c r="BU111" s="337"/>
      <c r="BV111" s="337"/>
      <c r="BW111" s="337"/>
      <c r="BX111" s="337"/>
      <c r="BY111" s="337"/>
      <c r="BZ111" s="337"/>
      <c r="CA111" s="337"/>
      <c r="CB111" s="337"/>
      <c r="CC111" s="337"/>
      <c r="CD111" s="337"/>
      <c r="CE111" s="337"/>
      <c r="CF111" s="337"/>
      <c r="CG111" s="337"/>
      <c r="CH111" s="337"/>
      <c r="CI111" s="337"/>
      <c r="CJ111" s="337"/>
    </row>
    <row r="112" spans="3:89" ht="15" x14ac:dyDescent="0.2">
      <c r="C112" s="6" t="s">
        <v>122</v>
      </c>
      <c r="D112" s="65">
        <v>0</v>
      </c>
      <c r="E112" s="65">
        <v>0</v>
      </c>
      <c r="F112" s="65">
        <v>0</v>
      </c>
      <c r="G112" s="65">
        <v>0</v>
      </c>
      <c r="H112" s="65">
        <v>0</v>
      </c>
      <c r="I112" s="65">
        <v>0</v>
      </c>
      <c r="J112" s="65">
        <v>0</v>
      </c>
      <c r="K112" s="65">
        <v>0</v>
      </c>
      <c r="L112" s="65">
        <v>0</v>
      </c>
      <c r="M112" s="65">
        <v>0</v>
      </c>
      <c r="N112" s="65">
        <v>0</v>
      </c>
      <c r="O112" s="65">
        <v>0</v>
      </c>
      <c r="P112" s="65">
        <v>1</v>
      </c>
      <c r="Q112" s="65">
        <v>0</v>
      </c>
      <c r="R112" s="140">
        <f t="shared" si="12"/>
        <v>1</v>
      </c>
      <c r="S112" s="140"/>
      <c r="AH112" s="337"/>
      <c r="AI112" s="337"/>
      <c r="AJ112" s="337"/>
      <c r="AK112" s="337"/>
      <c r="AL112" s="337"/>
      <c r="AM112" s="337"/>
      <c r="AN112" s="337"/>
      <c r="AO112" s="337"/>
      <c r="AP112" s="337"/>
      <c r="AQ112" s="337"/>
      <c r="AR112" s="337"/>
      <c r="AS112" s="337"/>
      <c r="AT112" s="337"/>
      <c r="AU112" s="337"/>
      <c r="AV112" s="337"/>
      <c r="AW112" s="337"/>
      <c r="AX112" s="337"/>
      <c r="AY112" s="337"/>
      <c r="AZ112" s="337"/>
      <c r="BA112" s="337"/>
      <c r="BB112" s="337"/>
      <c r="BC112" s="337"/>
      <c r="BD112" s="337"/>
      <c r="BE112" s="337"/>
      <c r="BF112" s="337"/>
      <c r="BG112" s="337"/>
      <c r="BH112" s="337"/>
      <c r="BI112" s="337"/>
      <c r="BJ112" s="337"/>
      <c r="BK112" s="337"/>
      <c r="BL112" s="337"/>
      <c r="BM112" s="337"/>
      <c r="BN112" s="337"/>
      <c r="BO112" s="337"/>
      <c r="BP112" s="337"/>
      <c r="BQ112" s="337"/>
      <c r="BR112" s="337"/>
      <c r="BS112" s="337"/>
      <c r="BT112" s="337"/>
      <c r="BU112" s="337"/>
      <c r="BV112" s="337"/>
      <c r="BW112" s="337"/>
      <c r="BX112" s="337"/>
      <c r="BY112" s="337"/>
      <c r="BZ112" s="337"/>
      <c r="CA112" s="337"/>
      <c r="CB112" s="337"/>
      <c r="CC112" s="337"/>
      <c r="CD112" s="337"/>
      <c r="CE112" s="337"/>
      <c r="CF112" s="337"/>
      <c r="CG112" s="337"/>
      <c r="CH112" s="337"/>
      <c r="CI112" s="337"/>
      <c r="CJ112" s="337"/>
    </row>
    <row r="113" spans="3:88" ht="15" x14ac:dyDescent="0.2">
      <c r="C113" s="6" t="s">
        <v>48</v>
      </c>
      <c r="D113" s="65">
        <v>0</v>
      </c>
      <c r="E113" s="65">
        <v>0</v>
      </c>
      <c r="F113" s="65">
        <v>0</v>
      </c>
      <c r="G113" s="65">
        <v>0</v>
      </c>
      <c r="H113" s="65">
        <v>0</v>
      </c>
      <c r="I113" s="65">
        <v>0</v>
      </c>
      <c r="J113" s="65">
        <v>0</v>
      </c>
      <c r="K113" s="65">
        <v>0</v>
      </c>
      <c r="L113" s="65">
        <v>0</v>
      </c>
      <c r="M113" s="65">
        <v>0</v>
      </c>
      <c r="N113" s="65">
        <v>0</v>
      </c>
      <c r="O113" s="65">
        <v>0</v>
      </c>
      <c r="P113" s="65">
        <v>0</v>
      </c>
      <c r="Q113" s="65">
        <v>1</v>
      </c>
      <c r="R113" s="140">
        <f t="shared" si="12"/>
        <v>1</v>
      </c>
      <c r="S113" s="140"/>
      <c r="AH113" s="337"/>
      <c r="AI113" s="337" t="s">
        <v>442</v>
      </c>
      <c r="AJ113" s="97">
        <f>HLOOKUP(AJ$98,AJ$91:CJ$108,AJ114)</f>
        <v>0.04</v>
      </c>
      <c r="AK113" s="337"/>
      <c r="AL113" s="337"/>
      <c r="AM113" s="337"/>
      <c r="AN113" s="337"/>
      <c r="AO113" s="337"/>
      <c r="AP113" s="337"/>
      <c r="AQ113" s="337"/>
      <c r="AR113" s="337"/>
      <c r="AS113" s="337"/>
      <c r="AT113" s="337"/>
      <c r="AU113" s="337"/>
      <c r="AV113" s="337"/>
      <c r="AW113" s="337"/>
      <c r="AX113" s="337"/>
      <c r="AY113" s="337"/>
      <c r="AZ113" s="337"/>
      <c r="BA113" s="337"/>
      <c r="BB113" s="337"/>
      <c r="BC113" s="337"/>
      <c r="BD113" s="337"/>
      <c r="BE113" s="337"/>
      <c r="BF113" s="337"/>
      <c r="BG113" s="337"/>
      <c r="BH113" s="337"/>
      <c r="BI113" s="337"/>
      <c r="BJ113" s="337"/>
      <c r="BK113" s="337"/>
      <c r="BL113" s="337"/>
      <c r="BM113" s="337"/>
      <c r="BN113" s="337"/>
      <c r="BO113" s="337"/>
      <c r="BP113" s="337"/>
      <c r="BQ113" s="337"/>
      <c r="BR113" s="337"/>
      <c r="BS113" s="337"/>
      <c r="BT113" s="337"/>
      <c r="BU113" s="337"/>
      <c r="BV113" s="337"/>
      <c r="BW113" s="337"/>
      <c r="BX113" s="337"/>
      <c r="BY113" s="337"/>
      <c r="BZ113" s="337"/>
      <c r="CA113" s="337"/>
      <c r="CB113" s="337"/>
      <c r="CC113" s="337"/>
      <c r="CD113" s="337"/>
      <c r="CE113" s="337"/>
      <c r="CF113" s="337"/>
      <c r="CG113" s="337"/>
      <c r="CH113" s="337"/>
      <c r="CI113" s="337"/>
      <c r="CJ113" s="337"/>
    </row>
    <row r="114" spans="3:88" x14ac:dyDescent="0.2">
      <c r="D114" s="65"/>
      <c r="E114" s="65"/>
      <c r="F114" s="65"/>
      <c r="G114" s="65"/>
      <c r="H114" s="65"/>
      <c r="P114" s="91"/>
      <c r="Q114" s="91"/>
      <c r="AH114" s="337"/>
      <c r="AI114" s="337" t="s">
        <v>441</v>
      </c>
      <c r="AJ114" s="337">
        <f>AH106</f>
        <v>16</v>
      </c>
      <c r="AK114" s="337"/>
      <c r="AL114" s="337"/>
      <c r="AM114" s="337"/>
      <c r="AN114" s="337"/>
      <c r="AO114" s="337"/>
      <c r="AP114" s="337"/>
      <c r="AQ114" s="337"/>
      <c r="AR114" s="337"/>
      <c r="AS114" s="337"/>
      <c r="AT114" s="337"/>
      <c r="AU114" s="337"/>
      <c r="AV114" s="337"/>
      <c r="AW114" s="337"/>
      <c r="AX114" s="337"/>
      <c r="AY114" s="337"/>
      <c r="AZ114" s="337"/>
      <c r="BA114" s="337"/>
      <c r="BB114" s="337"/>
      <c r="BC114" s="337"/>
      <c r="BD114" s="337"/>
      <c r="BE114" s="337"/>
      <c r="BF114" s="337"/>
      <c r="BG114" s="337"/>
      <c r="BH114" s="337"/>
      <c r="BI114" s="337"/>
      <c r="BJ114" s="337"/>
      <c r="BK114" s="337"/>
      <c r="BL114" s="337"/>
      <c r="BM114" s="337"/>
      <c r="BN114" s="337"/>
      <c r="BO114" s="337"/>
      <c r="BP114" s="337"/>
      <c r="BQ114" s="337"/>
      <c r="BR114" s="337"/>
      <c r="BS114" s="337"/>
      <c r="BT114" s="337"/>
      <c r="BU114" s="337"/>
      <c r="BV114" s="337"/>
      <c r="BW114" s="337"/>
      <c r="BX114" s="337"/>
      <c r="BY114" s="337"/>
      <c r="BZ114" s="337"/>
      <c r="CA114" s="337"/>
      <c r="CB114" s="337"/>
      <c r="CC114" s="337"/>
      <c r="CD114" s="337"/>
      <c r="CE114" s="337"/>
      <c r="CF114" s="337"/>
      <c r="CG114" s="337"/>
      <c r="CH114" s="337"/>
      <c r="CI114" s="337"/>
      <c r="CJ114" s="337"/>
    </row>
    <row r="115" spans="3:88" x14ac:dyDescent="0.2">
      <c r="P115" s="91"/>
      <c r="Q115" s="91"/>
      <c r="AH115" s="337"/>
      <c r="AI115" s="337"/>
      <c r="AJ115" s="337"/>
      <c r="AK115" s="337"/>
      <c r="AL115" s="337"/>
      <c r="AM115" s="337"/>
      <c r="AN115" s="337"/>
      <c r="AO115" s="337"/>
      <c r="AP115" s="337"/>
      <c r="AQ115" s="337"/>
      <c r="AR115" s="337"/>
      <c r="AS115" s="337"/>
      <c r="AT115" s="337"/>
      <c r="AU115" s="337"/>
      <c r="AV115" s="337"/>
      <c r="AW115" s="337"/>
      <c r="AX115" s="337"/>
      <c r="AY115" s="337"/>
      <c r="AZ115" s="337"/>
      <c r="BA115" s="337"/>
      <c r="BB115" s="337"/>
      <c r="BC115" s="337"/>
      <c r="BD115" s="337"/>
      <c r="BE115" s="337"/>
      <c r="BF115" s="337"/>
      <c r="BG115" s="337"/>
      <c r="BH115" s="337"/>
      <c r="BI115" s="337"/>
      <c r="BJ115" s="337"/>
      <c r="BK115" s="337"/>
      <c r="BL115" s="337"/>
      <c r="BM115" s="337"/>
      <c r="BN115" s="337"/>
      <c r="BO115" s="337"/>
      <c r="BP115" s="337"/>
      <c r="BQ115" s="337"/>
      <c r="BR115" s="337"/>
      <c r="BS115" s="337"/>
      <c r="BT115" s="337"/>
      <c r="BU115" s="337"/>
      <c r="BV115" s="337"/>
      <c r="BW115" s="337"/>
      <c r="BX115" s="337"/>
      <c r="BY115" s="337"/>
      <c r="BZ115" s="337"/>
      <c r="CA115" s="337"/>
      <c r="CB115" s="337"/>
      <c r="CC115" s="337"/>
      <c r="CD115" s="337"/>
      <c r="CE115" s="337"/>
      <c r="CF115" s="337"/>
      <c r="CG115" s="337"/>
      <c r="CH115" s="337"/>
      <c r="CI115" s="337"/>
      <c r="CJ115" s="337"/>
    </row>
    <row r="116" spans="3:88" x14ac:dyDescent="0.2">
      <c r="C116" s="1"/>
      <c r="P116" s="91"/>
      <c r="Q116" s="91"/>
      <c r="R116" s="91"/>
      <c r="AH116" s="337"/>
      <c r="AI116" s="337" t="s">
        <v>443</v>
      </c>
      <c r="AJ116" s="337"/>
      <c r="AK116" s="337"/>
      <c r="AL116" s="337"/>
      <c r="AM116" s="337"/>
      <c r="AN116" s="337"/>
      <c r="AO116" s="337"/>
      <c r="AP116" s="337"/>
      <c r="AQ116" s="337"/>
      <c r="AR116" s="337"/>
      <c r="AS116" s="337"/>
      <c r="AT116" s="337"/>
      <c r="AU116" s="337"/>
      <c r="AV116" s="337"/>
      <c r="AW116" s="337"/>
      <c r="AX116" s="337"/>
      <c r="AY116" s="337"/>
      <c r="AZ116" s="337"/>
      <c r="BA116" s="337"/>
      <c r="BB116" s="337"/>
      <c r="BC116" s="337"/>
      <c r="BD116" s="337"/>
      <c r="BE116" s="337"/>
      <c r="BF116" s="337"/>
      <c r="BG116" s="337"/>
      <c r="BH116" s="337"/>
      <c r="BI116" s="337"/>
      <c r="BJ116" s="337"/>
      <c r="BK116" s="337"/>
      <c r="BL116" s="337"/>
      <c r="BM116" s="337"/>
      <c r="BN116" s="337"/>
      <c r="BO116" s="337"/>
      <c r="BP116" s="337"/>
      <c r="BQ116" s="337"/>
      <c r="BR116" s="337"/>
      <c r="BS116" s="337"/>
      <c r="BT116" s="337"/>
      <c r="BU116" s="337"/>
      <c r="BV116" s="337"/>
      <c r="BW116" s="337"/>
      <c r="BX116" s="337"/>
      <c r="BY116" s="337"/>
      <c r="BZ116" s="337"/>
      <c r="CA116" s="337"/>
      <c r="CB116" s="337"/>
      <c r="CC116" s="337"/>
      <c r="CD116" s="337"/>
      <c r="CE116" s="337"/>
      <c r="CF116" s="337"/>
      <c r="CG116" s="337"/>
      <c r="CH116" s="337"/>
      <c r="CI116" s="337"/>
      <c r="CJ116" s="337"/>
    </row>
    <row r="117" spans="3:88" x14ac:dyDescent="0.2">
      <c r="P117" s="91"/>
      <c r="Q117" s="91"/>
      <c r="R117" s="91"/>
    </row>
    <row r="118" spans="3:88" ht="15" x14ac:dyDescent="0.2">
      <c r="C118" s="6"/>
      <c r="D118" s="65"/>
      <c r="E118" s="65"/>
      <c r="F118" s="65"/>
      <c r="G118" s="65"/>
      <c r="H118" s="65"/>
      <c r="I118" s="65"/>
      <c r="J118" s="65"/>
      <c r="K118" s="65"/>
      <c r="L118" s="65"/>
      <c r="M118" s="65"/>
      <c r="N118" s="65"/>
      <c r="O118" s="65"/>
      <c r="P118" s="65"/>
      <c r="Q118" s="65"/>
      <c r="R118" s="140"/>
    </row>
    <row r="119" spans="3:88" ht="15" x14ac:dyDescent="0.2">
      <c r="C119" s="6"/>
      <c r="D119" s="65"/>
      <c r="E119" s="65"/>
      <c r="F119" s="65"/>
      <c r="G119" s="65"/>
      <c r="H119" s="65"/>
      <c r="I119" s="65"/>
      <c r="J119" s="65"/>
      <c r="K119" s="65"/>
      <c r="L119" s="65"/>
      <c r="M119" s="65"/>
      <c r="N119" s="65"/>
      <c r="O119" s="65"/>
      <c r="P119" s="65"/>
      <c r="Q119" s="65"/>
      <c r="R119" s="140"/>
    </row>
    <row r="120" spans="3:88" ht="15" x14ac:dyDescent="0.2">
      <c r="C120" s="6"/>
      <c r="D120" s="65"/>
      <c r="E120" s="65"/>
      <c r="F120" s="65"/>
      <c r="G120" s="65"/>
      <c r="H120" s="65"/>
      <c r="I120" s="65"/>
      <c r="J120" s="65"/>
      <c r="K120" s="65"/>
      <c r="L120" s="65"/>
      <c r="M120" s="65"/>
      <c r="N120" s="65"/>
      <c r="O120" s="65"/>
      <c r="P120" s="65"/>
      <c r="Q120" s="65"/>
      <c r="R120" s="140"/>
    </row>
    <row r="121" spans="3:88" ht="15" x14ac:dyDescent="0.2">
      <c r="C121" s="6"/>
      <c r="D121" s="65"/>
      <c r="E121" s="65"/>
      <c r="F121" s="65"/>
      <c r="G121" s="65"/>
      <c r="H121" s="65"/>
      <c r="I121" s="65"/>
      <c r="J121" s="65"/>
      <c r="K121" s="65"/>
      <c r="L121" s="65"/>
      <c r="M121" s="65"/>
      <c r="N121" s="65"/>
      <c r="O121" s="65"/>
      <c r="P121" s="65"/>
      <c r="Q121" s="65"/>
      <c r="R121" s="140"/>
    </row>
    <row r="122" spans="3:88" ht="15" x14ac:dyDescent="0.2">
      <c r="C122" s="6"/>
      <c r="D122" s="65"/>
      <c r="E122" s="65"/>
      <c r="F122" s="65"/>
      <c r="G122" s="65"/>
      <c r="H122" s="65"/>
      <c r="I122" s="65"/>
      <c r="J122" s="65"/>
      <c r="K122" s="65"/>
      <c r="L122" s="65"/>
      <c r="M122" s="65"/>
      <c r="N122" s="65"/>
      <c r="O122" s="65"/>
      <c r="P122" s="65"/>
      <c r="Q122" s="65"/>
      <c r="R122" s="140"/>
    </row>
    <row r="123" spans="3:88" ht="15" x14ac:dyDescent="0.2">
      <c r="C123" s="6"/>
      <c r="D123" s="65"/>
      <c r="E123" s="65"/>
      <c r="F123" s="65"/>
      <c r="G123" s="65"/>
      <c r="H123" s="65"/>
      <c r="I123" s="65"/>
      <c r="J123" s="65"/>
      <c r="K123" s="65"/>
      <c r="L123" s="65"/>
      <c r="M123" s="65"/>
      <c r="N123" s="65"/>
      <c r="O123" s="65"/>
      <c r="P123" s="65"/>
      <c r="Q123" s="65"/>
      <c r="R123" s="140"/>
    </row>
    <row r="124" spans="3:88" ht="15" x14ac:dyDescent="0.2">
      <c r="C124" s="6"/>
      <c r="D124" s="65"/>
      <c r="E124" s="65"/>
      <c r="F124" s="65"/>
      <c r="G124" s="65"/>
      <c r="H124" s="65"/>
      <c r="I124" s="65"/>
      <c r="J124" s="65"/>
      <c r="K124" s="65"/>
      <c r="L124" s="65"/>
      <c r="M124" s="65"/>
      <c r="N124" s="65"/>
      <c r="O124" s="65"/>
      <c r="P124" s="65"/>
      <c r="Q124" s="65"/>
      <c r="R124" s="140"/>
    </row>
    <row r="125" spans="3:88" ht="15" x14ac:dyDescent="0.2">
      <c r="C125" s="6"/>
      <c r="D125" s="65"/>
      <c r="E125" s="65"/>
      <c r="F125" s="65"/>
      <c r="G125" s="65"/>
      <c r="H125" s="65"/>
      <c r="I125" s="65"/>
      <c r="J125" s="65"/>
      <c r="K125" s="65"/>
      <c r="L125" s="65"/>
      <c r="M125" s="65"/>
      <c r="N125" s="65"/>
      <c r="O125" s="65"/>
      <c r="P125" s="65"/>
      <c r="Q125" s="65"/>
      <c r="R125" s="140"/>
    </row>
    <row r="126" spans="3:88" ht="15" x14ac:dyDescent="0.2">
      <c r="C126" s="6"/>
      <c r="D126" s="65"/>
      <c r="E126" s="65"/>
      <c r="F126" s="65"/>
      <c r="G126" s="65"/>
      <c r="H126" s="65"/>
      <c r="I126" s="65"/>
      <c r="J126" s="65"/>
      <c r="K126" s="65"/>
      <c r="L126" s="65"/>
      <c r="M126" s="65"/>
      <c r="N126" s="65"/>
      <c r="O126" s="65"/>
      <c r="P126" s="65"/>
      <c r="Q126" s="65"/>
      <c r="R126" s="140"/>
    </row>
    <row r="127" spans="3:88" ht="15" x14ac:dyDescent="0.2">
      <c r="C127" s="6"/>
      <c r="D127" s="65"/>
      <c r="E127" s="65"/>
      <c r="F127" s="65"/>
      <c r="G127" s="65"/>
      <c r="H127" s="65"/>
      <c r="I127" s="65"/>
      <c r="J127" s="65"/>
      <c r="K127" s="65"/>
      <c r="L127" s="65"/>
      <c r="M127" s="65"/>
      <c r="N127" s="65"/>
      <c r="O127" s="65"/>
      <c r="P127" s="65"/>
      <c r="Q127" s="65"/>
      <c r="R127" s="140"/>
    </row>
    <row r="128" spans="3:88" ht="15" x14ac:dyDescent="0.2">
      <c r="C128" s="6"/>
      <c r="D128" s="65"/>
      <c r="E128" s="65"/>
      <c r="F128" s="65"/>
      <c r="G128" s="65"/>
      <c r="H128" s="65"/>
      <c r="I128" s="65"/>
      <c r="J128" s="65"/>
      <c r="K128" s="65"/>
      <c r="L128" s="65"/>
      <c r="M128" s="65"/>
      <c r="N128" s="65"/>
      <c r="O128" s="65"/>
      <c r="P128" s="65"/>
      <c r="Q128" s="65"/>
      <c r="R128" s="140"/>
    </row>
    <row r="129" spans="3:18" ht="15" x14ac:dyDescent="0.2">
      <c r="C129" s="6"/>
      <c r="D129" s="65"/>
      <c r="E129" s="65"/>
      <c r="F129" s="65"/>
      <c r="G129" s="65"/>
      <c r="H129" s="65"/>
      <c r="I129" s="65"/>
      <c r="J129" s="65"/>
      <c r="K129" s="65"/>
      <c r="L129" s="65"/>
      <c r="M129" s="65"/>
      <c r="N129" s="65"/>
      <c r="O129" s="65"/>
      <c r="P129" s="65"/>
      <c r="Q129" s="65"/>
      <c r="R129" s="140"/>
    </row>
    <row r="130" spans="3:18" ht="15" x14ac:dyDescent="0.2">
      <c r="C130" s="6"/>
      <c r="D130" s="65"/>
      <c r="E130" s="65"/>
      <c r="F130" s="65"/>
      <c r="G130" s="65"/>
      <c r="H130" s="65"/>
      <c r="I130" s="65"/>
      <c r="J130" s="65"/>
      <c r="K130" s="65"/>
      <c r="L130" s="65"/>
      <c r="M130" s="65"/>
      <c r="N130" s="65"/>
      <c r="O130" s="65"/>
      <c r="P130" s="65"/>
      <c r="Q130" s="65"/>
      <c r="R130" s="140"/>
    </row>
    <row r="131" spans="3:18" ht="15" x14ac:dyDescent="0.2">
      <c r="C131" s="6"/>
      <c r="D131" s="65"/>
      <c r="E131" s="65"/>
      <c r="F131" s="65"/>
      <c r="G131" s="65"/>
      <c r="H131" s="65"/>
      <c r="I131" s="65"/>
      <c r="J131" s="65"/>
      <c r="K131" s="65"/>
      <c r="L131" s="65"/>
      <c r="M131" s="65"/>
      <c r="N131" s="65"/>
      <c r="O131" s="65"/>
      <c r="P131" s="65"/>
      <c r="Q131" s="65"/>
      <c r="R131" s="140"/>
    </row>
    <row r="132" spans="3:18" x14ac:dyDescent="0.2">
      <c r="P132" s="91"/>
      <c r="Q132" s="91"/>
    </row>
    <row r="133" spans="3:18" x14ac:dyDescent="0.2">
      <c r="P133" s="91"/>
      <c r="Q133" s="91"/>
    </row>
    <row r="134" spans="3:18" x14ac:dyDescent="0.2">
      <c r="P134" s="91"/>
      <c r="Q134" s="91"/>
    </row>
    <row r="135" spans="3:18" x14ac:dyDescent="0.2">
      <c r="P135" s="91"/>
      <c r="Q135" s="91"/>
    </row>
    <row r="136" spans="3:18" x14ac:dyDescent="0.2">
      <c r="P136" s="91"/>
      <c r="Q136" s="91"/>
    </row>
    <row r="137" spans="3:18" x14ac:dyDescent="0.2">
      <c r="P137" s="91"/>
      <c r="Q137" s="91"/>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58"/>
  <sheetViews>
    <sheetView workbookViewId="0">
      <selection activeCell="G5" sqref="G5"/>
    </sheetView>
  </sheetViews>
  <sheetFormatPr defaultRowHeight="12.75" x14ac:dyDescent="0.2"/>
  <cols>
    <col min="1" max="1" width="207.28515625" style="275" customWidth="1"/>
    <col min="2" max="2" width="29" style="275" customWidth="1"/>
    <col min="4" max="4" width="12.7109375" customWidth="1"/>
    <col min="5" max="5" width="10.85546875" customWidth="1"/>
    <col min="6" max="26" width="10.5703125" bestFit="1" customWidth="1"/>
    <col min="27" max="30" width="10.7109375" bestFit="1" customWidth="1"/>
    <col min="31" max="33" width="11.7109375" bestFit="1" customWidth="1"/>
    <col min="34" max="36" width="12.7109375" bestFit="1" customWidth="1"/>
    <col min="37" max="38" width="13.85546875" bestFit="1" customWidth="1"/>
    <col min="39" max="39" width="10.5703125" bestFit="1" customWidth="1"/>
  </cols>
  <sheetData>
    <row r="1" spans="1:54" x14ac:dyDescent="0.2">
      <c r="A1" s="284"/>
      <c r="B1" s="284"/>
      <c r="H1" s="14"/>
    </row>
    <row r="2" spans="1:54" x14ac:dyDescent="0.2">
      <c r="A2" s="284"/>
      <c r="B2" s="284"/>
      <c r="C2" s="167" t="str">
        <f>CONCATENATE("Conversion to Year ",E4," dollars and back for consistency with multiplier data.")</f>
        <v>Conversion to Year 2014 dollars and back for consistency with multiplier data.</v>
      </c>
      <c r="G2" s="14"/>
    </row>
    <row r="3" spans="1:54" x14ac:dyDescent="0.2">
      <c r="A3" s="284"/>
      <c r="B3" s="284"/>
      <c r="C3" s="167"/>
      <c r="G3" s="14"/>
    </row>
    <row r="4" spans="1:54" x14ac:dyDescent="0.2">
      <c r="A4" s="284"/>
      <c r="B4" s="284"/>
      <c r="C4" s="24" t="s">
        <v>247</v>
      </c>
      <c r="E4">
        <f>IF(ProjectData!B13="MYCOUNTY",'User Add-in Location'!D3,IF(ProjectData!B13="MYREGION",'User Add-in Location'!D4,Multipliers!D2))</f>
        <v>2014</v>
      </c>
      <c r="F4" s="173" t="str">
        <f>IF(E4=0,"ERROR","")</f>
        <v/>
      </c>
      <c r="G4" s="14" t="s">
        <v>248</v>
      </c>
      <c r="I4" s="1" t="str">
        <f>ProjectData!B13</f>
        <v>WYOMING</v>
      </c>
    </row>
    <row r="5" spans="1:54" ht="23.25" x14ac:dyDescent="0.35">
      <c r="A5" s="285" t="s">
        <v>406</v>
      </c>
      <c r="B5" s="285"/>
      <c r="C5" s="24" t="s">
        <v>249</v>
      </c>
      <c r="E5">
        <f>+ProjectData!B24</f>
        <v>2010</v>
      </c>
    </row>
    <row r="6" spans="1:54" x14ac:dyDescent="0.2">
      <c r="A6" s="284"/>
      <c r="B6" s="284"/>
      <c r="F6" s="172"/>
    </row>
    <row r="7" spans="1:54" ht="15.75" x14ac:dyDescent="0.25">
      <c r="A7" s="286" t="s">
        <v>407</v>
      </c>
      <c r="B7" s="286"/>
      <c r="C7" s="275"/>
      <c r="D7" s="275" t="s">
        <v>109</v>
      </c>
      <c r="E7" s="329"/>
      <c r="F7" s="329">
        <f>HLOOKUP($E$5,$D$11:$AM$39,$D$51)</f>
        <v>1.0748413957176846</v>
      </c>
      <c r="G7" s="275"/>
      <c r="H7" s="275"/>
      <c r="I7" s="275"/>
      <c r="J7" s="275"/>
      <c r="K7" s="275"/>
      <c r="L7" s="275"/>
      <c r="M7" s="275"/>
      <c r="N7" s="275"/>
      <c r="O7" s="275"/>
      <c r="P7" s="275"/>
      <c r="Q7" s="275"/>
      <c r="R7" s="275"/>
      <c r="S7" s="275"/>
      <c r="T7" s="275"/>
      <c r="U7" s="275"/>
      <c r="V7" s="275"/>
      <c r="W7" s="275"/>
      <c r="X7" s="275"/>
      <c r="Y7" s="275"/>
      <c r="Z7" s="275"/>
      <c r="AA7" s="275"/>
      <c r="AB7" s="275"/>
      <c r="AC7" s="275"/>
      <c r="AD7" s="275"/>
      <c r="AE7" s="275"/>
      <c r="AF7" s="275"/>
      <c r="AG7" s="275"/>
      <c r="AH7" s="275"/>
      <c r="AI7" s="275"/>
      <c r="AJ7" s="275"/>
      <c r="AK7" s="275"/>
      <c r="AL7" s="275"/>
      <c r="AM7" s="275"/>
      <c r="AN7" s="275"/>
      <c r="AO7" s="275"/>
      <c r="AP7" s="275"/>
      <c r="AQ7" s="275"/>
      <c r="AR7" s="275"/>
      <c r="AS7" s="275"/>
      <c r="AT7" s="275"/>
      <c r="AU7" s="275"/>
      <c r="AV7" s="275"/>
      <c r="AW7" s="275"/>
      <c r="AX7" s="275"/>
      <c r="AY7" s="275"/>
      <c r="AZ7" s="275"/>
      <c r="BA7" s="275"/>
      <c r="BB7" s="275"/>
    </row>
    <row r="8" spans="1:54" ht="15" x14ac:dyDescent="0.2">
      <c r="A8" s="287"/>
      <c r="B8" s="287"/>
      <c r="C8" s="275"/>
      <c r="D8" s="275" t="s">
        <v>226</v>
      </c>
      <c r="E8" s="329"/>
      <c r="F8" s="329">
        <f>HLOOKUP($E$5,$D$11:$AM$39,$D$52)</f>
        <v>0.93036982384948808</v>
      </c>
      <c r="G8" s="275"/>
      <c r="H8" s="275"/>
      <c r="I8" s="275"/>
      <c r="J8" s="275"/>
      <c r="K8" s="275"/>
      <c r="L8" s="275"/>
      <c r="M8" s="275"/>
      <c r="N8" s="275"/>
      <c r="O8" s="275"/>
      <c r="P8" s="275"/>
      <c r="Q8" s="275"/>
      <c r="R8" s="275"/>
      <c r="S8" s="275"/>
      <c r="T8" s="275"/>
      <c r="U8" s="275"/>
      <c r="V8" s="275"/>
      <c r="W8" s="275"/>
      <c r="X8" s="275"/>
      <c r="Y8" s="275"/>
      <c r="Z8" s="275"/>
      <c r="AA8" s="275"/>
      <c r="AB8" s="275"/>
      <c r="AC8" s="275"/>
      <c r="AD8" s="275"/>
      <c r="AE8" s="275"/>
      <c r="AF8" s="275"/>
      <c r="AG8" s="275"/>
      <c r="AH8" s="275"/>
      <c r="AI8" s="275"/>
      <c r="AJ8" s="275"/>
      <c r="AK8" s="275"/>
      <c r="AL8" s="275"/>
      <c r="AM8" s="275"/>
      <c r="AN8" s="275"/>
      <c r="AO8" s="275"/>
      <c r="AP8" s="275"/>
      <c r="AQ8" s="275"/>
      <c r="AR8" s="275"/>
      <c r="AS8" s="275"/>
      <c r="AT8" s="275"/>
      <c r="AU8" s="275"/>
      <c r="AV8" s="275"/>
      <c r="AW8" s="275"/>
      <c r="AX8" s="275"/>
      <c r="AY8" s="275"/>
      <c r="AZ8" s="275"/>
      <c r="BA8" s="275"/>
      <c r="BB8" s="275"/>
    </row>
    <row r="9" spans="1:54" ht="15.75" x14ac:dyDescent="0.25">
      <c r="A9" s="286" t="s">
        <v>408</v>
      </c>
      <c r="B9" s="286"/>
      <c r="C9" s="275"/>
      <c r="D9" s="288"/>
      <c r="E9" s="288"/>
      <c r="F9" s="288"/>
      <c r="G9" s="275"/>
      <c r="H9" s="275"/>
      <c r="I9" s="275"/>
      <c r="J9" s="275"/>
      <c r="K9" s="275"/>
      <c r="L9" s="275"/>
      <c r="M9" s="275"/>
      <c r="N9" s="275"/>
      <c r="O9" s="275"/>
      <c r="P9" s="275"/>
      <c r="Q9" s="288"/>
      <c r="R9" s="288"/>
      <c r="S9" s="288"/>
      <c r="T9" s="288"/>
      <c r="U9" s="288"/>
      <c r="V9" s="288"/>
      <c r="W9" s="288"/>
      <c r="X9" s="288"/>
      <c r="Y9" s="288"/>
      <c r="Z9" s="288"/>
      <c r="AA9" s="288"/>
      <c r="AB9" s="288"/>
      <c r="AC9" s="288"/>
      <c r="AD9" s="288"/>
      <c r="AE9" s="288"/>
      <c r="AF9" s="288"/>
      <c r="AG9" s="288"/>
      <c r="AH9" s="288"/>
      <c r="AI9" s="288"/>
      <c r="AJ9" s="288"/>
      <c r="AK9" s="288"/>
      <c r="AL9" s="288"/>
      <c r="AM9" s="275"/>
      <c r="AN9" s="275"/>
      <c r="AO9" s="275"/>
      <c r="AP9" s="275"/>
      <c r="AQ9" s="275"/>
      <c r="AR9" s="275"/>
      <c r="AS9" s="275"/>
      <c r="AT9" s="275"/>
      <c r="AU9" s="275"/>
      <c r="AV9" s="275"/>
      <c r="AW9" s="275"/>
      <c r="AX9" s="275"/>
      <c r="AY9" s="275"/>
      <c r="AZ9" s="275"/>
      <c r="BA9" s="275"/>
      <c r="BB9" s="275"/>
    </row>
    <row r="10" spans="1:54" ht="15.75" x14ac:dyDescent="0.25">
      <c r="A10" s="286"/>
      <c r="B10" s="286"/>
      <c r="C10" s="275"/>
      <c r="D10" s="330"/>
      <c r="E10" s="330"/>
      <c r="F10" s="330"/>
      <c r="G10" s="330"/>
      <c r="H10" s="330"/>
      <c r="I10" s="330"/>
      <c r="J10" s="330"/>
      <c r="K10" s="330"/>
      <c r="L10" s="330"/>
      <c r="M10" s="275"/>
      <c r="N10" s="275"/>
      <c r="O10" s="275"/>
      <c r="P10" s="275"/>
      <c r="Q10" s="275"/>
      <c r="R10" s="275"/>
      <c r="S10" s="275"/>
      <c r="T10" s="275"/>
      <c r="U10" s="275"/>
      <c r="V10" s="288"/>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row>
    <row r="11" spans="1:54" s="333" customFormat="1" ht="15.75" x14ac:dyDescent="0.25">
      <c r="A11" s="332" t="s">
        <v>409</v>
      </c>
      <c r="B11" s="332"/>
      <c r="D11" s="420">
        <v>2005</v>
      </c>
      <c r="E11" s="420">
        <v>2006</v>
      </c>
      <c r="F11" s="420">
        <v>2007</v>
      </c>
      <c r="G11" s="420">
        <v>2008</v>
      </c>
      <c r="H11" s="420">
        <v>2009</v>
      </c>
      <c r="I11" s="420">
        <v>2010</v>
      </c>
      <c r="J11" s="420">
        <v>2011</v>
      </c>
      <c r="K11" s="420">
        <v>2012</v>
      </c>
      <c r="L11" s="420">
        <v>2013</v>
      </c>
      <c r="M11" s="420">
        <v>2014</v>
      </c>
      <c r="N11" s="420">
        <v>2015</v>
      </c>
      <c r="O11" s="420">
        <v>2016</v>
      </c>
      <c r="P11" s="420">
        <v>2017</v>
      </c>
      <c r="Q11" s="420">
        <v>2018</v>
      </c>
      <c r="R11" s="420">
        <v>2019</v>
      </c>
      <c r="S11" s="420">
        <v>2020</v>
      </c>
      <c r="T11" s="420">
        <v>2021</v>
      </c>
      <c r="U11" s="420">
        <v>2022</v>
      </c>
      <c r="V11" s="420">
        <v>2023</v>
      </c>
      <c r="W11" s="420">
        <v>2024</v>
      </c>
      <c r="X11" s="420">
        <v>2025</v>
      </c>
      <c r="Y11" s="420">
        <v>2026</v>
      </c>
      <c r="Z11" s="420">
        <v>2027</v>
      </c>
      <c r="AA11" s="420">
        <v>2028</v>
      </c>
      <c r="AB11" s="420">
        <v>2029</v>
      </c>
      <c r="AC11" s="420">
        <v>2030</v>
      </c>
      <c r="AD11" s="420">
        <v>2031</v>
      </c>
      <c r="AE11" s="420">
        <v>2032</v>
      </c>
      <c r="AF11" s="420">
        <v>2033</v>
      </c>
      <c r="AG11" s="420">
        <v>2034</v>
      </c>
      <c r="AH11" s="420">
        <v>2035</v>
      </c>
      <c r="AI11" s="420">
        <v>2036</v>
      </c>
      <c r="AJ11" s="420">
        <v>2037</v>
      </c>
      <c r="AK11" s="420">
        <v>2038</v>
      </c>
      <c r="AL11" s="420">
        <v>2039</v>
      </c>
      <c r="AM11" s="420">
        <v>2040</v>
      </c>
    </row>
    <row r="12" spans="1:54" s="275" customFormat="1" x14ac:dyDescent="0.2">
      <c r="A12" s="284"/>
      <c r="B12" s="284"/>
      <c r="C12" s="370" t="s">
        <v>395</v>
      </c>
      <c r="D12" s="65">
        <v>0.94289549772821146</v>
      </c>
      <c r="E12" s="65">
        <v>0.97356464270962406</v>
      </c>
      <c r="F12" s="65">
        <v>1</v>
      </c>
      <c r="G12" s="65">
        <v>1.0207558859975217</v>
      </c>
      <c r="H12" s="65">
        <v>1.0326311441553078</v>
      </c>
      <c r="I12" s="65">
        <v>1.0417182982238744</v>
      </c>
      <c r="J12" s="65">
        <v>1.0628872366790583</v>
      </c>
      <c r="K12" s="65">
        <v>1.082300702189178</v>
      </c>
      <c r="L12" s="65">
        <v>1.1008880627839737</v>
      </c>
      <c r="M12" s="65">
        <v>1.1196819496076003</v>
      </c>
      <c r="N12" s="65">
        <v>1.1348616274266832</v>
      </c>
      <c r="O12" s="65">
        <v>1.1528294093349856</v>
      </c>
      <c r="P12" s="65">
        <v>1.1734820322180917</v>
      </c>
      <c r="Q12" s="65">
        <v>1.1961999173895086</v>
      </c>
      <c r="R12" s="65">
        <v>1.2201569599339115</v>
      </c>
      <c r="S12" s="65">
        <v>1.2446303180503924</v>
      </c>
      <c r="T12" s="65">
        <v>1.2666461495080106</v>
      </c>
      <c r="U12" s="65">
        <v>1.2890514113271916</v>
      </c>
      <c r="V12" s="65">
        <v>1.3118529920057327</v>
      </c>
      <c r="W12" s="65">
        <v>1.3350579018896658</v>
      </c>
      <c r="X12" s="65">
        <v>1.3586732753285877</v>
      </c>
      <c r="Y12" s="65">
        <v>1.3827063728691165</v>
      </c>
      <c r="Z12" s="65">
        <v>1.4071645834871456</v>
      </c>
      <c r="AA12" s="65">
        <v>1.4320554268595855</v>
      </c>
      <c r="AB12" s="65">
        <v>1.4573865556762882</v>
      </c>
      <c r="AC12" s="65">
        <v>1.4831657579928661</v>
      </c>
      <c r="AD12" s="65">
        <v>1.5094009596251305</v>
      </c>
      <c r="AE12" s="65">
        <v>1.5361002265858834</v>
      </c>
      <c r="AF12" s="65">
        <v>1.5632717675648127</v>
      </c>
      <c r="AG12" s="65">
        <v>1.5909239364522545</v>
      </c>
      <c r="AH12" s="65">
        <v>1.6190652349075965</v>
      </c>
      <c r="AI12" s="65">
        <v>1.6477043149731132</v>
      </c>
      <c r="AJ12" s="65">
        <v>1.6768499817340363</v>
      </c>
      <c r="AK12" s="65">
        <v>1.706511196025678</v>
      </c>
      <c r="AL12" s="65">
        <v>1.73669707718844</v>
      </c>
      <c r="AM12" s="65">
        <v>1.767416905871555</v>
      </c>
      <c r="AN12" s="372"/>
    </row>
    <row r="13" spans="1:54" s="275" customFormat="1" x14ac:dyDescent="0.2">
      <c r="A13" s="284"/>
      <c r="B13" s="284"/>
      <c r="C13" s="370"/>
      <c r="D13" s="65">
        <v>1.0605629175336766</v>
      </c>
      <c r="E13" s="65">
        <v>1.0271531607976241</v>
      </c>
      <c r="F13" s="65">
        <v>1</v>
      </c>
      <c r="G13" s="65">
        <v>0.97966616084977243</v>
      </c>
      <c r="H13" s="65">
        <v>0.96839999999999993</v>
      </c>
      <c r="I13" s="65">
        <v>0.95995241871530534</v>
      </c>
      <c r="J13" s="65">
        <v>0.94083357621684638</v>
      </c>
      <c r="K13" s="65">
        <v>0.92395763762999716</v>
      </c>
      <c r="L13" s="65">
        <v>0.90835756495638298</v>
      </c>
      <c r="M13" s="65">
        <v>0.89311076270404866</v>
      </c>
      <c r="N13" s="65">
        <v>0.88116469517743401</v>
      </c>
      <c r="O13" s="65">
        <v>0.86743102830526686</v>
      </c>
      <c r="P13" s="65">
        <v>0.85216473072861676</v>
      </c>
      <c r="Q13" s="65">
        <v>0.83598066298342533</v>
      </c>
      <c r="R13" s="65">
        <v>0.81956668923493581</v>
      </c>
      <c r="S13" s="65">
        <v>0.80345142288227001</v>
      </c>
      <c r="T13" s="65">
        <v>0.78948647212042522</v>
      </c>
      <c r="U13" s="65">
        <v>0.77576424897623919</v>
      </c>
      <c r="V13" s="65">
        <v>0.76228053455217493</v>
      </c>
      <c r="W13" s="65">
        <v>0.74903118328020191</v>
      </c>
      <c r="X13" s="65">
        <v>0.73601212164724106</v>
      </c>
      <c r="Y13" s="65">
        <v>0.7232193469427638</v>
      </c>
      <c r="Z13" s="65">
        <v>0.71064892602815777</v>
      </c>
      <c r="AA13" s="65">
        <v>0.69829699412748425</v>
      </c>
      <c r="AB13" s="65">
        <v>0.68615975363925208</v>
      </c>
      <c r="AC13" s="65">
        <v>0.67423347296884528</v>
      </c>
      <c r="AD13" s="65">
        <v>0.66251448538124447</v>
      </c>
      <c r="AE13" s="65">
        <v>0.65099918787368916</v>
      </c>
      <c r="AF13" s="65">
        <v>0.63968404006793422</v>
      </c>
      <c r="AG13" s="65">
        <v>0.62856556312176093</v>
      </c>
      <c r="AH13" s="65">
        <v>0.61764033865940682</v>
      </c>
      <c r="AI13" s="65">
        <v>0.60690500772058587</v>
      </c>
      <c r="AJ13" s="65">
        <v>0.59635626972777644</v>
      </c>
      <c r="AK13" s="65">
        <v>0.5859908814714585</v>
      </c>
      <c r="AL13" s="65">
        <v>0.57580565611298895</v>
      </c>
      <c r="AM13" s="65">
        <v>0.56579746220480809</v>
      </c>
      <c r="AN13" s="372"/>
    </row>
    <row r="14" spans="1:54" s="276" customFormat="1" x14ac:dyDescent="0.2">
      <c r="A14" s="284"/>
      <c r="B14" s="284"/>
      <c r="C14" s="370" t="s">
        <v>396</v>
      </c>
      <c r="D14" s="65">
        <v>0.92372281234193221</v>
      </c>
      <c r="E14" s="65">
        <v>0.95376833586241772</v>
      </c>
      <c r="F14" s="65">
        <v>0.97966616084977243</v>
      </c>
      <c r="G14" s="65">
        <v>1</v>
      </c>
      <c r="H14" s="65">
        <v>1.0116337885685383</v>
      </c>
      <c r="I14" s="65">
        <v>1.0205361659079413</v>
      </c>
      <c r="J14" s="65">
        <v>1.0412746585735964</v>
      </c>
      <c r="K14" s="65">
        <v>1.0602933737986848</v>
      </c>
      <c r="L14" s="65">
        <v>1.0785027819929185</v>
      </c>
      <c r="M14" s="65">
        <v>1.096914516944866</v>
      </c>
      <c r="N14" s="65">
        <v>1.1117855336368234</v>
      </c>
      <c r="O14" s="65">
        <v>1.1293879615579161</v>
      </c>
      <c r="P14" s="65">
        <v>1.1496206373292868</v>
      </c>
      <c r="Q14" s="65">
        <v>1.1718765806777947</v>
      </c>
      <c r="R14" s="65">
        <v>1.1953464845725847</v>
      </c>
      <c r="S14" s="65">
        <v>1.219322205361659</v>
      </c>
      <c r="T14" s="65">
        <v>1.2408903704436596</v>
      </c>
      <c r="U14" s="65">
        <v>1.2628400472728905</v>
      </c>
      <c r="V14" s="65">
        <v>1.2851779842775433</v>
      </c>
      <c r="W14" s="65">
        <v>1.307911049256401</v>
      </c>
      <c r="X14" s="65">
        <v>1.3310462314903435</v>
      </c>
      <c r="Y14" s="65">
        <v>1.3545906438912014</v>
      </c>
      <c r="Z14" s="65">
        <v>1.3785515251886211</v>
      </c>
      <c r="AA14" s="65">
        <v>1.4029362421556124</v>
      </c>
      <c r="AB14" s="65">
        <v>1.4277522918734626</v>
      </c>
      <c r="AC14" s="65">
        <v>1.4530073040367142</v>
      </c>
      <c r="AD14" s="65">
        <v>1.4787090432989145</v>
      </c>
      <c r="AE14" s="65">
        <v>1.5048654116598583</v>
      </c>
      <c r="AF14" s="65">
        <v>1.5314844508950582</v>
      </c>
      <c r="AG14" s="65">
        <v>1.5585743450281879</v>
      </c>
      <c r="AH14" s="65">
        <v>1.5861434228472604</v>
      </c>
      <c r="AI14" s="65">
        <v>1.6142001604653144</v>
      </c>
      <c r="AJ14" s="65">
        <v>1.6427531839263947</v>
      </c>
      <c r="AK14" s="65">
        <v>1.6718112718576297</v>
      </c>
      <c r="AL14" s="65">
        <v>1.7013833581682203</v>
      </c>
      <c r="AM14" s="65">
        <v>1.7314785347961703</v>
      </c>
      <c r="AN14" s="373"/>
      <c r="AO14" s="275"/>
      <c r="AP14" s="275"/>
      <c r="AQ14" s="275"/>
      <c r="AR14" s="275"/>
      <c r="AS14" s="275"/>
      <c r="AT14" s="275"/>
      <c r="AU14" s="275"/>
      <c r="AV14" s="275"/>
      <c r="AW14" s="275"/>
      <c r="AX14" s="275"/>
      <c r="AY14" s="275"/>
      <c r="AZ14" s="275"/>
      <c r="BA14" s="275"/>
      <c r="BB14" s="275"/>
    </row>
    <row r="15" spans="1:54" s="275" customFormat="1" x14ac:dyDescent="0.2">
      <c r="A15" s="284"/>
      <c r="B15" s="284"/>
      <c r="C15" s="370"/>
      <c r="D15" s="65">
        <v>1.0825758405432044</v>
      </c>
      <c r="E15" s="65">
        <v>1.0484726347051336</v>
      </c>
      <c r="F15" s="65">
        <v>1.0207558859975217</v>
      </c>
      <c r="G15" s="65">
        <v>1</v>
      </c>
      <c r="H15" s="65">
        <v>0.98849999999999993</v>
      </c>
      <c r="I15" s="65">
        <v>0.97987708168120546</v>
      </c>
      <c r="J15" s="65">
        <v>0.96036141066744385</v>
      </c>
      <c r="K15" s="65">
        <v>0.94313519702318482</v>
      </c>
      <c r="L15" s="65">
        <v>0.92721133101960418</v>
      </c>
      <c r="M15" s="65">
        <v>0.91164806787789354</v>
      </c>
      <c r="N15" s="65">
        <v>0.8994540491355778</v>
      </c>
      <c r="O15" s="65">
        <v>0.88543532783948398</v>
      </c>
      <c r="P15" s="65">
        <v>0.86985216473072868</v>
      </c>
      <c r="Q15" s="65">
        <v>0.85333218232044195</v>
      </c>
      <c r="R15" s="65">
        <v>0.83657752200406232</v>
      </c>
      <c r="S15" s="65">
        <v>0.82012776902016093</v>
      </c>
      <c r="T15" s="65">
        <v>0.80587296333234237</v>
      </c>
      <c r="U15" s="65">
        <v>0.79186592328894312</v>
      </c>
      <c r="V15" s="65">
        <v>0.77810234242546983</v>
      </c>
      <c r="W15" s="65">
        <v>0.76457798912895447</v>
      </c>
      <c r="X15" s="65">
        <v>0.75128870533694514</v>
      </c>
      <c r="Y15" s="65">
        <v>0.73823040525910977</v>
      </c>
      <c r="Z15" s="65">
        <v>0.72539907412105931</v>
      </c>
      <c r="AA15" s="65">
        <v>0.71279076693000631</v>
      </c>
      <c r="AB15" s="65">
        <v>0.70040160726187572</v>
      </c>
      <c r="AC15" s="65">
        <v>0.68822778606949953</v>
      </c>
      <c r="AD15" s="65">
        <v>0.67626556051152409</v>
      </c>
      <c r="AE15" s="65">
        <v>0.66451125280167445</v>
      </c>
      <c r="AF15" s="65">
        <v>0.65296124907801811</v>
      </c>
      <c r="AG15" s="65">
        <v>0.64161199829188409</v>
      </c>
      <c r="AH15" s="65">
        <v>0.63046001111609196</v>
      </c>
      <c r="AI15" s="65">
        <v>0.61950185887215925</v>
      </c>
      <c r="AJ15" s="65">
        <v>0.60873417247615336</v>
      </c>
      <c r="AK15" s="65">
        <v>0.5981536414028672</v>
      </c>
      <c r="AL15" s="65">
        <v>0.58775701266799818</v>
      </c>
      <c r="AM15" s="65">
        <v>0.57754108982801799</v>
      </c>
      <c r="AN15" s="372"/>
    </row>
    <row r="16" spans="1:54" s="275" customFormat="1" x14ac:dyDescent="0.2">
      <c r="A16" s="284"/>
      <c r="B16" s="284"/>
      <c r="C16" s="370" t="s">
        <v>435</v>
      </c>
      <c r="D16" s="65">
        <v>0.91310000000000002</v>
      </c>
      <c r="E16" s="65">
        <v>0.94279999999999997</v>
      </c>
      <c r="F16" s="65">
        <v>0.96840000000000004</v>
      </c>
      <c r="G16" s="65">
        <v>0.98850000000000005</v>
      </c>
      <c r="H16" s="65">
        <v>1</v>
      </c>
      <c r="I16" s="65">
        <v>1.0087999999999999</v>
      </c>
      <c r="J16" s="65">
        <v>1.0293000000000001</v>
      </c>
      <c r="K16" s="65">
        <v>1.0481</v>
      </c>
      <c r="L16" s="65">
        <v>1.0661</v>
      </c>
      <c r="M16" s="65">
        <v>1.0843</v>
      </c>
      <c r="N16" s="65">
        <v>1.099</v>
      </c>
      <c r="O16" s="65">
        <v>1.1164000000000001</v>
      </c>
      <c r="P16" s="65">
        <v>1.1364000000000001</v>
      </c>
      <c r="Q16" s="65">
        <v>1.1584000000000001</v>
      </c>
      <c r="R16" s="65">
        <v>1.1816</v>
      </c>
      <c r="S16" s="65">
        <v>1.2053</v>
      </c>
      <c r="T16" s="65">
        <v>1.2266201311835576</v>
      </c>
      <c r="U16" s="65">
        <v>1.2483173867292525</v>
      </c>
      <c r="V16" s="65">
        <v>1.2703984374583517</v>
      </c>
      <c r="W16" s="65">
        <v>1.2928700721899526</v>
      </c>
      <c r="X16" s="65">
        <v>1.3157391998282046</v>
      </c>
      <c r="Y16" s="65">
        <v>1.3390128514864525</v>
      </c>
      <c r="Z16" s="65">
        <v>1.3626981826489519</v>
      </c>
      <c r="AA16" s="65">
        <v>1.3868024753708228</v>
      </c>
      <c r="AB16" s="65">
        <v>1.4113331405169178</v>
      </c>
      <c r="AC16" s="65">
        <v>1.436297720040292</v>
      </c>
      <c r="AD16" s="65">
        <v>1.4617038893009771</v>
      </c>
      <c r="AE16" s="65">
        <v>1.4875594594257702</v>
      </c>
      <c r="AF16" s="65">
        <v>1.5138723797097653</v>
      </c>
      <c r="AG16" s="65">
        <v>1.540650740060364</v>
      </c>
      <c r="AH16" s="65">
        <v>1.5679027734845172</v>
      </c>
      <c r="AI16" s="65">
        <v>1.5956368586199636</v>
      </c>
      <c r="AJ16" s="65">
        <v>1.6238615223112416</v>
      </c>
      <c r="AK16" s="65">
        <v>1.6525854422312674</v>
      </c>
      <c r="AL16" s="65">
        <v>1.6818174495492861</v>
      </c>
      <c r="AM16" s="65">
        <v>1.7115665316460147</v>
      </c>
      <c r="AN16" s="372"/>
    </row>
    <row r="17" spans="1:54" s="276" customFormat="1" x14ac:dyDescent="0.2">
      <c r="A17" s="284"/>
      <c r="B17" s="284"/>
      <c r="C17" s="370"/>
      <c r="D17" s="65">
        <v>1.0951702989814915</v>
      </c>
      <c r="E17" s="65">
        <v>1.0606703436571914</v>
      </c>
      <c r="F17" s="65">
        <v>1.0326311441553078</v>
      </c>
      <c r="G17" s="65">
        <v>1.0116337885685383</v>
      </c>
      <c r="H17" s="65">
        <v>1</v>
      </c>
      <c r="I17" s="65">
        <v>0.99127676447264079</v>
      </c>
      <c r="J17" s="65">
        <v>0.97153405226853196</v>
      </c>
      <c r="K17" s="65">
        <v>0.95410743249689911</v>
      </c>
      <c r="L17" s="65">
        <v>0.93799831160303904</v>
      </c>
      <c r="M17" s="65">
        <v>0.92225398874850129</v>
      </c>
      <c r="N17" s="65">
        <v>0.90991810737033674</v>
      </c>
      <c r="O17" s="65">
        <v>0.8957362952346829</v>
      </c>
      <c r="P17" s="65">
        <v>0.87997184090109115</v>
      </c>
      <c r="Q17" s="65">
        <v>0.86325966850828717</v>
      </c>
      <c r="R17" s="65">
        <v>0.84631008801624918</v>
      </c>
      <c r="S17" s="65">
        <v>0.82966896208412844</v>
      </c>
      <c r="T17" s="65">
        <v>0.81524831900085204</v>
      </c>
      <c r="U17" s="65">
        <v>0.8010783240151168</v>
      </c>
      <c r="V17" s="65">
        <v>0.78715462056193186</v>
      </c>
      <c r="W17" s="65">
        <v>0.77347292779863863</v>
      </c>
      <c r="X17" s="65">
        <v>0.76002903928876597</v>
      </c>
      <c r="Y17" s="65">
        <v>0.74681882170876046</v>
      </c>
      <c r="Z17" s="65">
        <v>0.73383821357719714</v>
      </c>
      <c r="AA17" s="65">
        <v>0.72108322400607616</v>
      </c>
      <c r="AB17" s="65">
        <v>0.70854993147382472</v>
      </c>
      <c r="AC17" s="65">
        <v>0.69623448261962517</v>
      </c>
      <c r="AD17" s="65">
        <v>0.68413309105869913</v>
      </c>
      <c r="AE17" s="65">
        <v>0.67224203621818346</v>
      </c>
      <c r="AF17" s="65">
        <v>0.6605576621932403</v>
      </c>
      <c r="AG17" s="65">
        <v>0.64907637662304907</v>
      </c>
      <c r="AH17" s="65">
        <v>0.63779464958633469</v>
      </c>
      <c r="AI17" s="65">
        <v>0.62670901251609423</v>
      </c>
      <c r="AJ17" s="65">
        <v>0.61581605713318477</v>
      </c>
      <c r="AK17" s="65">
        <v>0.60511243439844919</v>
      </c>
      <c r="AL17" s="65">
        <v>0.59459485348305319</v>
      </c>
      <c r="AM17" s="65">
        <v>0.5842600807567202</v>
      </c>
      <c r="AN17" s="373"/>
      <c r="AO17" s="275"/>
      <c r="AP17" s="275"/>
      <c r="AQ17" s="275"/>
      <c r="AR17" s="275"/>
      <c r="AS17" s="275"/>
      <c r="AT17" s="275"/>
      <c r="AU17" s="275"/>
      <c r="AV17" s="275"/>
      <c r="AW17" s="275"/>
      <c r="AX17" s="275"/>
      <c r="AY17" s="275"/>
      <c r="AZ17" s="275"/>
      <c r="BA17" s="275"/>
      <c r="BB17" s="275"/>
    </row>
    <row r="18" spans="1:54" s="275" customFormat="1" ht="15.75" x14ac:dyDescent="0.25">
      <c r="A18" s="286" t="s">
        <v>410</v>
      </c>
      <c r="B18" s="286"/>
      <c r="C18" s="370" t="s">
        <v>436</v>
      </c>
      <c r="D18" s="65">
        <v>0.90513481363996839</v>
      </c>
      <c r="E18" s="65">
        <v>0.93457573354480572</v>
      </c>
      <c r="F18" s="65">
        <v>0.95995241871530546</v>
      </c>
      <c r="G18" s="65">
        <v>0.97987708168120546</v>
      </c>
      <c r="H18" s="65">
        <v>0.99127676447264079</v>
      </c>
      <c r="I18" s="65">
        <v>1</v>
      </c>
      <c r="J18" s="65">
        <v>1.0203211736716893</v>
      </c>
      <c r="K18" s="65">
        <v>1.0389571768437749</v>
      </c>
      <c r="L18" s="65">
        <v>1.0568001586042826</v>
      </c>
      <c r="M18" s="65">
        <v>1.0748413957176846</v>
      </c>
      <c r="N18" s="65">
        <v>1.0894131641554323</v>
      </c>
      <c r="O18" s="65">
        <v>1.1066613798572562</v>
      </c>
      <c r="P18" s="65">
        <v>1.1264869151467092</v>
      </c>
      <c r="Q18" s="65">
        <v>1.1482950039651072</v>
      </c>
      <c r="R18" s="65">
        <v>1.1712926249008724</v>
      </c>
      <c r="S18" s="65">
        <v>1.1947858842188741</v>
      </c>
      <c r="T18" s="65">
        <v>1.2159200348766432</v>
      </c>
      <c r="U18" s="65">
        <v>1.2374280201519157</v>
      </c>
      <c r="V18" s="65">
        <v>1.2593164526748135</v>
      </c>
      <c r="W18" s="65">
        <v>1.2815920620439658</v>
      </c>
      <c r="X18" s="65">
        <v>1.3042616968955243</v>
      </c>
      <c r="Y18" s="65">
        <v>1.3273323270087756</v>
      </c>
      <c r="Z18" s="65">
        <v>1.350811045449001</v>
      </c>
      <c r="AA18" s="65">
        <v>1.3747050707482387</v>
      </c>
      <c r="AB18" s="65">
        <v>1.3990217491246215</v>
      </c>
      <c r="AC18" s="65">
        <v>1.4237685567409719</v>
      </c>
      <c r="AD18" s="65">
        <v>1.4489531020033479</v>
      </c>
      <c r="AE18" s="65">
        <v>1.4745831279002481</v>
      </c>
      <c r="AF18" s="65">
        <v>1.5006665143831934</v>
      </c>
      <c r="AG18" s="65">
        <v>1.5272112807894174</v>
      </c>
      <c r="AH18" s="65">
        <v>1.5542255883074123</v>
      </c>
      <c r="AI18" s="65">
        <v>1.5817177424860864</v>
      </c>
      <c r="AJ18" s="65">
        <v>1.6096961957883047</v>
      </c>
      <c r="AK18" s="65">
        <v>1.638169550189599</v>
      </c>
      <c r="AL18" s="65">
        <v>1.6671465598228452</v>
      </c>
      <c r="AM18" s="65">
        <v>1.6966361336697213</v>
      </c>
      <c r="AN18" s="372"/>
    </row>
    <row r="19" spans="1:54" s="275" customFormat="1" x14ac:dyDescent="0.2">
      <c r="A19" s="284"/>
      <c r="B19" s="284"/>
      <c r="C19" s="370"/>
      <c r="D19" s="65">
        <v>1.1048077976125286</v>
      </c>
      <c r="E19" s="65">
        <v>1.0700042426813745</v>
      </c>
      <c r="F19" s="65">
        <v>1.0417182982238742</v>
      </c>
      <c r="G19" s="65">
        <v>1.0205361659079413</v>
      </c>
      <c r="H19" s="65">
        <v>1.0087999999999999</v>
      </c>
      <c r="I19" s="65">
        <v>1</v>
      </c>
      <c r="J19" s="65">
        <v>0.98008355192849494</v>
      </c>
      <c r="K19" s="65">
        <v>0.96250357790287178</v>
      </c>
      <c r="L19" s="65">
        <v>0.94625269674514567</v>
      </c>
      <c r="M19" s="65">
        <v>0.93036982384948796</v>
      </c>
      <c r="N19" s="65">
        <v>0.91792538671519552</v>
      </c>
      <c r="O19" s="65">
        <v>0.90361877463274809</v>
      </c>
      <c r="P19" s="65">
        <v>0.88771559310102055</v>
      </c>
      <c r="Q19" s="65">
        <v>0.87085635359116009</v>
      </c>
      <c r="R19" s="65">
        <v>0.8537576167907921</v>
      </c>
      <c r="S19" s="65">
        <v>0.83697004895046867</v>
      </c>
      <c r="T19" s="65">
        <v>0.82242250420805951</v>
      </c>
      <c r="U19" s="65">
        <v>0.80812781326644978</v>
      </c>
      <c r="V19" s="65">
        <v>0.79408158122287675</v>
      </c>
      <c r="W19" s="65">
        <v>0.78027948956326665</v>
      </c>
      <c r="X19" s="65">
        <v>0.7667172948345069</v>
      </c>
      <c r="Y19" s="65">
        <v>0.75339082733979745</v>
      </c>
      <c r="Z19" s="65">
        <v>0.74029598985667633</v>
      </c>
      <c r="AA19" s="65">
        <v>0.72742875637732951</v>
      </c>
      <c r="AB19" s="65">
        <v>0.71478517087079418</v>
      </c>
      <c r="AC19" s="65">
        <v>0.70236134606667766</v>
      </c>
      <c r="AD19" s="65">
        <v>0.6901534622600155</v>
      </c>
      <c r="AE19" s="65">
        <v>0.67815776613690337</v>
      </c>
      <c r="AF19" s="65">
        <v>0.66637056962054075</v>
      </c>
      <c r="AG19" s="65">
        <v>0.65478824873733177</v>
      </c>
      <c r="AH19" s="65">
        <v>0.64340724250269432</v>
      </c>
      <c r="AI19" s="65">
        <v>0.63222405182623564</v>
      </c>
      <c r="AJ19" s="65">
        <v>0.62123523843595674</v>
      </c>
      <c r="AK19" s="65">
        <v>0.61043742382115551</v>
      </c>
      <c r="AL19" s="65">
        <v>0.59982728819370401</v>
      </c>
      <c r="AM19" s="65">
        <v>0.5894015694673792</v>
      </c>
      <c r="AN19" s="372"/>
    </row>
    <row r="20" spans="1:54" s="276" customFormat="1" x14ac:dyDescent="0.2">
      <c r="A20" s="284"/>
      <c r="B20" s="284"/>
      <c r="C20" s="370" t="s">
        <v>470</v>
      </c>
      <c r="D20" s="65">
        <v>0.88710774312639651</v>
      </c>
      <c r="E20" s="65">
        <v>0.91596230447877192</v>
      </c>
      <c r="F20" s="65">
        <v>0.94083357621684638</v>
      </c>
      <c r="G20" s="65">
        <v>0.96036141066744385</v>
      </c>
      <c r="H20" s="65">
        <v>0.97153405226853196</v>
      </c>
      <c r="I20" s="65">
        <v>0.98008355192849494</v>
      </c>
      <c r="J20" s="65">
        <v>1</v>
      </c>
      <c r="K20" s="65">
        <v>1.0182648401826484</v>
      </c>
      <c r="L20" s="65">
        <v>1.0357524531234819</v>
      </c>
      <c r="M20" s="65">
        <v>1.0534343728747693</v>
      </c>
      <c r="N20" s="65">
        <v>1.0677159234431166</v>
      </c>
      <c r="O20" s="65">
        <v>1.0846206159525891</v>
      </c>
      <c r="P20" s="65">
        <v>1.1040512969979597</v>
      </c>
      <c r="Q20" s="65">
        <v>1.1254250461478674</v>
      </c>
      <c r="R20" s="65">
        <v>1.1479646361604974</v>
      </c>
      <c r="S20" s="65">
        <v>1.1709899931992616</v>
      </c>
      <c r="T20" s="65">
        <v>1.1917032266429199</v>
      </c>
      <c r="U20" s="65">
        <v>1.2127828492463346</v>
      </c>
      <c r="V20" s="65">
        <v>1.2342353419395236</v>
      </c>
      <c r="W20" s="65">
        <v>1.256067300291414</v>
      </c>
      <c r="X20" s="65">
        <v>1.2782854365376513</v>
      </c>
      <c r="Y20" s="65">
        <v>1.3008965816442752</v>
      </c>
      <c r="Z20" s="65">
        <v>1.3239076874079005</v>
      </c>
      <c r="AA20" s="65">
        <v>1.3473258285930467</v>
      </c>
      <c r="AB20" s="65">
        <v>1.3711582051072748</v>
      </c>
      <c r="AC20" s="65">
        <v>1.3954121442147986</v>
      </c>
      <c r="AD20" s="65">
        <v>1.4200951027892521</v>
      </c>
      <c r="AE20" s="65">
        <v>1.4452146696063055</v>
      </c>
      <c r="AF20" s="65">
        <v>1.4707785676768341</v>
      </c>
      <c r="AG20" s="65">
        <v>1.4967946566213581</v>
      </c>
      <c r="AH20" s="65">
        <v>1.5232709350864833</v>
      </c>
      <c r="AI20" s="65">
        <v>1.5502155432040841</v>
      </c>
      <c r="AJ20" s="65">
        <v>1.5776367650939878</v>
      </c>
      <c r="AK20" s="65">
        <v>1.6055430314109271</v>
      </c>
      <c r="AL20" s="65">
        <v>1.6339429219365453</v>
      </c>
      <c r="AM20" s="65">
        <v>1.6628451682172491</v>
      </c>
      <c r="AN20" s="373"/>
      <c r="AO20" s="275"/>
      <c r="AP20" s="275"/>
      <c r="AQ20" s="275"/>
      <c r="AR20" s="275"/>
      <c r="AS20" s="275"/>
      <c r="AT20" s="275"/>
      <c r="AU20" s="275"/>
      <c r="AV20" s="275"/>
      <c r="AW20" s="275"/>
      <c r="AX20" s="275"/>
      <c r="AY20" s="275"/>
      <c r="AZ20" s="275"/>
      <c r="BA20" s="275"/>
      <c r="BB20" s="275"/>
    </row>
    <row r="21" spans="1:54" s="275" customFormat="1" x14ac:dyDescent="0.2">
      <c r="A21" s="284"/>
      <c r="B21" s="284"/>
      <c r="C21" s="370"/>
      <c r="D21" s="65">
        <v>1.1272587887416494</v>
      </c>
      <c r="E21" s="65">
        <v>1.0917479847263472</v>
      </c>
      <c r="F21" s="65">
        <v>1.0628872366790583</v>
      </c>
      <c r="G21" s="65">
        <v>1.0412746585735964</v>
      </c>
      <c r="H21" s="65">
        <v>1.0293000000000001</v>
      </c>
      <c r="I21" s="65">
        <v>1.0203211736716893</v>
      </c>
      <c r="J21" s="65">
        <v>1</v>
      </c>
      <c r="K21" s="65">
        <v>0.98206278026905824</v>
      </c>
      <c r="L21" s="65">
        <v>0.96548166213300823</v>
      </c>
      <c r="M21" s="65">
        <v>0.94927603061883248</v>
      </c>
      <c r="N21" s="65">
        <v>0.93657870791628761</v>
      </c>
      <c r="O21" s="65">
        <v>0.9219813686850592</v>
      </c>
      <c r="P21" s="65">
        <v>0.90575501583949325</v>
      </c>
      <c r="Q21" s="65">
        <v>0.8885531767955801</v>
      </c>
      <c r="R21" s="65">
        <v>0.87110697359512534</v>
      </c>
      <c r="S21" s="65">
        <v>0.85397826267319343</v>
      </c>
      <c r="T21" s="65">
        <v>0.83913509474757708</v>
      </c>
      <c r="U21" s="65">
        <v>0.82454991890875995</v>
      </c>
      <c r="V21" s="65">
        <v>0.81021825094439659</v>
      </c>
      <c r="W21" s="65">
        <v>0.79613568458313888</v>
      </c>
      <c r="X21" s="65">
        <v>0.7822978901399269</v>
      </c>
      <c r="Y21" s="65">
        <v>0.76870061318482719</v>
      </c>
      <c r="Z21" s="65">
        <v>0.75533967323500895</v>
      </c>
      <c r="AA21" s="65">
        <v>0.74221096246945417</v>
      </c>
      <c r="AB21" s="65">
        <v>0.72931044446600779</v>
      </c>
      <c r="AC21" s="65">
        <v>0.71663415296038013</v>
      </c>
      <c r="AD21" s="65">
        <v>0.70417819062671894</v>
      </c>
      <c r="AE21" s="65">
        <v>0.69193872787937616</v>
      </c>
      <c r="AF21" s="65">
        <v>0.67991200169550225</v>
      </c>
      <c r="AG21" s="65">
        <v>0.66809431445810441</v>
      </c>
      <c r="AH21" s="65">
        <v>0.65648203281921436</v>
      </c>
      <c r="AI21" s="65">
        <v>0.64507158658281571</v>
      </c>
      <c r="AJ21" s="65">
        <v>0.63385946760718714</v>
      </c>
      <c r="AK21" s="65">
        <v>0.62284222872632378</v>
      </c>
      <c r="AL21" s="65">
        <v>0.61201648269010667</v>
      </c>
      <c r="AM21" s="65">
        <v>0.60137890112289216</v>
      </c>
      <c r="AN21" s="372"/>
    </row>
    <row r="22" spans="1:54" s="275" customFormat="1" x14ac:dyDescent="0.2">
      <c r="A22" s="284"/>
      <c r="B22" s="284"/>
      <c r="C22" s="370" t="s">
        <v>471</v>
      </c>
      <c r="D22" s="65">
        <v>0.87119549661291862</v>
      </c>
      <c r="E22" s="65">
        <v>0.89953248735807645</v>
      </c>
      <c r="F22" s="65">
        <v>0.92395763762999716</v>
      </c>
      <c r="G22" s="65">
        <v>0.94313519702318482</v>
      </c>
      <c r="H22" s="65">
        <v>0.95410743249689911</v>
      </c>
      <c r="I22" s="65">
        <v>0.96250357790287178</v>
      </c>
      <c r="J22" s="65">
        <v>0.98206278026905836</v>
      </c>
      <c r="K22" s="65">
        <v>1</v>
      </c>
      <c r="L22" s="65">
        <v>1.0171739337849441</v>
      </c>
      <c r="M22" s="65">
        <v>1.0345386890563877</v>
      </c>
      <c r="N22" s="65">
        <v>1.0485640683140922</v>
      </c>
      <c r="O22" s="65">
        <v>1.0651655376395381</v>
      </c>
      <c r="P22" s="65">
        <v>1.0842476862894763</v>
      </c>
      <c r="Q22" s="65">
        <v>1.1052380498044081</v>
      </c>
      <c r="R22" s="65">
        <v>1.1273733422383361</v>
      </c>
      <c r="S22" s="65">
        <v>1.1499856883885125</v>
      </c>
      <c r="T22" s="65">
        <v>1.1703273840125537</v>
      </c>
      <c r="U22" s="65">
        <v>1.1910288967934857</v>
      </c>
      <c r="V22" s="65">
        <v>1.2120965914114603</v>
      </c>
      <c r="W22" s="65">
        <v>1.2335369451292362</v>
      </c>
      <c r="X22" s="65">
        <v>1.2553565497836128</v>
      </c>
      <c r="Y22" s="65">
        <v>1.2775621138120909</v>
      </c>
      <c r="Z22" s="65">
        <v>1.3001604643153821</v>
      </c>
      <c r="AA22" s="65">
        <v>1.3231585491564002</v>
      </c>
      <c r="AB22" s="65">
        <v>1.3465634390963821</v>
      </c>
      <c r="AC22" s="65">
        <v>1.3703823299687934</v>
      </c>
      <c r="AD22" s="65">
        <v>1.3946225448916871</v>
      </c>
      <c r="AE22" s="65">
        <v>1.4192915365191969</v>
      </c>
      <c r="AF22" s="65">
        <v>1.4443968893328551</v>
      </c>
      <c r="AG22" s="65">
        <v>1.4699463219734417</v>
      </c>
      <c r="AH22" s="65">
        <v>1.4959476896140802</v>
      </c>
      <c r="AI22" s="65">
        <v>1.5224089863753114</v>
      </c>
      <c r="AJ22" s="65">
        <v>1.549338347782885</v>
      </c>
      <c r="AK22" s="65">
        <v>1.5767440532690273</v>
      </c>
      <c r="AL22" s="65">
        <v>1.6046345287179529</v>
      </c>
      <c r="AM22" s="65">
        <v>1.6330183490564021</v>
      </c>
      <c r="AN22" s="372"/>
    </row>
    <row r="23" spans="1:54" s="276" customFormat="1" x14ac:dyDescent="0.2">
      <c r="A23" s="284"/>
      <c r="B23" s="284"/>
      <c r="C23" s="370"/>
      <c r="D23" s="65">
        <v>1.1478479903625014</v>
      </c>
      <c r="E23" s="65">
        <v>1.1116885871871023</v>
      </c>
      <c r="F23" s="65">
        <v>1.082300702189178</v>
      </c>
      <c r="G23" s="65">
        <v>1.0602933737986848</v>
      </c>
      <c r="H23" s="65">
        <v>1.0481</v>
      </c>
      <c r="I23" s="65">
        <v>1.0389571768437749</v>
      </c>
      <c r="J23" s="65">
        <v>1.0182648401826484</v>
      </c>
      <c r="K23" s="65">
        <v>1</v>
      </c>
      <c r="L23" s="65">
        <v>0.98311603039114537</v>
      </c>
      <c r="M23" s="65">
        <v>0.96661440560730427</v>
      </c>
      <c r="N23" s="65">
        <v>0.95368516833484984</v>
      </c>
      <c r="O23" s="65">
        <v>0.93882121103547123</v>
      </c>
      <c r="P23" s="65">
        <v>0.9222984864484336</v>
      </c>
      <c r="Q23" s="65">
        <v>0.90478245856353579</v>
      </c>
      <c r="R23" s="65">
        <v>0.8870176032498307</v>
      </c>
      <c r="S23" s="65">
        <v>0.86957603916037507</v>
      </c>
      <c r="T23" s="65">
        <v>0.85446176314479316</v>
      </c>
      <c r="U23" s="65">
        <v>0.83961019140024407</v>
      </c>
      <c r="V23" s="65">
        <v>0.82501675781096095</v>
      </c>
      <c r="W23" s="65">
        <v>0.81067697562575336</v>
      </c>
      <c r="X23" s="65">
        <v>0.79658643607855562</v>
      </c>
      <c r="Y23" s="65">
        <v>0.7827408070329519</v>
      </c>
      <c r="Z23" s="65">
        <v>0.76913583165026034</v>
      </c>
      <c r="AA23" s="65">
        <v>0.75576732708076833</v>
      </c>
      <c r="AB23" s="65">
        <v>0.74263118317771559</v>
      </c>
      <c r="AC23" s="65">
        <v>0.72972336123362902</v>
      </c>
      <c r="AD23" s="65">
        <v>0.71703989273862245</v>
      </c>
      <c r="AE23" s="65">
        <v>0.70457687816027803</v>
      </c>
      <c r="AF23" s="65">
        <v>0.6923304857447351</v>
      </c>
      <c r="AG23" s="65">
        <v>0.68029695033861759</v>
      </c>
      <c r="AH23" s="65">
        <v>0.6684725722314373</v>
      </c>
      <c r="AI23" s="65">
        <v>0.65685371601811826</v>
      </c>
      <c r="AJ23" s="65">
        <v>0.6454368094812909</v>
      </c>
      <c r="AK23" s="65">
        <v>0.63421834249301456</v>
      </c>
      <c r="AL23" s="65">
        <v>0.62319486593558793</v>
      </c>
      <c r="AM23" s="65">
        <v>0.61236299064111832</v>
      </c>
      <c r="AN23" s="373"/>
      <c r="AO23" s="275"/>
      <c r="AP23" s="275"/>
      <c r="AQ23" s="275"/>
      <c r="AR23" s="275"/>
      <c r="AS23" s="275"/>
      <c r="AT23" s="275"/>
      <c r="AU23" s="275"/>
      <c r="AV23" s="275"/>
      <c r="AW23" s="275"/>
      <c r="AX23" s="275"/>
      <c r="AY23" s="275"/>
      <c r="AZ23" s="275"/>
      <c r="BA23" s="275"/>
      <c r="BB23" s="275"/>
    </row>
    <row r="24" spans="1:54" s="275" customFormat="1" x14ac:dyDescent="0.2">
      <c r="A24" s="284"/>
      <c r="B24" s="284"/>
      <c r="C24" s="370" t="s">
        <v>472</v>
      </c>
      <c r="D24" s="65">
        <v>0.85648625832473502</v>
      </c>
      <c r="E24" s="65">
        <v>0.88434480817934524</v>
      </c>
      <c r="F24" s="65">
        <v>0.90835756495638309</v>
      </c>
      <c r="G24" s="65">
        <v>0.92721133101960418</v>
      </c>
      <c r="H24" s="65">
        <v>0.93799831160303904</v>
      </c>
      <c r="I24" s="65">
        <v>0.94625269674514578</v>
      </c>
      <c r="J24" s="65">
        <v>0.96548166213300823</v>
      </c>
      <c r="K24" s="65">
        <v>0.98311603039114526</v>
      </c>
      <c r="L24" s="65">
        <v>1</v>
      </c>
      <c r="M24" s="65">
        <v>1.0170715692711754</v>
      </c>
      <c r="N24" s="65">
        <v>1.03086014445174</v>
      </c>
      <c r="O24" s="65">
        <v>1.0471813150736329</v>
      </c>
      <c r="P24" s="65">
        <v>1.0659412813056937</v>
      </c>
      <c r="Q24" s="65">
        <v>1.0865772441609605</v>
      </c>
      <c r="R24" s="65">
        <v>1.108338804990151</v>
      </c>
      <c r="S24" s="65">
        <v>1.1305693649751429</v>
      </c>
      <c r="T24" s="65">
        <v>1.1505676120284751</v>
      </c>
      <c r="U24" s="65">
        <v>1.1709196010967566</v>
      </c>
      <c r="V24" s="65">
        <v>1.1916315893990728</v>
      </c>
      <c r="W24" s="65">
        <v>1.2127099448362746</v>
      </c>
      <c r="X24" s="65">
        <v>1.2341611479487895</v>
      </c>
      <c r="Y24" s="65">
        <v>1.2559917939090635</v>
      </c>
      <c r="Z24" s="65">
        <v>1.2782085945492467</v>
      </c>
      <c r="AA24" s="65">
        <v>1.3008183804247471</v>
      </c>
      <c r="AB24" s="65">
        <v>1.3238281029142835</v>
      </c>
      <c r="AC24" s="65">
        <v>1.3472448363570884</v>
      </c>
      <c r="AD24" s="65">
        <v>1.3710757802279119</v>
      </c>
      <c r="AE24" s="65">
        <v>1.3953282613505018</v>
      </c>
      <c r="AF24" s="65">
        <v>1.4200097361502346</v>
      </c>
      <c r="AG24" s="65">
        <v>1.445127792946594</v>
      </c>
      <c r="AH24" s="65">
        <v>1.4706901542861994</v>
      </c>
      <c r="AI24" s="65">
        <v>1.496704679317103</v>
      </c>
      <c r="AJ24" s="65">
        <v>1.5231793662050852</v>
      </c>
      <c r="AK24" s="65">
        <v>1.5501223545926903</v>
      </c>
      <c r="AL24" s="65">
        <v>1.5775419281017595</v>
      </c>
      <c r="AM24" s="65">
        <v>1.605446516880231</v>
      </c>
      <c r="AN24" s="372"/>
    </row>
    <row r="25" spans="1:54" s="275" customFormat="1" x14ac:dyDescent="0.2">
      <c r="A25" s="284"/>
      <c r="B25" s="284"/>
      <c r="C25" s="370"/>
      <c r="D25" s="65">
        <v>1.1675610557441682</v>
      </c>
      <c r="E25" s="65">
        <v>1.1307806533729317</v>
      </c>
      <c r="F25" s="65">
        <v>1.1008880627839734</v>
      </c>
      <c r="G25" s="65">
        <v>1.0785027819929185</v>
      </c>
      <c r="H25" s="65">
        <v>1.0661</v>
      </c>
      <c r="I25" s="65">
        <v>1.0568001586042823</v>
      </c>
      <c r="J25" s="65">
        <v>1.0357524531234819</v>
      </c>
      <c r="K25" s="65">
        <v>1.0171739337849441</v>
      </c>
      <c r="L25" s="65">
        <v>1</v>
      </c>
      <c r="M25" s="65">
        <v>0.98321497740477726</v>
      </c>
      <c r="N25" s="65">
        <v>0.97006369426751593</v>
      </c>
      <c r="O25" s="65">
        <v>0.95494446434969549</v>
      </c>
      <c r="P25" s="65">
        <v>0.93813797958465328</v>
      </c>
      <c r="Q25" s="65">
        <v>0.92032113259668513</v>
      </c>
      <c r="R25" s="65">
        <v>0.90225118483412325</v>
      </c>
      <c r="S25" s="65">
        <v>0.88451008047788937</v>
      </c>
      <c r="T25" s="65">
        <v>0.86913623288680864</v>
      </c>
      <c r="U25" s="65">
        <v>0.85402960123251614</v>
      </c>
      <c r="V25" s="65">
        <v>0.83918554098107578</v>
      </c>
      <c r="W25" s="65">
        <v>0.82459948832612884</v>
      </c>
      <c r="X25" s="65">
        <v>0.8102669587857535</v>
      </c>
      <c r="Y25" s="65">
        <v>0.79618354582370954</v>
      </c>
      <c r="Z25" s="65">
        <v>0.7823449194946499</v>
      </c>
      <c r="AA25" s="65">
        <v>0.76874682511287784</v>
      </c>
      <c r="AB25" s="65">
        <v>0.75538508194424459</v>
      </c>
      <c r="AC25" s="65">
        <v>0.74225558192078245</v>
      </c>
      <c r="AD25" s="65">
        <v>0.72935428837767924</v>
      </c>
      <c r="AE25" s="65">
        <v>0.71667723481220547</v>
      </c>
      <c r="AF25" s="65">
        <v>0.70422052366421362</v>
      </c>
      <c r="AG25" s="65">
        <v>0.69198032511783258</v>
      </c>
      <c r="AH25" s="65">
        <v>0.67995287592399145</v>
      </c>
      <c r="AI25" s="65">
        <v>0.66813447824340799</v>
      </c>
      <c r="AJ25" s="65">
        <v>0.65652149850968844</v>
      </c>
      <c r="AK25" s="65">
        <v>0.64511036631218677</v>
      </c>
      <c r="AL25" s="65">
        <v>0.63389757329828311</v>
      </c>
      <c r="AM25" s="65">
        <v>0.62287967209473949</v>
      </c>
      <c r="AN25" s="372"/>
    </row>
    <row r="26" spans="1:54" s="276" customFormat="1" x14ac:dyDescent="0.2">
      <c r="A26" s="284"/>
      <c r="B26" s="284"/>
      <c r="C26" s="370" t="s">
        <v>473</v>
      </c>
      <c r="D26" s="65">
        <v>0.84211011712625661</v>
      </c>
      <c r="E26" s="65">
        <v>0.86950106059208698</v>
      </c>
      <c r="F26" s="65">
        <v>0.89311076270404866</v>
      </c>
      <c r="G26" s="65">
        <v>0.91164806787789354</v>
      </c>
      <c r="H26" s="65">
        <v>0.92225398874850129</v>
      </c>
      <c r="I26" s="65">
        <v>0.93036982384948808</v>
      </c>
      <c r="J26" s="65">
        <v>0.94927603061883248</v>
      </c>
      <c r="K26" s="65">
        <v>0.96661440560730427</v>
      </c>
      <c r="L26" s="65">
        <v>0.98321497740477726</v>
      </c>
      <c r="M26" s="65">
        <v>1</v>
      </c>
      <c r="N26" s="65">
        <v>1.013557133634603</v>
      </c>
      <c r="O26" s="65">
        <v>1.0296043530388268</v>
      </c>
      <c r="P26" s="65">
        <v>1.048049432813797</v>
      </c>
      <c r="Q26" s="65">
        <v>1.068339020566264</v>
      </c>
      <c r="R26" s="65">
        <v>1.0897353131052292</v>
      </c>
      <c r="S26" s="65">
        <v>1.1115927326385686</v>
      </c>
      <c r="T26" s="65">
        <v>1.1312553086632458</v>
      </c>
      <c r="U26" s="65">
        <v>1.1512656891351583</v>
      </c>
      <c r="V26" s="65">
        <v>1.1716300262458281</v>
      </c>
      <c r="W26" s="65">
        <v>1.1923545810107463</v>
      </c>
      <c r="X26" s="65">
        <v>1.2134457251943229</v>
      </c>
      <c r="Y26" s="65">
        <v>1.2349099432688853</v>
      </c>
      <c r="Z26" s="65">
        <v>1.2567538344083296</v>
      </c>
      <c r="AA26" s="65">
        <v>1.2789841145170364</v>
      </c>
      <c r="AB26" s="65">
        <v>1.3016076182946763</v>
      </c>
      <c r="AC26" s="65">
        <v>1.3246313013375373</v>
      </c>
      <c r="AD26" s="65">
        <v>1.3480622422770234</v>
      </c>
      <c r="AE26" s="65">
        <v>1.3719076449559804</v>
      </c>
      <c r="AF26" s="65">
        <v>1.3961748406435162</v>
      </c>
      <c r="AG26" s="65">
        <v>1.4208712902890004</v>
      </c>
      <c r="AH26" s="65">
        <v>1.4460045868159332</v>
      </c>
      <c r="AI26" s="65">
        <v>1.4715824574563892</v>
      </c>
      <c r="AJ26" s="65">
        <v>1.4976127661267551</v>
      </c>
      <c r="AK26" s="65">
        <v>1.5241035158454914</v>
      </c>
      <c r="AL26" s="65">
        <v>1.5510628511936595</v>
      </c>
      <c r="AM26" s="65">
        <v>1.578499060818974</v>
      </c>
      <c r="AN26" s="373"/>
      <c r="AO26" s="275"/>
      <c r="AP26" s="275"/>
      <c r="AQ26" s="275"/>
      <c r="AR26" s="275"/>
      <c r="AS26" s="275"/>
      <c r="AT26" s="275"/>
      <c r="AU26" s="275"/>
      <c r="AV26" s="275"/>
      <c r="AW26" s="275"/>
      <c r="AX26" s="275"/>
      <c r="AY26" s="275"/>
      <c r="AZ26" s="275"/>
      <c r="BA26" s="275"/>
      <c r="BB26" s="275"/>
    </row>
    <row r="27" spans="1:54" s="275" customFormat="1" x14ac:dyDescent="0.2">
      <c r="A27" s="284"/>
      <c r="B27" s="284"/>
      <c r="C27" s="374"/>
      <c r="D27" s="65">
        <v>1.1874931551856314</v>
      </c>
      <c r="E27" s="65">
        <v>1.1500848536274926</v>
      </c>
      <c r="F27" s="65">
        <v>1.1196819496076003</v>
      </c>
      <c r="G27" s="65">
        <v>1.096914516944866</v>
      </c>
      <c r="H27" s="65">
        <v>1.0843</v>
      </c>
      <c r="I27" s="65">
        <v>1.0748413957176846</v>
      </c>
      <c r="J27" s="65">
        <v>1.0534343728747693</v>
      </c>
      <c r="K27" s="65">
        <v>1.0345386890563877</v>
      </c>
      <c r="L27" s="65">
        <v>1.0170715692711754</v>
      </c>
      <c r="M27" s="65">
        <v>1</v>
      </c>
      <c r="N27" s="65">
        <v>0.98662420382165605</v>
      </c>
      <c r="O27" s="65">
        <v>0.97124686492296675</v>
      </c>
      <c r="P27" s="65">
        <v>0.95415346708905302</v>
      </c>
      <c r="Q27" s="65">
        <v>0.9360324585635359</v>
      </c>
      <c r="R27" s="65">
        <v>0.91765402843601895</v>
      </c>
      <c r="S27" s="65">
        <v>0.89961005558782048</v>
      </c>
      <c r="T27" s="65">
        <v>0.88397375229262409</v>
      </c>
      <c r="U27" s="65">
        <v>0.8686092267295914</v>
      </c>
      <c r="V27" s="65">
        <v>0.85351175507530297</v>
      </c>
      <c r="W27" s="65">
        <v>0.83867669561206415</v>
      </c>
      <c r="X27" s="65">
        <v>0.82409948730080906</v>
      </c>
      <c r="Y27" s="65">
        <v>0.80977564837880911</v>
      </c>
      <c r="Z27" s="65">
        <v>0.79570077498175495</v>
      </c>
      <c r="AA27" s="65">
        <v>0.7818705397897886</v>
      </c>
      <c r="AB27" s="65">
        <v>0.76828069069706839</v>
      </c>
      <c r="AC27" s="65">
        <v>0.75492704950445977</v>
      </c>
      <c r="AD27" s="65">
        <v>0.74180551063494771</v>
      </c>
      <c r="AE27" s="65">
        <v>0.72891203987137665</v>
      </c>
      <c r="AF27" s="65">
        <v>0.71624267311613088</v>
      </c>
      <c r="AG27" s="65">
        <v>0.70379351517237243</v>
      </c>
      <c r="AH27" s="65">
        <v>0.69156073854646305</v>
      </c>
      <c r="AI27" s="65">
        <v>0.67954058227120129</v>
      </c>
      <c r="AJ27" s="65">
        <v>0.66772935074951267</v>
      </c>
      <c r="AK27" s="65">
        <v>0.65612341261823892</v>
      </c>
      <c r="AL27" s="65">
        <v>0.64471919963167501</v>
      </c>
      <c r="AM27" s="65">
        <v>0.63351320556451218</v>
      </c>
      <c r="AN27" s="372"/>
    </row>
    <row r="28" spans="1:54" s="275" customFormat="1" x14ac:dyDescent="0.2">
      <c r="A28" s="284"/>
      <c r="B28" s="284"/>
      <c r="C28" s="370" t="s">
        <v>474</v>
      </c>
      <c r="D28" s="65">
        <v>0.8308462238398544</v>
      </c>
      <c r="E28" s="65">
        <v>0.85787079162875346</v>
      </c>
      <c r="F28" s="65">
        <v>0.88116469517743412</v>
      </c>
      <c r="G28" s="65">
        <v>0.8994540491355778</v>
      </c>
      <c r="H28" s="65">
        <v>0.90991810737033674</v>
      </c>
      <c r="I28" s="65">
        <v>0.91792538671519552</v>
      </c>
      <c r="J28" s="65">
        <v>0.93657870791628761</v>
      </c>
      <c r="K28" s="65">
        <v>0.95368516833484995</v>
      </c>
      <c r="L28" s="65">
        <v>0.97006369426751604</v>
      </c>
      <c r="M28" s="65">
        <v>0.98662420382165616</v>
      </c>
      <c r="N28" s="65">
        <v>1</v>
      </c>
      <c r="O28" s="65">
        <v>1.015832575068244</v>
      </c>
      <c r="P28" s="65">
        <v>1.0340309372156506</v>
      </c>
      <c r="Q28" s="65">
        <v>1.0540491355777981</v>
      </c>
      <c r="R28" s="65">
        <v>1.0751592356687898</v>
      </c>
      <c r="S28" s="65">
        <v>1.0967242948134668</v>
      </c>
      <c r="T28" s="65">
        <v>1.1161238682288968</v>
      </c>
      <c r="U28" s="65">
        <v>1.135866593930166</v>
      </c>
      <c r="V28" s="65">
        <v>1.1559585418183365</v>
      </c>
      <c r="W28" s="65">
        <v>1.1764058891628322</v>
      </c>
      <c r="X28" s="65">
        <v>1.1972149225006412</v>
      </c>
      <c r="Y28" s="65">
        <v>1.2183920395691108</v>
      </c>
      <c r="Z28" s="65">
        <v>1.2399437512729319</v>
      </c>
      <c r="AA28" s="65">
        <v>1.2618766836859172</v>
      </c>
      <c r="AB28" s="65">
        <v>1.2841975800881873</v>
      </c>
      <c r="AC28" s="65">
        <v>1.3069133030393922</v>
      </c>
      <c r="AD28" s="65">
        <v>1.3300308364886051</v>
      </c>
      <c r="AE28" s="65">
        <v>1.3535572879215378</v>
      </c>
      <c r="AF28" s="65">
        <v>1.3774998905457372</v>
      </c>
      <c r="AG28" s="65">
        <v>1.4018660055144347</v>
      </c>
      <c r="AH28" s="65">
        <v>1.4266631241897334</v>
      </c>
      <c r="AI28" s="65">
        <v>1.4518988704458267</v>
      </c>
      <c r="AJ28" s="65">
        <v>1.4775810030129586</v>
      </c>
      <c r="AK28" s="65">
        <v>1.5037174178628456</v>
      </c>
      <c r="AL28" s="65">
        <v>1.530316150636293</v>
      </c>
      <c r="AM28" s="65">
        <v>1.5573853791137531</v>
      </c>
      <c r="AN28" s="372"/>
    </row>
    <row r="29" spans="1:54" s="276" customFormat="1" x14ac:dyDescent="0.2">
      <c r="A29" s="284"/>
      <c r="B29" s="284"/>
      <c r="C29" s="374"/>
      <c r="D29" s="65">
        <v>1.2035921585806593</v>
      </c>
      <c r="E29" s="65">
        <v>1.1656767076792531</v>
      </c>
      <c r="F29" s="65">
        <v>1.1348616274266832</v>
      </c>
      <c r="G29" s="65">
        <v>1.1117855336368234</v>
      </c>
      <c r="H29" s="65">
        <v>1.099</v>
      </c>
      <c r="I29" s="65">
        <v>1.0894131641554323</v>
      </c>
      <c r="J29" s="65">
        <v>1.0677159234431166</v>
      </c>
      <c r="K29" s="65">
        <v>1.048564068314092</v>
      </c>
      <c r="L29" s="65">
        <v>1.0308601444517398</v>
      </c>
      <c r="M29" s="65">
        <v>1.0135571336346028</v>
      </c>
      <c r="N29" s="65">
        <v>1</v>
      </c>
      <c r="O29" s="65">
        <v>0.9844141884629164</v>
      </c>
      <c r="P29" s="65">
        <v>0.96708905315029914</v>
      </c>
      <c r="Q29" s="65">
        <v>0.94872237569060758</v>
      </c>
      <c r="R29" s="65">
        <v>0.93009478672985779</v>
      </c>
      <c r="S29" s="65">
        <v>0.91180618933045721</v>
      </c>
      <c r="T29" s="65">
        <v>0.89595790258193653</v>
      </c>
      <c r="U29" s="65">
        <v>0.88038507809261346</v>
      </c>
      <c r="V29" s="65">
        <v>0.86508292799756314</v>
      </c>
      <c r="W29" s="65">
        <v>0.85004674765070398</v>
      </c>
      <c r="X29" s="65">
        <v>0.83527191417835378</v>
      </c>
      <c r="Y29" s="65">
        <v>0.82075388505792768</v>
      </c>
      <c r="Z29" s="65">
        <v>0.80648819672133953</v>
      </c>
      <c r="AA29" s="65">
        <v>0.79247046318267766</v>
      </c>
      <c r="AB29" s="65">
        <v>0.77869637468973341</v>
      </c>
      <c r="AC29" s="65">
        <v>0.76516169639896803</v>
      </c>
      <c r="AD29" s="65">
        <v>0.75186226707351034</v>
      </c>
      <c r="AE29" s="65">
        <v>0.73879399780378363</v>
      </c>
      <c r="AF29" s="65">
        <v>0.72595287075037118</v>
      </c>
      <c r="AG29" s="65">
        <v>0.71333493790873093</v>
      </c>
      <c r="AH29" s="65">
        <v>0.70093631989538197</v>
      </c>
      <c r="AI29" s="65">
        <v>0.68875320475518753</v>
      </c>
      <c r="AJ29" s="65">
        <v>0.67678184678937015</v>
      </c>
      <c r="AK29" s="65">
        <v>0.6650185654038957</v>
      </c>
      <c r="AL29" s="65">
        <v>0.65345974397787554</v>
      </c>
      <c r="AM29" s="65">
        <v>0.64210182875163546</v>
      </c>
      <c r="AN29" s="373"/>
      <c r="AO29" s="275"/>
      <c r="AP29" s="275"/>
      <c r="AQ29" s="275"/>
      <c r="AR29" s="275"/>
      <c r="AS29" s="275"/>
      <c r="AT29" s="275"/>
      <c r="AU29" s="275"/>
      <c r="AV29" s="275"/>
      <c r="AW29" s="275"/>
      <c r="AX29" s="275"/>
      <c r="AY29" s="275"/>
      <c r="AZ29" s="275"/>
      <c r="BA29" s="275"/>
      <c r="BB29" s="275"/>
    </row>
    <row r="30" spans="1:54" s="276" customFormat="1" x14ac:dyDescent="0.2">
      <c r="A30" s="284"/>
      <c r="B30" s="284"/>
      <c r="C30" s="419" t="s">
        <v>528</v>
      </c>
      <c r="D30" s="65">
        <v>0.81789681117878898</v>
      </c>
      <c r="E30" s="65">
        <v>0.84450017914725894</v>
      </c>
      <c r="F30" s="65">
        <v>0.86743102830526697</v>
      </c>
      <c r="G30" s="65">
        <v>0.88543532783948409</v>
      </c>
      <c r="H30" s="65">
        <v>0.8957362952346829</v>
      </c>
      <c r="I30" s="65">
        <v>0.90361877463274798</v>
      </c>
      <c r="J30" s="65">
        <v>0.9219813686850592</v>
      </c>
      <c r="K30" s="65">
        <v>0.93882121103547111</v>
      </c>
      <c r="L30" s="65">
        <v>0.95494446434969549</v>
      </c>
      <c r="M30" s="65">
        <v>0.97124686492296664</v>
      </c>
      <c r="N30" s="65">
        <v>0.9844141884629164</v>
      </c>
      <c r="O30" s="65">
        <v>1</v>
      </c>
      <c r="P30" s="65">
        <v>1.0179147259046937</v>
      </c>
      <c r="Q30" s="65">
        <v>1.0376209243998566</v>
      </c>
      <c r="R30" s="65">
        <v>1.0584020064493012</v>
      </c>
      <c r="S30" s="65">
        <v>1.0796309566463633</v>
      </c>
      <c r="T30" s="65">
        <v>1.0987281719666406</v>
      </c>
      <c r="U30" s="65">
        <v>1.1181631912659016</v>
      </c>
      <c r="V30" s="65">
        <v>1.137941989840874</v>
      </c>
      <c r="W30" s="65">
        <v>1.1580706486832253</v>
      </c>
      <c r="X30" s="65">
        <v>1.1785553563491624</v>
      </c>
      <c r="Y30" s="65">
        <v>1.199402410862104</v>
      </c>
      <c r="Z30" s="65">
        <v>1.2206182216490078</v>
      </c>
      <c r="AA30" s="65">
        <v>1.2422093115109487</v>
      </c>
      <c r="AB30" s="65">
        <v>1.2641823186285543</v>
      </c>
      <c r="AC30" s="65">
        <v>1.2865439986029132</v>
      </c>
      <c r="AD30" s="65">
        <v>1.3093012265325845</v>
      </c>
      <c r="AE30" s="65">
        <v>1.3324609991273473</v>
      </c>
      <c r="AF30" s="65">
        <v>1.3560304368593386</v>
      </c>
      <c r="AG30" s="65">
        <v>1.3800167861522432</v>
      </c>
      <c r="AH30" s="65">
        <v>1.4044274216092061</v>
      </c>
      <c r="AI30" s="65">
        <v>1.4292698482801542</v>
      </c>
      <c r="AJ30" s="65">
        <v>1.4545517039692244</v>
      </c>
      <c r="AK30" s="65">
        <v>1.480280761583006</v>
      </c>
      <c r="AL30" s="65">
        <v>1.5064649315203213</v>
      </c>
      <c r="AM30" s="65">
        <v>1.5331122641042774</v>
      </c>
      <c r="AN30" s="373"/>
      <c r="AO30" s="275"/>
      <c r="AP30" s="275"/>
      <c r="AQ30" s="275"/>
      <c r="AR30" s="275"/>
      <c r="AS30" s="275"/>
      <c r="AT30" s="275"/>
      <c r="AU30" s="275"/>
      <c r="AV30" s="275"/>
      <c r="AW30" s="275"/>
      <c r="AX30" s="275"/>
      <c r="AY30" s="275"/>
      <c r="AZ30" s="275"/>
      <c r="BA30" s="275"/>
      <c r="BB30" s="275"/>
    </row>
    <row r="31" spans="1:54" s="276" customFormat="1" x14ac:dyDescent="0.2">
      <c r="A31" s="284"/>
      <c r="B31" s="284"/>
      <c r="C31" s="419"/>
      <c r="D31" s="65">
        <v>1.2226481217829372</v>
      </c>
      <c r="E31" s="65">
        <v>1.1841323716588885</v>
      </c>
      <c r="F31" s="65">
        <v>1.1528294093349856</v>
      </c>
      <c r="G31" s="65">
        <v>1.1293879615579161</v>
      </c>
      <c r="H31" s="65">
        <v>1.1164000000000001</v>
      </c>
      <c r="I31" s="65">
        <v>1.1066613798572562</v>
      </c>
      <c r="J31" s="65">
        <v>1.0846206159525891</v>
      </c>
      <c r="K31" s="65">
        <v>1.0651655376395384</v>
      </c>
      <c r="L31" s="65">
        <v>1.0471813150736329</v>
      </c>
      <c r="M31" s="65">
        <v>1.029604353038827</v>
      </c>
      <c r="N31" s="65">
        <v>1.015832575068244</v>
      </c>
      <c r="O31" s="65">
        <v>1</v>
      </c>
      <c r="P31" s="65">
        <v>0.98240056318197821</v>
      </c>
      <c r="Q31" s="65">
        <v>0.96374309392265201</v>
      </c>
      <c r="R31" s="65">
        <v>0.94482058226134069</v>
      </c>
      <c r="S31" s="65">
        <v>0.92624242927072098</v>
      </c>
      <c r="T31" s="65">
        <v>0.91014322333255127</v>
      </c>
      <c r="U31" s="65">
        <v>0.89432384093047634</v>
      </c>
      <c r="V31" s="65">
        <v>0.87877941839534068</v>
      </c>
      <c r="W31" s="65">
        <v>0.86350517659440018</v>
      </c>
      <c r="X31" s="65">
        <v>0.84849641946197807</v>
      </c>
      <c r="Y31" s="65">
        <v>0.83374853255566006</v>
      </c>
      <c r="Z31" s="65">
        <v>0.81925698163758265</v>
      </c>
      <c r="AA31" s="65">
        <v>0.80501731128038323</v>
      </c>
      <c r="AB31" s="65">
        <v>0.79102514349737785</v>
      </c>
      <c r="AC31" s="65">
        <v>0.77727617639654945</v>
      </c>
      <c r="AD31" s="65">
        <v>0.76376618285793152</v>
      </c>
      <c r="AE31" s="65">
        <v>0.75049100923397982</v>
      </c>
      <c r="AF31" s="65">
        <v>0.73744657407253333</v>
      </c>
      <c r="AG31" s="65">
        <v>0.72462886686197181</v>
      </c>
      <c r="AH31" s="65">
        <v>0.71203394679818388</v>
      </c>
      <c r="AI31" s="65">
        <v>0.69965794157296735</v>
      </c>
      <c r="AJ31" s="65">
        <v>0.68749704618348728</v>
      </c>
      <c r="AK31" s="65">
        <v>0.67554752176242849</v>
      </c>
      <c r="AL31" s="65">
        <v>0.66380569442848036</v>
      </c>
      <c r="AM31" s="65">
        <v>0.65226795415680217</v>
      </c>
      <c r="AN31" s="373"/>
      <c r="AO31" s="275"/>
      <c r="AP31" s="275"/>
      <c r="AQ31" s="275"/>
      <c r="AR31" s="275"/>
      <c r="AS31" s="275"/>
      <c r="AT31" s="275"/>
      <c r="AU31" s="275"/>
      <c r="AV31" s="275"/>
      <c r="AW31" s="275"/>
      <c r="AX31" s="275"/>
      <c r="AY31" s="275"/>
      <c r="AZ31" s="275"/>
      <c r="BA31" s="275"/>
      <c r="BB31" s="275"/>
    </row>
    <row r="32" spans="1:54" s="276" customFormat="1" x14ac:dyDescent="0.2">
      <c r="A32" s="284"/>
      <c r="B32" s="284"/>
      <c r="C32" s="419" t="s">
        <v>529</v>
      </c>
      <c r="D32" s="65">
        <v>0.80350228792678635</v>
      </c>
      <c r="E32" s="65">
        <v>0.82963745160154867</v>
      </c>
      <c r="F32" s="65">
        <v>0.85216473072861665</v>
      </c>
      <c r="G32" s="65">
        <v>0.86985216473072857</v>
      </c>
      <c r="H32" s="65">
        <v>0.87997184090109115</v>
      </c>
      <c r="I32" s="65">
        <v>0.88771559310102066</v>
      </c>
      <c r="J32" s="65">
        <v>0.90575501583949314</v>
      </c>
      <c r="K32" s="65">
        <v>0.9222984864484336</v>
      </c>
      <c r="L32" s="65">
        <v>0.93813797958465328</v>
      </c>
      <c r="M32" s="65">
        <v>0.95415346708905313</v>
      </c>
      <c r="N32" s="65">
        <v>0.96708905315029914</v>
      </c>
      <c r="O32" s="65">
        <v>0.98240056318197821</v>
      </c>
      <c r="P32" s="65">
        <v>1</v>
      </c>
      <c r="Q32" s="65">
        <v>1.019359380499824</v>
      </c>
      <c r="R32" s="65">
        <v>1.0397747272087292</v>
      </c>
      <c r="S32" s="65">
        <v>1.0606300598380851</v>
      </c>
      <c r="T32" s="65">
        <v>1.0793911749239329</v>
      </c>
      <c r="U32" s="65">
        <v>1.0984841488289794</v>
      </c>
      <c r="V32" s="65">
        <v>1.1179148516880952</v>
      </c>
      <c r="W32" s="65">
        <v>1.137689257470919</v>
      </c>
      <c r="X32" s="65">
        <v>1.1578134458185536</v>
      </c>
      <c r="Y32" s="65">
        <v>1.1782936039127527</v>
      </c>
      <c r="Z32" s="65">
        <v>1.1991360283781693</v>
      </c>
      <c r="AA32" s="65">
        <v>1.2203471272182529</v>
      </c>
      <c r="AB32" s="65">
        <v>1.2419334217853903</v>
      </c>
      <c r="AC32" s="65">
        <v>1.2639015487858956</v>
      </c>
      <c r="AD32" s="65">
        <v>1.2862582623204653</v>
      </c>
      <c r="AE32" s="65">
        <v>1.3090104359607266</v>
      </c>
      <c r="AF32" s="65">
        <v>1.3321650648625174</v>
      </c>
      <c r="AG32" s="65">
        <v>1.3557292679165465</v>
      </c>
      <c r="AH32" s="65">
        <v>1.3797102899370968</v>
      </c>
      <c r="AI32" s="65">
        <v>1.4041155038894431</v>
      </c>
      <c r="AJ32" s="65">
        <v>1.4289524131566711</v>
      </c>
      <c r="AK32" s="65">
        <v>1.4542286538465916</v>
      </c>
      <c r="AL32" s="65">
        <v>1.4799519971394628</v>
      </c>
      <c r="AM32" s="65">
        <v>1.5061303516772386</v>
      </c>
      <c r="AN32" s="373"/>
      <c r="AO32" s="275"/>
      <c r="AP32" s="275"/>
      <c r="AQ32" s="275"/>
      <c r="AR32" s="275"/>
      <c r="AS32" s="275"/>
      <c r="AT32" s="275"/>
      <c r="AU32" s="275"/>
      <c r="AV32" s="275"/>
      <c r="AW32" s="275"/>
      <c r="AX32" s="275"/>
      <c r="AY32" s="275"/>
      <c r="AZ32" s="275"/>
      <c r="BA32" s="275"/>
      <c r="BB32" s="275"/>
    </row>
    <row r="33" spans="1:54" s="276" customFormat="1" x14ac:dyDescent="0.2">
      <c r="A33" s="284"/>
      <c r="B33" s="284"/>
      <c r="C33" s="419"/>
      <c r="D33" s="65">
        <v>1.2445515277625672</v>
      </c>
      <c r="E33" s="65">
        <v>1.2053457785320323</v>
      </c>
      <c r="F33" s="65">
        <v>1.1734820322180917</v>
      </c>
      <c r="G33" s="65">
        <v>1.1496206373292868</v>
      </c>
      <c r="H33" s="65">
        <v>1.1364000000000001</v>
      </c>
      <c r="I33" s="65">
        <v>1.1264869151467092</v>
      </c>
      <c r="J33" s="65">
        <v>1.1040512969979597</v>
      </c>
      <c r="K33" s="65">
        <v>1.0842476862894763</v>
      </c>
      <c r="L33" s="65">
        <v>1.0659412813056937</v>
      </c>
      <c r="M33" s="65">
        <v>1.048049432813797</v>
      </c>
      <c r="N33" s="65">
        <v>1.0340309372156506</v>
      </c>
      <c r="O33" s="65">
        <v>1.0179147259046937</v>
      </c>
      <c r="P33" s="65">
        <v>1</v>
      </c>
      <c r="Q33" s="65">
        <v>0.98100828729281764</v>
      </c>
      <c r="R33" s="65">
        <v>0.96174678402166569</v>
      </c>
      <c r="S33" s="65">
        <v>0.94283580851240356</v>
      </c>
      <c r="T33" s="65">
        <v>0.92644818971256848</v>
      </c>
      <c r="U33" s="65">
        <v>0.91034540741077896</v>
      </c>
      <c r="V33" s="65">
        <v>0.89452251080657963</v>
      </c>
      <c r="W33" s="65">
        <v>0.87897463515037322</v>
      </c>
      <c r="X33" s="65">
        <v>0.86369700024775387</v>
      </c>
      <c r="Y33" s="65">
        <v>0.84868490898983562</v>
      </c>
      <c r="Z33" s="65">
        <v>0.83393374590912706</v>
      </c>
      <c r="AA33" s="65">
        <v>0.81943897576050517</v>
      </c>
      <c r="AB33" s="65">
        <v>0.80519614212685453</v>
      </c>
      <c r="AC33" s="65">
        <v>0.79120086604894224</v>
      </c>
      <c r="AD33" s="65">
        <v>0.77744884467910591</v>
      </c>
      <c r="AE33" s="65">
        <v>0.76393584995834385</v>
      </c>
      <c r="AF33" s="65">
        <v>0.75065772731639857</v>
      </c>
      <c r="AG33" s="65">
        <v>0.73761039439443321</v>
      </c>
      <c r="AH33" s="65">
        <v>0.72478983978991096</v>
      </c>
      <c r="AI33" s="65">
        <v>0.71219212182328973</v>
      </c>
      <c r="AJ33" s="65">
        <v>0.6998133673261514</v>
      </c>
      <c r="AK33" s="65">
        <v>0.68764977045039799</v>
      </c>
      <c r="AL33" s="65">
        <v>0.6756975914981419</v>
      </c>
      <c r="AM33" s="65">
        <v>0.66395315577193703</v>
      </c>
      <c r="AN33" s="373"/>
      <c r="AO33" s="275"/>
      <c r="AP33" s="275"/>
      <c r="AQ33" s="275"/>
      <c r="AR33" s="275"/>
      <c r="AS33" s="275"/>
      <c r="AT33" s="275"/>
      <c r="AU33" s="275"/>
      <c r="AV33" s="275"/>
      <c r="AW33" s="275"/>
      <c r="AX33" s="275"/>
      <c r="AY33" s="275"/>
      <c r="AZ33" s="275"/>
      <c r="BA33" s="275"/>
      <c r="BB33" s="275"/>
    </row>
    <row r="34" spans="1:54" s="276" customFormat="1" x14ac:dyDescent="0.2">
      <c r="A34" s="284"/>
      <c r="B34" s="284"/>
      <c r="C34" s="419" t="s">
        <v>530</v>
      </c>
      <c r="D34" s="65">
        <v>0.78824240331491713</v>
      </c>
      <c r="E34" s="65">
        <v>0.81388121546961312</v>
      </c>
      <c r="F34" s="65">
        <v>0.83598066298342533</v>
      </c>
      <c r="G34" s="65">
        <v>0.85333218232044195</v>
      </c>
      <c r="H34" s="65">
        <v>0.86325966850828717</v>
      </c>
      <c r="I34" s="65">
        <v>0.87085635359116009</v>
      </c>
      <c r="J34" s="65">
        <v>0.8885531767955801</v>
      </c>
      <c r="K34" s="65">
        <v>0.9047824585635359</v>
      </c>
      <c r="L34" s="65">
        <v>0.92032113259668502</v>
      </c>
      <c r="M34" s="65">
        <v>0.9360324585635359</v>
      </c>
      <c r="N34" s="65">
        <v>0.94872237569060769</v>
      </c>
      <c r="O34" s="65">
        <v>0.96374309392265189</v>
      </c>
      <c r="P34" s="65">
        <v>0.98100828729281764</v>
      </c>
      <c r="Q34" s="65">
        <v>1</v>
      </c>
      <c r="R34" s="65">
        <v>1.0200276243093922</v>
      </c>
      <c r="S34" s="65">
        <v>1.0404868784530386</v>
      </c>
      <c r="T34" s="65">
        <v>1.0588916878311097</v>
      </c>
      <c r="U34" s="65">
        <v>1.0776220534610257</v>
      </c>
      <c r="V34" s="65">
        <v>1.0966837339937425</v>
      </c>
      <c r="W34" s="65">
        <v>1.1160825899429836</v>
      </c>
      <c r="X34" s="65">
        <v>1.1358245854870548</v>
      </c>
      <c r="Y34" s="65">
        <v>1.1559157903025312</v>
      </c>
      <c r="Z34" s="65">
        <v>1.1763623814303794</v>
      </c>
      <c r="AA34" s="65">
        <v>1.1971706451750885</v>
      </c>
      <c r="AB34" s="65">
        <v>1.2183469790373942</v>
      </c>
      <c r="AC34" s="65">
        <v>1.2398978936811909</v>
      </c>
      <c r="AD34" s="65">
        <v>1.2618300149352353</v>
      </c>
      <c r="AE34" s="65">
        <v>1.2841500858302568</v>
      </c>
      <c r="AF34" s="65">
        <v>1.3068649686721034</v>
      </c>
      <c r="AG34" s="65">
        <v>1.3299816471515566</v>
      </c>
      <c r="AH34" s="65">
        <v>1.353507228491468</v>
      </c>
      <c r="AI34" s="65">
        <v>1.3774489456318741</v>
      </c>
      <c r="AJ34" s="65">
        <v>1.4018141594537645</v>
      </c>
      <c r="AK34" s="65">
        <v>1.4266103610421845</v>
      </c>
      <c r="AL34" s="65">
        <v>1.4518451739893692</v>
      </c>
      <c r="AM34" s="65">
        <v>1.4775263567386168</v>
      </c>
      <c r="AN34" s="373"/>
      <c r="AO34" s="275"/>
      <c r="AP34" s="275"/>
      <c r="AQ34" s="275"/>
      <c r="AR34" s="275"/>
      <c r="AS34" s="275"/>
      <c r="AT34" s="275"/>
      <c r="AU34" s="275"/>
      <c r="AV34" s="275"/>
      <c r="AW34" s="275"/>
      <c r="AX34" s="275"/>
      <c r="AY34" s="275"/>
      <c r="AZ34" s="275"/>
      <c r="BA34" s="275"/>
      <c r="BB34" s="275"/>
    </row>
    <row r="35" spans="1:54" s="276" customFormat="1" x14ac:dyDescent="0.2">
      <c r="A35" s="284"/>
      <c r="B35" s="284"/>
      <c r="C35" s="419"/>
      <c r="D35" s="65">
        <v>1.2686452743401599</v>
      </c>
      <c r="E35" s="65">
        <v>1.2286805260924907</v>
      </c>
      <c r="F35" s="65">
        <v>1.1961999173895086</v>
      </c>
      <c r="G35" s="65">
        <v>1.1718765806777947</v>
      </c>
      <c r="H35" s="65">
        <v>1.1584000000000001</v>
      </c>
      <c r="I35" s="65">
        <v>1.1482950039651072</v>
      </c>
      <c r="J35" s="65">
        <v>1.1254250461478674</v>
      </c>
      <c r="K35" s="65">
        <v>1.1052380498044081</v>
      </c>
      <c r="L35" s="65">
        <v>1.0865772441609607</v>
      </c>
      <c r="M35" s="65">
        <v>1.068339020566264</v>
      </c>
      <c r="N35" s="65">
        <v>1.0540491355777981</v>
      </c>
      <c r="O35" s="65">
        <v>1.0376209243998566</v>
      </c>
      <c r="P35" s="65">
        <v>1.019359380499824</v>
      </c>
      <c r="Q35" s="65">
        <v>1</v>
      </c>
      <c r="R35" s="65">
        <v>0.98036560595802313</v>
      </c>
      <c r="S35" s="65">
        <v>0.96108852567825453</v>
      </c>
      <c r="T35" s="65">
        <v>0.94438365273058722</v>
      </c>
      <c r="U35" s="65">
        <v>0.92796913053911156</v>
      </c>
      <c r="V35" s="65">
        <v>0.91183991245894214</v>
      </c>
      <c r="W35" s="65">
        <v>0.89599103956194337</v>
      </c>
      <c r="X35" s="65">
        <v>0.88041763911210669</v>
      </c>
      <c r="Y35" s="65">
        <v>0.86511492306742843</v>
      </c>
      <c r="Z35" s="65">
        <v>0.85007818660782541</v>
      </c>
      <c r="AA35" s="65">
        <v>0.83530280668863888</v>
      </c>
      <c r="AB35" s="65">
        <v>0.82078424061927879</v>
      </c>
      <c r="AC35" s="65">
        <v>0.80651802466657418</v>
      </c>
      <c r="AD35" s="65">
        <v>0.79249977268239735</v>
      </c>
      <c r="AE35" s="65">
        <v>0.77872517475514413</v>
      </c>
      <c r="AF35" s="65">
        <v>0.76518999588464998</v>
      </c>
      <c r="AG35" s="65">
        <v>0.75189007468014035</v>
      </c>
      <c r="AH35" s="65">
        <v>0.73882132208081053</v>
      </c>
      <c r="AI35" s="65">
        <v>0.72597972009864375</v>
      </c>
      <c r="AJ35" s="65">
        <v>0.71336132058308166</v>
      </c>
      <c r="AK35" s="65">
        <v>0.70096224400716389</v>
      </c>
      <c r="AL35" s="65">
        <v>0.68877867827476913</v>
      </c>
      <c r="AM35" s="65">
        <v>0.67680687754858504</v>
      </c>
      <c r="AN35" s="373"/>
      <c r="AO35" s="275"/>
      <c r="AP35" s="275"/>
      <c r="AQ35" s="275"/>
      <c r="AR35" s="275"/>
      <c r="AS35" s="275"/>
      <c r="AT35" s="275"/>
      <c r="AU35" s="275"/>
      <c r="AV35" s="275"/>
      <c r="AW35" s="275"/>
      <c r="AX35" s="275"/>
      <c r="AY35" s="275"/>
      <c r="AZ35" s="275"/>
      <c r="BA35" s="275"/>
      <c r="BB35" s="275"/>
    </row>
    <row r="36" spans="1:54" s="276" customFormat="1" x14ac:dyDescent="0.2">
      <c r="A36" s="284"/>
      <c r="B36" s="284"/>
      <c r="C36" s="419" t="s">
        <v>531</v>
      </c>
      <c r="D36" s="65">
        <v>0.77276574136763709</v>
      </c>
      <c r="E36" s="65">
        <v>0.79790115098171965</v>
      </c>
      <c r="F36" s="65">
        <v>0.8195666892349357</v>
      </c>
      <c r="G36" s="65">
        <v>0.83657752200406232</v>
      </c>
      <c r="H36" s="65">
        <v>0.84631008801624918</v>
      </c>
      <c r="I36" s="65">
        <v>0.8537576167907921</v>
      </c>
      <c r="J36" s="65">
        <v>0.87110697359512534</v>
      </c>
      <c r="K36" s="65">
        <v>0.88701760324983081</v>
      </c>
      <c r="L36" s="65">
        <v>0.90225118483412325</v>
      </c>
      <c r="M36" s="65">
        <v>0.91765402843601895</v>
      </c>
      <c r="N36" s="65">
        <v>0.93009478672985779</v>
      </c>
      <c r="O36" s="65">
        <v>0.94482058226134058</v>
      </c>
      <c r="P36" s="65">
        <v>0.96174678402166558</v>
      </c>
      <c r="Q36" s="65">
        <v>0.98036560595802313</v>
      </c>
      <c r="R36" s="65">
        <v>1</v>
      </c>
      <c r="S36" s="65">
        <v>1.0200575490859851</v>
      </c>
      <c r="T36" s="65">
        <v>1.0381009911844596</v>
      </c>
      <c r="U36" s="65">
        <v>1.0564635974350476</v>
      </c>
      <c r="V36" s="65">
        <v>1.0751510134210829</v>
      </c>
      <c r="W36" s="65">
        <v>1.0941689845886531</v>
      </c>
      <c r="X36" s="65">
        <v>1.113523358013037</v>
      </c>
      <c r="Y36" s="65">
        <v>1.1332200841963884</v>
      </c>
      <c r="Z36" s="65">
        <v>1.1532652188972172</v>
      </c>
      <c r="AA36" s="65">
        <v>1.1736649249922333</v>
      </c>
      <c r="AB36" s="65">
        <v>1.194425474371122</v>
      </c>
      <c r="AC36" s="65">
        <v>1.2155532498648374</v>
      </c>
      <c r="AD36" s="65">
        <v>1.2370547472080033</v>
      </c>
      <c r="AE36" s="65">
        <v>1.2589365770360272</v>
      </c>
      <c r="AF36" s="65">
        <v>1.2812054669175397</v>
      </c>
      <c r="AG36" s="65">
        <v>1.3038682634227856</v>
      </c>
      <c r="AH36" s="65">
        <v>1.3269319342286026</v>
      </c>
      <c r="AI36" s="65">
        <v>1.3504035702606323</v>
      </c>
      <c r="AJ36" s="65">
        <v>1.3742903878734267</v>
      </c>
      <c r="AK36" s="65">
        <v>1.3985997310691154</v>
      </c>
      <c r="AL36" s="65">
        <v>1.4233390737553195</v>
      </c>
      <c r="AM36" s="65">
        <v>1.4485160220430044</v>
      </c>
      <c r="AN36" s="373"/>
      <c r="AO36" s="275"/>
      <c r="AP36" s="275"/>
      <c r="AQ36" s="275"/>
      <c r="AR36" s="275"/>
      <c r="AS36" s="275"/>
      <c r="AT36" s="275"/>
      <c r="AU36" s="275"/>
      <c r="AV36" s="275"/>
      <c r="AW36" s="275"/>
      <c r="AX36" s="275"/>
      <c r="AY36" s="275"/>
      <c r="AZ36" s="275"/>
      <c r="BA36" s="275"/>
      <c r="BB36" s="275"/>
    </row>
    <row r="37" spans="1:54" s="276" customFormat="1" x14ac:dyDescent="0.2">
      <c r="A37" s="284"/>
      <c r="B37" s="284"/>
      <c r="C37" s="419"/>
      <c r="D37" s="65">
        <v>1.2940532252765304</v>
      </c>
      <c r="E37" s="65">
        <v>1.2532880780653373</v>
      </c>
      <c r="F37" s="65">
        <v>1.2201569599339115</v>
      </c>
      <c r="G37" s="65">
        <v>1.1953464845725847</v>
      </c>
      <c r="H37" s="65">
        <v>1.1816</v>
      </c>
      <c r="I37" s="65">
        <v>1.1712926249008724</v>
      </c>
      <c r="J37" s="65">
        <v>1.1479646361604974</v>
      </c>
      <c r="K37" s="65">
        <v>1.1273733422383359</v>
      </c>
      <c r="L37" s="65">
        <v>1.108338804990151</v>
      </c>
      <c r="M37" s="65">
        <v>1.0897353131052292</v>
      </c>
      <c r="N37" s="65">
        <v>1.0751592356687898</v>
      </c>
      <c r="O37" s="65">
        <v>1.0584020064493014</v>
      </c>
      <c r="P37" s="65">
        <v>1.0397747272087292</v>
      </c>
      <c r="Q37" s="65">
        <v>1.0200276243093922</v>
      </c>
      <c r="R37" s="65">
        <v>1</v>
      </c>
      <c r="S37" s="65">
        <v>0.98033684559860612</v>
      </c>
      <c r="T37" s="65">
        <v>0.96329741373140687</v>
      </c>
      <c r="U37" s="65">
        <v>0.94655414765626222</v>
      </c>
      <c r="V37" s="65">
        <v>0.93010189965597889</v>
      </c>
      <c r="W37" s="65">
        <v>0.91393561148687152</v>
      </c>
      <c r="X37" s="65">
        <v>0.89805031282360592</v>
      </c>
      <c r="Y37" s="65">
        <v>0.88244111973107142</v>
      </c>
      <c r="Z37" s="65">
        <v>0.86710323316281623</v>
      </c>
      <c r="AA37" s="65">
        <v>0.85203193748557959</v>
      </c>
      <c r="AB37" s="65">
        <v>0.83722259902947138</v>
      </c>
      <c r="AC37" s="65">
        <v>0.82267066466334926</v>
      </c>
      <c r="AD37" s="65">
        <v>0.808371660394959</v>
      </c>
      <c r="AE37" s="65">
        <v>0.7943211899954058</v>
      </c>
      <c r="AF37" s="65">
        <v>0.78051493364753299</v>
      </c>
      <c r="AG37" s="65">
        <v>0.76694864661779494</v>
      </c>
      <c r="AH37" s="65">
        <v>0.75361815795121334</v>
      </c>
      <c r="AI37" s="65">
        <v>0.74051936918901717</v>
      </c>
      <c r="AJ37" s="65">
        <v>0.7276482531085714</v>
      </c>
      <c r="AK37" s="65">
        <v>0.71500085248520784</v>
      </c>
      <c r="AL37" s="65">
        <v>0.70257327887557586</v>
      </c>
      <c r="AM37" s="65">
        <v>0.69036171142214087</v>
      </c>
      <c r="AN37" s="373"/>
      <c r="AO37" s="275"/>
      <c r="AP37" s="275"/>
      <c r="AQ37" s="275"/>
      <c r="AR37" s="275"/>
      <c r="AS37" s="275"/>
      <c r="AT37" s="275"/>
      <c r="AU37" s="275"/>
      <c r="AV37" s="275"/>
      <c r="AW37" s="275"/>
      <c r="AX37" s="275"/>
      <c r="AY37" s="275"/>
      <c r="AZ37" s="275"/>
      <c r="BA37" s="275"/>
      <c r="BB37" s="275"/>
    </row>
    <row r="38" spans="1:54" s="276" customFormat="1" x14ac:dyDescent="0.2">
      <c r="A38" s="284"/>
      <c r="B38" s="284"/>
      <c r="C38" s="419" t="s">
        <v>532</v>
      </c>
      <c r="D38" s="65">
        <v>0.7575707292790177</v>
      </c>
      <c r="E38" s="65">
        <v>0.78221189745291619</v>
      </c>
      <c r="F38" s="65">
        <v>0.80345142288227001</v>
      </c>
      <c r="G38" s="65">
        <v>0.82012776902016093</v>
      </c>
      <c r="H38" s="65">
        <v>0.82966896208412844</v>
      </c>
      <c r="I38" s="65">
        <v>0.83697004895046867</v>
      </c>
      <c r="J38" s="65">
        <v>0.85397826267319343</v>
      </c>
      <c r="K38" s="65">
        <v>0.86957603916037496</v>
      </c>
      <c r="L38" s="65">
        <v>0.88451008047788937</v>
      </c>
      <c r="M38" s="65">
        <v>0.89961005558782048</v>
      </c>
      <c r="N38" s="65">
        <v>0.9118061893304571</v>
      </c>
      <c r="O38" s="65">
        <v>0.92624242927072098</v>
      </c>
      <c r="P38" s="65">
        <v>0.94283580851240356</v>
      </c>
      <c r="Q38" s="65">
        <v>0.96108852567825442</v>
      </c>
      <c r="R38" s="65">
        <v>0.98033684559860612</v>
      </c>
      <c r="S38" s="65">
        <v>1</v>
      </c>
      <c r="T38" s="65">
        <v>1.0176886511105596</v>
      </c>
      <c r="U38" s="65">
        <v>1.0356901905992304</v>
      </c>
      <c r="V38" s="65">
        <v>1.0540101530393691</v>
      </c>
      <c r="W38" s="65">
        <v>1.07265417090347</v>
      </c>
      <c r="X38" s="65">
        <v>1.0916279762948682</v>
      </c>
      <c r="Y38" s="65">
        <v>1.1109374027100745</v>
      </c>
      <c r="Z38" s="65">
        <v>1.1305883868322841</v>
      </c>
      <c r="AA38" s="65">
        <v>1.1505869703566107</v>
      </c>
      <c r="AB38" s="65">
        <v>1.1709393018476046</v>
      </c>
      <c r="AC38" s="65">
        <v>1.1916516386296292</v>
      </c>
      <c r="AD38" s="65">
        <v>1.2127303487106753</v>
      </c>
      <c r="AE38" s="65">
        <v>1.2341819127402058</v>
      </c>
      <c r="AF38" s="65">
        <v>1.2560129260016304</v>
      </c>
      <c r="AG38" s="65">
        <v>1.2782301004400263</v>
      </c>
      <c r="AH38" s="65">
        <v>1.3008402667257255</v>
      </c>
      <c r="AI38" s="65">
        <v>1.3238503763544043</v>
      </c>
      <c r="AJ38" s="65">
        <v>1.3472675037843205</v>
      </c>
      <c r="AK38" s="65">
        <v>1.3710988486113558</v>
      </c>
      <c r="AL38" s="65">
        <v>1.395351737782532</v>
      </c>
      <c r="AM38" s="65">
        <v>1.4200336278486803</v>
      </c>
      <c r="AN38" s="373"/>
      <c r="AO38" s="275"/>
      <c r="AP38" s="275"/>
      <c r="AQ38" s="275"/>
      <c r="AR38" s="275"/>
      <c r="AS38" s="275"/>
      <c r="AT38" s="275"/>
      <c r="AU38" s="275"/>
      <c r="AV38" s="275"/>
      <c r="AW38" s="275"/>
      <c r="AX38" s="275"/>
      <c r="AY38" s="275"/>
      <c r="AZ38" s="275"/>
      <c r="BA38" s="275"/>
      <c r="BB38" s="275"/>
    </row>
    <row r="39" spans="1:54" s="276" customFormat="1" x14ac:dyDescent="0.2">
      <c r="A39" s="284"/>
      <c r="B39" s="284"/>
      <c r="C39" s="374"/>
      <c r="D39" s="65">
        <v>1.3200087613623919</v>
      </c>
      <c r="E39" s="65">
        <v>1.2784259652100129</v>
      </c>
      <c r="F39" s="65">
        <v>1.2446303180503924</v>
      </c>
      <c r="G39" s="65">
        <v>1.219322205361659</v>
      </c>
      <c r="H39" s="65">
        <v>1.2053</v>
      </c>
      <c r="I39" s="65">
        <v>1.1947858842188741</v>
      </c>
      <c r="J39" s="65">
        <v>1.1709899931992616</v>
      </c>
      <c r="K39" s="65">
        <v>1.1499856883885127</v>
      </c>
      <c r="L39" s="65">
        <v>1.1305693649751429</v>
      </c>
      <c r="M39" s="65">
        <v>1.1115927326385686</v>
      </c>
      <c r="N39" s="65">
        <v>1.0967242948134668</v>
      </c>
      <c r="O39" s="65">
        <v>1.0796309566463633</v>
      </c>
      <c r="P39" s="65">
        <v>1.0606300598380851</v>
      </c>
      <c r="Q39" s="65">
        <v>1.0404868784530386</v>
      </c>
      <c r="R39" s="65">
        <v>1.0200575490859851</v>
      </c>
      <c r="S39" s="65">
        <v>1</v>
      </c>
      <c r="T39" s="65">
        <v>0.9826187988917271</v>
      </c>
      <c r="U39" s="65">
        <v>0.96553970393542032</v>
      </c>
      <c r="V39" s="65">
        <v>0.94875746416329665</v>
      </c>
      <c r="W39" s="65">
        <v>0.93226691987569932</v>
      </c>
      <c r="X39" s="65">
        <v>0.91606300105474958</v>
      </c>
      <c r="Y39" s="65">
        <v>0.90014072580556892</v>
      </c>
      <c r="Z39" s="65">
        <v>0.8844951988245956</v>
      </c>
      <c r="AA39" s="65">
        <v>0.86912160989452358</v>
      </c>
      <c r="AB39" s="65">
        <v>0.85401523240540089</v>
      </c>
      <c r="AC39" s="65">
        <v>0.83917142190143423</v>
      </c>
      <c r="AD39" s="65">
        <v>0.82458561465305014</v>
      </c>
      <c r="AE39" s="65">
        <v>0.81025332625377655</v>
      </c>
      <c r="AF39" s="65">
        <v>0.79617015024151272</v>
      </c>
      <c r="AG39" s="65">
        <v>0.7823317567437611</v>
      </c>
      <c r="AH39" s="65">
        <v>0.76873389114640933</v>
      </c>
      <c r="AI39" s="65">
        <v>0.75537237278564839</v>
      </c>
      <c r="AJ39" s="65">
        <v>0.74224309366262775</v>
      </c>
      <c r="AK39" s="65">
        <v>0.729342017180451</v>
      </c>
      <c r="AL39" s="65">
        <v>0.71666517690312415</v>
      </c>
      <c r="AM39" s="65">
        <v>0.70420867533607501</v>
      </c>
      <c r="AN39" s="373"/>
      <c r="AO39" s="275"/>
      <c r="AP39" s="275"/>
      <c r="AQ39" s="275"/>
      <c r="AR39" s="275"/>
      <c r="AS39" s="275"/>
      <c r="AT39" s="275"/>
      <c r="AU39" s="275"/>
      <c r="AV39" s="275"/>
      <c r="AW39" s="275"/>
      <c r="AX39" s="275"/>
      <c r="AY39" s="275"/>
      <c r="AZ39" s="275"/>
      <c r="BA39" s="275"/>
      <c r="BB39" s="275"/>
    </row>
    <row r="40" spans="1:54" s="275" customFormat="1" ht="15.75" x14ac:dyDescent="0.25">
      <c r="A40" s="284"/>
      <c r="B40" s="284"/>
      <c r="C40" s="375"/>
      <c r="D40" s="371"/>
      <c r="E40" s="371"/>
      <c r="F40" s="371"/>
      <c r="G40" s="371"/>
      <c r="H40" s="371"/>
      <c r="I40" s="371"/>
      <c r="J40" s="371"/>
      <c r="K40" s="371"/>
      <c r="L40" s="371"/>
      <c r="M40" s="371"/>
      <c r="N40" s="371"/>
      <c r="O40" s="371"/>
      <c r="P40" s="371"/>
      <c r="Q40" s="371"/>
      <c r="R40" s="371"/>
      <c r="S40" s="371"/>
      <c r="T40" s="371"/>
      <c r="U40" s="371"/>
      <c r="V40" s="371"/>
      <c r="W40" s="371"/>
      <c r="X40" s="371"/>
      <c r="Y40" s="371"/>
      <c r="Z40" s="371"/>
      <c r="AA40" s="371"/>
      <c r="AB40" s="371"/>
      <c r="AC40" s="371"/>
      <c r="AD40" s="371"/>
      <c r="AE40" s="371"/>
      <c r="AF40" s="371"/>
      <c r="AG40" s="371"/>
      <c r="AH40" s="371"/>
      <c r="AI40" s="371"/>
      <c r="AJ40" s="371"/>
      <c r="AK40" s="371"/>
      <c r="AL40" s="371"/>
      <c r="AM40" s="371"/>
      <c r="AN40" s="372"/>
    </row>
    <row r="41" spans="1:54" s="275" customFormat="1" x14ac:dyDescent="0.2">
      <c r="A41" s="284"/>
      <c r="B41" s="284"/>
      <c r="C41" s="376"/>
      <c r="D41" s="377"/>
      <c r="E41" s="377"/>
      <c r="F41" s="377"/>
      <c r="G41" s="377"/>
      <c r="H41" s="377"/>
      <c r="I41" s="377"/>
      <c r="J41" s="377"/>
      <c r="K41" s="377"/>
      <c r="L41" s="377"/>
      <c r="M41" s="377"/>
      <c r="N41" s="377"/>
      <c r="O41" s="377"/>
      <c r="P41" s="377"/>
      <c r="Q41" s="377"/>
      <c r="R41" s="377"/>
      <c r="S41" s="377"/>
      <c r="T41" s="377"/>
      <c r="U41" s="377"/>
      <c r="V41" s="377"/>
      <c r="W41" s="377"/>
      <c r="X41" s="377"/>
      <c r="Y41" s="377"/>
      <c r="Z41" s="377"/>
      <c r="AA41" s="377"/>
      <c r="AB41" s="377"/>
      <c r="AC41" s="377"/>
      <c r="AD41" s="377"/>
      <c r="AE41" s="377"/>
      <c r="AF41" s="377"/>
      <c r="AG41" s="377"/>
      <c r="AH41" s="377"/>
      <c r="AI41" s="377"/>
      <c r="AJ41" s="377"/>
      <c r="AK41" s="377"/>
      <c r="AL41" s="377"/>
      <c r="AM41" s="376"/>
      <c r="AN41" s="372"/>
    </row>
    <row r="42" spans="1:54" x14ac:dyDescent="0.2">
      <c r="A42" s="284"/>
      <c r="B42" s="284"/>
      <c r="C42" s="376"/>
      <c r="D42" s="377"/>
      <c r="E42" s="377"/>
      <c r="F42" s="377"/>
      <c r="G42" s="377"/>
      <c r="H42" s="377"/>
      <c r="I42" s="377"/>
      <c r="J42" s="377"/>
      <c r="K42" s="377"/>
      <c r="L42" s="377"/>
      <c r="M42" s="377"/>
      <c r="N42" s="377"/>
      <c r="O42" s="377"/>
      <c r="P42" s="377"/>
      <c r="Q42" s="377"/>
      <c r="R42" s="377"/>
      <c r="S42" s="376"/>
      <c r="T42" s="376"/>
      <c r="U42" s="376"/>
      <c r="V42" s="376"/>
      <c r="W42" s="376"/>
      <c r="X42" s="376"/>
      <c r="Y42" s="376"/>
      <c r="Z42" s="376"/>
      <c r="AA42" s="376"/>
      <c r="AB42" s="376"/>
      <c r="AC42" s="376"/>
      <c r="AD42" s="376"/>
      <c r="AE42" s="376"/>
      <c r="AF42" s="376"/>
      <c r="AG42" s="376"/>
      <c r="AH42" s="376"/>
      <c r="AI42" s="376"/>
      <c r="AJ42" s="376"/>
      <c r="AK42" s="376"/>
      <c r="AL42" s="376"/>
      <c r="AM42" s="376"/>
      <c r="AN42" s="372"/>
      <c r="AO42" s="275"/>
      <c r="AP42" s="275"/>
      <c r="AQ42" s="275"/>
      <c r="AR42" s="275"/>
      <c r="AS42" s="275"/>
      <c r="AT42" s="275"/>
      <c r="AU42" s="275"/>
      <c r="AV42" s="275"/>
      <c r="AW42" s="275"/>
      <c r="AX42" s="275"/>
      <c r="AY42" s="275"/>
      <c r="AZ42" s="275"/>
      <c r="BA42" s="275"/>
      <c r="BB42" s="275"/>
    </row>
    <row r="43" spans="1:54" x14ac:dyDescent="0.2">
      <c r="A43" s="284"/>
      <c r="B43" s="284"/>
      <c r="C43" s="417" t="s">
        <v>525</v>
      </c>
      <c r="D43" s="378"/>
      <c r="E43" s="378"/>
      <c r="F43" s="378"/>
      <c r="G43" s="378"/>
      <c r="H43" s="378"/>
      <c r="I43" s="378"/>
      <c r="J43" s="376"/>
      <c r="K43" s="376"/>
      <c r="L43" s="376"/>
      <c r="M43" s="376"/>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6"/>
      <c r="AK43" s="376"/>
      <c r="AL43" s="376"/>
      <c r="AM43" s="376"/>
      <c r="AN43" s="372"/>
      <c r="AO43" s="275"/>
      <c r="AP43" s="275"/>
      <c r="AQ43" s="275"/>
      <c r="AR43" s="275"/>
      <c r="AS43" s="275"/>
      <c r="AT43" s="275"/>
      <c r="AU43" s="275"/>
      <c r="AV43" s="275"/>
      <c r="AW43" s="275"/>
      <c r="AX43" s="275"/>
      <c r="AY43" s="275"/>
      <c r="AZ43" s="275"/>
      <c r="BA43" s="275"/>
      <c r="BB43" s="275"/>
    </row>
    <row r="44" spans="1:54" x14ac:dyDescent="0.2">
      <c r="A44" s="284"/>
      <c r="B44" s="284"/>
      <c r="C44" s="417" t="s">
        <v>526</v>
      </c>
      <c r="D44" s="376"/>
      <c r="E44" s="378"/>
      <c r="F44" s="378"/>
      <c r="G44" s="378"/>
      <c r="H44" s="378"/>
      <c r="I44" s="376"/>
      <c r="J44" s="376"/>
      <c r="K44" s="376"/>
      <c r="L44" s="376"/>
      <c r="M44" s="376"/>
      <c r="N44" s="376"/>
      <c r="O44" s="376"/>
      <c r="P44" s="376"/>
      <c r="Q44" s="376"/>
      <c r="R44" s="376"/>
      <c r="S44" s="376"/>
      <c r="T44" s="376"/>
      <c r="U44" s="376"/>
      <c r="V44" s="376"/>
      <c r="W44" s="376"/>
      <c r="X44" s="376"/>
      <c r="Y44" s="376"/>
      <c r="Z44" s="376"/>
      <c r="AA44" s="376"/>
      <c r="AB44" s="376"/>
      <c r="AC44" s="376"/>
      <c r="AD44" s="376"/>
      <c r="AE44" s="376"/>
      <c r="AF44" s="376"/>
      <c r="AG44" s="376"/>
      <c r="AH44" s="376"/>
      <c r="AI44" s="376"/>
      <c r="AJ44" s="376"/>
      <c r="AK44" s="376"/>
      <c r="AL44" s="376"/>
      <c r="AM44" s="376"/>
      <c r="AN44" s="372"/>
      <c r="AO44" s="275"/>
      <c r="AP44" s="275"/>
      <c r="AQ44" s="275"/>
      <c r="AR44" s="275"/>
      <c r="AS44" s="275"/>
      <c r="AT44" s="275"/>
      <c r="AU44" s="275"/>
      <c r="AV44" s="275"/>
      <c r="AW44" s="275"/>
      <c r="AX44" s="275"/>
      <c r="AY44" s="275"/>
      <c r="AZ44" s="275"/>
      <c r="BA44" s="275"/>
      <c r="BB44" s="275"/>
    </row>
    <row r="45" spans="1:54" x14ac:dyDescent="0.2">
      <c r="A45" s="284"/>
      <c r="B45" s="284"/>
      <c r="C45" s="418" t="s">
        <v>527</v>
      </c>
      <c r="D45" s="376"/>
      <c r="E45" s="376"/>
      <c r="F45" s="376"/>
      <c r="G45" s="376"/>
      <c r="H45" s="376"/>
      <c r="I45" s="376"/>
      <c r="J45" s="376"/>
      <c r="K45" s="376"/>
      <c r="L45" s="376"/>
      <c r="M45" s="376"/>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6"/>
      <c r="AK45" s="376"/>
      <c r="AL45" s="376"/>
      <c r="AM45" s="376"/>
      <c r="AN45" s="372"/>
      <c r="AO45" s="275"/>
      <c r="AP45" s="275"/>
      <c r="AQ45" s="275"/>
      <c r="AR45" s="275"/>
      <c r="AS45" s="275"/>
      <c r="AT45" s="275"/>
      <c r="AU45" s="275"/>
      <c r="AV45" s="275"/>
      <c r="AW45" s="275"/>
      <c r="AX45" s="275"/>
      <c r="AY45" s="275"/>
      <c r="AZ45" s="275"/>
      <c r="BA45" s="275"/>
      <c r="BB45" s="275"/>
    </row>
    <row r="46" spans="1:54" x14ac:dyDescent="0.2">
      <c r="A46" s="284"/>
      <c r="B46" s="284"/>
      <c r="C46" s="379"/>
      <c r="D46" s="376"/>
      <c r="E46" s="376"/>
      <c r="F46" s="376"/>
      <c r="G46" s="376"/>
      <c r="H46" s="376"/>
      <c r="I46" s="376"/>
      <c r="J46" s="376"/>
      <c r="K46" s="376"/>
      <c r="L46" s="376"/>
      <c r="M46" s="376"/>
      <c r="N46" s="376"/>
      <c r="O46" s="376"/>
      <c r="P46" s="376"/>
      <c r="Q46" s="376"/>
      <c r="R46" s="376"/>
      <c r="S46" s="376"/>
      <c r="T46" s="376"/>
      <c r="U46" s="376"/>
      <c r="V46" s="376"/>
      <c r="W46" s="376"/>
      <c r="X46" s="376"/>
      <c r="Y46" s="376"/>
      <c r="Z46" s="376"/>
      <c r="AA46" s="376"/>
      <c r="AB46" s="376"/>
      <c r="AC46" s="376"/>
      <c r="AD46" s="376"/>
      <c r="AE46" s="376"/>
      <c r="AF46" s="376"/>
      <c r="AG46" s="376"/>
      <c r="AH46" s="376"/>
      <c r="AI46" s="376"/>
      <c r="AJ46" s="376"/>
      <c r="AK46" s="376"/>
      <c r="AL46" s="376"/>
      <c r="AM46" s="376"/>
      <c r="AN46" s="372"/>
      <c r="AO46" s="275"/>
      <c r="AP46" s="275"/>
      <c r="AQ46" s="275"/>
      <c r="AR46" s="275"/>
      <c r="AS46" s="275"/>
      <c r="AT46" s="275"/>
      <c r="AU46" s="275"/>
      <c r="AV46" s="275"/>
      <c r="AW46" s="275"/>
      <c r="AX46" s="275"/>
      <c r="AY46" s="275"/>
      <c r="AZ46" s="275"/>
      <c r="BA46" s="275"/>
      <c r="BB46" s="275"/>
    </row>
    <row r="47" spans="1:54" x14ac:dyDescent="0.2">
      <c r="A47" s="284"/>
      <c r="B47" s="284"/>
      <c r="C47" s="379"/>
      <c r="D47" s="376"/>
      <c r="E47" s="376"/>
      <c r="F47" s="376"/>
      <c r="G47" s="376"/>
      <c r="H47" s="376"/>
      <c r="I47" s="376"/>
      <c r="J47" s="376"/>
      <c r="K47" s="376"/>
      <c r="L47" s="376"/>
      <c r="M47" s="376"/>
      <c r="N47" s="376"/>
      <c r="O47" s="376"/>
      <c r="P47" s="376"/>
      <c r="Q47" s="376"/>
      <c r="R47" s="376"/>
      <c r="S47" s="376"/>
      <c r="T47" s="376"/>
      <c r="U47" s="376"/>
      <c r="V47" s="376"/>
      <c r="W47" s="376"/>
      <c r="X47" s="376"/>
      <c r="Y47" s="376"/>
      <c r="Z47" s="376"/>
      <c r="AA47" s="376"/>
      <c r="AB47" s="376"/>
      <c r="AC47" s="376"/>
      <c r="AD47" s="376"/>
      <c r="AE47" s="376"/>
      <c r="AF47" s="376"/>
      <c r="AG47" s="376"/>
      <c r="AH47" s="376"/>
      <c r="AI47" s="376"/>
      <c r="AJ47" s="376"/>
      <c r="AK47" s="376"/>
      <c r="AL47" s="376"/>
      <c r="AM47" s="376"/>
      <c r="AN47" s="372"/>
      <c r="AO47" s="275"/>
      <c r="AP47" s="275"/>
      <c r="AQ47" s="275"/>
      <c r="AR47" s="275"/>
      <c r="AS47" s="275"/>
      <c r="AT47" s="275"/>
      <c r="AU47" s="275"/>
      <c r="AV47" s="275"/>
      <c r="AW47" s="275"/>
      <c r="AX47" s="275"/>
      <c r="AY47" s="275"/>
      <c r="AZ47" s="275"/>
      <c r="BA47" s="275"/>
      <c r="BB47" s="275"/>
    </row>
    <row r="48" spans="1:54" x14ac:dyDescent="0.2">
      <c r="A48" s="284"/>
      <c r="B48" s="284"/>
      <c r="C48" s="379"/>
      <c r="D48" s="376"/>
      <c r="E48" s="376"/>
      <c r="F48" s="376"/>
      <c r="G48" s="376"/>
      <c r="H48" s="376"/>
      <c r="I48" s="376"/>
      <c r="J48" s="376"/>
      <c r="K48" s="376"/>
      <c r="L48" s="376"/>
      <c r="M48" s="376"/>
      <c r="N48" s="376"/>
      <c r="O48" s="376"/>
      <c r="P48" s="376"/>
      <c r="Q48" s="376"/>
      <c r="R48" s="376"/>
      <c r="S48" s="376"/>
      <c r="T48" s="376"/>
      <c r="U48" s="376"/>
      <c r="V48" s="376"/>
      <c r="W48" s="376"/>
      <c r="X48" s="376"/>
      <c r="Y48" s="376"/>
      <c r="Z48" s="376"/>
      <c r="AA48" s="376"/>
      <c r="AB48" s="376"/>
      <c r="AC48" s="376"/>
      <c r="AD48" s="376"/>
      <c r="AE48" s="376"/>
      <c r="AF48" s="376"/>
      <c r="AG48" s="376"/>
      <c r="AH48" s="376"/>
      <c r="AI48" s="376"/>
      <c r="AJ48" s="376"/>
      <c r="AK48" s="376"/>
      <c r="AL48" s="376"/>
      <c r="AM48" s="376"/>
      <c r="AN48" s="372"/>
      <c r="AO48" s="275"/>
      <c r="AP48" s="275"/>
      <c r="AQ48" s="275"/>
      <c r="AR48" s="275"/>
      <c r="AS48" s="275"/>
      <c r="AT48" s="275"/>
      <c r="AU48" s="275"/>
      <c r="AV48" s="275"/>
      <c r="AW48" s="275"/>
      <c r="AX48" s="275"/>
      <c r="AY48" s="275"/>
      <c r="AZ48" s="275"/>
      <c r="BA48" s="275"/>
      <c r="BB48" s="275"/>
    </row>
    <row r="49" spans="1:54" x14ac:dyDescent="0.2">
      <c r="A49" s="284"/>
      <c r="B49" s="284"/>
      <c r="C49" s="379"/>
      <c r="D49" s="376"/>
      <c r="E49" s="376"/>
      <c r="F49" s="376"/>
      <c r="G49" s="376"/>
      <c r="H49" s="376"/>
      <c r="I49" s="376"/>
      <c r="J49" s="376"/>
      <c r="K49" s="376"/>
      <c r="L49" s="376"/>
      <c r="M49" s="376"/>
      <c r="N49" s="376"/>
      <c r="O49" s="376"/>
      <c r="P49" s="376"/>
      <c r="Q49" s="376"/>
      <c r="R49" s="376"/>
      <c r="S49" s="376"/>
      <c r="T49" s="376"/>
      <c r="U49" s="376"/>
      <c r="V49" s="376"/>
      <c r="W49" s="376"/>
      <c r="X49" s="376"/>
      <c r="Y49" s="376"/>
      <c r="Z49" s="376"/>
      <c r="AA49" s="376"/>
      <c r="AB49" s="376"/>
      <c r="AC49" s="376"/>
      <c r="AD49" s="376"/>
      <c r="AE49" s="376"/>
      <c r="AF49" s="376"/>
      <c r="AG49" s="376"/>
      <c r="AH49" s="376"/>
      <c r="AI49" s="376"/>
      <c r="AJ49" s="376"/>
      <c r="AK49" s="376"/>
      <c r="AL49" s="376"/>
      <c r="AM49" s="376"/>
      <c r="AN49" s="372"/>
      <c r="AO49" s="275"/>
      <c r="AP49" s="275"/>
      <c r="AQ49" s="275"/>
      <c r="AR49" s="275"/>
      <c r="AS49" s="275"/>
      <c r="AT49" s="275"/>
      <c r="AU49" s="275"/>
      <c r="AV49" s="275"/>
      <c r="AW49" s="275"/>
      <c r="AX49" s="275"/>
      <c r="AY49" s="275"/>
      <c r="AZ49" s="275"/>
      <c r="BA49" s="275"/>
      <c r="BB49" s="275"/>
    </row>
    <row r="50" spans="1:54" x14ac:dyDescent="0.2">
      <c r="A50" s="284"/>
      <c r="B50" s="284"/>
      <c r="C50" s="379"/>
      <c r="D50" s="376"/>
      <c r="E50" s="376"/>
      <c r="F50" s="376"/>
      <c r="G50" s="376"/>
      <c r="H50" s="376"/>
      <c r="I50" s="376"/>
      <c r="J50" s="376"/>
      <c r="K50" s="376"/>
      <c r="L50" s="376"/>
      <c r="M50" s="376"/>
      <c r="N50" s="376"/>
      <c r="O50" s="376"/>
      <c r="P50" s="376"/>
      <c r="Q50" s="376"/>
      <c r="R50" s="376"/>
      <c r="S50" s="376"/>
      <c r="T50" s="376"/>
      <c r="U50" s="376"/>
      <c r="V50" s="376"/>
      <c r="W50" s="376"/>
      <c r="X50" s="376"/>
      <c r="Y50" s="376"/>
      <c r="Z50" s="376"/>
      <c r="AA50" s="376"/>
      <c r="AB50" s="376"/>
      <c r="AC50" s="376"/>
      <c r="AD50" s="376"/>
      <c r="AE50" s="376"/>
      <c r="AF50" s="376"/>
      <c r="AG50" s="376"/>
      <c r="AH50" s="376"/>
      <c r="AI50" s="376"/>
      <c r="AJ50" s="376"/>
      <c r="AK50" s="376"/>
      <c r="AL50" s="376"/>
      <c r="AM50" s="376"/>
      <c r="AN50" s="372"/>
      <c r="AO50" s="275"/>
      <c r="AP50" s="275"/>
      <c r="AQ50" s="275"/>
      <c r="AR50" s="275"/>
      <c r="AS50" s="275"/>
      <c r="AT50" s="275"/>
      <c r="AU50" s="275"/>
      <c r="AV50" s="275"/>
      <c r="AW50" s="275"/>
      <c r="AX50" s="275"/>
      <c r="AY50" s="275"/>
      <c r="AZ50" s="275"/>
      <c r="BA50" s="275"/>
      <c r="BB50" s="275"/>
    </row>
    <row r="51" spans="1:54" x14ac:dyDescent="0.2">
      <c r="A51" s="284"/>
      <c r="B51" s="284"/>
      <c r="C51" s="379"/>
      <c r="D51" s="421">
        <f>HLOOKUP($E$4,E$51:R$53,3)</f>
        <v>17</v>
      </c>
      <c r="E51" s="380">
        <v>2007</v>
      </c>
      <c r="F51" s="380">
        <v>2008</v>
      </c>
      <c r="G51" s="380">
        <v>2009</v>
      </c>
      <c r="H51" s="380">
        <v>2010</v>
      </c>
      <c r="I51" s="380">
        <v>2011</v>
      </c>
      <c r="J51" s="380">
        <v>2012</v>
      </c>
      <c r="K51" s="380">
        <v>2013</v>
      </c>
      <c r="L51" s="380">
        <v>2014</v>
      </c>
      <c r="M51" s="380">
        <v>2015</v>
      </c>
      <c r="N51" s="376">
        <v>2016</v>
      </c>
      <c r="O51" s="376">
        <v>2017</v>
      </c>
      <c r="P51" s="376">
        <v>2018</v>
      </c>
      <c r="Q51" s="376">
        <v>2019</v>
      </c>
      <c r="R51" s="376">
        <v>2020</v>
      </c>
      <c r="S51" s="376"/>
      <c r="T51" s="376"/>
      <c r="U51" s="376"/>
      <c r="V51" s="376"/>
      <c r="W51" s="376"/>
      <c r="X51" s="376"/>
      <c r="Y51" s="376"/>
      <c r="Z51" s="376"/>
      <c r="AA51" s="376"/>
      <c r="AB51" s="376"/>
      <c r="AC51" s="376"/>
      <c r="AD51" s="376"/>
      <c r="AE51" s="376"/>
      <c r="AF51" s="376"/>
      <c r="AG51" s="376"/>
      <c r="AH51" s="376"/>
      <c r="AI51" s="376"/>
      <c r="AJ51" s="376"/>
      <c r="AK51" s="376"/>
      <c r="AL51" s="376"/>
      <c r="AM51" s="376"/>
      <c r="AN51" s="372"/>
      <c r="AO51" s="275"/>
      <c r="AP51" s="275"/>
      <c r="AQ51" s="275"/>
      <c r="AR51" s="275"/>
      <c r="AS51" s="275"/>
      <c r="AT51" s="275"/>
      <c r="AU51" s="275"/>
      <c r="AV51" s="275"/>
      <c r="AW51" s="275"/>
      <c r="AX51" s="275"/>
      <c r="AY51" s="275"/>
      <c r="AZ51" s="275"/>
      <c r="BA51" s="275"/>
      <c r="BB51" s="275"/>
    </row>
    <row r="52" spans="1:54" x14ac:dyDescent="0.2">
      <c r="A52" s="284"/>
      <c r="B52" s="284"/>
      <c r="C52" s="379"/>
      <c r="D52" s="421">
        <f>HLOOKUP($E$4,E$51:R$53,2)</f>
        <v>16</v>
      </c>
      <c r="E52" s="380">
        <v>2</v>
      </c>
      <c r="F52" s="380">
        <v>4</v>
      </c>
      <c r="G52" s="380">
        <v>6</v>
      </c>
      <c r="H52" s="380">
        <v>8</v>
      </c>
      <c r="I52" s="380">
        <v>10</v>
      </c>
      <c r="J52" s="380">
        <v>12</v>
      </c>
      <c r="K52" s="380">
        <v>14</v>
      </c>
      <c r="L52" s="380">
        <v>16</v>
      </c>
      <c r="M52" s="380">
        <v>18</v>
      </c>
      <c r="N52" s="376">
        <v>20</v>
      </c>
      <c r="O52" s="376">
        <v>22</v>
      </c>
      <c r="P52" s="376">
        <v>24</v>
      </c>
      <c r="Q52" s="376">
        <v>26</v>
      </c>
      <c r="R52" s="376">
        <v>28</v>
      </c>
      <c r="S52" s="376"/>
      <c r="T52" s="376"/>
      <c r="U52" s="376"/>
      <c r="V52" s="376"/>
      <c r="W52" s="376"/>
      <c r="X52" s="376"/>
      <c r="Y52" s="376"/>
      <c r="Z52" s="376"/>
      <c r="AA52" s="376"/>
      <c r="AB52" s="376"/>
      <c r="AC52" s="376"/>
      <c r="AD52" s="376"/>
      <c r="AE52" s="376"/>
      <c r="AF52" s="376"/>
      <c r="AG52" s="376"/>
      <c r="AH52" s="376"/>
      <c r="AI52" s="376"/>
      <c r="AJ52" s="376"/>
      <c r="AK52" s="376"/>
      <c r="AL52" s="376"/>
      <c r="AM52" s="376"/>
      <c r="AN52" s="372"/>
      <c r="AO52" s="275"/>
      <c r="AP52" s="275"/>
      <c r="AQ52" s="275"/>
      <c r="AR52" s="275"/>
      <c r="AS52" s="275"/>
      <c r="AT52" s="275"/>
      <c r="AU52" s="275"/>
      <c r="AV52" s="275"/>
      <c r="AW52" s="275"/>
      <c r="AX52" s="275"/>
      <c r="AY52" s="275"/>
      <c r="AZ52" s="275"/>
      <c r="BA52" s="275"/>
      <c r="BB52" s="275"/>
    </row>
    <row r="53" spans="1:54" x14ac:dyDescent="0.2">
      <c r="A53" s="284"/>
      <c r="B53" s="284"/>
      <c r="C53" s="379"/>
      <c r="D53" s="381"/>
      <c r="E53" s="380">
        <v>3</v>
      </c>
      <c r="F53" s="380">
        <v>5</v>
      </c>
      <c r="G53" s="380">
        <v>7</v>
      </c>
      <c r="H53" s="380">
        <v>9</v>
      </c>
      <c r="I53" s="380">
        <v>11</v>
      </c>
      <c r="J53" s="380">
        <v>13</v>
      </c>
      <c r="K53" s="380">
        <v>15</v>
      </c>
      <c r="L53" s="380">
        <v>17</v>
      </c>
      <c r="M53" s="380">
        <v>19</v>
      </c>
      <c r="N53" s="376">
        <v>21</v>
      </c>
      <c r="O53" s="376">
        <v>23</v>
      </c>
      <c r="P53" s="376">
        <v>25</v>
      </c>
      <c r="Q53" s="376">
        <v>27</v>
      </c>
      <c r="R53" s="376">
        <v>29</v>
      </c>
      <c r="S53" s="376"/>
      <c r="T53" s="376"/>
      <c r="U53" s="376"/>
      <c r="V53" s="376"/>
      <c r="W53" s="376"/>
      <c r="X53" s="376"/>
      <c r="Y53" s="376"/>
      <c r="Z53" s="376"/>
      <c r="AA53" s="376"/>
      <c r="AB53" s="376"/>
      <c r="AC53" s="376"/>
      <c r="AD53" s="376"/>
      <c r="AE53" s="376"/>
      <c r="AF53" s="376"/>
      <c r="AG53" s="376"/>
      <c r="AH53" s="376"/>
      <c r="AI53" s="376"/>
      <c r="AJ53" s="376"/>
      <c r="AK53" s="376"/>
      <c r="AL53" s="376"/>
      <c r="AM53" s="376"/>
      <c r="AN53" s="372"/>
      <c r="AO53" s="275"/>
      <c r="AP53" s="275"/>
      <c r="AQ53" s="275"/>
      <c r="AR53" s="275"/>
      <c r="AS53" s="275"/>
      <c r="AT53" s="275"/>
      <c r="AU53" s="275"/>
      <c r="AV53" s="275"/>
      <c r="AW53" s="275"/>
      <c r="AX53" s="275"/>
      <c r="AY53" s="275"/>
      <c r="AZ53" s="275"/>
      <c r="BA53" s="275"/>
      <c r="BB53" s="275"/>
    </row>
    <row r="54" spans="1:54" x14ac:dyDescent="0.2">
      <c r="A54" s="284"/>
      <c r="B54" s="284"/>
      <c r="C54" s="275"/>
      <c r="D54" s="275"/>
      <c r="E54" s="275"/>
      <c r="F54" s="275"/>
      <c r="G54" s="275"/>
      <c r="H54" s="275"/>
      <c r="I54" s="275"/>
      <c r="J54" s="275"/>
      <c r="K54" s="275"/>
      <c r="L54" s="275"/>
      <c r="M54" s="275"/>
      <c r="N54" s="275"/>
      <c r="O54" s="275"/>
      <c r="P54" s="275"/>
      <c r="Q54" s="275"/>
      <c r="R54" s="275"/>
      <c r="S54" s="275"/>
      <c r="T54" s="275"/>
      <c r="U54" s="275"/>
      <c r="V54" s="275"/>
      <c r="W54" s="275"/>
      <c r="X54" s="275"/>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c r="AW54" s="275"/>
      <c r="AX54" s="275"/>
      <c r="AY54" s="275"/>
      <c r="AZ54" s="275"/>
      <c r="BA54" s="275"/>
      <c r="BB54" s="275"/>
    </row>
    <row r="55" spans="1:54" x14ac:dyDescent="0.2">
      <c r="A55" s="284"/>
      <c r="B55" s="284"/>
      <c r="C55" s="191">
        <f>C53*100</f>
        <v>0</v>
      </c>
    </row>
    <row r="56" spans="1:54" x14ac:dyDescent="0.2">
      <c r="A56" s="284"/>
      <c r="B56" s="284"/>
    </row>
    <row r="57" spans="1:54" x14ac:dyDescent="0.2">
      <c r="A57" s="284"/>
      <c r="B57" s="284"/>
    </row>
    <row r="58" spans="1:54" x14ac:dyDescent="0.2">
      <c r="A58" s="284"/>
      <c r="B58" s="284"/>
    </row>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300" r:id="rId2"/>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E243"/>
  <sheetViews>
    <sheetView workbookViewId="0">
      <selection activeCell="D1" sqref="D1"/>
    </sheetView>
  </sheetViews>
  <sheetFormatPr defaultRowHeight="12.75" x14ac:dyDescent="0.2"/>
  <cols>
    <col min="1" max="1" width="206.42578125" style="275" customWidth="1"/>
    <col min="3" max="3" width="24.85546875" customWidth="1"/>
    <col min="4" max="4" width="13.85546875" customWidth="1"/>
    <col min="5" max="5" width="17" customWidth="1"/>
    <col min="6" max="6" width="19.140625" customWidth="1"/>
    <col min="7" max="7" width="15.7109375" customWidth="1"/>
    <col min="8" max="8" width="14.140625" customWidth="1"/>
    <col min="9" max="9" width="14" bestFit="1" customWidth="1"/>
    <col min="10" max="10" width="13.28515625" customWidth="1"/>
    <col min="11" max="11" width="17.7109375" customWidth="1"/>
    <col min="12" max="12" width="9.85546875" customWidth="1"/>
    <col min="14" max="14" width="14" bestFit="1" customWidth="1"/>
    <col min="15" max="15" width="13.42578125" customWidth="1"/>
    <col min="16" max="16" width="13.28515625" customWidth="1"/>
    <col min="17" max="17" width="10.42578125" customWidth="1"/>
    <col min="18" max="18" width="11.7109375" bestFit="1" customWidth="1"/>
    <col min="20" max="20" width="10.28515625"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29" width="21.5703125" customWidth="1"/>
    <col min="30" max="30" width="13.42578125" bestFit="1" customWidth="1"/>
    <col min="31" max="32" width="11.140625" customWidth="1"/>
    <col min="33" max="33" width="67.140625" customWidth="1"/>
    <col min="34" max="34" width="28.42578125" customWidth="1"/>
    <col min="50" max="50" width="13.42578125" customWidth="1"/>
  </cols>
  <sheetData>
    <row r="1" spans="1:34" x14ac:dyDescent="0.2">
      <c r="A1" s="284"/>
      <c r="B1" s="416"/>
      <c r="C1" s="1" t="s">
        <v>110</v>
      </c>
      <c r="D1" s="1"/>
      <c r="E1" s="11" t="str">
        <f>ProjectData!B13</f>
        <v>WYOMING</v>
      </c>
      <c r="F1" s="1" t="str">
        <f>Project_Data</f>
        <v>Natural Gas Combined Cycle Plant Project Data</v>
      </c>
      <c r="G1" s="1"/>
      <c r="I1" s="11"/>
      <c r="J1" s="11"/>
      <c r="K1" s="11"/>
    </row>
    <row r="2" spans="1:34" x14ac:dyDescent="0.2">
      <c r="A2" s="284"/>
      <c r="B2" s="416"/>
      <c r="C2" s="1"/>
      <c r="D2" s="1"/>
      <c r="E2" s="1"/>
      <c r="F2" s="1"/>
      <c r="G2" s="1"/>
      <c r="H2" s="11"/>
      <c r="I2" s="11"/>
      <c r="J2" s="11"/>
      <c r="K2" s="11"/>
    </row>
    <row r="3" spans="1:34" ht="15.75" x14ac:dyDescent="0.25">
      <c r="A3" s="284"/>
      <c r="B3" s="416"/>
      <c r="AB3" s="76" t="s">
        <v>378</v>
      </c>
      <c r="AC3" s="11" t="str">
        <f>IF(ProjectData!B$13="MyCounty",'User Add-in Location'!B$3,IF(ProjectData!B$13="MyRegion",'User Add-in Location'!B4,ProjectData!B$13))</f>
        <v>WYOMING</v>
      </c>
      <c r="AD3" s="120">
        <f>ProjectData!_xlnm.Print_Area</f>
        <v>2014</v>
      </c>
    </row>
    <row r="4" spans="1:34" ht="15" x14ac:dyDescent="0.2">
      <c r="A4" s="284"/>
      <c r="B4" s="416"/>
      <c r="C4" s="6"/>
    </row>
    <row r="5" spans="1:34" ht="23.25" x14ac:dyDescent="0.35">
      <c r="A5" s="285" t="s">
        <v>406</v>
      </c>
      <c r="B5" s="416"/>
      <c r="C5" s="213" t="s">
        <v>466</v>
      </c>
      <c r="W5" s="6"/>
      <c r="X5" s="8"/>
      <c r="Y5" s="8"/>
      <c r="Z5" s="8"/>
      <c r="AA5" s="8"/>
      <c r="AB5" s="213"/>
      <c r="AD5" s="72"/>
      <c r="AE5" s="8"/>
      <c r="AF5" s="8"/>
      <c r="AG5" s="8"/>
      <c r="AH5" s="8"/>
    </row>
    <row r="6" spans="1:34" ht="15" x14ac:dyDescent="0.2">
      <c r="A6" s="284"/>
      <c r="B6" s="416"/>
      <c r="C6" s="213" t="str">
        <f>DefaultData!C14</f>
        <v>Construction Costs</v>
      </c>
      <c r="D6" s="11" t="s">
        <v>101</v>
      </c>
      <c r="E6" s="17" t="s">
        <v>125</v>
      </c>
      <c r="F6" s="1"/>
      <c r="G6" s="17" t="s">
        <v>124</v>
      </c>
      <c r="W6" s="6"/>
      <c r="X6" s="8"/>
      <c r="Y6" s="8"/>
      <c r="Z6" s="8"/>
      <c r="AA6" s="8"/>
      <c r="AB6" s="213" t="str">
        <f>C6</f>
        <v>Construction Costs</v>
      </c>
      <c r="AC6" s="11" t="s">
        <v>101</v>
      </c>
      <c r="AD6" s="11" t="s">
        <v>1</v>
      </c>
      <c r="AE6" s="8"/>
      <c r="AF6" s="8"/>
      <c r="AG6" s="8"/>
      <c r="AH6" s="8"/>
    </row>
    <row r="7" spans="1:34" ht="15.75" x14ac:dyDescent="0.25">
      <c r="A7" s="286" t="s">
        <v>407</v>
      </c>
      <c r="B7" s="416"/>
      <c r="C7" s="2" t="str">
        <f>DefaultData!C15</f>
        <v xml:space="preserve"> Facility and Equipment</v>
      </c>
      <c r="D7" s="9"/>
      <c r="E7" s="7"/>
      <c r="W7" s="6"/>
      <c r="X7" s="8"/>
      <c r="Y7" s="8"/>
      <c r="Z7" s="8"/>
      <c r="AA7" s="8"/>
      <c r="AB7" s="213" t="str">
        <f>C7</f>
        <v xml:space="preserve"> Facility and Equipment</v>
      </c>
      <c r="AC7" s="12"/>
      <c r="AD7" s="72"/>
      <c r="AE7" s="8"/>
      <c r="AF7" s="8"/>
      <c r="AG7" s="8"/>
      <c r="AH7" s="8"/>
    </row>
    <row r="8" spans="1:34" ht="15" x14ac:dyDescent="0.2">
      <c r="A8" s="287"/>
      <c r="B8" s="416"/>
      <c r="C8" s="2" t="str">
        <f>DefaultData!C16</f>
        <v xml:space="preserve">   Power Generation</v>
      </c>
      <c r="D8" s="8">
        <f>IF(ProjectData!$B$26="y",DefaultData!D16,ProjectData!B34)</f>
        <v>220588235.29411766</v>
      </c>
      <c r="E8" s="7">
        <f>IF(ProjectData!$B$26="y",IF(ProjectData!T$12=0,DefaultData!G16,ProjectData!T34),ProjectData!E34)</f>
        <v>0</v>
      </c>
      <c r="G8" s="8">
        <f>+E8*D8</f>
        <v>0</v>
      </c>
      <c r="W8" s="6"/>
      <c r="X8" s="8"/>
      <c r="Y8" s="8"/>
      <c r="Z8" s="8"/>
      <c r="AA8" s="8"/>
      <c r="AB8" s="213" t="str">
        <f t="shared" ref="AB8:AB26" si="0">C8</f>
        <v xml:space="preserve">   Power Generation</v>
      </c>
      <c r="AC8" s="246">
        <f t="shared" ref="AC8:AC26" si="1">D8</f>
        <v>220588235.29411766</v>
      </c>
      <c r="AD8" s="247">
        <f t="shared" ref="AD8:AD25" si="2">E8</f>
        <v>0</v>
      </c>
      <c r="AE8" s="8"/>
      <c r="AF8" s="8"/>
      <c r="AG8" s="8"/>
      <c r="AH8" s="8"/>
    </row>
    <row r="9" spans="1:34" ht="15.75" x14ac:dyDescent="0.25">
      <c r="A9" s="286" t="s">
        <v>408</v>
      </c>
      <c r="B9" s="416"/>
      <c r="C9" s="2" t="str">
        <f>DefaultData!C17</f>
        <v xml:space="preserve">   General facilities</v>
      </c>
      <c r="D9" s="8">
        <f>IF(ProjectData!$B$26="y",DefaultData!D17,ProjectData!B35)</f>
        <v>55147058.823529415</v>
      </c>
      <c r="E9" s="7">
        <f>IF(ProjectData!$B$26="y",IF(ProjectData!T$12=0,DefaultData!G17,ProjectData!T35),ProjectData!E35)</f>
        <v>0.75</v>
      </c>
      <c r="G9" s="8">
        <f>+E9*D9</f>
        <v>41360294.117647059</v>
      </c>
      <c r="W9" s="6"/>
      <c r="X9" s="8"/>
      <c r="Y9" s="8"/>
      <c r="Z9" s="8"/>
      <c r="AA9" s="8"/>
      <c r="AB9" s="213" t="str">
        <f t="shared" si="0"/>
        <v xml:space="preserve">   General facilities</v>
      </c>
      <c r="AC9" s="246">
        <f t="shared" si="1"/>
        <v>55147058.823529415</v>
      </c>
      <c r="AD9" s="247">
        <f t="shared" si="2"/>
        <v>0.75</v>
      </c>
      <c r="AE9" s="8"/>
      <c r="AF9" s="8"/>
      <c r="AG9" s="8"/>
      <c r="AH9" s="8"/>
    </row>
    <row r="10" spans="1:34" ht="15.75" x14ac:dyDescent="0.25">
      <c r="A10" s="286"/>
      <c r="B10" s="416"/>
      <c r="C10" s="2" t="str">
        <f>DefaultData!C18</f>
        <v xml:space="preserve">   Plant Equipment</v>
      </c>
      <c r="D10" s="8">
        <f>IF(ProjectData!$B$26="y",DefaultData!D18,ProjectData!B36)</f>
        <v>99264705.882352948</v>
      </c>
      <c r="E10" s="7">
        <f>IF(ProjectData!$B$26="y",IF(ProjectData!T$12=0,DefaultData!G18,ProjectData!T36),ProjectData!E36)</f>
        <v>0.05</v>
      </c>
      <c r="G10" s="8">
        <f>+E10*D10</f>
        <v>4963235.2941176472</v>
      </c>
      <c r="W10" s="6"/>
      <c r="X10" s="8"/>
      <c r="Y10" s="8"/>
      <c r="Z10" s="8"/>
      <c r="AA10" s="8"/>
      <c r="AB10" s="213" t="str">
        <f t="shared" si="0"/>
        <v xml:space="preserve">   Plant Equipment</v>
      </c>
      <c r="AC10" s="246">
        <f t="shared" si="1"/>
        <v>99264705.882352948</v>
      </c>
      <c r="AD10" s="247">
        <f t="shared" si="2"/>
        <v>0.05</v>
      </c>
      <c r="AE10" s="8"/>
      <c r="AF10" s="8"/>
      <c r="AG10" s="8"/>
      <c r="AH10" s="8"/>
    </row>
    <row r="11" spans="1:34" ht="15.75" x14ac:dyDescent="0.25">
      <c r="A11" s="286" t="s">
        <v>409</v>
      </c>
      <c r="B11" s="416"/>
      <c r="C11" s="2" t="str">
        <f>DefaultData!C19</f>
        <v xml:space="preserve">   Subtotal</v>
      </c>
      <c r="D11" s="8">
        <f>SUM(D8:D10)</f>
        <v>375000000</v>
      </c>
      <c r="E11" s="7"/>
      <c r="G11" s="8">
        <f>SUM(G8:G10)</f>
        <v>46323529.411764704</v>
      </c>
      <c r="W11" s="6"/>
      <c r="X11" s="8"/>
      <c r="Y11" s="8"/>
      <c r="Z11" s="8"/>
      <c r="AA11" s="8"/>
      <c r="AB11" s="213" t="str">
        <f t="shared" si="0"/>
        <v xml:space="preserve">   Subtotal</v>
      </c>
      <c r="AC11" s="246">
        <f t="shared" si="1"/>
        <v>375000000</v>
      </c>
      <c r="AD11" s="247">
        <f t="shared" si="2"/>
        <v>0</v>
      </c>
      <c r="AE11" s="8"/>
      <c r="AF11" s="8"/>
      <c r="AG11" s="8"/>
      <c r="AH11" s="8"/>
    </row>
    <row r="12" spans="1:34" ht="15" x14ac:dyDescent="0.2">
      <c r="A12" s="284"/>
      <c r="B12" s="416"/>
      <c r="C12" s="2" t="str">
        <f>DefaultData!C20</f>
        <v xml:space="preserve"> Labor and Management</v>
      </c>
      <c r="D12" s="8"/>
      <c r="E12" s="7"/>
      <c r="G12" s="8"/>
      <c r="W12" s="6"/>
      <c r="X12" s="8"/>
      <c r="Y12" s="8"/>
      <c r="Z12" s="8"/>
      <c r="AA12" s="8"/>
      <c r="AB12" s="213" t="str">
        <f t="shared" si="0"/>
        <v xml:space="preserve"> Labor and Management</v>
      </c>
      <c r="AC12" s="246"/>
      <c r="AD12" s="247"/>
      <c r="AE12" s="8"/>
      <c r="AF12" s="8"/>
      <c r="AG12" s="8"/>
      <c r="AH12" s="8"/>
    </row>
    <row r="13" spans="1:34" ht="15" x14ac:dyDescent="0.2">
      <c r="A13" s="284"/>
      <c r="B13" s="416"/>
      <c r="C13" s="2" t="str">
        <f>DefaultData!C21</f>
        <v xml:space="preserve">   Construction Labor</v>
      </c>
      <c r="D13" s="8">
        <f>IF(ProjectData!$B$26="y",DefaultData!D21,ProjectData!B39)</f>
        <v>106617647.05882353</v>
      </c>
      <c r="E13" s="7">
        <f>IF(ProjectData!$B$26="y",IF(ProjectData!T$12=0,DefaultData!G21,ProjectData!T39),ProjectData!E39)</f>
        <v>0.5</v>
      </c>
      <c r="G13" s="8">
        <f>+E13*D13</f>
        <v>53308823.529411763</v>
      </c>
      <c r="W13" s="6"/>
      <c r="X13" s="8"/>
      <c r="Y13" s="8"/>
      <c r="Z13" s="8"/>
      <c r="AA13" s="8"/>
      <c r="AB13" s="213" t="str">
        <f t="shared" si="0"/>
        <v xml:space="preserve">   Construction Labor</v>
      </c>
      <c r="AC13" s="246">
        <f t="shared" si="1"/>
        <v>106617647.05882353</v>
      </c>
      <c r="AD13" s="247">
        <f t="shared" si="2"/>
        <v>0.5</v>
      </c>
      <c r="AE13" s="8"/>
      <c r="AF13" s="8"/>
      <c r="AG13" s="8"/>
      <c r="AH13" s="8"/>
    </row>
    <row r="14" spans="1:34" ht="15" x14ac:dyDescent="0.2">
      <c r="A14" s="284"/>
      <c r="B14" s="416"/>
      <c r="C14" s="2" t="str">
        <f>DefaultData!C22</f>
        <v xml:space="preserve">   Project management (contruction and owner's)</v>
      </c>
      <c r="D14" s="8">
        <f>IF(ProjectData!$B$26="y",DefaultData!D22,ProjectData!B40)</f>
        <v>58823529.411764704</v>
      </c>
      <c r="E14" s="7">
        <f>IF(ProjectData!$B$26="y",IF(ProjectData!T$12=0,DefaultData!G22,ProjectData!T40),ProjectData!E40)</f>
        <v>0</v>
      </c>
      <c r="G14" s="8">
        <f>+E14*D14</f>
        <v>0</v>
      </c>
      <c r="W14" s="6"/>
      <c r="X14" s="8"/>
      <c r="Y14" s="8"/>
      <c r="Z14" s="8"/>
      <c r="AA14" s="8"/>
      <c r="AB14" s="213" t="str">
        <f t="shared" si="0"/>
        <v xml:space="preserve">   Project management (contruction and owner's)</v>
      </c>
      <c r="AC14" s="246">
        <f t="shared" si="1"/>
        <v>58823529.411764704</v>
      </c>
      <c r="AD14" s="247">
        <f t="shared" si="2"/>
        <v>0</v>
      </c>
      <c r="AE14" s="8"/>
      <c r="AF14" s="8"/>
      <c r="AG14" s="8"/>
      <c r="AH14" s="8"/>
    </row>
    <row r="15" spans="1:34" ht="15" x14ac:dyDescent="0.2">
      <c r="A15" s="284"/>
      <c r="B15" s="416"/>
      <c r="C15" s="2" t="str">
        <f>DefaultData!C23</f>
        <v xml:space="preserve">   Construction Utilities</v>
      </c>
      <c r="D15" s="8">
        <f>IF(ProjectData!$B$26="y",DefaultData!D23,ProjectData!B41)</f>
        <v>3676470.588235294</v>
      </c>
      <c r="E15" s="7">
        <f>IF(ProjectData!$B$26="y",IF(ProjectData!T$12=0,DefaultData!G23,ProjectData!T41),ProjectData!E41)</f>
        <v>1</v>
      </c>
      <c r="G15" s="8">
        <f>+E15*D15</f>
        <v>3676470.588235294</v>
      </c>
      <c r="W15" s="6"/>
      <c r="X15" s="8"/>
      <c r="Y15" s="8"/>
      <c r="Z15" s="8"/>
      <c r="AA15" s="8"/>
      <c r="AB15" s="213" t="str">
        <f>C15</f>
        <v xml:space="preserve">   Construction Utilities</v>
      </c>
      <c r="AC15" s="246">
        <f>D15</f>
        <v>3676470.588235294</v>
      </c>
      <c r="AD15" s="247">
        <f>E15</f>
        <v>1</v>
      </c>
      <c r="AE15" s="8"/>
      <c r="AF15" s="8"/>
      <c r="AG15" s="8"/>
      <c r="AH15" s="8"/>
    </row>
    <row r="16" spans="1:34" ht="15" x14ac:dyDescent="0.2">
      <c r="A16" s="284"/>
      <c r="B16" s="416"/>
      <c r="C16" s="2" t="str">
        <f>DefaultData!C24</f>
        <v xml:space="preserve">   Subtotal</v>
      </c>
      <c r="D16" s="8">
        <f>SUM(D13:D15)</f>
        <v>169117647.05882353</v>
      </c>
      <c r="E16" s="7"/>
      <c r="G16" s="8">
        <f>SUM(G13:G15)</f>
        <v>56985294.117647059</v>
      </c>
      <c r="W16" s="6"/>
      <c r="X16" s="8"/>
      <c r="Y16" s="8"/>
      <c r="Z16" s="8"/>
      <c r="AA16" s="8"/>
      <c r="AB16" s="213" t="str">
        <f t="shared" si="0"/>
        <v xml:space="preserve">   Subtotal</v>
      </c>
      <c r="AC16" s="246">
        <f t="shared" si="1"/>
        <v>169117647.05882353</v>
      </c>
      <c r="AD16" s="247">
        <f t="shared" si="2"/>
        <v>0</v>
      </c>
      <c r="AE16" s="8"/>
      <c r="AF16" s="8"/>
      <c r="AG16" s="8"/>
      <c r="AH16" s="8"/>
    </row>
    <row r="17" spans="1:34" ht="15" x14ac:dyDescent="0.2">
      <c r="A17" s="284"/>
      <c r="B17" s="416"/>
      <c r="C17" s="2" t="str">
        <f>DefaultData!C25</f>
        <v xml:space="preserve"> Construction Subtotal</v>
      </c>
      <c r="D17" s="8">
        <f>D16+D11</f>
        <v>544117647.05882359</v>
      </c>
      <c r="E17" s="7"/>
      <c r="G17" s="8">
        <f>G16+G11</f>
        <v>103308823.52941176</v>
      </c>
      <c r="W17" s="6"/>
      <c r="X17" s="8"/>
      <c r="Y17" s="8"/>
      <c r="Z17" s="8"/>
      <c r="AA17" s="8"/>
      <c r="AB17" s="213" t="str">
        <f t="shared" si="0"/>
        <v xml:space="preserve"> Construction Subtotal</v>
      </c>
      <c r="AC17" s="246">
        <f t="shared" si="1"/>
        <v>544117647.05882359</v>
      </c>
      <c r="AD17" s="247">
        <f t="shared" si="2"/>
        <v>0</v>
      </c>
      <c r="AE17" s="8"/>
      <c r="AF17" s="8"/>
      <c r="AG17" s="8"/>
      <c r="AH17" s="8"/>
    </row>
    <row r="18" spans="1:34" ht="15" x14ac:dyDescent="0.2">
      <c r="A18" s="284"/>
      <c r="B18" s="416"/>
      <c r="C18" s="2" t="str">
        <f>DefaultData!C26</f>
        <v>Other Costs</v>
      </c>
      <c r="D18" s="8"/>
      <c r="E18" s="7"/>
      <c r="G18" s="8"/>
      <c r="W18" s="6"/>
      <c r="X18" s="8"/>
      <c r="Y18" s="8"/>
      <c r="Z18" s="8"/>
      <c r="AA18" s="8"/>
      <c r="AB18" s="213" t="str">
        <f t="shared" si="0"/>
        <v>Other Costs</v>
      </c>
      <c r="AC18" s="246"/>
      <c r="AD18" s="247"/>
      <c r="AE18" s="8"/>
      <c r="AF18" s="8"/>
      <c r="AG18" s="8"/>
      <c r="AH18" s="8"/>
    </row>
    <row r="19" spans="1:34" ht="15.75" x14ac:dyDescent="0.25">
      <c r="A19" s="286" t="s">
        <v>410</v>
      </c>
      <c r="B19" s="416"/>
      <c r="C19" s="2" t="str">
        <f>DefaultData!C27</f>
        <v xml:space="preserve"> Engineering/Design</v>
      </c>
      <c r="D19" s="8">
        <f>IF(ProjectData!$B$26="y",DefaultData!D27,ProjectData!B45)</f>
        <v>14705882.352941176</v>
      </c>
      <c r="E19" s="7">
        <f>IF(ProjectData!$B$26="y",IF(ProjectData!T$12=0,DefaultData!G27,ProjectData!T45),ProjectData!E45)</f>
        <v>0</v>
      </c>
      <c r="G19" s="8">
        <f t="shared" ref="G19:G24" si="3">+E19*D19</f>
        <v>0</v>
      </c>
      <c r="W19" s="6"/>
      <c r="X19" s="8"/>
      <c r="Y19" s="8"/>
      <c r="Z19" s="8"/>
      <c r="AA19" s="8"/>
      <c r="AB19" s="213" t="str">
        <f t="shared" si="0"/>
        <v xml:space="preserve"> Engineering/Design</v>
      </c>
      <c r="AC19" s="246">
        <f t="shared" si="1"/>
        <v>14705882.352941176</v>
      </c>
      <c r="AD19" s="247">
        <f t="shared" si="2"/>
        <v>0</v>
      </c>
      <c r="AE19" s="8"/>
      <c r="AF19" s="8"/>
      <c r="AG19" s="8"/>
      <c r="AH19" s="8"/>
    </row>
    <row r="20" spans="1:34" ht="15" x14ac:dyDescent="0.2">
      <c r="A20" s="284"/>
      <c r="B20" s="416"/>
      <c r="C20" s="2" t="str">
        <f>DefaultData!C28</f>
        <v xml:space="preserve"> Construction insurance</v>
      </c>
      <c r="D20" s="8">
        <f>IF(ProjectData!$B$26="y",DefaultData!D28,ProjectData!B46)</f>
        <v>3676470.588235294</v>
      </c>
      <c r="E20" s="7">
        <f>IF(ProjectData!$B$26="y",IF(ProjectData!T$12=0,DefaultData!G28,ProjectData!T46),ProjectData!E46)</f>
        <v>0</v>
      </c>
      <c r="G20" s="8">
        <f t="shared" si="3"/>
        <v>0</v>
      </c>
      <c r="W20" s="6"/>
      <c r="X20" s="8"/>
      <c r="Y20" s="8"/>
      <c r="Z20" s="8"/>
      <c r="AA20" s="8"/>
      <c r="AB20" s="213" t="str">
        <f t="shared" si="0"/>
        <v xml:space="preserve"> Construction insurance</v>
      </c>
      <c r="AC20" s="246">
        <f t="shared" si="1"/>
        <v>3676470.588235294</v>
      </c>
      <c r="AD20" s="247">
        <f t="shared" si="2"/>
        <v>0</v>
      </c>
      <c r="AE20" s="8"/>
      <c r="AF20" s="8"/>
      <c r="AG20" s="8"/>
      <c r="AH20" s="8"/>
    </row>
    <row r="21" spans="1:34" ht="15" x14ac:dyDescent="0.2">
      <c r="A21" s="284"/>
      <c r="B21" s="416"/>
      <c r="C21" s="2" t="str">
        <f>DefaultData!C29</f>
        <v xml:space="preserve"> Land</v>
      </c>
      <c r="D21" s="8">
        <f>IF(ProjectData!$B$26="y",DefaultData!D29,ProjectData!B47)</f>
        <v>29411764.705882352</v>
      </c>
      <c r="E21" s="7">
        <f>IF(ProjectData!$B$26="y",IF(ProjectData!T$12=0,DefaultData!G29,ProjectData!T47),ProjectData!E47)</f>
        <v>1</v>
      </c>
      <c r="G21" s="8">
        <f t="shared" si="3"/>
        <v>29411764.705882352</v>
      </c>
      <c r="W21" s="6"/>
      <c r="X21" s="8"/>
      <c r="Y21" s="8"/>
      <c r="Z21" s="8"/>
      <c r="AA21" s="8"/>
      <c r="AB21" s="213" t="str">
        <f t="shared" si="0"/>
        <v xml:space="preserve"> Land</v>
      </c>
      <c r="AC21" s="246">
        <f t="shared" si="1"/>
        <v>29411764.705882352</v>
      </c>
      <c r="AD21" s="247">
        <f t="shared" si="2"/>
        <v>1</v>
      </c>
      <c r="AE21" s="8"/>
      <c r="AF21" s="8"/>
      <c r="AG21" s="8"/>
      <c r="AH21" s="8"/>
    </row>
    <row r="22" spans="1:34" ht="15" x14ac:dyDescent="0.2">
      <c r="A22" s="284"/>
      <c r="B22" s="416"/>
      <c r="C22" s="2" t="str">
        <f>DefaultData!C30</f>
        <v xml:space="preserve"> Permitting Fees</v>
      </c>
      <c r="D22" s="8">
        <f>IF(ProjectData!$B$26="y",DefaultData!D30,ProjectData!B48)</f>
        <v>14705882.352941176</v>
      </c>
      <c r="E22" s="7">
        <f>IF(ProjectData!$B$26="y",IF(ProjectData!T$12=0,DefaultData!G30,ProjectData!T48),ProjectData!E48)</f>
        <v>1</v>
      </c>
      <c r="G22" s="8">
        <f t="shared" si="3"/>
        <v>14705882.352941176</v>
      </c>
      <c r="W22" s="6"/>
      <c r="X22" s="8"/>
      <c r="Y22" s="8"/>
      <c r="Z22" s="8"/>
      <c r="AA22" s="8"/>
      <c r="AB22" s="213" t="str">
        <f t="shared" si="0"/>
        <v xml:space="preserve"> Permitting Fees</v>
      </c>
      <c r="AC22" s="246">
        <f t="shared" si="1"/>
        <v>14705882.352941176</v>
      </c>
      <c r="AD22" s="247">
        <f t="shared" si="2"/>
        <v>1</v>
      </c>
      <c r="AE22" s="9"/>
      <c r="AF22" s="9"/>
      <c r="AG22" s="9"/>
      <c r="AH22" s="9"/>
    </row>
    <row r="23" spans="1:34" x14ac:dyDescent="0.2">
      <c r="A23" s="284"/>
      <c r="B23" s="416"/>
      <c r="C23" s="2" t="str">
        <f>DefaultData!C31</f>
        <v xml:space="preserve"> Grid intertie</v>
      </c>
      <c r="D23" s="8">
        <f>IF(ProjectData!$B$26="y",DefaultData!D31,ProjectData!B49)</f>
        <v>14705882.352941176</v>
      </c>
      <c r="E23" s="7">
        <f>IF(ProjectData!$B$26="y",IF(ProjectData!T$12=0,DefaultData!G31,ProjectData!T49),ProjectData!E49)</f>
        <v>0.25</v>
      </c>
      <c r="G23" s="8">
        <f t="shared" si="3"/>
        <v>3676470.588235294</v>
      </c>
      <c r="AB23" s="213" t="str">
        <f t="shared" si="0"/>
        <v xml:space="preserve"> Grid intertie</v>
      </c>
      <c r="AC23" s="246">
        <f t="shared" si="1"/>
        <v>14705882.352941176</v>
      </c>
      <c r="AD23" s="247">
        <f t="shared" si="2"/>
        <v>0.25</v>
      </c>
    </row>
    <row r="24" spans="1:34" x14ac:dyDescent="0.2">
      <c r="A24" s="284"/>
      <c r="B24" s="416"/>
      <c r="C24" s="2" t="str">
        <f>DefaultData!C32</f>
        <v xml:space="preserve"> Spare Parts</v>
      </c>
      <c r="D24" s="8">
        <f>IF(ProjectData!$B$26="y",DefaultData!D32,ProjectData!B50)</f>
        <v>3676470.588235294</v>
      </c>
      <c r="E24" s="7">
        <f>IF(ProjectData!$B$26="y",IF(ProjectData!T$12=0,DefaultData!G32,ProjectData!T50),ProjectData!E50)</f>
        <v>0.05</v>
      </c>
      <c r="G24" s="8">
        <f t="shared" si="3"/>
        <v>183823.5294117647</v>
      </c>
      <c r="AB24" s="213" t="str">
        <f t="shared" si="0"/>
        <v xml:space="preserve"> Spare Parts</v>
      </c>
      <c r="AC24" s="246">
        <f t="shared" si="1"/>
        <v>3676470.588235294</v>
      </c>
      <c r="AD24" s="247">
        <f t="shared" si="2"/>
        <v>0.05</v>
      </c>
    </row>
    <row r="25" spans="1:34" x14ac:dyDescent="0.2">
      <c r="A25" s="284"/>
      <c r="B25" s="416"/>
      <c r="C25" s="2" t="str">
        <f>DefaultData!C33</f>
        <v xml:space="preserve"> Other Subtotal</v>
      </c>
      <c r="D25" s="8">
        <f>SUM(D19:D24)</f>
        <v>80882352.941176459</v>
      </c>
      <c r="E25" s="7"/>
      <c r="G25" s="8">
        <f>SUM(G19:G24)</f>
        <v>47977941.176470585</v>
      </c>
      <c r="AB25" s="213" t="str">
        <f t="shared" si="0"/>
        <v xml:space="preserve"> Other Subtotal</v>
      </c>
      <c r="AC25" s="246">
        <f t="shared" si="1"/>
        <v>80882352.941176459</v>
      </c>
      <c r="AD25" s="247">
        <f t="shared" si="2"/>
        <v>0</v>
      </c>
    </row>
    <row r="26" spans="1:34" x14ac:dyDescent="0.2">
      <c r="A26" s="284"/>
      <c r="B26" s="416"/>
      <c r="C26" s="2" t="str">
        <f>DefaultData!C34</f>
        <v>Subtotal All Costs (without sales tax)</v>
      </c>
      <c r="D26" s="8">
        <f>D25+D17</f>
        <v>625000000</v>
      </c>
      <c r="E26" s="7"/>
      <c r="G26" s="8">
        <f>G25+G17</f>
        <v>151286764.70588234</v>
      </c>
      <c r="AB26" s="213" t="str">
        <f t="shared" si="0"/>
        <v>Subtotal All Costs (without sales tax)</v>
      </c>
      <c r="AC26" s="246">
        <f t="shared" si="1"/>
        <v>625000000</v>
      </c>
      <c r="AD26" s="247"/>
    </row>
    <row r="27" spans="1:34" x14ac:dyDescent="0.2">
      <c r="A27" s="284"/>
      <c r="B27" s="416"/>
      <c r="C27" s="2" t="str">
        <f>DefaultData!C35</f>
        <v>Sales Tax (Materials &amp; Equipment Purchases)</v>
      </c>
      <c r="D27" s="8">
        <f>IF(ProjectData!$B$26="y",DefaultData!D35,ProjectData!B53)</f>
        <v>15147058.823529413</v>
      </c>
      <c r="E27" s="7">
        <f>IF(ProjectData!$B$26="y",IF(ProjectData!T$12=0,DefaultData!G35,ProjectData!T53),ProjectData!E53)</f>
        <v>1</v>
      </c>
      <c r="G27" s="8">
        <f>+E27*D27</f>
        <v>15147058.823529413</v>
      </c>
      <c r="AB27" s="213" t="str">
        <f>C27</f>
        <v>Sales Tax (Materials &amp; Equipment Purchases)</v>
      </c>
      <c r="AC27" s="246">
        <f>D27</f>
        <v>15147058.823529413</v>
      </c>
      <c r="AD27" s="247">
        <f>E27</f>
        <v>1</v>
      </c>
    </row>
    <row r="28" spans="1:34" x14ac:dyDescent="0.2">
      <c r="A28" s="284"/>
      <c r="B28" s="416"/>
      <c r="C28" s="2" t="str">
        <f>DefaultData!C36</f>
        <v>Total Project Cost</v>
      </c>
      <c r="D28" s="8">
        <f>IF(ProjectData!$B$26="y",DefaultData!D36,ProjectData!B54)</f>
        <v>640147058.82352936</v>
      </c>
      <c r="E28" s="7"/>
      <c r="G28" s="8"/>
      <c r="AB28" s="213" t="str">
        <f>C28</f>
        <v>Total Project Cost</v>
      </c>
      <c r="AC28" s="246">
        <f>D28</f>
        <v>640147058.82352936</v>
      </c>
      <c r="AD28" s="247"/>
    </row>
    <row r="29" spans="1:34" x14ac:dyDescent="0.2">
      <c r="A29" s="284"/>
      <c r="B29" s="416"/>
      <c r="C29" s="2"/>
      <c r="D29" s="8"/>
      <c r="E29" s="7"/>
      <c r="G29" s="8"/>
    </row>
    <row r="30" spans="1:34" x14ac:dyDescent="0.2">
      <c r="A30" s="284"/>
      <c r="B30" s="416"/>
      <c r="C30" s="2"/>
      <c r="D30" s="8"/>
      <c r="E30" s="7"/>
      <c r="G30" s="8"/>
    </row>
    <row r="31" spans="1:34" ht="15" x14ac:dyDescent="0.25">
      <c r="A31" s="284"/>
      <c r="B31" s="416"/>
      <c r="C31" s="2"/>
      <c r="D31" s="8"/>
      <c r="E31" s="7"/>
      <c r="G31" s="8"/>
      <c r="AB31" s="29" t="str">
        <f>C64</f>
        <v>Annual Operating and Maintenance Costs</v>
      </c>
      <c r="AD31" s="10"/>
    </row>
    <row r="32" spans="1:34" x14ac:dyDescent="0.2">
      <c r="A32" s="284"/>
      <c r="B32" s="416"/>
      <c r="C32" s="2"/>
      <c r="D32" s="8"/>
      <c r="E32" s="7"/>
      <c r="G32" s="8"/>
      <c r="AB32" s="214" t="str">
        <f>C65</f>
        <v>Fixed Costs</v>
      </c>
      <c r="AC32" s="11" t="s">
        <v>101</v>
      </c>
      <c r="AD32" s="11" t="s">
        <v>1</v>
      </c>
    </row>
    <row r="33" spans="1:37" x14ac:dyDescent="0.2">
      <c r="A33" s="284"/>
      <c r="B33" s="416"/>
      <c r="C33" s="213"/>
      <c r="D33" s="8"/>
      <c r="E33" s="7"/>
      <c r="G33" s="8"/>
      <c r="AB33" s="8" t="str">
        <f>C67</f>
        <v xml:space="preserve"> Labor</v>
      </c>
      <c r="AC33" s="8">
        <f>D67</f>
        <v>1725075.0000000007</v>
      </c>
      <c r="AD33" s="15">
        <f>E67</f>
        <v>1</v>
      </c>
    </row>
    <row r="34" spans="1:37" x14ac:dyDescent="0.2">
      <c r="A34" s="284"/>
      <c r="B34" s="416"/>
      <c r="C34" s="2"/>
      <c r="D34" s="8"/>
      <c r="E34" s="7"/>
      <c r="G34" s="8"/>
      <c r="AB34" s="8" t="str">
        <f t="shared" ref="AB34:AD35" si="4">C71</f>
        <v xml:space="preserve"> Materials</v>
      </c>
      <c r="AC34" s="8">
        <f t="shared" si="4"/>
        <v>249992.18749999991</v>
      </c>
      <c r="AD34" s="15">
        <f t="shared" si="4"/>
        <v>0.25</v>
      </c>
    </row>
    <row r="35" spans="1:37" ht="15" x14ac:dyDescent="0.2">
      <c r="A35" s="284"/>
      <c r="B35" s="416"/>
      <c r="C35" s="2"/>
      <c r="D35" s="8"/>
      <c r="E35" s="7"/>
      <c r="G35" s="8"/>
      <c r="AB35" s="239" t="str">
        <f t="shared" si="4"/>
        <v xml:space="preserve"> Services</v>
      </c>
      <c r="AC35" s="8">
        <f t="shared" si="4"/>
        <v>2149932.8124999991</v>
      </c>
      <c r="AD35" s="15">
        <f t="shared" si="4"/>
        <v>0.85</v>
      </c>
      <c r="AG35" s="296" t="s">
        <v>147</v>
      </c>
      <c r="AH35" s="297"/>
      <c r="AI35" s="297"/>
      <c r="AJ35" s="297"/>
    </row>
    <row r="36" spans="1:37" x14ac:dyDescent="0.2">
      <c r="A36" s="284"/>
      <c r="B36" s="416"/>
      <c r="C36" s="2"/>
      <c r="D36" s="8"/>
      <c r="E36" s="7"/>
      <c r="G36" s="8"/>
      <c r="AB36" s="239" t="str">
        <f>C73</f>
        <v xml:space="preserve"> Fixed Subtotal</v>
      </c>
      <c r="AC36" s="8">
        <f>D73</f>
        <v>4125000</v>
      </c>
      <c r="AD36" s="15"/>
      <c r="AG36" s="297"/>
      <c r="AH36" s="298" t="s">
        <v>43</v>
      </c>
      <c r="AI36" s="298" t="s">
        <v>145</v>
      </c>
      <c r="AJ36" s="298" t="s">
        <v>146</v>
      </c>
      <c r="AK36" s="402" t="s">
        <v>519</v>
      </c>
    </row>
    <row r="37" spans="1:37" x14ac:dyDescent="0.2">
      <c r="A37" s="284"/>
      <c r="B37" s="416"/>
      <c r="C37" s="2"/>
      <c r="D37" s="8"/>
      <c r="E37" s="7"/>
      <c r="G37" s="8"/>
      <c r="AB37" s="214" t="str">
        <f t="shared" ref="AB37:AB42" si="5">C75</f>
        <v>Variable Costs</v>
      </c>
      <c r="AC37" s="8"/>
      <c r="AD37" s="15"/>
      <c r="AG37" s="299" t="s">
        <v>129</v>
      </c>
      <c r="AH37" s="300"/>
      <c r="AI37" s="300"/>
      <c r="AJ37" s="300"/>
      <c r="AK37" s="300"/>
    </row>
    <row r="38" spans="1:37" ht="12.75" customHeight="1" x14ac:dyDescent="0.2">
      <c r="A38" s="284"/>
      <c r="B38" s="416"/>
      <c r="C38" s="2"/>
      <c r="D38" s="8"/>
      <c r="E38" s="7"/>
      <c r="G38" s="8"/>
      <c r="H38" s="311" t="s">
        <v>422</v>
      </c>
      <c r="I38" s="311">
        <f>I58</f>
        <v>0</v>
      </c>
      <c r="J38" s="311"/>
      <c r="K38" s="311"/>
      <c r="L38" s="311" t="s">
        <v>422</v>
      </c>
      <c r="M38" s="312">
        <f>M58*G63</f>
        <v>0</v>
      </c>
      <c r="N38" s="311"/>
      <c r="O38" s="311"/>
      <c r="P38" s="311" t="s">
        <v>422</v>
      </c>
      <c r="Q38" s="312">
        <f>Q58*$G63</f>
        <v>0</v>
      </c>
      <c r="R38" s="313">
        <f>(Q60-Q38-Q48)*$G63</f>
        <v>38.235294117647079</v>
      </c>
      <c r="T38" s="311" t="s">
        <v>422</v>
      </c>
      <c r="U38" s="312">
        <f>U58*$G63</f>
        <v>0</v>
      </c>
      <c r="V38" s="313">
        <f>(U60-U38-U48)*$G63</f>
        <v>18.1875</v>
      </c>
      <c r="W38" s="398"/>
      <c r="X38" s="398"/>
      <c r="AB38" s="8" t="str">
        <f t="shared" si="5"/>
        <v xml:space="preserve"> Routine Turbine Maintenance</v>
      </c>
      <c r="AC38" s="8">
        <f t="shared" ref="AC38:AD40" si="6">D76</f>
        <v>6975150.0000000009</v>
      </c>
      <c r="AD38" s="15">
        <f t="shared" si="6"/>
        <v>0.05</v>
      </c>
      <c r="AG38" s="294" t="s">
        <v>127</v>
      </c>
      <c r="AH38" s="307">
        <f>AH39+AH40</f>
        <v>544.1740211870831</v>
      </c>
      <c r="AI38" s="301">
        <f>AI39+AI40</f>
        <v>69.641544117647058</v>
      </c>
      <c r="AJ38" s="301">
        <f>AJ39+AJ40</f>
        <v>98.345588235294116</v>
      </c>
      <c r="AK38" s="301">
        <f>AK39+AK40</f>
        <v>76.838235294117638</v>
      </c>
    </row>
    <row r="39" spans="1:37" x14ac:dyDescent="0.2">
      <c r="A39" s="284"/>
      <c r="B39" s="416"/>
      <c r="C39" s="2"/>
      <c r="D39" s="8"/>
      <c r="E39" s="7"/>
      <c r="G39" s="8"/>
      <c r="H39" s="311" t="s">
        <v>423</v>
      </c>
      <c r="I39" s="311">
        <f>I60-I48-I40-I38</f>
        <v>188.40942245008642</v>
      </c>
      <c r="J39" s="311"/>
      <c r="K39" s="311"/>
      <c r="L39" s="311" t="s">
        <v>423</v>
      </c>
      <c r="M39" s="312">
        <f>((M60-M48)*G63)-M40-M38</f>
        <v>6.051470588235305</v>
      </c>
      <c r="N39" s="311"/>
      <c r="O39" s="311"/>
      <c r="P39" s="311" t="s">
        <v>423</v>
      </c>
      <c r="Q39" s="401">
        <f>((Q60-Q48)*$G63)-Q40-Q38</f>
        <v>33.088235294117666</v>
      </c>
      <c r="R39" s="311"/>
      <c r="T39" s="311" t="s">
        <v>423</v>
      </c>
      <c r="U39" s="401">
        <f>((U60-U48)*$G63)-U40-U38</f>
        <v>17.518382352941178</v>
      </c>
      <c r="V39" s="311"/>
      <c r="W39" s="398"/>
      <c r="X39" s="398"/>
      <c r="AB39" s="8" t="str">
        <f t="shared" si="5"/>
        <v xml:space="preserve"> Water</v>
      </c>
      <c r="AC39" s="8">
        <f t="shared" si="6"/>
        <v>427050</v>
      </c>
      <c r="AD39" s="15">
        <f t="shared" si="6"/>
        <v>1</v>
      </c>
      <c r="AG39" s="302" t="s">
        <v>420</v>
      </c>
      <c r="AH39" s="307">
        <f>I48</f>
        <v>544.1740211870831</v>
      </c>
      <c r="AI39" s="301">
        <f>M48*G63</f>
        <v>69.641544117647058</v>
      </c>
      <c r="AJ39" s="301">
        <f>Q48*G63</f>
        <v>98.345588235294116</v>
      </c>
      <c r="AK39" s="301">
        <f>U48*G63</f>
        <v>76.838235294117638</v>
      </c>
    </row>
    <row r="40" spans="1:37" ht="28.5" customHeight="1" x14ac:dyDescent="0.2">
      <c r="A40" s="284"/>
      <c r="B40" s="416"/>
      <c r="C40" s="213"/>
      <c r="D40" s="8"/>
      <c r="E40" s="7"/>
      <c r="G40" s="8"/>
      <c r="H40" s="311" t="s">
        <v>398</v>
      </c>
      <c r="I40" s="311">
        <f>I49+I50+I51+I52</f>
        <v>12.906790318724639</v>
      </c>
      <c r="J40" s="311">
        <f>J49+J50+J51+J52</f>
        <v>7.6290029359285363</v>
      </c>
      <c r="K40" s="311"/>
      <c r="L40" s="311" t="s">
        <v>424</v>
      </c>
      <c r="M40" s="312">
        <f>(M49+M50+M51+M52)*$G63</f>
        <v>0.58161764705882357</v>
      </c>
      <c r="N40" s="312">
        <f>(N49+N50+N51+N52)*$G63</f>
        <v>0.36544117647058821</v>
      </c>
      <c r="O40" s="311"/>
      <c r="P40" s="311" t="s">
        <v>425</v>
      </c>
      <c r="Q40" s="312">
        <f>(Q49+Q50+Q51+Q52)*$G63</f>
        <v>5.1470588235294121</v>
      </c>
      <c r="R40" s="312">
        <f>(R49+R50+R51+R52)*$G63</f>
        <v>1.4411764705882357</v>
      </c>
      <c r="T40" s="311" t="s">
        <v>425</v>
      </c>
      <c r="U40" s="312">
        <f>(U49+U50+U51+U52)*$G63</f>
        <v>0.66911764705882359</v>
      </c>
      <c r="V40" s="312">
        <f>(V49+V50+V51+V52)*$G63</f>
        <v>0.72058823529411786</v>
      </c>
      <c r="W40" s="398"/>
      <c r="X40" s="398"/>
      <c r="AB40" s="8" t="str">
        <f t="shared" si="5"/>
        <v xml:space="preserve"> Catalysts &amp; chemicals</v>
      </c>
      <c r="AC40" s="8">
        <f t="shared" si="6"/>
        <v>854100</v>
      </c>
      <c r="AD40" s="15">
        <f t="shared" si="6"/>
        <v>0.85</v>
      </c>
      <c r="AG40" s="275" t="s">
        <v>421</v>
      </c>
      <c r="AH40" s="308">
        <f>I38</f>
        <v>0</v>
      </c>
      <c r="AI40" s="278">
        <f>M38</f>
        <v>0</v>
      </c>
      <c r="AJ40" s="278">
        <f>Q38</f>
        <v>0</v>
      </c>
      <c r="AK40" s="278">
        <f>U38</f>
        <v>0</v>
      </c>
    </row>
    <row r="41" spans="1:37" x14ac:dyDescent="0.2">
      <c r="A41" s="284"/>
      <c r="B41" s="416"/>
      <c r="C41" s="2"/>
      <c r="D41" s="8"/>
      <c r="E41" s="7"/>
      <c r="G41" s="8"/>
      <c r="U41" s="398"/>
      <c r="V41" s="398"/>
      <c r="W41" s="398"/>
      <c r="X41" s="398"/>
      <c r="AB41" s="8" t="str">
        <f t="shared" si="5"/>
        <v xml:space="preserve"> Variable Subtotal</v>
      </c>
      <c r="AC41" s="8">
        <f t="shared" ref="AC41:AC52" si="7">D79</f>
        <v>8256300.0000000009</v>
      </c>
      <c r="AD41" s="15"/>
      <c r="AG41" s="303" t="s">
        <v>154</v>
      </c>
      <c r="AH41" s="308">
        <f>I39+I40+J60</f>
        <v>503.1888171517121</v>
      </c>
      <c r="AI41" s="278">
        <f>M39+M40+N63</f>
        <v>18.535330882352952</v>
      </c>
      <c r="AJ41" s="278">
        <f>+Q39+Q40+R63</f>
        <v>80.382683823529447</v>
      </c>
      <c r="AK41" s="278">
        <f>+U39+U40+V63</f>
        <v>41.374191176470589</v>
      </c>
    </row>
    <row r="42" spans="1:37" x14ac:dyDescent="0.2">
      <c r="A42" s="284"/>
      <c r="B42" s="416"/>
      <c r="C42" t="s">
        <v>108</v>
      </c>
      <c r="D42">
        <f>+ProjectData!B24</f>
        <v>2010</v>
      </c>
      <c r="F42" s="175" t="str">
        <f>CONCATENATE("Convert to ",Deflators!E4, " dollars")</f>
        <v>Convert to 2014 dollars</v>
      </c>
      <c r="G42" s="28">
        <f>Deflators!F7</f>
        <v>1.0748413957176846</v>
      </c>
      <c r="H42" s="14"/>
      <c r="U42" s="398"/>
      <c r="V42" s="398"/>
      <c r="W42" s="398"/>
      <c r="X42" s="398"/>
      <c r="AB42" s="8" t="str">
        <f t="shared" si="5"/>
        <v>Fuel Cost</v>
      </c>
      <c r="AC42" s="8">
        <f t="shared" si="7"/>
        <v>64769250</v>
      </c>
      <c r="AD42" s="15">
        <f>E80</f>
        <v>0</v>
      </c>
      <c r="AG42" s="303" t="s">
        <v>155</v>
      </c>
      <c r="AH42" s="307">
        <f>K60</f>
        <v>232.39110252207053</v>
      </c>
      <c r="AI42" s="301">
        <f>O63</f>
        <v>9.095845588235294</v>
      </c>
      <c r="AJ42" s="301">
        <f>S63</f>
        <v>30.32268382352942</v>
      </c>
      <c r="AK42" s="301">
        <f>W63</f>
        <v>17.351139705882353</v>
      </c>
    </row>
    <row r="43" spans="1:37" ht="15" customHeight="1" x14ac:dyDescent="0.2">
      <c r="A43" s="284"/>
      <c r="B43" s="416"/>
      <c r="C43" s="17" t="s">
        <v>290</v>
      </c>
      <c r="F43" s="25"/>
      <c r="G43" s="26"/>
      <c r="H43" s="14"/>
      <c r="M43" s="10">
        <f>Deflators!E4</f>
        <v>2014</v>
      </c>
      <c r="N43" t="s">
        <v>139</v>
      </c>
      <c r="Q43">
        <f>M43</f>
        <v>2014</v>
      </c>
      <c r="U43" s="398">
        <f>Q43</f>
        <v>2014</v>
      </c>
      <c r="V43" s="398"/>
      <c r="W43" s="398"/>
      <c r="X43" s="398"/>
      <c r="AB43" s="8" t="str">
        <f t="shared" ref="AB43:AB52" si="8">C81</f>
        <v>Sales Tax (Materials &amp; Equipment Purchases)</v>
      </c>
      <c r="AC43" s="8">
        <f t="shared" si="7"/>
        <v>61245.6875</v>
      </c>
      <c r="AD43" s="15">
        <f>E81</f>
        <v>1</v>
      </c>
      <c r="AG43" s="300" t="s">
        <v>128</v>
      </c>
      <c r="AH43" s="309">
        <f>AH42+AH41+AH38</f>
        <v>1279.7539408608657</v>
      </c>
      <c r="AI43" s="304">
        <f>AI42+AI41+AI38</f>
        <v>97.272720588235302</v>
      </c>
      <c r="AJ43" s="304">
        <f>AJ42+AJ41+AJ38</f>
        <v>209.05095588235298</v>
      </c>
      <c r="AK43" s="304">
        <f>AK42+AK41+AK38</f>
        <v>135.56356617647057</v>
      </c>
    </row>
    <row r="44" spans="1:37" x14ac:dyDescent="0.2">
      <c r="A44" s="284"/>
      <c r="B44" s="416"/>
      <c r="D44" s="24" t="s">
        <v>106</v>
      </c>
      <c r="F44" t="s">
        <v>0</v>
      </c>
      <c r="G44" t="s">
        <v>107</v>
      </c>
      <c r="I44" s="11" t="s">
        <v>43</v>
      </c>
      <c r="J44" s="11" t="s">
        <v>43</v>
      </c>
      <c r="K44" s="11" t="s">
        <v>43</v>
      </c>
      <c r="L44" s="11" t="s">
        <v>43</v>
      </c>
      <c r="M44" s="11" t="s">
        <v>145</v>
      </c>
      <c r="N44" s="11"/>
      <c r="O44" s="11"/>
      <c r="P44" s="11"/>
      <c r="Q44" s="11" t="s">
        <v>146</v>
      </c>
      <c r="U44" s="11" t="s">
        <v>519</v>
      </c>
      <c r="V44" s="398"/>
      <c r="W44" s="398"/>
      <c r="X44" s="398"/>
      <c r="AB44" s="8" t="str">
        <f t="shared" si="8"/>
        <v>Other Taxes/Payments</v>
      </c>
      <c r="AC44" s="8">
        <f t="shared" si="7"/>
        <v>0</v>
      </c>
      <c r="AD44" s="15">
        <f>E82</f>
        <v>1</v>
      </c>
      <c r="AG44" s="305"/>
      <c r="AH44" s="307"/>
      <c r="AI44" s="301"/>
      <c r="AJ44" s="301"/>
      <c r="AK44" s="301"/>
    </row>
    <row r="45" spans="1:37" x14ac:dyDescent="0.2">
      <c r="A45" s="284"/>
      <c r="B45" s="416"/>
      <c r="G45" s="19"/>
      <c r="I45" s="11" t="s">
        <v>111</v>
      </c>
      <c r="J45" s="11" t="s">
        <v>112</v>
      </c>
      <c r="K45" s="11" t="s">
        <v>113</v>
      </c>
      <c r="L45" s="11" t="s">
        <v>0</v>
      </c>
      <c r="M45" s="11" t="s">
        <v>111</v>
      </c>
      <c r="N45" s="11" t="s">
        <v>112</v>
      </c>
      <c r="O45" s="11" t="s">
        <v>113</v>
      </c>
      <c r="P45" s="11" t="s">
        <v>0</v>
      </c>
      <c r="Q45" s="11" t="s">
        <v>111</v>
      </c>
      <c r="R45" s="11" t="s">
        <v>112</v>
      </c>
      <c r="S45" s="11" t="s">
        <v>113</v>
      </c>
      <c r="T45" s="11" t="s">
        <v>0</v>
      </c>
      <c r="U45" s="11" t="s">
        <v>111</v>
      </c>
      <c r="V45" s="11" t="s">
        <v>112</v>
      </c>
      <c r="W45" s="11" t="s">
        <v>113</v>
      </c>
      <c r="X45" s="11" t="s">
        <v>0</v>
      </c>
      <c r="AB45" s="8" t="str">
        <f t="shared" si="8"/>
        <v>Total (with Sales Tax and Other Taxes/Payments</v>
      </c>
      <c r="AC45" s="8">
        <f t="shared" si="7"/>
        <v>77211795.6875</v>
      </c>
      <c r="AD45" s="15"/>
      <c r="AG45" s="299" t="s">
        <v>240</v>
      </c>
      <c r="AH45" s="310"/>
      <c r="AI45" s="306"/>
      <c r="AJ45" s="301"/>
      <c r="AK45" s="301"/>
    </row>
    <row r="46" spans="1:37" ht="13.5" customHeight="1" x14ac:dyDescent="0.2">
      <c r="A46" s="284"/>
      <c r="B46" s="416"/>
      <c r="C46" s="6" t="s">
        <v>44</v>
      </c>
      <c r="D46" s="8">
        <f>E143</f>
        <v>0</v>
      </c>
      <c r="F46" s="8">
        <f>D46</f>
        <v>0</v>
      </c>
      <c r="G46" s="18">
        <f t="shared" ref="G46:G59" si="9">F46*G$42/10^6</f>
        <v>0</v>
      </c>
      <c r="I46" s="22">
        <f>+G46*Multipliers!D213</f>
        <v>0</v>
      </c>
      <c r="J46" s="21">
        <f>+$G46*Multipliers!E213</f>
        <v>0</v>
      </c>
      <c r="K46" s="21">
        <f>+$G46*Multipliers!F213</f>
        <v>0</v>
      </c>
      <c r="L46" s="12">
        <f>+K46+J46+I46</f>
        <v>0</v>
      </c>
      <c r="M46" s="18">
        <f>+$G46*Multipliers!H213</f>
        <v>0</v>
      </c>
      <c r="N46" s="18">
        <f>+$G46*Multipliers!I213</f>
        <v>0</v>
      </c>
      <c r="O46" s="18">
        <f>+$G46*Multipliers!J213</f>
        <v>0</v>
      </c>
      <c r="P46" s="18">
        <f>+O46+N46+M46</f>
        <v>0</v>
      </c>
      <c r="Q46" s="18">
        <f>+$G46*Multipliers!L213</f>
        <v>0</v>
      </c>
      <c r="R46" s="18">
        <f>+$G46*Multipliers!M213</f>
        <v>0</v>
      </c>
      <c r="S46" s="18">
        <f>+$G46*Multipliers!N213</f>
        <v>0</v>
      </c>
      <c r="T46" s="18">
        <f>+S46+R46+Q46</f>
        <v>0</v>
      </c>
      <c r="U46" s="18">
        <f>+$G46*Multipliers!P213</f>
        <v>0</v>
      </c>
      <c r="V46" s="18">
        <f>+$G46*Multipliers!Q213</f>
        <v>0</v>
      </c>
      <c r="W46" s="18">
        <f>+$G46*Multipliers!R213</f>
        <v>0</v>
      </c>
      <c r="X46" s="18">
        <f>+W46+V46+U46</f>
        <v>0</v>
      </c>
      <c r="AB46" s="8" t="str">
        <f t="shared" si="8"/>
        <v>Financing (avg ann debt payment)</v>
      </c>
      <c r="AC46" s="8">
        <f t="shared" si="7"/>
        <v>48750000</v>
      </c>
      <c r="AD46" s="15">
        <f>E84</f>
        <v>0</v>
      </c>
      <c r="AG46" s="294" t="s">
        <v>127</v>
      </c>
      <c r="AH46" s="307">
        <f>AH47</f>
        <v>25.324015276627946</v>
      </c>
      <c r="AI46" s="301">
        <f>AI47</f>
        <v>1.602272179967237</v>
      </c>
      <c r="AJ46" s="301">
        <f>AJ47</f>
        <v>1.602272179967237</v>
      </c>
      <c r="AK46" s="301">
        <f>AK47</f>
        <v>1.602272179967237</v>
      </c>
    </row>
    <row r="47" spans="1:37" ht="15" x14ac:dyDescent="0.2">
      <c r="A47" s="284"/>
      <c r="B47" s="416"/>
      <c r="C47" s="6" t="s">
        <v>114</v>
      </c>
      <c r="D47" s="8">
        <f t="shared" ref="D47:D59" si="10">E144</f>
        <v>0</v>
      </c>
      <c r="F47" s="8">
        <f t="shared" ref="F47:F59" si="11">D47</f>
        <v>0</v>
      </c>
      <c r="G47" s="18">
        <f t="shared" si="9"/>
        <v>0</v>
      </c>
      <c r="H47" s="277" t="s">
        <v>397</v>
      </c>
      <c r="I47" s="22">
        <f>+G47*Multipliers!D214</f>
        <v>0</v>
      </c>
      <c r="J47" s="21">
        <f>+$G47*Multipliers!E214</f>
        <v>0</v>
      </c>
      <c r="K47" s="21">
        <f>+$G47*Multipliers!F214</f>
        <v>0</v>
      </c>
      <c r="L47" s="12">
        <f t="shared" ref="L47:L59" si="12">+K47+J47+I47</f>
        <v>0</v>
      </c>
      <c r="M47" s="18">
        <f>+$G47*Multipliers!H214</f>
        <v>0</v>
      </c>
      <c r="N47" s="18">
        <f>+$G47*Multipliers!I214</f>
        <v>0</v>
      </c>
      <c r="O47" s="18">
        <f>+$G47*Multipliers!J214</f>
        <v>0</v>
      </c>
      <c r="P47" s="18">
        <f t="shared" ref="P47:P59" si="13">+O47+N47+M47</f>
        <v>0</v>
      </c>
      <c r="Q47" s="18">
        <f>+$G47*Multipliers!L214</f>
        <v>0</v>
      </c>
      <c r="R47" s="18">
        <f>+$G47*Multipliers!M214</f>
        <v>0</v>
      </c>
      <c r="S47" s="18">
        <f>+$G47*Multipliers!N214</f>
        <v>0</v>
      </c>
      <c r="T47" s="18">
        <f t="shared" ref="T47:T59" si="14">+S47+R47+Q47</f>
        <v>0</v>
      </c>
      <c r="U47" s="18">
        <f>+$G47*Multipliers!P214</f>
        <v>0</v>
      </c>
      <c r="V47" s="18">
        <f>+$G47*Multipliers!Q214</f>
        <v>0</v>
      </c>
      <c r="W47" s="18">
        <f>+$G47*Multipliers!R214</f>
        <v>0</v>
      </c>
      <c r="X47" s="18">
        <f t="shared" ref="X47:X59" si="15">+W47+V47+U47</f>
        <v>0</v>
      </c>
      <c r="AA47" s="1"/>
      <c r="AB47" s="8" t="str">
        <f t="shared" si="8"/>
        <v>Equity Payment - Individuals (avg ann payment)</v>
      </c>
      <c r="AC47" s="8">
        <f t="shared" si="7"/>
        <v>0</v>
      </c>
      <c r="AD47" s="15">
        <f>E85</f>
        <v>1</v>
      </c>
      <c r="AG47" s="302" t="s">
        <v>426</v>
      </c>
      <c r="AH47" s="307">
        <f>L139</f>
        <v>25.324015276627946</v>
      </c>
      <c r="AI47" s="301">
        <f>P141</f>
        <v>1.602272179967237</v>
      </c>
      <c r="AJ47" s="301">
        <f>T141</f>
        <v>1.602272179967237</v>
      </c>
      <c r="AK47" s="301">
        <f>X141</f>
        <v>1.602272179967237</v>
      </c>
    </row>
    <row r="48" spans="1:37" ht="15" x14ac:dyDescent="0.2">
      <c r="A48" s="284"/>
      <c r="B48" s="416"/>
      <c r="C48" s="6" t="s">
        <v>45</v>
      </c>
      <c r="D48" s="8">
        <f t="shared" si="10"/>
        <v>98345588.235294104</v>
      </c>
      <c r="F48" s="8">
        <f t="shared" si="11"/>
        <v>98345588.235294104</v>
      </c>
      <c r="G48" s="18">
        <f t="shared" si="9"/>
        <v>105.70590932150022</v>
      </c>
      <c r="H48" s="278">
        <f>G16*G42/10^6</f>
        <v>61.250153064794524</v>
      </c>
      <c r="I48" s="22">
        <f>+G48*Multipliers!D215</f>
        <v>544.1740211870831</v>
      </c>
      <c r="J48" s="21">
        <f>+$G48*Multipliers!E215</f>
        <v>201.89828680406541</v>
      </c>
      <c r="K48" s="21">
        <f>+$G48*Multipliers!F215</f>
        <v>127.79844436969377</v>
      </c>
      <c r="L48" s="12">
        <f t="shared" si="12"/>
        <v>873.87075236084229</v>
      </c>
      <c r="M48" s="18">
        <f>H48+($H49*Multipliers!H215)</f>
        <v>74.853614479346462</v>
      </c>
      <c r="N48" s="18">
        <f>+$G48*Multipliers!I215</f>
        <v>8.3507668363985168</v>
      </c>
      <c r="O48" s="18">
        <f>+$G48*Multipliers!J215</f>
        <v>5.1795895567535108</v>
      </c>
      <c r="P48" s="18">
        <f t="shared" si="13"/>
        <v>88.383970872498494</v>
      </c>
      <c r="Q48" s="18">
        <f>+$G48*Multipliers!L215</f>
        <v>105.70590932150022</v>
      </c>
      <c r="R48" s="18">
        <f>+$G48*Multipliers!M215</f>
        <v>27.800654151554557</v>
      </c>
      <c r="S48" s="18">
        <f>+$G48*Multipliers!N215</f>
        <v>17.230063219404535</v>
      </c>
      <c r="T48" s="18">
        <f t="shared" si="14"/>
        <v>150.73662669245931</v>
      </c>
      <c r="U48" s="18">
        <f>+H48+($H49*Multipliers!P215)</f>
        <v>82.588916068013248</v>
      </c>
      <c r="V48" s="18">
        <f>+$G48*Multipliers!Q215</f>
        <v>15.433062760939031</v>
      </c>
      <c r="W48" s="18">
        <f>+$G48*Multipliers!R215</f>
        <v>9.8306495668995204</v>
      </c>
      <c r="X48" s="18">
        <f t="shared" si="15"/>
        <v>107.8526283958518</v>
      </c>
      <c r="AB48" s="8" t="str">
        <f t="shared" si="8"/>
        <v>Equity Payment - Corporations (avg ann payment)</v>
      </c>
      <c r="AC48" s="8">
        <f t="shared" si="7"/>
        <v>21500000</v>
      </c>
      <c r="AD48" s="15">
        <f>E86</f>
        <v>0</v>
      </c>
      <c r="AG48" s="303" t="s">
        <v>154</v>
      </c>
      <c r="AH48" s="307">
        <f>(L161-AH47)+M161</f>
        <v>36.28828053594038</v>
      </c>
      <c r="AI48" s="301">
        <f>P162-AI47+Q162</f>
        <v>1.5232921280806777</v>
      </c>
      <c r="AJ48" s="301">
        <f>T162-AJ47+U162</f>
        <v>5.8466131849046548</v>
      </c>
      <c r="AK48" s="301">
        <f>X162-AK47+Y162</f>
        <v>3.1811942075766209</v>
      </c>
    </row>
    <row r="49" spans="1:37" ht="15" x14ac:dyDescent="0.2">
      <c r="A49" s="284"/>
      <c r="B49" s="416"/>
      <c r="C49" s="6" t="s">
        <v>115</v>
      </c>
      <c r="D49" s="8">
        <f t="shared" si="10"/>
        <v>0</v>
      </c>
      <c r="F49" s="8">
        <f t="shared" si="11"/>
        <v>0</v>
      </c>
      <c r="G49" s="18">
        <f t="shared" si="9"/>
        <v>0</v>
      </c>
      <c r="H49" s="278">
        <f>G48-H48</f>
        <v>44.455756256705691</v>
      </c>
      <c r="I49" s="22">
        <f>+G49*Multipliers!D216</f>
        <v>0</v>
      </c>
      <c r="J49" s="21">
        <f>+$G49*Multipliers!E216</f>
        <v>0</v>
      </c>
      <c r="K49" s="21">
        <f>+$G49*Multipliers!F216</f>
        <v>0</v>
      </c>
      <c r="L49" s="12">
        <f t="shared" si="12"/>
        <v>0</v>
      </c>
      <c r="M49" s="18">
        <f>+$G49*Multipliers!H216</f>
        <v>0</v>
      </c>
      <c r="N49" s="18">
        <f>+$G49*Multipliers!I216</f>
        <v>0</v>
      </c>
      <c r="O49" s="18">
        <f>+$G49*Multipliers!J216</f>
        <v>0</v>
      </c>
      <c r="P49" s="18">
        <f t="shared" si="13"/>
        <v>0</v>
      </c>
      <c r="Q49" s="18">
        <f>+$G49*Multipliers!L216</f>
        <v>0</v>
      </c>
      <c r="R49" s="18">
        <f>+$G49*Multipliers!M216</f>
        <v>0</v>
      </c>
      <c r="S49" s="18">
        <f>+$G49*Multipliers!N216</f>
        <v>0</v>
      </c>
      <c r="T49" s="18">
        <f t="shared" si="14"/>
        <v>0</v>
      </c>
      <c r="U49" s="18">
        <f>+$G49*Multipliers!P216</f>
        <v>0</v>
      </c>
      <c r="V49" s="18">
        <f>+$G49*Multipliers!Q216</f>
        <v>0</v>
      </c>
      <c r="W49" s="18">
        <f>+$G49*Multipliers!R216</f>
        <v>0</v>
      </c>
      <c r="X49" s="18">
        <f t="shared" si="15"/>
        <v>0</v>
      </c>
      <c r="AB49" s="8" t="str">
        <f t="shared" si="8"/>
        <v>Property Tax</v>
      </c>
      <c r="AC49" s="8">
        <f t="shared" si="7"/>
        <v>0</v>
      </c>
      <c r="AD49" s="15">
        <f>E87</f>
        <v>1</v>
      </c>
      <c r="AG49" s="303" t="s">
        <v>155</v>
      </c>
      <c r="AH49" s="307">
        <f>N161</f>
        <v>7.0768812151229232</v>
      </c>
      <c r="AI49" s="301">
        <f>R162</f>
        <v>0.27603925249401351</v>
      </c>
      <c r="AJ49" s="301">
        <f>V162</f>
        <v>0.92033966667905021</v>
      </c>
      <c r="AK49" s="301">
        <f>Z162</f>
        <v>0.52763069888029379</v>
      </c>
    </row>
    <row r="50" spans="1:37" ht="15.75" customHeight="1" x14ac:dyDescent="0.2">
      <c r="C50" s="6" t="s">
        <v>116</v>
      </c>
      <c r="D50" s="8">
        <f t="shared" si="10"/>
        <v>0</v>
      </c>
      <c r="F50" s="8">
        <f t="shared" si="11"/>
        <v>0</v>
      </c>
      <c r="G50" s="18">
        <f t="shared" si="9"/>
        <v>0</v>
      </c>
      <c r="I50" s="22">
        <f>+G50*Multipliers!D217</f>
        <v>0</v>
      </c>
      <c r="J50" s="21">
        <f>+$G50*Multipliers!E217</f>
        <v>0</v>
      </c>
      <c r="K50" s="21">
        <f>+$G50*Multipliers!F217</f>
        <v>0</v>
      </c>
      <c r="L50" s="12">
        <f t="shared" si="12"/>
        <v>0</v>
      </c>
      <c r="M50" s="18">
        <f>+$G50*Multipliers!H217</f>
        <v>0</v>
      </c>
      <c r="N50" s="18">
        <f>+$G50*Multipliers!I217</f>
        <v>0</v>
      </c>
      <c r="O50" s="18">
        <f>+$G50*Multipliers!J217</f>
        <v>0</v>
      </c>
      <c r="P50" s="18">
        <f t="shared" si="13"/>
        <v>0</v>
      </c>
      <c r="Q50" s="18">
        <f>+$G50*Multipliers!L217</f>
        <v>0</v>
      </c>
      <c r="R50" s="18">
        <f>+$G50*Multipliers!M217</f>
        <v>0</v>
      </c>
      <c r="S50" s="18">
        <f>+$G50*Multipliers!N217</f>
        <v>0</v>
      </c>
      <c r="T50" s="18">
        <f t="shared" si="14"/>
        <v>0</v>
      </c>
      <c r="U50" s="18">
        <f>+$G50*Multipliers!P217</f>
        <v>0</v>
      </c>
      <c r="V50" s="18">
        <f>+$G50*Multipliers!Q217</f>
        <v>0</v>
      </c>
      <c r="W50" s="18">
        <f>+$G50*Multipliers!R217</f>
        <v>0</v>
      </c>
      <c r="X50" s="18">
        <f t="shared" si="15"/>
        <v>0</v>
      </c>
      <c r="AB50" s="8" t="str">
        <f t="shared" si="8"/>
        <v>Land Lease</v>
      </c>
      <c r="AC50" s="8">
        <f t="shared" si="7"/>
        <v>0</v>
      </c>
      <c r="AD50" s="15">
        <f>E88</f>
        <v>1</v>
      </c>
      <c r="AG50" s="300" t="s">
        <v>128</v>
      </c>
      <c r="AH50" s="309">
        <f>SUM(AH47:AH49)</f>
        <v>68.689177027691244</v>
      </c>
      <c r="AI50" s="304">
        <f>SUM(AI47:AI49)</f>
        <v>3.4016035605419286</v>
      </c>
      <c r="AJ50" s="304">
        <f>SUM(AJ47:AJ49)</f>
        <v>8.3692250315509416</v>
      </c>
      <c r="AK50" s="304">
        <f>SUM(AK47:AK49)</f>
        <v>5.3110970864241516</v>
      </c>
    </row>
    <row r="51" spans="1:37" ht="15" x14ac:dyDescent="0.2">
      <c r="C51" s="6" t="s">
        <v>117</v>
      </c>
      <c r="D51" s="8">
        <f t="shared" si="10"/>
        <v>5147058.823529412</v>
      </c>
      <c r="F51" s="8">
        <f t="shared" si="11"/>
        <v>5147058.823529412</v>
      </c>
      <c r="G51" s="18">
        <f t="shared" si="9"/>
        <v>5.5322718897233765</v>
      </c>
      <c r="H51" s="8"/>
      <c r="I51" s="22">
        <f>+G51*Multipliers!D218</f>
        <v>12.906790318724639</v>
      </c>
      <c r="J51" s="21">
        <f>+$G51*Multipliers!E218</f>
        <v>7.6290029359285363</v>
      </c>
      <c r="K51" s="21">
        <f>+$G51*Multipliers!F218</f>
        <v>3.2640404149367921</v>
      </c>
      <c r="L51" s="12">
        <f t="shared" si="12"/>
        <v>23.799833669589965</v>
      </c>
      <c r="M51" s="18">
        <f>+$G51*Multipliers!H218</f>
        <v>0.62514672353874157</v>
      </c>
      <c r="N51" s="18">
        <f>+$G51*Multipliers!I218</f>
        <v>0.39279130417035968</v>
      </c>
      <c r="O51" s="18">
        <f>+$G51*Multipliers!J218</f>
        <v>0.12724225346363766</v>
      </c>
      <c r="P51" s="18">
        <f t="shared" si="13"/>
        <v>1.145180281172739</v>
      </c>
      <c r="Q51" s="18">
        <f>+$G51*Multipliers!L218</f>
        <v>5.5322718897233765</v>
      </c>
      <c r="R51" s="18">
        <f>+$G51*Multipliers!M218</f>
        <v>1.5490361291225456</v>
      </c>
      <c r="S51" s="18">
        <f>+$G51*Multipliers!N218</f>
        <v>0.43151720739842336</v>
      </c>
      <c r="T51" s="18">
        <f t="shared" si="14"/>
        <v>7.5128252262443453</v>
      </c>
      <c r="U51" s="18">
        <f>+$G51*Multipliers!P218</f>
        <v>0.71919534566403898</v>
      </c>
      <c r="V51" s="18">
        <f>+$G51*Multipliers!Q218</f>
        <v>0.77451806456127281</v>
      </c>
      <c r="W51" s="18">
        <f>+$G51*Multipliers!R218</f>
        <v>0.24341996314782854</v>
      </c>
      <c r="X51" s="18">
        <f t="shared" si="15"/>
        <v>1.7371333733731402</v>
      </c>
      <c r="AB51" s="8" t="str">
        <f t="shared" si="8"/>
        <v>Total (with financing)</v>
      </c>
      <c r="AC51" s="8">
        <f t="shared" si="7"/>
        <v>147461795.6875</v>
      </c>
      <c r="AD51" s="15"/>
    </row>
    <row r="52" spans="1:37" ht="15" x14ac:dyDescent="0.2">
      <c r="C52" s="6" t="s">
        <v>118</v>
      </c>
      <c r="D52" s="8">
        <f t="shared" si="10"/>
        <v>0</v>
      </c>
      <c r="F52" s="8">
        <f t="shared" si="11"/>
        <v>0</v>
      </c>
      <c r="G52" s="18">
        <f t="shared" si="9"/>
        <v>0</v>
      </c>
      <c r="H52" s="8"/>
      <c r="I52" s="22">
        <f>+G52*Multipliers!D219</f>
        <v>0</v>
      </c>
      <c r="J52" s="21">
        <f>+$G52*Multipliers!E219</f>
        <v>0</v>
      </c>
      <c r="K52" s="21">
        <f>+$G52*Multipliers!F219</f>
        <v>0</v>
      </c>
      <c r="L52" s="12">
        <f t="shared" si="12"/>
        <v>0</v>
      </c>
      <c r="M52" s="18">
        <f>+$G52*Multipliers!H219</f>
        <v>0</v>
      </c>
      <c r="N52" s="18">
        <f>+$G52*Multipliers!I219</f>
        <v>0</v>
      </c>
      <c r="O52" s="18">
        <f>+$G52*Multipliers!J219</f>
        <v>0</v>
      </c>
      <c r="P52" s="18">
        <f t="shared" si="13"/>
        <v>0</v>
      </c>
      <c r="Q52" s="18">
        <f>+$G52*Multipliers!L219</f>
        <v>0</v>
      </c>
      <c r="R52" s="18">
        <f>+$G52*Multipliers!M219</f>
        <v>0</v>
      </c>
      <c r="S52" s="18">
        <f>+$G52*Multipliers!N219</f>
        <v>0</v>
      </c>
      <c r="T52" s="18">
        <f t="shared" si="14"/>
        <v>0</v>
      </c>
      <c r="U52" s="18">
        <f>+$G52*Multipliers!P219</f>
        <v>0</v>
      </c>
      <c r="V52" s="18">
        <f>+$G52*Multipliers!Q219</f>
        <v>0</v>
      </c>
      <c r="W52" s="18">
        <f>+$G52*Multipliers!R219</f>
        <v>0</v>
      </c>
      <c r="X52" s="18">
        <f t="shared" si="15"/>
        <v>0</v>
      </c>
      <c r="AB52" s="8" t="str">
        <f t="shared" si="8"/>
        <v>Total (without debt, equity,taxes, lease payments)</v>
      </c>
      <c r="AC52" s="8">
        <f t="shared" si="7"/>
        <v>77150550</v>
      </c>
      <c r="AD52" s="15"/>
    </row>
    <row r="53" spans="1:37" ht="15" x14ac:dyDescent="0.2">
      <c r="C53" s="6" t="s">
        <v>119</v>
      </c>
      <c r="D53" s="8">
        <f t="shared" si="10"/>
        <v>3676470.588235294</v>
      </c>
      <c r="F53" s="8">
        <f t="shared" si="11"/>
        <v>3676470.588235294</v>
      </c>
      <c r="G53" s="18">
        <f t="shared" si="9"/>
        <v>3.9516227783738405</v>
      </c>
      <c r="H53" s="8"/>
      <c r="I53" s="22">
        <f>+G53*Multipliers!D220</f>
        <v>8.341875685147178</v>
      </c>
      <c r="J53" s="21">
        <f>+$G53*Multipliers!E220</f>
        <v>6.7651781965760147</v>
      </c>
      <c r="K53" s="21">
        <f>+$G53*Multipliers!F220</f>
        <v>3.8686387000279896</v>
      </c>
      <c r="L53" s="12">
        <f t="shared" si="12"/>
        <v>18.975692581751183</v>
      </c>
      <c r="M53" s="18">
        <f>+$G53*Multipliers!H220</f>
        <v>0.81403429234501112</v>
      </c>
      <c r="N53" s="18">
        <f>+$G53*Multipliers!I220</f>
        <v>0.40306552339413171</v>
      </c>
      <c r="O53" s="18">
        <f>+$G53*Multipliers!J220</f>
        <v>0.15411328835657978</v>
      </c>
      <c r="P53" s="18">
        <f t="shared" si="13"/>
        <v>1.3712131040957227</v>
      </c>
      <c r="Q53" s="18">
        <f>+$G53*Multipliers!L220</f>
        <v>3.9516227783738405</v>
      </c>
      <c r="R53" s="18">
        <f>+$G53*Multipliers!M220</f>
        <v>1.6241169619116482</v>
      </c>
      <c r="S53" s="18">
        <f>+$G53*Multipliers!N220</f>
        <v>0.51371096118859927</v>
      </c>
      <c r="T53" s="18">
        <f t="shared" si="14"/>
        <v>6.089450701474088</v>
      </c>
      <c r="U53" s="18">
        <f>+$G53*Multipliers!P220</f>
        <v>1.7900851186033497</v>
      </c>
      <c r="V53" s="18">
        <f>+$G53*Multipliers!Q220</f>
        <v>0.88516350235574026</v>
      </c>
      <c r="W53" s="18">
        <f>+$G53*Multipliers!R220</f>
        <v>0.296371708378038</v>
      </c>
      <c r="X53" s="18">
        <f t="shared" si="15"/>
        <v>2.9716203293371279</v>
      </c>
    </row>
    <row r="54" spans="1:37" ht="15.75" x14ac:dyDescent="0.25">
      <c r="C54" s="6" t="s">
        <v>46</v>
      </c>
      <c r="D54" s="8">
        <f t="shared" si="10"/>
        <v>0</v>
      </c>
      <c r="F54" s="8">
        <f t="shared" si="11"/>
        <v>0</v>
      </c>
      <c r="G54" s="18">
        <f t="shared" si="9"/>
        <v>0</v>
      </c>
      <c r="H54" s="8"/>
      <c r="I54" s="22">
        <f>+G54*Multipliers!D221</f>
        <v>0</v>
      </c>
      <c r="J54" s="21">
        <f>+$G54*Multipliers!E221</f>
        <v>0</v>
      </c>
      <c r="K54" s="21">
        <f>+$G54*Multipliers!F221</f>
        <v>0</v>
      </c>
      <c r="L54" s="12">
        <f t="shared" si="12"/>
        <v>0</v>
      </c>
      <c r="M54" s="18">
        <f>+$G54*Multipliers!H221</f>
        <v>0</v>
      </c>
      <c r="N54" s="18">
        <f>+$G54*Multipliers!I221</f>
        <v>0</v>
      </c>
      <c r="O54" s="18">
        <f>+$G54*Multipliers!J221</f>
        <v>0</v>
      </c>
      <c r="P54" s="18">
        <f t="shared" si="13"/>
        <v>0</v>
      </c>
      <c r="Q54" s="18">
        <f>+$G54*Multipliers!L221</f>
        <v>0</v>
      </c>
      <c r="R54" s="18">
        <f>+$G54*Multipliers!M221</f>
        <v>0</v>
      </c>
      <c r="S54" s="18">
        <f>+$G54*Multipliers!N221</f>
        <v>0</v>
      </c>
      <c r="T54" s="18">
        <f t="shared" si="14"/>
        <v>0</v>
      </c>
      <c r="U54" s="18">
        <f>+$G54*Multipliers!P221</f>
        <v>0</v>
      </c>
      <c r="V54" s="18">
        <f>+$G54*Multipliers!Q221</f>
        <v>0</v>
      </c>
      <c r="W54" s="18">
        <f>+$G54*Multipliers!R221</f>
        <v>0</v>
      </c>
      <c r="X54" s="18">
        <f t="shared" si="15"/>
        <v>0</v>
      </c>
      <c r="AB54" s="77" t="s">
        <v>126</v>
      </c>
      <c r="AD54" s="11" t="s">
        <v>1</v>
      </c>
    </row>
    <row r="55" spans="1:37" ht="15" x14ac:dyDescent="0.25">
      <c r="C55" s="6" t="s">
        <v>47</v>
      </c>
      <c r="D55" s="8">
        <f t="shared" si="10"/>
        <v>0</v>
      </c>
      <c r="F55" s="8">
        <f t="shared" si="11"/>
        <v>0</v>
      </c>
      <c r="G55" s="18">
        <f t="shared" si="9"/>
        <v>0</v>
      </c>
      <c r="H55" s="8"/>
      <c r="I55" s="22">
        <f>+G55*Multipliers!D222</f>
        <v>0</v>
      </c>
      <c r="J55" s="21">
        <f>+$G55*Multipliers!E222</f>
        <v>0</v>
      </c>
      <c r="K55" s="21">
        <f>+$G55*Multipliers!F222</f>
        <v>0</v>
      </c>
      <c r="L55" s="12">
        <f t="shared" si="12"/>
        <v>0</v>
      </c>
      <c r="M55" s="18">
        <f>+$G55*Multipliers!H222</f>
        <v>0</v>
      </c>
      <c r="N55" s="18">
        <f>+$G55*Multipliers!I222</f>
        <v>0</v>
      </c>
      <c r="O55" s="18">
        <f>+$G55*Multipliers!J222</f>
        <v>0</v>
      </c>
      <c r="P55" s="18">
        <f t="shared" si="13"/>
        <v>0</v>
      </c>
      <c r="Q55" s="18">
        <f>+$G55*Multipliers!L222</f>
        <v>0</v>
      </c>
      <c r="R55" s="18">
        <f>+$G55*Multipliers!M222</f>
        <v>0</v>
      </c>
      <c r="S55" s="18">
        <f>+$G55*Multipliers!N222</f>
        <v>0</v>
      </c>
      <c r="T55" s="18">
        <f t="shared" si="14"/>
        <v>0</v>
      </c>
      <c r="U55" s="18">
        <f>+$G55*Multipliers!P222</f>
        <v>0</v>
      </c>
      <c r="V55" s="18">
        <f>+$G55*Multipliers!Q222</f>
        <v>0</v>
      </c>
      <c r="W55" s="18">
        <f>+$G55*Multipliers!R222</f>
        <v>0</v>
      </c>
      <c r="X55" s="18">
        <f t="shared" si="15"/>
        <v>0</v>
      </c>
      <c r="AB55" s="3" t="s">
        <v>102</v>
      </c>
    </row>
    <row r="56" spans="1:37" ht="15" x14ac:dyDescent="0.2">
      <c r="C56" s="6" t="s">
        <v>120</v>
      </c>
      <c r="D56" s="8">
        <f t="shared" si="10"/>
        <v>29411764.705882352</v>
      </c>
      <c r="F56" s="8">
        <f t="shared" si="11"/>
        <v>29411764.705882352</v>
      </c>
      <c r="G56" s="18">
        <f t="shared" si="9"/>
        <v>31.612982226990724</v>
      </c>
      <c r="H56" s="8"/>
      <c r="I56" s="22">
        <f>+G56*Multipliers!D223</f>
        <v>180.06754676493915</v>
      </c>
      <c r="J56" s="21">
        <f>+$G56*Multipliers!E223</f>
        <v>72.488568246489734</v>
      </c>
      <c r="K56" s="21">
        <f>+$G56*Multipliers!F223</f>
        <v>27.060712786304059</v>
      </c>
      <c r="L56" s="12">
        <f t="shared" si="12"/>
        <v>279.61682779773298</v>
      </c>
      <c r="M56" s="18">
        <f>+$G56*Multipliers!H223</f>
        <v>5.6903368008583302</v>
      </c>
      <c r="N56" s="18">
        <f>+$G56*Multipliers!I223</f>
        <v>2.9083943648831467</v>
      </c>
      <c r="O56" s="18">
        <f>+$G56*Multipliers!J223</f>
        <v>1.0748413957176848</v>
      </c>
      <c r="P56" s="18">
        <f t="shared" si="13"/>
        <v>9.6735725614591619</v>
      </c>
      <c r="Q56" s="18">
        <f>+$G56*Multipliers!L223</f>
        <v>31.612982226990724</v>
      </c>
      <c r="R56" s="18">
        <f>+$G56*Multipliers!M223</f>
        <v>11.696803423986568</v>
      </c>
      <c r="S56" s="18">
        <f>+$G56*Multipliers!N223</f>
        <v>3.6354929561039335</v>
      </c>
      <c r="T56" s="18">
        <f t="shared" si="14"/>
        <v>46.945278607081221</v>
      </c>
      <c r="U56" s="18">
        <f>+$G56*Multipliers!P223</f>
        <v>17.039397420348003</v>
      </c>
      <c r="V56" s="18">
        <f>+$G56*Multipliers!Q223</f>
        <v>6.417435392079117</v>
      </c>
      <c r="W56" s="18">
        <f>+$G56*Multipliers!R223</f>
        <v>2.0864568269813879</v>
      </c>
      <c r="X56" s="18">
        <f t="shared" si="15"/>
        <v>25.543289639408506</v>
      </c>
      <c r="AB56" s="1" t="str">
        <f>DefaultData!C70</f>
        <v>Debt Financing</v>
      </c>
    </row>
    <row r="57" spans="1:37" ht="15" x14ac:dyDescent="0.2">
      <c r="C57" s="6" t="s">
        <v>121</v>
      </c>
      <c r="D57" s="8">
        <f t="shared" si="10"/>
        <v>0</v>
      </c>
      <c r="F57" s="8">
        <f t="shared" si="11"/>
        <v>0</v>
      </c>
      <c r="G57" s="18">
        <f t="shared" si="9"/>
        <v>0</v>
      </c>
      <c r="H57" s="8"/>
      <c r="I57" s="22">
        <f>+G57*Multipliers!D224</f>
        <v>0</v>
      </c>
      <c r="J57" s="21">
        <f>+$G57*Multipliers!E224</f>
        <v>0</v>
      </c>
      <c r="K57" s="21">
        <f>+$G57*Multipliers!F224</f>
        <v>0</v>
      </c>
      <c r="L57" s="12">
        <f t="shared" si="12"/>
        <v>0</v>
      </c>
      <c r="M57" s="18">
        <f>+$G57*Multipliers!H224</f>
        <v>0</v>
      </c>
      <c r="N57" s="18">
        <f>+$G57*Multipliers!I224</f>
        <v>0</v>
      </c>
      <c r="O57" s="18">
        <f>+$G57*Multipliers!J224</f>
        <v>0</v>
      </c>
      <c r="P57" s="18">
        <f t="shared" si="13"/>
        <v>0</v>
      </c>
      <c r="Q57" s="18">
        <f>+$G57*Multipliers!L224</f>
        <v>0</v>
      </c>
      <c r="R57" s="18">
        <f>+$G57*Multipliers!M224</f>
        <v>0</v>
      </c>
      <c r="S57" s="18">
        <f>+$G57*Multipliers!N224</f>
        <v>0</v>
      </c>
      <c r="T57" s="18">
        <f t="shared" si="14"/>
        <v>0</v>
      </c>
      <c r="U57" s="18">
        <f>+$G57*Multipliers!P224</f>
        <v>0</v>
      </c>
      <c r="V57" s="18">
        <f>+$G57*Multipliers!Q224</f>
        <v>0</v>
      </c>
      <c r="W57" s="18">
        <f>+$G57*Multipliers!R224</f>
        <v>0</v>
      </c>
      <c r="X57" s="18">
        <f t="shared" si="15"/>
        <v>0</v>
      </c>
      <c r="AB57" s="13" t="str">
        <f>DefaultData!C71</f>
        <v xml:space="preserve">  Percentage financed</v>
      </c>
      <c r="AC57" s="15">
        <f>IF(ProjectData!$B$26="y",DefaultData!D71,ProjectData!B79)</f>
        <v>0.8</v>
      </c>
      <c r="AD57" s="15">
        <f>IF(ProjectData!$B$26="y",DefaultData!F71,ProjectData!D79)</f>
        <v>0</v>
      </c>
    </row>
    <row r="58" spans="1:37" ht="15" x14ac:dyDescent="0.2">
      <c r="C58" s="6" t="s">
        <v>122</v>
      </c>
      <c r="D58" s="8">
        <f t="shared" si="10"/>
        <v>0</v>
      </c>
      <c r="F58" s="8">
        <f t="shared" si="11"/>
        <v>0</v>
      </c>
      <c r="G58" s="18">
        <f t="shared" si="9"/>
        <v>0</v>
      </c>
      <c r="H58" s="8"/>
      <c r="I58" s="22">
        <f>+G58*Multipliers!D225</f>
        <v>0</v>
      </c>
      <c r="J58" s="21">
        <f>+$G58*Multipliers!E225</f>
        <v>0</v>
      </c>
      <c r="K58" s="21">
        <f>+$G58*Multipliers!F225</f>
        <v>0</v>
      </c>
      <c r="L58" s="12">
        <f t="shared" si="12"/>
        <v>0</v>
      </c>
      <c r="M58" s="18">
        <f>+$G58*Multipliers!H225</f>
        <v>0</v>
      </c>
      <c r="N58" s="18">
        <f>+$G58*Multipliers!I225</f>
        <v>0</v>
      </c>
      <c r="O58" s="18">
        <f>+$G58*Multipliers!J225</f>
        <v>0</v>
      </c>
      <c r="P58" s="18">
        <f t="shared" si="13"/>
        <v>0</v>
      </c>
      <c r="Q58" s="18">
        <f>+$G58*Multipliers!L225</f>
        <v>0</v>
      </c>
      <c r="R58" s="18">
        <f>+$G58*Multipliers!M225</f>
        <v>0</v>
      </c>
      <c r="S58" s="18">
        <f>+$G58*Multipliers!N225</f>
        <v>0</v>
      </c>
      <c r="T58" s="18">
        <f t="shared" si="14"/>
        <v>0</v>
      </c>
      <c r="U58" s="18">
        <f>+$G58*Multipliers!P225</f>
        <v>0</v>
      </c>
      <c r="V58" s="18">
        <f>+$G58*Multipliers!Q225</f>
        <v>0</v>
      </c>
      <c r="W58" s="18">
        <f>+$G58*Multipliers!R225</f>
        <v>0</v>
      </c>
      <c r="X58" s="18">
        <f t="shared" si="15"/>
        <v>0</v>
      </c>
      <c r="AB58" s="13" t="str">
        <f>DefaultData!C72</f>
        <v xml:space="preserve">  Years financed (term)</v>
      </c>
      <c r="AC58" s="121">
        <f>IF(ProjectData!$B$26="y",DefaultData!D72,ProjectData!B80)</f>
        <v>20</v>
      </c>
      <c r="AD58" s="15"/>
    </row>
    <row r="59" spans="1:37" ht="15" x14ac:dyDescent="0.2">
      <c r="C59" s="6" t="s">
        <v>48</v>
      </c>
      <c r="D59" s="8">
        <f t="shared" si="10"/>
        <v>29852941.176470589</v>
      </c>
      <c r="E59" s="8"/>
      <c r="F59" s="8">
        <f t="shared" si="11"/>
        <v>29852941.176470589</v>
      </c>
      <c r="G59" s="18">
        <f t="shared" si="9"/>
        <v>32.087176960395581</v>
      </c>
      <c r="H59" s="8"/>
      <c r="I59" s="22"/>
      <c r="J59" s="21">
        <f>+$G59*Multipliers!E226</f>
        <v>13.091568199841396</v>
      </c>
      <c r="K59" s="21">
        <f>+$G59*Multipliers!F226</f>
        <v>70.399266251107903</v>
      </c>
      <c r="L59" s="12">
        <f t="shared" si="12"/>
        <v>83.490834450949293</v>
      </c>
      <c r="M59" s="18"/>
      <c r="N59" s="18">
        <f>+$G59*Multipliers!I226</f>
        <v>0.73800507008909833</v>
      </c>
      <c r="O59" s="18">
        <f>+$G59*Multipliers!J226</f>
        <v>3.2408048729999539</v>
      </c>
      <c r="P59" s="18">
        <f t="shared" si="13"/>
        <v>3.9788099430890522</v>
      </c>
      <c r="Q59" s="18"/>
      <c r="R59" s="18">
        <f>+$G59*Multipliers!M226</f>
        <v>2.6311485107524377</v>
      </c>
      <c r="S59" s="18">
        <f>+$G59*Multipliers!N226</f>
        <v>10.781291458692916</v>
      </c>
      <c r="T59" s="18">
        <f t="shared" si="14"/>
        <v>13.412439969445353</v>
      </c>
      <c r="U59" s="18"/>
      <c r="V59" s="18">
        <f>+$G59*Multipliers!Q226</f>
        <v>1.4118357862574056</v>
      </c>
      <c r="W59" s="18">
        <f>+$G59*Multipliers!R226</f>
        <v>6.1928251533563472</v>
      </c>
      <c r="X59" s="18">
        <f t="shared" si="15"/>
        <v>7.604660939613753</v>
      </c>
      <c r="AB59" s="13" t="str">
        <f>DefaultData!C73</f>
        <v xml:space="preserve">  Interest rate</v>
      </c>
      <c r="AC59" s="15">
        <f>IF(ProjectData!$B$26="y",DefaultData!D73,ProjectData!B81)</f>
        <v>0.1</v>
      </c>
      <c r="AD59" s="15"/>
    </row>
    <row r="60" spans="1:37" ht="15" x14ac:dyDescent="0.2">
      <c r="C60" s="6" t="s">
        <v>0</v>
      </c>
      <c r="D60" s="8">
        <f>SUM(D46:D59)</f>
        <v>166433823.52941173</v>
      </c>
      <c r="E60" s="8"/>
      <c r="F60" s="8">
        <f>SUM(F46:F59)</f>
        <v>166433823.52941173</v>
      </c>
      <c r="G60" s="20">
        <f>SUM(G46:G59)</f>
        <v>178.88996317698377</v>
      </c>
      <c r="H60" s="8"/>
      <c r="I60" s="21">
        <f t="shared" ref="I60:T60" si="16">SUM(I46:I59)</f>
        <v>745.49023395589415</v>
      </c>
      <c r="J60" s="21">
        <f t="shared" si="16"/>
        <v>301.87260438290105</v>
      </c>
      <c r="K60" s="21">
        <f t="shared" si="16"/>
        <v>232.39110252207053</v>
      </c>
      <c r="L60" s="21">
        <f t="shared" si="16"/>
        <v>1279.7539408608657</v>
      </c>
      <c r="M60" s="18">
        <f t="shared" si="16"/>
        <v>81.983132296088556</v>
      </c>
      <c r="N60" s="18">
        <f t="shared" si="16"/>
        <v>12.793023098935253</v>
      </c>
      <c r="O60" s="18">
        <f t="shared" si="16"/>
        <v>9.7765913672913669</v>
      </c>
      <c r="P60" s="18">
        <f t="shared" si="16"/>
        <v>104.55274676231517</v>
      </c>
      <c r="Q60" s="18">
        <f t="shared" si="16"/>
        <v>146.80278621658817</v>
      </c>
      <c r="R60" s="18">
        <f t="shared" si="16"/>
        <v>45.30175917732776</v>
      </c>
      <c r="S60" s="18">
        <f t="shared" si="16"/>
        <v>32.592075802788415</v>
      </c>
      <c r="T60" s="18">
        <f t="shared" si="16"/>
        <v>224.69662119670431</v>
      </c>
      <c r="U60" s="18">
        <f t="shared" ref="U60:X60" si="17">SUM(U46:U59)</f>
        <v>102.13759395262863</v>
      </c>
      <c r="V60" s="18">
        <f t="shared" si="17"/>
        <v>24.922015506192569</v>
      </c>
      <c r="W60" s="18">
        <f t="shared" si="17"/>
        <v>18.649723218763121</v>
      </c>
      <c r="X60" s="18">
        <f t="shared" si="17"/>
        <v>145.70933267758431</v>
      </c>
      <c r="AB60" s="1" t="str">
        <f>DefaultData!C75</f>
        <v>Equity Financing/Repayment</v>
      </c>
    </row>
    <row r="61" spans="1:37" ht="15" x14ac:dyDescent="0.2">
      <c r="C61" s="6"/>
      <c r="I61" s="22"/>
      <c r="J61" s="22"/>
      <c r="K61" s="22"/>
      <c r="L61" s="22"/>
      <c r="M61" s="38"/>
      <c r="N61" s="38"/>
      <c r="O61" s="38"/>
      <c r="P61" s="38"/>
      <c r="Q61" s="38"/>
      <c r="R61" s="38"/>
      <c r="S61" s="38"/>
      <c r="T61" s="38"/>
      <c r="U61" s="38"/>
      <c r="V61" s="38"/>
      <c r="W61" s="38"/>
      <c r="X61" s="38"/>
      <c r="AB61" s="13" t="str">
        <f>DefaultData!C76</f>
        <v xml:space="preserve">  Percentage equity</v>
      </c>
      <c r="AC61" s="15">
        <f>IF(ProjectData!$B$26="y",DefaultData!D76,ProjectData!B83)</f>
        <v>0.19999999999999996</v>
      </c>
      <c r="AD61" s="15"/>
    </row>
    <row r="62" spans="1:37" x14ac:dyDescent="0.2">
      <c r="C62" s="13"/>
      <c r="D62" s="16"/>
      <c r="F62" s="27" t="s">
        <v>140</v>
      </c>
      <c r="G62" s="10">
        <f>D42</f>
        <v>2010</v>
      </c>
      <c r="H62" t="s">
        <v>139</v>
      </c>
      <c r="U62" s="398"/>
      <c r="V62" s="398"/>
      <c r="W62" s="398"/>
      <c r="X62" s="398"/>
      <c r="AB62" s="13" t="str">
        <f>DefaultData!C77</f>
        <v xml:space="preserve">  Individual Investors (percent of equity)</v>
      </c>
      <c r="AC62" s="15">
        <f>IF(ProjectData!$B$26="y",DefaultData!D77,ProjectData!B84)</f>
        <v>0</v>
      </c>
      <c r="AD62" s="15">
        <f>IF(ProjectData!$B$26="y",DefaultData!F77,ProjectData!D84)</f>
        <v>1</v>
      </c>
    </row>
    <row r="63" spans="1:37" ht="15" x14ac:dyDescent="0.2">
      <c r="C63" s="6"/>
      <c r="G63" s="28">
        <f>Deflators!F8</f>
        <v>0.93036982384948808</v>
      </c>
      <c r="M63" s="18">
        <f t="shared" ref="M63:T63" si="18">M60*$G63</f>
        <v>76.274632352941182</v>
      </c>
      <c r="N63" s="18">
        <f t="shared" si="18"/>
        <v>11.902242647058824</v>
      </c>
      <c r="O63" s="18">
        <f t="shared" si="18"/>
        <v>9.095845588235294</v>
      </c>
      <c r="P63" s="18">
        <f t="shared" si="18"/>
        <v>97.272720588235302</v>
      </c>
      <c r="Q63" s="18">
        <f t="shared" si="18"/>
        <v>136.58088235294119</v>
      </c>
      <c r="R63" s="18">
        <f t="shared" si="18"/>
        <v>42.147389705882361</v>
      </c>
      <c r="S63" s="18">
        <f t="shared" si="18"/>
        <v>30.32268382352942</v>
      </c>
      <c r="T63" s="18">
        <f t="shared" si="18"/>
        <v>209.05095588235295</v>
      </c>
      <c r="U63" s="18">
        <f t="shared" ref="U63:X63" si="19">U60*$G63</f>
        <v>95.025735294117638</v>
      </c>
      <c r="V63" s="18">
        <f t="shared" si="19"/>
        <v>23.186691176470589</v>
      </c>
      <c r="W63" s="18">
        <f t="shared" si="19"/>
        <v>17.351139705882353</v>
      </c>
      <c r="X63" s="18">
        <f t="shared" si="19"/>
        <v>135.56356617647057</v>
      </c>
      <c r="AB63" s="13" t="str">
        <f>DefaultData!C78</f>
        <v xml:space="preserve">  Corporate Investors (percent of equity)</v>
      </c>
      <c r="AC63" s="15">
        <f>IF(ProjectData!$B$26="y",DefaultData!D78,ProjectData!B85)</f>
        <v>1</v>
      </c>
      <c r="AD63" s="15">
        <f>IF(ProjectData!$B$26="y",DefaultData!F78,ProjectData!D85)</f>
        <v>0</v>
      </c>
    </row>
    <row r="64" spans="1:37" ht="15" x14ac:dyDescent="0.25">
      <c r="C64" s="29" t="str">
        <f>DefaultData!C41</f>
        <v>Annual Operating and Maintenance Costs</v>
      </c>
      <c r="AB64" s="13" t="str">
        <f>DefaultData!C79</f>
        <v xml:space="preserve">  Return on equity</v>
      </c>
      <c r="AC64" s="15">
        <f>IF(ProjectData!$B$26="y",DefaultData!D79,ProjectData!B86)</f>
        <v>0.16</v>
      </c>
      <c r="AD64" s="15"/>
    </row>
    <row r="65" spans="3:31" ht="15" x14ac:dyDescent="0.25">
      <c r="C65" s="29" t="str">
        <f>DefaultData!C42</f>
        <v>Fixed Costs</v>
      </c>
      <c r="F65" s="1" t="s">
        <v>357</v>
      </c>
      <c r="H65" s="1" t="s">
        <v>358</v>
      </c>
      <c r="AB65" s="13" t="str">
        <f>DefaultData!C80</f>
        <v xml:space="preserve">  Repayment term (years)</v>
      </c>
      <c r="AC65" s="100">
        <f>IF(ProjectData!$B$26="y",DefaultData!D80,ProjectData!B87)</f>
        <v>10</v>
      </c>
      <c r="AD65" s="15"/>
    </row>
    <row r="66" spans="3:31" ht="15" x14ac:dyDescent="0.25">
      <c r="C66" s="29"/>
      <c r="D66" s="30" t="s">
        <v>101</v>
      </c>
      <c r="E66" s="30" t="s">
        <v>1</v>
      </c>
      <c r="F66" s="1" t="s">
        <v>244</v>
      </c>
      <c r="G66" s="17" t="s">
        <v>124</v>
      </c>
      <c r="H66" s="1" t="s">
        <v>244</v>
      </c>
      <c r="I66" s="1" t="s">
        <v>373</v>
      </c>
      <c r="J66" s="1" t="s">
        <v>374</v>
      </c>
      <c r="AB66" s="1" t="str">
        <f>DefaultData!C81</f>
        <v>Tax Parameters</v>
      </c>
      <c r="AC66" s="8"/>
      <c r="AD66" s="7"/>
    </row>
    <row r="67" spans="3:31" x14ac:dyDescent="0.2">
      <c r="C67" s="33" t="str">
        <f>DefaultData!C44</f>
        <v xml:space="preserve"> Labor</v>
      </c>
      <c r="D67" s="8">
        <f>IF(ProjectData!$B$26="y",DefaultData!D44,ProjectData!B60)</f>
        <v>1725075.0000000007</v>
      </c>
      <c r="E67" s="7">
        <f>IF(ProjectData!$B$26="y",IF(ProjectData!T$12=0,DefaultData!G44,ProjectData!T60),ProjectData!E60)</f>
        <v>1</v>
      </c>
      <c r="F67" s="8">
        <f>D67*(1-DefaultData!M$93)</f>
        <v>1076341.3936344492</v>
      </c>
      <c r="G67" s="8">
        <f>F67*E67</f>
        <v>1076341.3936344492</v>
      </c>
      <c r="H67" s="8">
        <f>D67*E67*(1-DefaultData!M91)</f>
        <v>1602272.1799672369</v>
      </c>
      <c r="I67" s="118">
        <f>D67*E67*DefaultData!M$91</f>
        <v>122802.82003276391</v>
      </c>
      <c r="J67" s="118">
        <f>D67*E67*DefaultData!M$92</f>
        <v>525930.78633278771</v>
      </c>
      <c r="AB67" s="13" t="str">
        <f>DefaultData!C82</f>
        <v xml:space="preserve">  Local Property/Other Tax Rate (percent of taxable value)</v>
      </c>
      <c r="AC67" s="15">
        <f>IF(ProjectData!$B$26="y",DefaultData!D82,ProjectData!B89)</f>
        <v>0</v>
      </c>
      <c r="AD67" s="7"/>
    </row>
    <row r="68" spans="3:31" x14ac:dyDescent="0.2">
      <c r="C68" s="33"/>
      <c r="D68" s="8"/>
      <c r="E68" s="7"/>
      <c r="F68" s="8"/>
      <c r="G68" s="8"/>
      <c r="H68" s="8"/>
      <c r="I68" s="118"/>
      <c r="J68" s="118"/>
      <c r="AB68" s="13" t="str">
        <f>DefaultData!C83</f>
        <v xml:space="preserve">  Assessed Value (percent of construction cost)</v>
      </c>
      <c r="AC68" s="15">
        <f>IF(ProjectData!$B$26="y",DefaultData!D83,ProjectData!B90)</f>
        <v>1</v>
      </c>
      <c r="AD68" s="7"/>
    </row>
    <row r="69" spans="3:31" x14ac:dyDescent="0.2">
      <c r="C69" s="33"/>
      <c r="D69" s="8"/>
      <c r="E69" s="7"/>
      <c r="F69" s="8"/>
      <c r="G69" s="8"/>
      <c r="H69" s="8"/>
      <c r="I69" s="118"/>
      <c r="J69" s="118"/>
      <c r="AB69" s="13" t="str">
        <f>DefaultData!C84</f>
        <v xml:space="preserve">  Taxable Value (percent of assessed value)</v>
      </c>
      <c r="AC69" s="15">
        <f>IF(ProjectData!$B$26="y",DefaultData!D84,ProjectData!B91)</f>
        <v>1</v>
      </c>
      <c r="AD69" s="15"/>
    </row>
    <row r="70" spans="3:31" x14ac:dyDescent="0.2">
      <c r="C70" s="33" t="str">
        <f>DefaultData!C47</f>
        <v xml:space="preserve">  Labor Subtotal</v>
      </c>
      <c r="D70" s="8">
        <f>SUM(D67:D69)</f>
        <v>1725075.0000000007</v>
      </c>
      <c r="E70" s="8"/>
      <c r="F70" s="8">
        <f>SUM(F67:F69)</f>
        <v>1076341.3936344492</v>
      </c>
      <c r="G70" s="8">
        <f>SUM(G67:G69)</f>
        <v>1076341.3936344492</v>
      </c>
      <c r="H70" s="8">
        <f>SUM(H67:H69)</f>
        <v>1602272.1799672369</v>
      </c>
      <c r="I70" s="8">
        <f>SUM(I67:I69)</f>
        <v>122802.82003276391</v>
      </c>
      <c r="J70" s="8">
        <f>SUM(J67:J69)</f>
        <v>525930.78633278771</v>
      </c>
      <c r="K70" s="8">
        <f>J70+I70+G70</f>
        <v>1725075.0000000009</v>
      </c>
      <c r="AB70" s="13" t="str">
        <f>DefaultData!C85</f>
        <v xml:space="preserve">  Taxable Value</v>
      </c>
      <c r="AC70" s="136">
        <f>IF(ProjectData!$B$26="y",DefaultData!D85,ProjectData!B92)</f>
        <v>625000000</v>
      </c>
    </row>
    <row r="71" spans="3:31" x14ac:dyDescent="0.2">
      <c r="C71" s="33" t="str">
        <f>DefaultData!C48</f>
        <v xml:space="preserve"> Materials</v>
      </c>
      <c r="D71" s="8">
        <f>IF(ProjectData!$B$26="y",DefaultData!D48,ProjectData!B61)</f>
        <v>249992.18749999991</v>
      </c>
      <c r="E71" s="7">
        <f>IF(ProjectData!$B$26="y",IF(ProjectData!T$12=0,DefaultData!G48,ProjectData!T61),ProjectData!E61)</f>
        <v>0.25</v>
      </c>
      <c r="F71" s="8"/>
      <c r="G71" s="8">
        <f>D71*E71</f>
        <v>62498.046874999978</v>
      </c>
      <c r="AB71" s="13" t="str">
        <f>DefaultData!C86</f>
        <v xml:space="preserve">  Local Taxes</v>
      </c>
      <c r="AC71" s="136">
        <f>IF(ProjectData!$B$26="y",DefaultData!D86,ProjectData!B93)</f>
        <v>0</v>
      </c>
      <c r="AD71" s="15">
        <f>IF(ProjectData!$B$26="y",DefaultData!F86,ProjectData!D93)</f>
        <v>1</v>
      </c>
    </row>
    <row r="72" spans="3:31" x14ac:dyDescent="0.2">
      <c r="C72" s="33" t="str">
        <f>DefaultData!C49</f>
        <v xml:space="preserve"> Services</v>
      </c>
      <c r="D72" s="8">
        <f>IF(ProjectData!$B$26="y",DefaultData!D49,ProjectData!B62)</f>
        <v>2149932.8124999991</v>
      </c>
      <c r="E72" s="7">
        <f>IF(ProjectData!$B$26="y",IF(ProjectData!T$12=0,DefaultData!G49,ProjectData!T62),ProjectData!E62)</f>
        <v>0.85</v>
      </c>
      <c r="F72" s="8"/>
      <c r="G72" s="8">
        <f>D72*E72</f>
        <v>1827442.8906249991</v>
      </c>
      <c r="AB72" s="13" t="str">
        <f>DefaultData!C87</f>
        <v xml:space="preserve">  Local Sales Tax Rate</v>
      </c>
      <c r="AC72" s="216">
        <f>IF(ProjectData!$B$26="y",DefaultData!D87,ProjectData!B94)</f>
        <v>0.04</v>
      </c>
      <c r="AD72" s="15"/>
    </row>
    <row r="73" spans="3:31" x14ac:dyDescent="0.2">
      <c r="C73" s="33" t="str">
        <f>DefaultData!C50</f>
        <v xml:space="preserve"> Fixed Subtotal</v>
      </c>
      <c r="D73" s="8">
        <f>SUM(D70:D72)</f>
        <v>4125000</v>
      </c>
      <c r="E73" s="7"/>
      <c r="F73" s="8"/>
      <c r="G73" s="8">
        <f>SUM(G70:G72)</f>
        <v>2966282.3311344483</v>
      </c>
      <c r="AB73" s="1" t="str">
        <f>DefaultData!C88</f>
        <v>Land Lease Parameters</v>
      </c>
      <c r="AC73" s="15"/>
      <c r="AD73" s="15"/>
    </row>
    <row r="74" spans="3:31" x14ac:dyDescent="0.2">
      <c r="C74" s="33"/>
      <c r="D74" s="8"/>
      <c r="E74" s="7"/>
      <c r="F74" s="8"/>
      <c r="G74" s="8"/>
      <c r="AB74" s="13" t="str">
        <f>DefaultData!C89</f>
        <v xml:space="preserve">  Land Lease (total cost)</v>
      </c>
      <c r="AC74" s="139">
        <f>IF(ProjectData!$B$26="y",DefaultData!D89,ProjectData!B96)</f>
        <v>0</v>
      </c>
    </row>
    <row r="75" spans="3:31" x14ac:dyDescent="0.2">
      <c r="C75" s="33" t="str">
        <f>DefaultData!C52</f>
        <v>Variable Costs</v>
      </c>
      <c r="D75" s="8"/>
      <c r="E75" s="7"/>
      <c r="F75" s="8"/>
      <c r="G75" s="8"/>
      <c r="AB75" s="13" t="str">
        <f>DefaultData!C90</f>
        <v xml:space="preserve">  Lease Payment Recipient (F = farmer/household, O = Other)</v>
      </c>
      <c r="AC75" s="138" t="str">
        <f>IF(ProjectData!$B$26="y",DefaultData!D90,ProjectData!B97)</f>
        <v>O</v>
      </c>
      <c r="AD75" s="15">
        <f>IF(ProjectData!$B$26="y",DefaultData!F90,ProjectData!D97)</f>
        <v>1</v>
      </c>
    </row>
    <row r="76" spans="3:31" x14ac:dyDescent="0.2">
      <c r="C76" s="33" t="str">
        <f>DefaultData!C53</f>
        <v xml:space="preserve"> Routine Turbine Maintenance</v>
      </c>
      <c r="D76" s="8">
        <f>IF(ProjectData!$B$26="y",DefaultData!D53,ProjectData!B67)</f>
        <v>6975150.0000000009</v>
      </c>
      <c r="E76" s="7">
        <f>IF(ProjectData!$B$26="y",IF(ProjectData!T$12=0,DefaultData!G53,ProjectData!T67),ProjectData!E67)</f>
        <v>0.05</v>
      </c>
      <c r="G76" s="8">
        <f>D76*E76</f>
        <v>348757.50000000006</v>
      </c>
      <c r="AB76" s="167" t="str">
        <f>DefaultData!C92</f>
        <v>Payroll Parameters</v>
      </c>
      <c r="AC76" s="168"/>
      <c r="AD76" s="78"/>
    </row>
    <row r="77" spans="3:31" x14ac:dyDescent="0.2">
      <c r="C77" s="33" t="str">
        <f>DefaultData!C54</f>
        <v xml:space="preserve"> Water</v>
      </c>
      <c r="D77" s="8">
        <f>IF(ProjectData!$B$26="y",DefaultData!D54,ProjectData!B68)</f>
        <v>427050</v>
      </c>
      <c r="E77" s="7">
        <f>IF(ProjectData!$B$26="y",IF(ProjectData!T$12=0,DefaultData!G54,ProjectData!T68),ProjectData!E68)</f>
        <v>1</v>
      </c>
      <c r="G77" s="8">
        <f>D77*E77</f>
        <v>427050</v>
      </c>
      <c r="AB77" s="292" t="s">
        <v>415</v>
      </c>
      <c r="AC77" s="293">
        <f>IF(ProjectData!$B$26="y",DefaultData!E93,ProjectData!B99)</f>
        <v>23.799857725510488</v>
      </c>
      <c r="AD77" s="293"/>
      <c r="AE77" s="356">
        <f>IF(ProjectData!$B$26="y",DefaultData!G93,ProjectData!D99)</f>
        <v>0.37606110248282032</v>
      </c>
    </row>
    <row r="78" spans="3:31" x14ac:dyDescent="0.2">
      <c r="C78" s="33" t="str">
        <f>DefaultData!C55</f>
        <v xml:space="preserve"> Catalysts &amp; chemicals</v>
      </c>
      <c r="D78" s="8">
        <f>IF(ProjectData!$B$26="y",DefaultData!D55,ProjectData!B69)</f>
        <v>854100</v>
      </c>
      <c r="E78" s="7">
        <f>IF(ProjectData!$B$26="y",IF(ProjectData!T$12=0,DefaultData!G55,ProjectData!T69),ProjectData!E69)</f>
        <v>0.85</v>
      </c>
      <c r="G78" s="8">
        <f>D78*E78</f>
        <v>725985</v>
      </c>
    </row>
    <row r="79" spans="3:31" x14ac:dyDescent="0.2">
      <c r="C79" s="33" t="str">
        <f>DefaultData!C56</f>
        <v xml:space="preserve"> Variable Subtotal</v>
      </c>
      <c r="D79" s="8">
        <f>SUM(D76:D78)</f>
        <v>8256300.0000000009</v>
      </c>
      <c r="E79" s="7"/>
      <c r="G79" s="8">
        <f>SUM(G76:G78)</f>
        <v>1501792.5</v>
      </c>
    </row>
    <row r="80" spans="3:31" x14ac:dyDescent="0.2">
      <c r="C80" s="33" t="str">
        <f>DefaultData!C57</f>
        <v>Fuel Cost</v>
      </c>
      <c r="D80" s="8">
        <f>IF(ProjectData!$B$26="y",DefaultData!D57,ProjectData!B71)</f>
        <v>64769250</v>
      </c>
      <c r="E80" s="7">
        <f>IF(ProjectData!$B$26="y",IF(ProjectData!T$12=0,DefaultData!G57,ProjectData!T71),ProjectData!E71)</f>
        <v>0</v>
      </c>
      <c r="G80" s="8">
        <f t="shared" ref="G80:G88" si="20">D80*E80</f>
        <v>0</v>
      </c>
    </row>
    <row r="81" spans="3:16" x14ac:dyDescent="0.2">
      <c r="C81" s="33" t="str">
        <f>DefaultData!C58</f>
        <v>Sales Tax (Materials &amp; Equipment Purchases)</v>
      </c>
      <c r="D81" s="8">
        <f>IF(ProjectData!$B$26="y",DefaultData!D58,ProjectData!B72)</f>
        <v>61245.6875</v>
      </c>
      <c r="E81" s="7">
        <f>IF(ProjectData!$B$26="y",IF(ProjectData!T$12=0,DefaultData!G58,ProjectData!T72),ProjectData!E72)</f>
        <v>1</v>
      </c>
      <c r="G81" s="8">
        <f>D81*E81</f>
        <v>61245.6875</v>
      </c>
    </row>
    <row r="82" spans="3:16" x14ac:dyDescent="0.2">
      <c r="C82" s="33" t="str">
        <f>DefaultData!C59</f>
        <v>Other Taxes/Payments</v>
      </c>
      <c r="D82" s="8">
        <f>IF(ProjectData!$B$26="y",DefaultData!D59,ProjectData!B73)</f>
        <v>0</v>
      </c>
      <c r="E82" s="7">
        <f>IF(ProjectData!$B$26="y",IF(ProjectData!T$12=0,DefaultData!G59,ProjectData!T73),ProjectData!E73)</f>
        <v>1</v>
      </c>
      <c r="G82" s="8">
        <f>D82*E82</f>
        <v>0</v>
      </c>
    </row>
    <row r="83" spans="3:16" x14ac:dyDescent="0.2">
      <c r="C83" s="33" t="str">
        <f>DefaultData!C60</f>
        <v>Total (with Sales Tax and Other Taxes/Payments</v>
      </c>
      <c r="D83" s="8">
        <f>SUM(D79:D82)+D73</f>
        <v>77211795.6875</v>
      </c>
      <c r="E83" s="7"/>
      <c r="G83" s="8">
        <f>SUM(G79:G82)+G73</f>
        <v>4529320.5186344478</v>
      </c>
    </row>
    <row r="84" spans="3:16" x14ac:dyDescent="0.2">
      <c r="C84" s="33" t="str">
        <f>DefaultData!C62</f>
        <v>Financing (avg ann debt payment)</v>
      </c>
      <c r="D84" s="8">
        <f>IF(ProjectData!$B$26="y",F199,Calculations!F235)</f>
        <v>48750000</v>
      </c>
      <c r="E84" s="7">
        <f>IF(ProjectData!$B$26="y",DefaultData!G62,ProjectData!D79)</f>
        <v>0</v>
      </c>
      <c r="G84" s="8">
        <f t="shared" si="20"/>
        <v>0</v>
      </c>
      <c r="H84" s="8">
        <f>IF(ProjectData!$B$26="y",Calculations!D199,D235)*E84</f>
        <v>0</v>
      </c>
      <c r="I84" s="24" t="s">
        <v>181</v>
      </c>
    </row>
    <row r="85" spans="3:16" x14ac:dyDescent="0.2">
      <c r="C85" s="33" t="str">
        <f>DefaultData!C63</f>
        <v>Equity Payment - Individuals (avg ann payment)</v>
      </c>
      <c r="D85" s="8">
        <f>IF(ProjectData!$B$26="y",K199,Calculations!K235)</f>
        <v>0</v>
      </c>
      <c r="E85" s="7">
        <f>IF(ProjectData!$B$26="y",DefaultData!F77,ProjectData!D84)</f>
        <v>1</v>
      </c>
      <c r="G85" s="8">
        <f t="shared" si="20"/>
        <v>0</v>
      </c>
      <c r="H85" s="8">
        <f>IF(ProjectData!$B$26="y",Calculations!I199,I235)*E85</f>
        <v>0</v>
      </c>
      <c r="I85" s="31" t="s">
        <v>192</v>
      </c>
    </row>
    <row r="86" spans="3:16" x14ac:dyDescent="0.2">
      <c r="C86" s="33" t="str">
        <f>DefaultData!C64</f>
        <v>Equity Payment - Corporations (avg ann payment)</v>
      </c>
      <c r="D86" s="8">
        <f>IF(ProjectData!$B$26="y",P199,Calculations!P235)</f>
        <v>21500000</v>
      </c>
      <c r="E86" s="7">
        <f>IF(ProjectData!$B$26="y",DefaultData!F78,ProjectData!D85)</f>
        <v>0</v>
      </c>
      <c r="G86" s="8">
        <f t="shared" si="20"/>
        <v>0</v>
      </c>
      <c r="H86" s="8">
        <f>IF(ProjectData!$B$26="y",Calculations!N199,N235)*E86</f>
        <v>0</v>
      </c>
      <c r="I86" s="24" t="s">
        <v>193</v>
      </c>
      <c r="L86" t="s">
        <v>355</v>
      </c>
      <c r="O86" t="s">
        <v>356</v>
      </c>
    </row>
    <row r="87" spans="3:16" x14ac:dyDescent="0.2">
      <c r="C87" s="35" t="s">
        <v>351</v>
      </c>
      <c r="D87" s="8">
        <f>IF(ProjectData!$B$26="y",DefaultData!D86,ProjectData!B93)</f>
        <v>0</v>
      </c>
      <c r="E87" s="7">
        <f>IF(ProjectData!$B$26="y",DefaultData!F86,ProjectData!D93)</f>
        <v>1</v>
      </c>
      <c r="G87" s="8">
        <f t="shared" si="20"/>
        <v>0</v>
      </c>
      <c r="I87" s="10" t="s">
        <v>354</v>
      </c>
      <c r="K87" s="10" t="s">
        <v>354</v>
      </c>
      <c r="L87" s="10" t="s">
        <v>180</v>
      </c>
      <c r="M87" s="10">
        <v>0</v>
      </c>
      <c r="O87" s="10" t="s">
        <v>180</v>
      </c>
      <c r="P87" s="10" t="s">
        <v>348</v>
      </c>
    </row>
    <row r="88" spans="3:16" x14ac:dyDescent="0.2">
      <c r="C88" s="33" t="str">
        <f>DefaultData!C65</f>
        <v>Land Lease</v>
      </c>
      <c r="D88" s="8">
        <f>IF(ProjectData!$B$26="y",DefaultData!D89,ProjectData!B96)</f>
        <v>0</v>
      </c>
      <c r="E88" s="7">
        <f>IF(ProjectData!$B$26="y",DefaultData!F90,ProjectData!D97)</f>
        <v>1</v>
      </c>
      <c r="G88" s="8">
        <f t="shared" si="20"/>
        <v>0</v>
      </c>
      <c r="H88" s="118">
        <f>IF(ProjectData!B26="Y",Calculations!L88,O88)</f>
        <v>0</v>
      </c>
      <c r="I88" s="24" t="s">
        <v>352</v>
      </c>
      <c r="J88" s="118">
        <f>IF(ProjectData!B26="Y",Calculations!M88,P88)</f>
        <v>0</v>
      </c>
      <c r="K88" s="24" t="s">
        <v>353</v>
      </c>
      <c r="L88" s="10">
        <v>0</v>
      </c>
      <c r="M88" s="10">
        <f>DefaultData!D89*DefaultData!F90</f>
        <v>0</v>
      </c>
      <c r="O88" s="136">
        <f>IF(ProjectData!B26="N",IF(ProjectData!B97="F",Calculations!G88,0),0)</f>
        <v>0</v>
      </c>
      <c r="P88" s="136">
        <f>IF(ProjectData!B26="N",IF(ProjectData!B97="O",Calculations!G88,0),0)</f>
        <v>0</v>
      </c>
    </row>
    <row r="89" spans="3:16" x14ac:dyDescent="0.2">
      <c r="C89" s="33" t="str">
        <f>DefaultData!C66</f>
        <v>Total (with financing)</v>
      </c>
      <c r="D89" s="8">
        <f>SUM(D83:D88)</f>
        <v>147461795.6875</v>
      </c>
      <c r="E89" s="7"/>
      <c r="G89" s="8">
        <f>G73+SUM(G79:G88)</f>
        <v>9058641.0372688957</v>
      </c>
      <c r="H89" s="118"/>
      <c r="I89" s="24"/>
      <c r="J89" s="118"/>
      <c r="K89" s="24"/>
    </row>
    <row r="90" spans="3:16" x14ac:dyDescent="0.2">
      <c r="C90" s="24" t="s">
        <v>371</v>
      </c>
      <c r="D90" s="118">
        <f>D80+D79+D73</f>
        <v>77150550</v>
      </c>
      <c r="E90" s="118">
        <f>D89-D90</f>
        <v>70311245.6875</v>
      </c>
      <c r="G90" s="118">
        <f>G80+G79+G73</f>
        <v>4468074.8311344478</v>
      </c>
      <c r="H90" s="118">
        <f>G89-G90</f>
        <v>4590566.2061344478</v>
      </c>
    </row>
    <row r="91" spans="3:16" x14ac:dyDescent="0.2">
      <c r="C91" s="31" t="s">
        <v>197</v>
      </c>
      <c r="D91" s="122">
        <f>D90/DefaultData!D5</f>
        <v>154.30109999999999</v>
      </c>
    </row>
    <row r="96" spans="3:16" x14ac:dyDescent="0.2">
      <c r="C96" s="31"/>
      <c r="D96" s="122" t="s">
        <v>463</v>
      </c>
      <c r="E96" s="28">
        <v>0.85</v>
      </c>
      <c r="F96" s="177">
        <v>0.5</v>
      </c>
      <c r="I96" s="22">
        <v>0.5</v>
      </c>
      <c r="L96" s="1" t="s">
        <v>159</v>
      </c>
    </row>
    <row r="97" spans="3:27" x14ac:dyDescent="0.2">
      <c r="C97" s="17" t="s">
        <v>231</v>
      </c>
      <c r="F97" s="25"/>
      <c r="G97" s="26"/>
      <c r="O97">
        <f>M43</f>
        <v>2014</v>
      </c>
      <c r="P97" t="str">
        <f>N43</f>
        <v>Dollars</v>
      </c>
    </row>
    <row r="98" spans="3:27" x14ac:dyDescent="0.2">
      <c r="D98" s="19" t="s">
        <v>106</v>
      </c>
      <c r="E98" s="24" t="s">
        <v>186</v>
      </c>
      <c r="F98" s="10" t="s">
        <v>187</v>
      </c>
      <c r="G98" s="10" t="s">
        <v>0</v>
      </c>
      <c r="H98" s="31" t="s">
        <v>282</v>
      </c>
      <c r="I98" s="31" t="s">
        <v>405</v>
      </c>
      <c r="L98" s="11" t="s">
        <v>43</v>
      </c>
      <c r="M98" s="11"/>
      <c r="N98" s="11"/>
      <c r="O98" s="11"/>
      <c r="P98" s="11" t="s">
        <v>145</v>
      </c>
      <c r="Q98" s="11"/>
      <c r="R98" s="11"/>
      <c r="S98" s="11"/>
      <c r="T98" s="11" t="s">
        <v>146</v>
      </c>
      <c r="X98" s="11" t="s">
        <v>519</v>
      </c>
      <c r="Y98" s="398"/>
      <c r="Z98" s="398"/>
      <c r="AA98" s="398"/>
    </row>
    <row r="99" spans="3:27" x14ac:dyDescent="0.2">
      <c r="E99" s="24" t="s">
        <v>189</v>
      </c>
      <c r="F99" s="10" t="s">
        <v>188</v>
      </c>
      <c r="G99" s="19" t="s">
        <v>185</v>
      </c>
      <c r="H99" s="19">
        <f>M43</f>
        <v>2014</v>
      </c>
      <c r="I99" s="10" t="str">
        <f>N43</f>
        <v>Dollars</v>
      </c>
      <c r="L99" s="11" t="s">
        <v>111</v>
      </c>
      <c r="M99" s="11" t="s">
        <v>112</v>
      </c>
      <c r="N99" s="11" t="s">
        <v>113</v>
      </c>
      <c r="O99" s="11" t="s">
        <v>0</v>
      </c>
      <c r="P99" s="11" t="s">
        <v>111</v>
      </c>
      <c r="Q99" s="11" t="s">
        <v>112</v>
      </c>
      <c r="R99" s="11" t="s">
        <v>113</v>
      </c>
      <c r="S99" s="11" t="s">
        <v>0</v>
      </c>
      <c r="T99" s="11" t="s">
        <v>111</v>
      </c>
      <c r="U99" s="11" t="s">
        <v>112</v>
      </c>
      <c r="V99" s="11" t="s">
        <v>113</v>
      </c>
      <c r="W99" s="11" t="s">
        <v>0</v>
      </c>
      <c r="X99" s="11" t="s">
        <v>111</v>
      </c>
      <c r="Y99" s="11" t="s">
        <v>112</v>
      </c>
      <c r="Z99" s="11" t="s">
        <v>113</v>
      </c>
      <c r="AA99" s="11" t="s">
        <v>0</v>
      </c>
    </row>
    <row r="100" spans="3:27" ht="15" x14ac:dyDescent="0.2">
      <c r="C100" s="6" t="s">
        <v>44</v>
      </c>
      <c r="D100" s="8">
        <f>$D$143*DefaultData!D100+$D$144*DefaultData!D101+$D$145*DefaultData!D102+$D$146*DefaultData!D103+$D$147*DefaultData!D104+$D$148*DefaultData!D105+$D$149*DefaultData!D106+$D$150*DefaultData!D107+$D$151*DefaultData!D108+$D$152*DefaultData!D109+$D$153*DefaultData!D110+$D$154*DefaultData!D111+$D$155*DefaultData!D112+$D$156*DefaultData!D113</f>
        <v>0</v>
      </c>
      <c r="E100" s="8">
        <f>(H$88*Multipliers!U213)*E$96</f>
        <v>0</v>
      </c>
      <c r="F100" s="8">
        <f>H$85*Multipliers!U213*F$96</f>
        <v>0</v>
      </c>
      <c r="G100" s="8">
        <f>F100+E100+D100</f>
        <v>0</v>
      </c>
      <c r="H100" s="18">
        <f t="shared" ref="H100:H113" si="21">G100*G$42/10^6</f>
        <v>0</v>
      </c>
      <c r="I100" s="18">
        <f t="shared" ref="I100:I113" si="22">((G100*G$42)+(I143*I$96))/10^6</f>
        <v>0</v>
      </c>
      <c r="L100" s="82">
        <f>$H100*Multipliers!D213</f>
        <v>0</v>
      </c>
      <c r="M100" s="82">
        <f>$H100*Multipliers!E213</f>
        <v>0</v>
      </c>
      <c r="N100" s="82">
        <f>$I100*Multipliers!F213</f>
        <v>0</v>
      </c>
      <c r="O100" s="82">
        <f>+N100+M100+L100</f>
        <v>0</v>
      </c>
      <c r="P100" s="36">
        <f>$H100*Multipliers!H213</f>
        <v>0</v>
      </c>
      <c r="Q100" s="36">
        <f>$H100*Multipliers!I213</f>
        <v>0</v>
      </c>
      <c r="R100" s="36">
        <f>$I100*Multipliers!J213</f>
        <v>0</v>
      </c>
      <c r="S100" s="36">
        <f>+R100+Q100+P100</f>
        <v>0</v>
      </c>
      <c r="T100" s="36">
        <f>$I100*Multipliers!L213</f>
        <v>0</v>
      </c>
      <c r="U100" s="36">
        <f>$I100*Multipliers!M213</f>
        <v>0</v>
      </c>
      <c r="V100" s="36">
        <f>$I100*Multipliers!N213</f>
        <v>0</v>
      </c>
      <c r="W100" s="36">
        <f>+V100+U100+T100</f>
        <v>0</v>
      </c>
      <c r="X100" s="36">
        <f>$I100*Multipliers!P213</f>
        <v>0</v>
      </c>
      <c r="Y100" s="36">
        <f>$I100*Multipliers!Q213</f>
        <v>0</v>
      </c>
      <c r="Z100" s="36">
        <f>$I100*Multipliers!R213</f>
        <v>0</v>
      </c>
      <c r="AA100" s="36">
        <f>+Z100+Y100+X100</f>
        <v>0</v>
      </c>
    </row>
    <row r="101" spans="3:27" ht="15" x14ac:dyDescent="0.2">
      <c r="C101" s="6" t="s">
        <v>114</v>
      </c>
      <c r="D101" s="8">
        <f>$D$143*DefaultData!E100+$D$144*DefaultData!E101+$D$145*DefaultData!E102+$D$146*DefaultData!E103+$D$147*DefaultData!E104+$D$148*DefaultData!E105+$D$149*DefaultData!E106+$D$150*DefaultData!E107+$D$151*DefaultData!E108+$D$152*DefaultData!E109+$D$153*DefaultData!E110+$D$154*DefaultData!E111+$D$155*DefaultData!E112+$D$156*DefaultData!E113</f>
        <v>0</v>
      </c>
      <c r="E101" s="8">
        <f>(H$88*Multipliers!U214)*E$96</f>
        <v>0</v>
      </c>
      <c r="F101" s="8">
        <f>H$85*Multipliers!U214*F$96</f>
        <v>0</v>
      </c>
      <c r="G101" s="8">
        <f t="shared" ref="G101:G114" si="23">F101+E101+D101</f>
        <v>0</v>
      </c>
      <c r="H101" s="18">
        <f t="shared" si="21"/>
        <v>0</v>
      </c>
      <c r="I101" s="18">
        <f t="shared" si="22"/>
        <v>0</v>
      </c>
      <c r="J101" s="18"/>
      <c r="L101" s="82">
        <f>$H101*Multipliers!D214</f>
        <v>0</v>
      </c>
      <c r="M101" s="82">
        <f>$H101*Multipliers!E214</f>
        <v>0</v>
      </c>
      <c r="N101" s="82">
        <f>$I101*Multipliers!F214</f>
        <v>0</v>
      </c>
      <c r="O101" s="82">
        <f t="shared" ref="O101:O113" si="24">+N101+M101+L101</f>
        <v>0</v>
      </c>
      <c r="P101" s="36">
        <f>$H101*Multipliers!H214</f>
        <v>0</v>
      </c>
      <c r="Q101" s="36">
        <f>$H101*Multipliers!I214</f>
        <v>0</v>
      </c>
      <c r="R101" s="36">
        <f>$I101*Multipliers!J214</f>
        <v>0</v>
      </c>
      <c r="S101" s="36">
        <f t="shared" ref="S101:S113" si="25">+R101+Q101+P101</f>
        <v>0</v>
      </c>
      <c r="T101" s="36">
        <f>$I101*Multipliers!L214</f>
        <v>0</v>
      </c>
      <c r="U101" s="36">
        <f>$I101*Multipliers!M214</f>
        <v>0</v>
      </c>
      <c r="V101" s="36">
        <f>$I101*Multipliers!N214</f>
        <v>0</v>
      </c>
      <c r="W101" s="36">
        <f t="shared" ref="W101:W113" si="26">+V101+U101+T101</f>
        <v>0</v>
      </c>
      <c r="X101" s="36">
        <f>$I101*Multipliers!P214</f>
        <v>0</v>
      </c>
      <c r="Y101" s="36">
        <f>$I101*Multipliers!Q214</f>
        <v>0</v>
      </c>
      <c r="Z101" s="36">
        <f>$I101*Multipliers!R214</f>
        <v>0</v>
      </c>
      <c r="AA101" s="36">
        <f t="shared" ref="AA101:AA113" si="27">+Z101+Y101+X101</f>
        <v>0</v>
      </c>
    </row>
    <row r="102" spans="3:27" ht="15" x14ac:dyDescent="0.2">
      <c r="C102" s="6" t="s">
        <v>45</v>
      </c>
      <c r="D102" s="8">
        <f>$D$143*DefaultData!F100+$D$144*DefaultData!F101+$D$145*DefaultData!F102+$D$146*DefaultData!F103+$D$147*DefaultData!F104+$D$148*DefaultData!F105+$D$149*DefaultData!F106+$D$150*DefaultData!F107+$D$151*DefaultData!F108+$D$152*DefaultData!F109+$D$153*DefaultData!F110+$D$154*DefaultData!F111+$D$155*DefaultData!F112+$D$156*DefaultData!F113</f>
        <v>0</v>
      </c>
      <c r="E102" s="8">
        <f>(H$88*Multipliers!U215)*E$96</f>
        <v>0</v>
      </c>
      <c r="F102" s="8">
        <f>H$85*Multipliers!U215*F$96</f>
        <v>0</v>
      </c>
      <c r="G102" s="8">
        <f t="shared" si="23"/>
        <v>0</v>
      </c>
      <c r="H102" s="18">
        <f t="shared" si="21"/>
        <v>0</v>
      </c>
      <c r="I102" s="18">
        <f t="shared" si="22"/>
        <v>0</v>
      </c>
      <c r="J102" s="18"/>
      <c r="L102" s="82">
        <f>$H102*Multipliers!D215</f>
        <v>0</v>
      </c>
      <c r="M102" s="82">
        <f>$H102*Multipliers!E215</f>
        <v>0</v>
      </c>
      <c r="N102" s="82">
        <f>$I102*Multipliers!F215</f>
        <v>0</v>
      </c>
      <c r="O102" s="82">
        <f t="shared" si="24"/>
        <v>0</v>
      </c>
      <c r="P102" s="36">
        <f>$H102*Multipliers!H215</f>
        <v>0</v>
      </c>
      <c r="Q102" s="36">
        <f>$H102*Multipliers!I215</f>
        <v>0</v>
      </c>
      <c r="R102" s="36">
        <f>$I102*Multipliers!J215</f>
        <v>0</v>
      </c>
      <c r="S102" s="36">
        <f t="shared" si="25"/>
        <v>0</v>
      </c>
      <c r="T102" s="36">
        <f>$I102*Multipliers!L215</f>
        <v>0</v>
      </c>
      <c r="U102" s="36">
        <f>$I102*Multipliers!M215</f>
        <v>0</v>
      </c>
      <c r="V102" s="36">
        <f>$I102*Multipliers!N215</f>
        <v>0</v>
      </c>
      <c r="W102" s="36">
        <f t="shared" si="26"/>
        <v>0</v>
      </c>
      <c r="X102" s="36">
        <f>$I102*Multipliers!P215</f>
        <v>0</v>
      </c>
      <c r="Y102" s="36">
        <f>$I102*Multipliers!Q215</f>
        <v>0</v>
      </c>
      <c r="Z102" s="36">
        <f>$I102*Multipliers!R215</f>
        <v>0</v>
      </c>
      <c r="AA102" s="36">
        <f t="shared" si="27"/>
        <v>0</v>
      </c>
    </row>
    <row r="103" spans="3:27" ht="15" x14ac:dyDescent="0.2">
      <c r="C103" s="6" t="s">
        <v>115</v>
      </c>
      <c r="D103" s="8">
        <f>$D$143*DefaultData!G100+$D$144*DefaultData!G101+$D$145*DefaultData!G102+$D$146*DefaultData!G103+$D$147*DefaultData!G104+$D$148*DefaultData!G105+$D$149*DefaultData!G106+$D$150*DefaultData!G107+$D$151*DefaultData!G108+$D$152*DefaultData!G109+$D$153*DefaultData!G110+$D$154*DefaultData!G111+$D$155*DefaultData!G112+$D$156*DefaultData!G113</f>
        <v>405398.73582</v>
      </c>
      <c r="E103" s="8">
        <f>(H$88*Multipliers!U216)*E$96</f>
        <v>0</v>
      </c>
      <c r="F103" s="8">
        <f>H$85*Multipliers!U216*F$96</f>
        <v>0</v>
      </c>
      <c r="G103" s="8">
        <f t="shared" si="23"/>
        <v>405398.73582</v>
      </c>
      <c r="H103" s="18">
        <f t="shared" si="21"/>
        <v>0.43573934303095369</v>
      </c>
      <c r="I103" s="18">
        <f t="shared" si="22"/>
        <v>0.43573934303095369</v>
      </c>
      <c r="J103" s="18"/>
      <c r="L103" s="82">
        <f>$H103*Multipliers!D216</f>
        <v>0.30501754012166754</v>
      </c>
      <c r="M103" s="82">
        <f>$H103*Multipliers!E216</f>
        <v>0.68628946527375201</v>
      </c>
      <c r="N103" s="82">
        <f>$I103*Multipliers!F216</f>
        <v>0.19564696502089821</v>
      </c>
      <c r="O103" s="82">
        <f t="shared" si="24"/>
        <v>1.1869539704163177</v>
      </c>
      <c r="P103" s="36">
        <f>$H103*Multipliers!H216</f>
        <v>2.2658445837609592E-2</v>
      </c>
      <c r="Q103" s="36">
        <f>$H103*Multipliers!I216</f>
        <v>3.9216540872785831E-2</v>
      </c>
      <c r="R103" s="36">
        <f>$I103*Multipliers!J216</f>
        <v>7.8433081745571658E-3</v>
      </c>
      <c r="S103" s="36">
        <f t="shared" si="25"/>
        <v>6.9718294884952597E-2</v>
      </c>
      <c r="T103" s="36">
        <f>$I103*Multipliers!L216</f>
        <v>0.43573934303095369</v>
      </c>
      <c r="U103" s="36">
        <f>$I103*Multipliers!M216</f>
        <v>0.17080982246813387</v>
      </c>
      <c r="V103" s="36">
        <f>$I103*Multipliers!N216</f>
        <v>2.6144360581857221E-2</v>
      </c>
      <c r="W103" s="36">
        <f t="shared" si="26"/>
        <v>0.63269352608094476</v>
      </c>
      <c r="X103" s="36">
        <f>$I103*Multipliers!P216</f>
        <v>5.664611459402398E-2</v>
      </c>
      <c r="Y103" s="36">
        <f>$I103*Multipliers!Q216</f>
        <v>9.194100137953122E-2</v>
      </c>
      <c r="Z103" s="36">
        <f>$I103*Multipliers!R216</f>
        <v>1.4815137663052426E-2</v>
      </c>
      <c r="AA103" s="36">
        <f t="shared" si="27"/>
        <v>0.16340225363660763</v>
      </c>
    </row>
    <row r="104" spans="3:27" ht="15" x14ac:dyDescent="0.2">
      <c r="C104" s="6" t="s">
        <v>116</v>
      </c>
      <c r="D104" s="8">
        <f>$D$143*DefaultData!H100+$D$144*DefaultData!H101+$D$145*DefaultData!H102+$D$146*DefaultData!H103+$D$147*DefaultData!H104+$D$148*DefaultData!H105+$D$149*DefaultData!H106+$D$150*DefaultData!H107+$D$151*DefaultData!H108+$D$152*DefaultData!H109+$D$153*DefaultData!H110+$D$154*DefaultData!H111+$D$155*DefaultData!H112+$D$156*DefaultData!H113</f>
        <v>0</v>
      </c>
      <c r="E104" s="8">
        <f>(H$88*Multipliers!U217)*E$96</f>
        <v>0</v>
      </c>
      <c r="F104" s="8">
        <f>H$85*Multipliers!U217*F$96</f>
        <v>0</v>
      </c>
      <c r="G104" s="8">
        <f t="shared" si="23"/>
        <v>0</v>
      </c>
      <c r="H104" s="18">
        <f t="shared" si="21"/>
        <v>0</v>
      </c>
      <c r="I104" s="18">
        <f t="shared" si="22"/>
        <v>0</v>
      </c>
      <c r="J104" s="18"/>
      <c r="L104" s="82">
        <f>$H104*Multipliers!D217</f>
        <v>0</v>
      </c>
      <c r="M104" s="82">
        <f>$H104*Multipliers!E217</f>
        <v>0</v>
      </c>
      <c r="N104" s="82">
        <f>$I104*Multipliers!F217</f>
        <v>0</v>
      </c>
      <c r="O104" s="82">
        <f t="shared" si="24"/>
        <v>0</v>
      </c>
      <c r="P104" s="36">
        <f>$H104*Multipliers!H217</f>
        <v>0</v>
      </c>
      <c r="Q104" s="36">
        <f>$H104*Multipliers!I217</f>
        <v>0</v>
      </c>
      <c r="R104" s="36">
        <f>$I104*Multipliers!J217</f>
        <v>0</v>
      </c>
      <c r="S104" s="36">
        <f t="shared" si="25"/>
        <v>0</v>
      </c>
      <c r="T104" s="36">
        <f>$I104*Multipliers!L217</f>
        <v>0</v>
      </c>
      <c r="U104" s="36">
        <f>$I104*Multipliers!M217</f>
        <v>0</v>
      </c>
      <c r="V104" s="36">
        <f>$I104*Multipliers!N217</f>
        <v>0</v>
      </c>
      <c r="W104" s="36">
        <f t="shared" si="26"/>
        <v>0</v>
      </c>
      <c r="X104" s="36">
        <f>$I104*Multipliers!P217</f>
        <v>0</v>
      </c>
      <c r="Y104" s="36">
        <f>$I104*Multipliers!Q217</f>
        <v>0</v>
      </c>
      <c r="Z104" s="36">
        <f>$I104*Multipliers!R217</f>
        <v>0</v>
      </c>
      <c r="AA104" s="36">
        <f t="shared" si="27"/>
        <v>0</v>
      </c>
    </row>
    <row r="105" spans="3:27" ht="15" x14ac:dyDescent="0.2">
      <c r="C105" s="6" t="s">
        <v>117</v>
      </c>
      <c r="D105" s="8">
        <f>$D$143*DefaultData!I100+$D$144*DefaultData!I101+$D$145*DefaultData!I102+$D$146*DefaultData!I103+$D$147*DefaultData!I104+$D$148*DefaultData!I105+$D$149*DefaultData!I106+$D$150*DefaultData!I107+$D$151*DefaultData!I108+$D$152*DefaultData!I109+$D$153*DefaultData!I110+$D$154*DefaultData!I111+$D$155*DefaultData!I112+$D$156*DefaultData!I113</f>
        <v>39451.954587890614</v>
      </c>
      <c r="E105" s="8">
        <f>(H$88*Multipliers!U218)*E$96</f>
        <v>0</v>
      </c>
      <c r="F105" s="8">
        <f>H$85*Multipliers!U218*F$96</f>
        <v>0</v>
      </c>
      <c r="G105" s="8">
        <f t="shared" si="23"/>
        <v>39451.954587890614</v>
      </c>
      <c r="H105" s="18">
        <f t="shared" si="21"/>
        <v>4.2404593933039053E-2</v>
      </c>
      <c r="I105" s="18">
        <f t="shared" si="22"/>
        <v>4.2404593933039053E-2</v>
      </c>
      <c r="J105" s="18"/>
      <c r="L105" s="82">
        <f>$H105*Multipliers!D218</f>
        <v>9.8929917645780116E-2</v>
      </c>
      <c r="M105" s="82">
        <f>$H105*Multipliers!E218</f>
        <v>5.8475935033660852E-2</v>
      </c>
      <c r="N105" s="82">
        <f>$I105*Multipliers!F218</f>
        <v>2.5018710420493039E-2</v>
      </c>
      <c r="O105" s="82">
        <f t="shared" si="24"/>
        <v>0.18242456309993399</v>
      </c>
      <c r="P105" s="36">
        <f>$H105*Multipliers!H218</f>
        <v>4.7917191144334131E-3</v>
      </c>
      <c r="Q105" s="36">
        <f>$H105*Multipliers!I218</f>
        <v>3.0107261692457724E-3</v>
      </c>
      <c r="R105" s="36">
        <f>$I105*Multipliers!J218</f>
        <v>9.7530566045989824E-4</v>
      </c>
      <c r="S105" s="36">
        <f t="shared" si="25"/>
        <v>8.7777509441390837E-3</v>
      </c>
      <c r="T105" s="36">
        <f>$I105*Multipliers!L218</f>
        <v>4.2404593933039053E-2</v>
      </c>
      <c r="U105" s="36">
        <f>$I105*Multipliers!M218</f>
        <v>1.1873286301250936E-2</v>
      </c>
      <c r="V105" s="36">
        <f>$I105*Multipliers!N218</f>
        <v>3.3075583267770463E-3</v>
      </c>
      <c r="W105" s="36">
        <f t="shared" si="26"/>
        <v>5.7585438561067036E-2</v>
      </c>
      <c r="X105" s="36">
        <f>$I105*Multipliers!P218</f>
        <v>5.5125972112950771E-3</v>
      </c>
      <c r="Y105" s="36">
        <f>$I105*Multipliers!Q218</f>
        <v>5.936643150625468E-3</v>
      </c>
      <c r="Z105" s="36">
        <f>$I105*Multipliers!R218</f>
        <v>1.8658021330537182E-3</v>
      </c>
      <c r="AA105" s="36">
        <f t="shared" si="27"/>
        <v>1.3315042494974262E-2</v>
      </c>
    </row>
    <row r="106" spans="3:27" ht="15" x14ac:dyDescent="0.2">
      <c r="C106" s="6" t="s">
        <v>118</v>
      </c>
      <c r="D106" s="8">
        <f>$D$143*DefaultData!J100+$D$144*DefaultData!J101+$D$145*DefaultData!J102+$D$146*DefaultData!J103+$D$147*DefaultData!J104+$D$148*DefaultData!J105+$D$149*DefaultData!J106+$D$150*DefaultData!J107+$D$151*DefaultData!J108+$D$152*DefaultData!J109+$D$153*DefaultData!J110+$D$154*DefaultData!J111+$D$155*DefaultData!J112+$D$156*DefaultData!J113</f>
        <v>0</v>
      </c>
      <c r="E106" s="8">
        <f>(H$88*Multipliers!U219)*E$96</f>
        <v>0</v>
      </c>
      <c r="F106" s="8">
        <f>H$85*Multipliers!U219*F$96</f>
        <v>0</v>
      </c>
      <c r="G106" s="8">
        <f t="shared" si="23"/>
        <v>0</v>
      </c>
      <c r="H106" s="18">
        <f t="shared" si="21"/>
        <v>0</v>
      </c>
      <c r="I106" s="18">
        <f t="shared" si="22"/>
        <v>0</v>
      </c>
      <c r="J106" s="18"/>
      <c r="L106" s="82">
        <f>$H106*Multipliers!D219</f>
        <v>0</v>
      </c>
      <c r="M106" s="82">
        <f>$H106*Multipliers!E219</f>
        <v>0</v>
      </c>
      <c r="N106" s="82">
        <f>$I106*Multipliers!F219</f>
        <v>0</v>
      </c>
      <c r="O106" s="82">
        <f t="shared" si="24"/>
        <v>0</v>
      </c>
      <c r="P106" s="36">
        <f>$H106*Multipliers!H219</f>
        <v>0</v>
      </c>
      <c r="Q106" s="36">
        <f>$H106*Multipliers!I219</f>
        <v>0</v>
      </c>
      <c r="R106" s="36">
        <f>$I106*Multipliers!J219</f>
        <v>0</v>
      </c>
      <c r="S106" s="36">
        <f t="shared" si="25"/>
        <v>0</v>
      </c>
      <c r="T106" s="36">
        <f>$I106*Multipliers!L219</f>
        <v>0</v>
      </c>
      <c r="U106" s="36">
        <f>$I106*Multipliers!M219</f>
        <v>0</v>
      </c>
      <c r="V106" s="36">
        <f>$I106*Multipliers!N219</f>
        <v>0</v>
      </c>
      <c r="W106" s="36">
        <f t="shared" si="26"/>
        <v>0</v>
      </c>
      <c r="X106" s="36">
        <f>$I106*Multipliers!P219</f>
        <v>0</v>
      </c>
      <c r="Y106" s="36">
        <f>$I106*Multipliers!Q219</f>
        <v>0</v>
      </c>
      <c r="Z106" s="36">
        <f>$I106*Multipliers!R219</f>
        <v>0</v>
      </c>
      <c r="AA106" s="36">
        <f t="shared" si="27"/>
        <v>0</v>
      </c>
    </row>
    <row r="107" spans="3:27" ht="15" x14ac:dyDescent="0.2">
      <c r="C107" s="6" t="s">
        <v>119</v>
      </c>
      <c r="D107" s="8">
        <f>$D$143*DefaultData!K100+$D$144*DefaultData!K101+$D$145*DefaultData!K102+$D$146*DefaultData!K103+$D$147*DefaultData!K104+$D$148*DefaultData!K105+$D$149*DefaultData!K106+$D$150*DefaultData!K107+$D$151*DefaultData!K108+$D$152*DefaultData!K109+$D$153*DefaultData!K110+$D$154*DefaultData!K111+$D$155*DefaultData!K112+$D$156*DefaultData!K113</f>
        <v>458610.46276367188</v>
      </c>
      <c r="E107" s="8">
        <f>(H$88*Multipliers!U220)*E$96</f>
        <v>0</v>
      </c>
      <c r="F107" s="8">
        <f>H$85*Multipliers!U220*F$96</f>
        <v>0</v>
      </c>
      <c r="G107" s="8">
        <f t="shared" si="23"/>
        <v>458610.46276367188</v>
      </c>
      <c r="H107" s="18">
        <f t="shared" si="21"/>
        <v>0.49293350988763829</v>
      </c>
      <c r="I107" s="18">
        <f t="shared" si="22"/>
        <v>0.49293350988763829</v>
      </c>
      <c r="J107" s="18"/>
      <c r="L107" s="82">
        <f>$H107*Multipliers!D220</f>
        <v>1.0405826393728046</v>
      </c>
      <c r="M107" s="82">
        <f>$H107*Multipliers!E220</f>
        <v>0.8439021689276367</v>
      </c>
      <c r="N107" s="82">
        <f>$I107*Multipliers!F220</f>
        <v>0.48258190617999785</v>
      </c>
      <c r="O107" s="82">
        <f t="shared" si="24"/>
        <v>2.3670667144804391</v>
      </c>
      <c r="P107" s="36">
        <f>$H107*Multipliers!H220</f>
        <v>0.10154430303685348</v>
      </c>
      <c r="Q107" s="36">
        <f>$H107*Multipliers!I220</f>
        <v>5.0279218008539101E-2</v>
      </c>
      <c r="R107" s="36">
        <f>$I107*Multipliers!J220</f>
        <v>1.9224406885617894E-2</v>
      </c>
      <c r="S107" s="36">
        <f t="shared" si="25"/>
        <v>0.17104792793101048</v>
      </c>
      <c r="T107" s="36">
        <f>$I107*Multipliers!L220</f>
        <v>0.49293350988763829</v>
      </c>
      <c r="U107" s="36">
        <f>$I107*Multipliers!M220</f>
        <v>0.20259567256381933</v>
      </c>
      <c r="V107" s="36">
        <f>$I107*Multipliers!N220</f>
        <v>6.4081356285392979E-2</v>
      </c>
      <c r="W107" s="36">
        <f t="shared" si="26"/>
        <v>0.75961053873685058</v>
      </c>
      <c r="X107" s="36">
        <f>$I107*Multipliers!P220</f>
        <v>0.22329887997910014</v>
      </c>
      <c r="Y107" s="36">
        <f>$I107*Multipliers!Q220</f>
        <v>0.11041710621483097</v>
      </c>
      <c r="Z107" s="36">
        <f>$I107*Multipliers!R220</f>
        <v>3.6970013241572869E-2</v>
      </c>
      <c r="AA107" s="36">
        <f t="shared" si="27"/>
        <v>0.37068599943550395</v>
      </c>
    </row>
    <row r="108" spans="3:27" ht="15" x14ac:dyDescent="0.2">
      <c r="C108" s="6" t="s">
        <v>46</v>
      </c>
      <c r="D108" s="8">
        <f>$D$143*DefaultData!L100+$D$144*DefaultData!L101+$D$145*DefaultData!L102+$D$146*DefaultData!L103+$D$147*DefaultData!L104+$D$148*DefaultData!L105+$D$149*DefaultData!L106+$D$150*DefaultData!L107+$D$151*DefaultData!L108+$D$152*DefaultData!L109+$D$153*DefaultData!L110+$D$154*DefaultData!L111+$D$155*DefaultData!L112+$D$156*DefaultData!L113</f>
        <v>358982.82530289062</v>
      </c>
      <c r="E108" s="8">
        <f>(H$88*Multipliers!U221)*E$96</f>
        <v>0</v>
      </c>
      <c r="F108" s="8">
        <f>H$85*Multipliers!U221*F$96</f>
        <v>0</v>
      </c>
      <c r="G108" s="8">
        <f t="shared" si="23"/>
        <v>358982.82530289062</v>
      </c>
      <c r="H108" s="18">
        <f t="shared" si="21"/>
        <v>0.38584960098723664</v>
      </c>
      <c r="I108" s="18">
        <f t="shared" si="22"/>
        <v>0.38584960098723664</v>
      </c>
      <c r="J108" s="18"/>
      <c r="L108" s="82">
        <f>$H108*Multipliers!D221</f>
        <v>1.3593481442780346</v>
      </c>
      <c r="M108" s="82">
        <f>$H108*Multipliers!E221</f>
        <v>0.58263289749072733</v>
      </c>
      <c r="N108" s="82">
        <f>$I108*Multipliers!F221</f>
        <v>0.42482041068694754</v>
      </c>
      <c r="O108" s="82">
        <f t="shared" si="24"/>
        <v>2.3668014524557095</v>
      </c>
      <c r="P108" s="36">
        <f>$H108*Multipliers!H221</f>
        <v>0.12154262431097955</v>
      </c>
      <c r="Q108" s="36">
        <f>$H108*Multipliers!I221</f>
        <v>2.8552870473055509E-2</v>
      </c>
      <c r="R108" s="36">
        <f>$I108*Multipliers!J221</f>
        <v>1.8906630448374595E-2</v>
      </c>
      <c r="S108" s="36">
        <f t="shared" si="25"/>
        <v>0.16900212523240965</v>
      </c>
      <c r="T108" s="36">
        <f>$I108*Multipliers!L221</f>
        <v>0.38584960098723664</v>
      </c>
      <c r="U108" s="36">
        <f>$I108*Multipliers!M221</f>
        <v>9.4147302640885736E-2</v>
      </c>
      <c r="V108" s="36">
        <f>$I108*Multipliers!N221</f>
        <v>6.3665184162894045E-2</v>
      </c>
      <c r="W108" s="36">
        <f t="shared" si="26"/>
        <v>0.54366208779101644</v>
      </c>
      <c r="X108" s="36">
        <f>$I108*Multipliers!P221</f>
        <v>0.24964469183874211</v>
      </c>
      <c r="Y108" s="36">
        <f>$I108*Multipliers!Q221</f>
        <v>5.4404793739200361E-2</v>
      </c>
      <c r="Z108" s="36">
        <f>$I108*Multipliers!R221</f>
        <v>3.6269862492800245E-2</v>
      </c>
      <c r="AA108" s="36">
        <f t="shared" si="27"/>
        <v>0.34031934807074271</v>
      </c>
    </row>
    <row r="109" spans="3:27" ht="15" x14ac:dyDescent="0.2">
      <c r="C109" s="6" t="s">
        <v>47</v>
      </c>
      <c r="D109" s="8">
        <f>$D$143*DefaultData!M100+$D$144*DefaultData!M101+$D$145*DefaultData!M102+$D$146*DefaultData!M103+$D$147*DefaultData!M104+$D$148*DefaultData!M105+$D$149*DefaultData!M106+$D$150*DefaultData!M107+$D$151*DefaultData!M108+$D$152*DefaultData!M109+$D$153*DefaultData!M110+$D$154*DefaultData!M111+$D$155*DefaultData!M112+$D$156*DefaultData!M113</f>
        <v>125935.28697750001</v>
      </c>
      <c r="E109" s="8">
        <f>(H$88*Multipliers!U222)*E$96</f>
        <v>0</v>
      </c>
      <c r="F109" s="8">
        <f>H$85*Multipliers!U222*F$96</f>
        <v>0</v>
      </c>
      <c r="G109" s="8">
        <f t="shared" si="23"/>
        <v>125935.28697750001</v>
      </c>
      <c r="H109" s="18">
        <f t="shared" si="21"/>
        <v>0.13536045962500326</v>
      </c>
      <c r="I109" s="18">
        <f t="shared" si="22"/>
        <v>0.13536045962500326</v>
      </c>
      <c r="J109" s="18"/>
      <c r="L109" s="82">
        <f>$H109*Multipliers!D222</f>
        <v>1.6771160947537904</v>
      </c>
      <c r="M109" s="82">
        <f>$H109*Multipliers!E222</f>
        <v>0.23146638595875557</v>
      </c>
      <c r="N109" s="82">
        <f>$I109*Multipliers!F222</f>
        <v>0.19843843381025478</v>
      </c>
      <c r="O109" s="82">
        <f t="shared" si="24"/>
        <v>2.1070209145228009</v>
      </c>
      <c r="P109" s="36">
        <f>$H109*Multipliers!H222</f>
        <v>5.4144183850001304E-2</v>
      </c>
      <c r="Q109" s="36">
        <f>$H109*Multipliers!I222</f>
        <v>1.001667401225024E-2</v>
      </c>
      <c r="R109" s="36">
        <f>$I109*Multipliers!J222</f>
        <v>8.1216275775001946E-3</v>
      </c>
      <c r="S109" s="36">
        <f t="shared" si="25"/>
        <v>7.2282485439751742E-2</v>
      </c>
      <c r="T109" s="36">
        <f>$I109*Multipliers!L222</f>
        <v>0.13536045962500326</v>
      </c>
      <c r="U109" s="36">
        <f>$I109*Multipliers!M222</f>
        <v>3.5870521800625867E-2</v>
      </c>
      <c r="V109" s="36">
        <f>$I109*Multipliers!N222</f>
        <v>2.7072091925000652E-2</v>
      </c>
      <c r="W109" s="36">
        <f t="shared" si="26"/>
        <v>0.19830307335062977</v>
      </c>
      <c r="X109" s="36">
        <f>$I109*Multipliers!P222</f>
        <v>8.6766054619627095E-2</v>
      </c>
      <c r="Y109" s="36">
        <f>$I109*Multipliers!Q222</f>
        <v>2.0168708484125483E-2</v>
      </c>
      <c r="Z109" s="36">
        <f>$I109*Multipliers!R222</f>
        <v>1.5566452856875376E-2</v>
      </c>
      <c r="AA109" s="36">
        <f t="shared" si="27"/>
        <v>0.12250121596062796</v>
      </c>
    </row>
    <row r="110" spans="3:27" ht="15" x14ac:dyDescent="0.2">
      <c r="C110" s="6" t="s">
        <v>120</v>
      </c>
      <c r="D110" s="8">
        <f>$D$143*DefaultData!N100+$D$144*DefaultData!N101+$D$145*DefaultData!N102+$D$146*DefaultData!N103+$D$147*DefaultData!N104+$D$148*DefaultData!N105+$D$149*DefaultData!N106+$D$150*DefaultData!N107+$D$151*DefaultData!N108+$D$152*DefaultData!N109+$D$153*DefaultData!N110+$D$154*DefaultData!N111+$D$155*DefaultData!N112+$D$156*DefaultData!N113</f>
        <v>525930.78633278771</v>
      </c>
      <c r="E110" s="8">
        <f>(H$88*Multipliers!U223)*E$96</f>
        <v>0</v>
      </c>
      <c r="F110" s="8">
        <f>H$85*Multipliers!U223*F$96</f>
        <v>0</v>
      </c>
      <c r="G110" s="8">
        <f t="shared" si="23"/>
        <v>525930.78633278771</v>
      </c>
      <c r="H110" s="18">
        <f t="shared" si="21"/>
        <v>0.56529218043283291</v>
      </c>
      <c r="I110" s="18">
        <f t="shared" si="22"/>
        <v>0.56529218043283291</v>
      </c>
      <c r="J110" s="18"/>
      <c r="L110" s="82">
        <f>($H110-(($H84+$H86)*$G42/10^6))*Multipliers!D223</f>
        <v>3.2199042597454159</v>
      </c>
      <c r="M110" s="82">
        <f>$H110*Multipliers!E223</f>
        <v>1.2962149697324858</v>
      </c>
      <c r="N110" s="82">
        <f>$I110*Multipliers!F223</f>
        <v>0.48389010645050495</v>
      </c>
      <c r="O110" s="82">
        <f t="shared" si="24"/>
        <v>5.0000093359284072</v>
      </c>
      <c r="P110" s="36">
        <f>($H110-(($H84+$H86)*$G42/10^6))*Multipliers!H223</f>
        <v>0.10175259247790992</v>
      </c>
      <c r="Q110" s="36">
        <f>$H110*Multipliers!I223</f>
        <v>5.2006880599820629E-2</v>
      </c>
      <c r="R110" s="36">
        <f>$I110*Multipliers!J223</f>
        <v>1.9219934134716319E-2</v>
      </c>
      <c r="S110" s="36">
        <f t="shared" si="25"/>
        <v>0.17297940721244687</v>
      </c>
      <c r="T110" s="36">
        <f>$I110*Multipliers!L223</f>
        <v>0.56529218043283291</v>
      </c>
      <c r="U110" s="36">
        <f>$I110*Multipliers!M223</f>
        <v>0.20915810676014818</v>
      </c>
      <c r="V110" s="36">
        <f>$I110*Multipliers!N223</f>
        <v>6.5008600749775783E-2</v>
      </c>
      <c r="W110" s="36">
        <f t="shared" si="26"/>
        <v>0.83945888794275692</v>
      </c>
      <c r="X110" s="36">
        <f>$I110*Multipliers!P223</f>
        <v>0.30469248525329695</v>
      </c>
      <c r="Y110" s="36">
        <f>$I110*Multipliers!Q223</f>
        <v>0.11475431262786509</v>
      </c>
      <c r="Z110" s="36">
        <f>$I110*Multipliers!R223</f>
        <v>3.7309283908566977E-2</v>
      </c>
      <c r="AA110" s="36">
        <f t="shared" si="27"/>
        <v>0.45675608178972904</v>
      </c>
    </row>
    <row r="111" spans="3:27" ht="15" x14ac:dyDescent="0.2">
      <c r="C111" s="6" t="s">
        <v>121</v>
      </c>
      <c r="D111" s="8">
        <f>$D$143*DefaultData!O100+$D$144*DefaultData!O101+$D$145*DefaultData!O102+$D$146*DefaultData!O103+$D$147*DefaultData!O104+$D$148*DefaultData!O105+$D$149*DefaultData!O106+$D$150*DefaultData!O107+$D$151*DefaultData!O108+$D$152*DefaultData!O109+$D$153*DefaultData!O110+$D$154*DefaultData!O111+$D$155*DefaultData!O112+$D$156*DefaultData!O113</f>
        <v>175910.49294000003</v>
      </c>
      <c r="E111" s="8">
        <f>(H$88*Multipliers!U224)*E$96</f>
        <v>0</v>
      </c>
      <c r="F111" s="8">
        <f>H$85*Multipliers!U224*F$96</f>
        <v>0</v>
      </c>
      <c r="G111" s="8">
        <f t="shared" si="23"/>
        <v>175910.49294000003</v>
      </c>
      <c r="H111" s="18">
        <f t="shared" si="21"/>
        <v>0.18907587975301554</v>
      </c>
      <c r="I111" s="18">
        <f t="shared" si="22"/>
        <v>0.18907587975301554</v>
      </c>
      <c r="J111" s="18"/>
      <c r="L111" s="82">
        <f>$H111*Multipliers!D224</f>
        <v>1.2664302425856981</v>
      </c>
      <c r="M111" s="82">
        <f>$H111*Multipliers!E224</f>
        <v>0.34846684638480763</v>
      </c>
      <c r="N111" s="82">
        <f>$I111*Multipliers!F224</f>
        <v>0.30233233172507185</v>
      </c>
      <c r="O111" s="82">
        <f t="shared" si="24"/>
        <v>1.9172294206955776</v>
      </c>
      <c r="P111" s="36">
        <f>$H111*Multipliers!H224</f>
        <v>8.8487511724411272E-2</v>
      </c>
      <c r="Q111" s="36">
        <f>$H111*Multipliers!I224</f>
        <v>1.7205905057524413E-2</v>
      </c>
      <c r="R111" s="36">
        <f>$I111*Multipliers!J224</f>
        <v>1.3424387462464103E-2</v>
      </c>
      <c r="S111" s="36">
        <f t="shared" si="25"/>
        <v>0.11911780424439979</v>
      </c>
      <c r="T111" s="36">
        <f>$I111*Multipliers!L224</f>
        <v>0.18907587975301554</v>
      </c>
      <c r="U111" s="36">
        <f>$I111*Multipliers!M224</f>
        <v>5.6344612166398626E-2</v>
      </c>
      <c r="V111" s="36">
        <f>$I111*Multipliers!N224</f>
        <v>4.4621907621711664E-2</v>
      </c>
      <c r="W111" s="36">
        <f t="shared" si="26"/>
        <v>0.29004239954112582</v>
      </c>
      <c r="X111" s="36">
        <f>$I111*Multipliers!P224</f>
        <v>0.10399173386415855</v>
      </c>
      <c r="Y111" s="36">
        <f>$I111*Multipliers!Q224</f>
        <v>3.1575671918753601E-2</v>
      </c>
      <c r="Z111" s="36">
        <f>$I111*Multipliers!R224</f>
        <v>2.5525243766657098E-2</v>
      </c>
      <c r="AA111" s="36">
        <f t="shared" si="27"/>
        <v>0.16109264954956926</v>
      </c>
    </row>
    <row r="112" spans="3:27" ht="15" x14ac:dyDescent="0.2">
      <c r="C112" s="6" t="s">
        <v>122</v>
      </c>
      <c r="D112" s="8">
        <f>$D$143*DefaultData!P100+$D$144*DefaultData!P101+$D$145*DefaultData!P102+$D$146*DefaultData!P103+$D$147*DefaultData!P104+$D$148*DefaultData!P105+$D$149*DefaultData!P106+$D$150*DefaultData!P107+$D$151*DefaultData!P108+$D$152*DefaultData!P109+$D$153*DefaultData!P110+$D$154*DefaultData!P111+$D$155*DefaultData!P112+$D$156*DefaultData!P113</f>
        <v>1827442.8906249991</v>
      </c>
      <c r="E112" s="8">
        <f>(H$88*Multipliers!U225)*E$96</f>
        <v>0</v>
      </c>
      <c r="F112" s="8">
        <f>H$85*Multipliers!U225*F$96</f>
        <v>0</v>
      </c>
      <c r="G112" s="8">
        <f t="shared" si="23"/>
        <v>1827442.8906249991</v>
      </c>
      <c r="H112" s="18">
        <f t="shared" si="21"/>
        <v>1.964211267153734</v>
      </c>
      <c r="I112" s="18">
        <f t="shared" si="22"/>
        <v>1.964211267153734</v>
      </c>
      <c r="J112" s="18"/>
      <c r="L112" s="82">
        <f>$H112*Multipliers!D225</f>
        <v>16.389378813130755</v>
      </c>
      <c r="M112" s="82">
        <f>$H112*Multipliers!E225</f>
        <v>3.3823718020387297</v>
      </c>
      <c r="N112" s="82">
        <f>$I112*Multipliers!F225</f>
        <v>2.4415146050720917</v>
      </c>
      <c r="O112" s="82">
        <f t="shared" si="24"/>
        <v>22.213265220241574</v>
      </c>
      <c r="P112" s="36">
        <f>$H112*Multipliers!H225</f>
        <v>0.63836866182496355</v>
      </c>
      <c r="Q112" s="36">
        <f>$H112*Multipliers!I225</f>
        <v>0.14535163376937629</v>
      </c>
      <c r="R112" s="36">
        <f>$I112*Multipliers!J225</f>
        <v>0.10017477462484042</v>
      </c>
      <c r="S112" s="36">
        <f t="shared" si="25"/>
        <v>0.88389507021918023</v>
      </c>
      <c r="T112" s="36">
        <f>$I112*Multipliers!L225</f>
        <v>1.964211267153734</v>
      </c>
      <c r="U112" s="36">
        <f>$I112*Multipliers!M225</f>
        <v>0.5126591407271246</v>
      </c>
      <c r="V112" s="36">
        <f>$I112*Multipliers!N225</f>
        <v>0.33195170414898106</v>
      </c>
      <c r="W112" s="36">
        <f t="shared" si="26"/>
        <v>2.8088221120298398</v>
      </c>
      <c r="X112" s="36">
        <f>$I112*Multipliers!P225</f>
        <v>1.1745983377579328</v>
      </c>
      <c r="Y112" s="36">
        <f>$I112*Multipliers!Q225</f>
        <v>0.28481063373729143</v>
      </c>
      <c r="Z112" s="36">
        <f>$I112*Multipliers!R225</f>
        <v>0.19052849291391219</v>
      </c>
      <c r="AA112" s="36">
        <f t="shared" si="27"/>
        <v>1.6499374644091365</v>
      </c>
    </row>
    <row r="113" spans="3:27" ht="15" x14ac:dyDescent="0.2">
      <c r="C113" s="6" t="s">
        <v>48</v>
      </c>
      <c r="D113" s="8">
        <f>$D$143*DefaultData!Q100+$D$144*DefaultData!Q101+$D$145*DefaultData!Q102+$D$146*DefaultData!Q103+$D$147*DefaultData!Q104+$D$148*DefaultData!Q105+$D$149*DefaultData!Q106+$D$150*DefaultData!Q107+$D$151*DefaultData!Q108+$D$152*DefaultData!Q109+$D$153*DefaultData!Q110+$D$154*DefaultData!Q111+$D$155*DefaultData!Q112+$D$156*DefaultData!Q113</f>
        <v>184048.50753276391</v>
      </c>
      <c r="E113" s="8">
        <f>(H$88*Multipliers!U226)*E$96</f>
        <v>0</v>
      </c>
      <c r="F113" s="8">
        <f>H$85*Multipliers!U226*F$96</f>
        <v>0</v>
      </c>
      <c r="G113" s="8">
        <f t="shared" si="23"/>
        <v>184048.50753276391</v>
      </c>
      <c r="H113" s="18">
        <f t="shared" si="21"/>
        <v>0.19782295471627273</v>
      </c>
      <c r="I113" s="18">
        <f t="shared" si="22"/>
        <v>0.19782295471627273</v>
      </c>
      <c r="J113" s="18"/>
      <c r="L113" s="82">
        <v>0</v>
      </c>
      <c r="M113" s="82">
        <f>$H113*Multipliers!E226</f>
        <v>8.0711765524239268E-2</v>
      </c>
      <c r="N113" s="82">
        <f>$I113*Multipliers!F226</f>
        <v>0.43402356264750236</v>
      </c>
      <c r="O113" s="82">
        <f t="shared" si="24"/>
        <v>0.51473532817174161</v>
      </c>
      <c r="P113" s="36">
        <v>0</v>
      </c>
      <c r="Q113" s="36">
        <f>$H113*Multipliers!I226</f>
        <v>4.5499279584742727E-3</v>
      </c>
      <c r="R113" s="36">
        <f>$I113*Multipliers!J226</f>
        <v>1.9980118426343545E-2</v>
      </c>
      <c r="S113" s="36">
        <f t="shared" si="25"/>
        <v>2.4530046384817816E-2</v>
      </c>
      <c r="T113" s="36">
        <f>$I113*Multipliers!L226</f>
        <v>0.19782295471627273</v>
      </c>
      <c r="U113" s="36">
        <f>$I113*Multipliers!M226</f>
        <v>1.6221482286734364E-2</v>
      </c>
      <c r="V113" s="36">
        <f>$I113*Multipliers!N226</f>
        <v>6.6468512784667644E-2</v>
      </c>
      <c r="W113" s="36">
        <f t="shared" si="26"/>
        <v>0.28051294978767471</v>
      </c>
      <c r="X113" s="36">
        <f>$I113*Multipliers!P226</f>
        <v>0.17804065924464546</v>
      </c>
      <c r="Y113" s="36">
        <f>$I113*Multipliers!Q226</f>
        <v>8.7042100075160004E-3</v>
      </c>
      <c r="Z113" s="36">
        <f>$I113*Multipliers!R226</f>
        <v>3.8179830260240639E-2</v>
      </c>
      <c r="AA113" s="36">
        <f t="shared" si="27"/>
        <v>0.2249246995124021</v>
      </c>
    </row>
    <row r="114" spans="3:27" ht="15" x14ac:dyDescent="0.2">
      <c r="C114" s="6" t="s">
        <v>0</v>
      </c>
      <c r="D114" s="8">
        <f>SUM(D100:D113)</f>
        <v>4101711.9428825038</v>
      </c>
      <c r="E114" s="8">
        <f>SUM(E100:E113)</f>
        <v>0</v>
      </c>
      <c r="F114" s="8">
        <f>SUM(F100:F113)</f>
        <v>0</v>
      </c>
      <c r="G114" s="8">
        <f t="shared" si="23"/>
        <v>4101711.9428825038</v>
      </c>
      <c r="H114" s="20">
        <f>SUM(H100:H113)</f>
        <v>4.4086897895197268</v>
      </c>
      <c r="I114" s="18">
        <f>SUM(I100:I113)</f>
        <v>4.4086897895197268</v>
      </c>
      <c r="J114" s="18"/>
      <c r="K114" s="25" t="s">
        <v>0</v>
      </c>
      <c r="L114" s="82">
        <f>SUM(L100:L113)</f>
        <v>25.356707651633947</v>
      </c>
      <c r="M114" s="82">
        <f t="shared" ref="M114:W114" si="28">SUM(M100:M113)</f>
        <v>7.5105322363647948</v>
      </c>
      <c r="N114" s="82">
        <f t="shared" si="28"/>
        <v>4.9882670320137619</v>
      </c>
      <c r="O114" s="82">
        <f t="shared" si="28"/>
        <v>37.855506920012502</v>
      </c>
      <c r="P114" s="36">
        <f t="shared" si="28"/>
        <v>1.1332900421771621</v>
      </c>
      <c r="Q114" s="36">
        <f t="shared" si="28"/>
        <v>0.35019037692107208</v>
      </c>
      <c r="R114" s="36">
        <f t="shared" si="28"/>
        <v>0.20787049339487412</v>
      </c>
      <c r="S114" s="36">
        <f t="shared" si="28"/>
        <v>1.6913509124931081</v>
      </c>
      <c r="T114" s="36">
        <f t="shared" si="28"/>
        <v>4.4086897895197268</v>
      </c>
      <c r="U114" s="36">
        <f t="shared" si="28"/>
        <v>1.3096799477151215</v>
      </c>
      <c r="V114" s="36">
        <f t="shared" si="28"/>
        <v>0.69232127658705811</v>
      </c>
      <c r="W114" s="36">
        <f t="shared" si="28"/>
        <v>6.4106910138219062</v>
      </c>
      <c r="X114" s="36">
        <f t="shared" ref="X114:AA114" si="29">SUM(X100:X113)</f>
        <v>2.3831915543628219</v>
      </c>
      <c r="Y114" s="36">
        <f t="shared" si="29"/>
        <v>0.72271308125973965</v>
      </c>
      <c r="Z114" s="36">
        <f t="shared" si="29"/>
        <v>0.39703011923673154</v>
      </c>
      <c r="AA114" s="36">
        <f t="shared" si="29"/>
        <v>3.5029347548592931</v>
      </c>
    </row>
    <row r="115" spans="3:27" ht="15" x14ac:dyDescent="0.2">
      <c r="C115" s="37"/>
      <c r="E115" s="8"/>
      <c r="L115" s="82"/>
      <c r="M115" s="82"/>
      <c r="N115" s="82"/>
      <c r="O115" s="82" t="s">
        <v>359</v>
      </c>
      <c r="P115" s="8">
        <f>P114*10^6/L114</f>
        <v>44693.895506743153</v>
      </c>
      <c r="Q115" s="36"/>
      <c r="R115" s="36"/>
      <c r="S115" s="36"/>
      <c r="T115" s="36"/>
      <c r="U115" s="36"/>
      <c r="V115" s="36"/>
      <c r="W115" s="36"/>
      <c r="X115" s="36"/>
      <c r="Y115" s="36"/>
      <c r="Z115" s="36"/>
      <c r="AA115" s="36"/>
    </row>
    <row r="116" spans="3:27" ht="15" x14ac:dyDescent="0.2">
      <c r="C116" s="6" t="s">
        <v>132</v>
      </c>
      <c r="E116" s="24" t="s">
        <v>245</v>
      </c>
      <c r="G116" s="8">
        <f>K70</f>
        <v>1725075.0000000009</v>
      </c>
      <c r="H116" s="18">
        <f>G116*G42/10^6</f>
        <v>1.8541820207176856</v>
      </c>
      <c r="L116" s="32"/>
      <c r="M116" s="32"/>
      <c r="N116" s="32"/>
      <c r="O116" s="81"/>
      <c r="P116" s="36"/>
      <c r="Q116" s="36"/>
      <c r="R116" s="36"/>
      <c r="S116" s="36"/>
      <c r="T116" s="36"/>
      <c r="U116" s="36"/>
      <c r="V116" s="36"/>
      <c r="W116" s="36"/>
      <c r="X116" s="36"/>
      <c r="Y116" s="36"/>
      <c r="Z116" s="36"/>
      <c r="AA116" s="36"/>
    </row>
    <row r="117" spans="3:27" ht="15" x14ac:dyDescent="0.2">
      <c r="C117" s="6" t="s">
        <v>132</v>
      </c>
      <c r="E117" s="24" t="s">
        <v>375</v>
      </c>
      <c r="F117" s="34">
        <f>IF(ProjectData!$B$26="y",DefaultData!M91,DefaultData!R91)</f>
        <v>7.1186945514116112E-2</v>
      </c>
      <c r="G117" s="118">
        <f>F117*G116</f>
        <v>122802.82003276392</v>
      </c>
      <c r="H117" s="99">
        <v>0</v>
      </c>
      <c r="O117" t="s">
        <v>141</v>
      </c>
      <c r="P117" s="1">
        <f>D42</f>
        <v>2010</v>
      </c>
      <c r="Q117" s="1" t="s">
        <v>139</v>
      </c>
      <c r="T117" s="1">
        <f>P117</f>
        <v>2010</v>
      </c>
      <c r="U117" s="1" t="s">
        <v>139</v>
      </c>
      <c r="X117" s="1">
        <f>T117</f>
        <v>2010</v>
      </c>
      <c r="Y117" s="1" t="s">
        <v>139</v>
      </c>
      <c r="Z117" s="398"/>
      <c r="AA117" s="398"/>
    </row>
    <row r="118" spans="3:27" x14ac:dyDescent="0.2">
      <c r="C118" s="35" t="s">
        <v>349</v>
      </c>
      <c r="D118" s="34">
        <f>IF(ProjectData!$B$26="y",DefaultData!H93,DefaultData!I93)</f>
        <v>25.324015276627946</v>
      </c>
      <c r="E118" s="31" t="s">
        <v>376</v>
      </c>
      <c r="F118" s="34">
        <f>IF(ProjectData!$B$26="y",DefaultData!M92,DefaultData!R92)</f>
        <v>0.30487415696870424</v>
      </c>
      <c r="G118" s="8">
        <f>F118*G116</f>
        <v>525930.78633278771</v>
      </c>
      <c r="H118" s="99">
        <f>IF(ProjectData!B13="MyCounty",0,IF(ProjectData!B13="MyRegion",0,1))</f>
        <v>1</v>
      </c>
      <c r="J118" s="31" t="s">
        <v>159</v>
      </c>
      <c r="L118" s="14">
        <f>L114</f>
        <v>25.356707651633947</v>
      </c>
      <c r="M118" s="14">
        <f>M114</f>
        <v>7.5105322363647948</v>
      </c>
      <c r="N118" s="14">
        <f>N114</f>
        <v>4.9882670320137619</v>
      </c>
      <c r="O118" s="14">
        <f>O114</f>
        <v>37.855506920012502</v>
      </c>
      <c r="P118" s="18">
        <f>P114*$G63</f>
        <v>1.0543788569107453</v>
      </c>
      <c r="Q118" s="18">
        <f>Q114*$G63</f>
        <v>0.32580655928984364</v>
      </c>
      <c r="R118" s="18">
        <f>R114*$G63</f>
        <v>0.1933964343232952</v>
      </c>
      <c r="S118" s="36">
        <f>+R118+Q118+P118</f>
        <v>1.5735818505238841</v>
      </c>
      <c r="T118" s="18">
        <f>T114*$G63</f>
        <v>4.1017119428825053</v>
      </c>
      <c r="U118" s="18">
        <f>U114*$G63</f>
        <v>1.2184867022549244</v>
      </c>
      <c r="V118" s="18">
        <f>V114*$G63</f>
        <v>0.64411482414555399</v>
      </c>
      <c r="W118" s="36">
        <f>+V118+U118+T118</f>
        <v>5.9643134692829838</v>
      </c>
      <c r="X118" s="18">
        <f>X114*$G63</f>
        <v>2.2172495066321263</v>
      </c>
      <c r="Y118" s="18">
        <f>Y114*$G63</f>
        <v>0.67239044210534471</v>
      </c>
      <c r="Z118" s="18">
        <f>Z114*$G63</f>
        <v>0.36938484209721917</v>
      </c>
      <c r="AA118" s="36">
        <f>+Z118+Y118+X118</f>
        <v>3.2590247908346903</v>
      </c>
    </row>
    <row r="119" spans="3:27" x14ac:dyDescent="0.2">
      <c r="C119" s="35" t="s">
        <v>323</v>
      </c>
      <c r="D119" s="34">
        <f>IF(ProjectData!$B$26="y",DefaultData!H94,DefaultData!I94)</f>
        <v>0</v>
      </c>
      <c r="E119" s="24" t="s">
        <v>377</v>
      </c>
      <c r="G119" s="8">
        <f>G116-G117-G118</f>
        <v>1076341.3936344492</v>
      </c>
      <c r="J119" s="31" t="s">
        <v>152</v>
      </c>
      <c r="L119" s="14">
        <f>L118+L139</f>
        <v>50.680722928261893</v>
      </c>
      <c r="M119" s="14">
        <f>M118+M139</f>
        <v>10.931572884306432</v>
      </c>
      <c r="N119" s="14">
        <f>N118+N139</f>
        <v>7.0768812151229223</v>
      </c>
      <c r="O119" s="14">
        <f>O118+O139</f>
        <v>68.689177027691244</v>
      </c>
      <c r="P119" s="18">
        <f>(P114+P139)*$G63</f>
        <v>2.6566510368779821</v>
      </c>
      <c r="Q119" s="18">
        <f>(Q114+Q139)*$G63</f>
        <v>0.46891327116993264</v>
      </c>
      <c r="R119" s="18">
        <f>(R114+R139)*$G63</f>
        <v>0.27603925249401345</v>
      </c>
      <c r="S119" s="36">
        <f>+R119+Q119+P119</f>
        <v>3.4016035605419281</v>
      </c>
      <c r="T119" s="18">
        <f>(T114+T139)*$G63</f>
        <v>5.7039841228497421</v>
      </c>
      <c r="U119" s="18">
        <f>(U114+U139)*$G63</f>
        <v>1.7449012420221512</v>
      </c>
      <c r="V119" s="18">
        <f>(V114+V139)*$G63</f>
        <v>0.92033966667905021</v>
      </c>
      <c r="W119" s="36">
        <f>+V119+U119+T119</f>
        <v>8.3692250315509433</v>
      </c>
      <c r="X119" s="18">
        <f>(X114+X139)*$G63</f>
        <v>3.8195216865993631</v>
      </c>
      <c r="Y119" s="18">
        <f>(Y114+Y139)*$G63</f>
        <v>0.96394470094449458</v>
      </c>
      <c r="Z119" s="18">
        <f>(Z114+Z139)*$G63</f>
        <v>0.52763069888029379</v>
      </c>
      <c r="AA119" s="36">
        <f>+Z119+Y119+X119</f>
        <v>5.3110970864241516</v>
      </c>
    </row>
    <row r="120" spans="3:27" x14ac:dyDescent="0.2">
      <c r="C120" s="33" t="s">
        <v>350</v>
      </c>
      <c r="D120" s="34">
        <f>IF(ProjectData!$B$26="y",DefaultData!H95,DefaultData!I95)</f>
        <v>0</v>
      </c>
      <c r="X120" s="398"/>
      <c r="Y120" s="398"/>
      <c r="Z120" s="398"/>
      <c r="AA120" s="398"/>
    </row>
    <row r="121" spans="3:27" x14ac:dyDescent="0.2">
      <c r="C121" s="35" t="s">
        <v>134</v>
      </c>
      <c r="D121" s="22">
        <f>+D120+D119+D118</f>
        <v>25.324015276627946</v>
      </c>
      <c r="X121" s="398"/>
      <c r="Y121" s="398"/>
      <c r="Z121" s="398"/>
      <c r="AA121" s="398"/>
    </row>
    <row r="122" spans="3:27" x14ac:dyDescent="0.2">
      <c r="C122" s="35"/>
      <c r="D122" s="22"/>
      <c r="L122" s="1" t="s">
        <v>160</v>
      </c>
      <c r="X122" s="398"/>
      <c r="Y122" s="398"/>
      <c r="Z122" s="398"/>
      <c r="AA122" s="398"/>
    </row>
    <row r="123" spans="3:27" x14ac:dyDescent="0.2">
      <c r="C123" s="24" t="s">
        <v>158</v>
      </c>
      <c r="F123" s="10" t="s">
        <v>156</v>
      </c>
      <c r="H123" s="31" t="s">
        <v>282</v>
      </c>
      <c r="I123" s="19"/>
      <c r="L123" s="11" t="s">
        <v>43</v>
      </c>
      <c r="M123" s="11"/>
      <c r="N123" s="11"/>
      <c r="O123" s="11"/>
      <c r="P123" s="11" t="s">
        <v>145</v>
      </c>
      <c r="Q123" s="11"/>
      <c r="R123" s="11"/>
      <c r="S123" s="11"/>
      <c r="T123" s="11" t="s">
        <v>146</v>
      </c>
      <c r="X123" s="11" t="s">
        <v>146</v>
      </c>
      <c r="Y123" s="398"/>
      <c r="Z123" s="398"/>
      <c r="AA123" s="398"/>
    </row>
    <row r="124" spans="3:27" x14ac:dyDescent="0.2">
      <c r="F124" s="10" t="s">
        <v>157</v>
      </c>
      <c r="H124" s="19">
        <f>H99</f>
        <v>2014</v>
      </c>
      <c r="I124" s="31" t="s">
        <v>139</v>
      </c>
      <c r="L124" s="11" t="s">
        <v>111</v>
      </c>
      <c r="M124" s="11" t="s">
        <v>112</v>
      </c>
      <c r="N124" s="11" t="s">
        <v>113</v>
      </c>
      <c r="O124" s="11" t="s">
        <v>0</v>
      </c>
      <c r="P124" s="11" t="s">
        <v>111</v>
      </c>
      <c r="Q124" s="11" t="s">
        <v>112</v>
      </c>
      <c r="R124" s="11" t="s">
        <v>113</v>
      </c>
      <c r="S124" s="11" t="s">
        <v>0</v>
      </c>
      <c r="T124" s="11" t="s">
        <v>111</v>
      </c>
      <c r="U124" s="11" t="s">
        <v>112</v>
      </c>
      <c r="V124" s="11" t="s">
        <v>113</v>
      </c>
      <c r="W124" s="11" t="s">
        <v>0</v>
      </c>
      <c r="X124" s="11" t="s">
        <v>111</v>
      </c>
      <c r="Y124" s="11" t="s">
        <v>112</v>
      </c>
      <c r="Z124" s="11" t="s">
        <v>113</v>
      </c>
      <c r="AA124" s="11" t="s">
        <v>0</v>
      </c>
    </row>
    <row r="125" spans="3:27" ht="15" x14ac:dyDescent="0.2">
      <c r="C125" s="6" t="s">
        <v>44</v>
      </c>
      <c r="F125" s="8">
        <f>G$119*Multipliers!U213</f>
        <v>4293.6609855220322</v>
      </c>
      <c r="H125" s="18">
        <f>F125*G$42/10^6</f>
        <v>4.6150045664170702E-3</v>
      </c>
      <c r="L125" s="11"/>
      <c r="M125" s="82">
        <f>$H125*Multipliers!E213</f>
        <v>4.1904241463067001E-3</v>
      </c>
      <c r="N125" s="82">
        <f>$H125*Multipliers!F213</f>
        <v>3.08743805493302E-3</v>
      </c>
      <c r="O125" s="82">
        <f>N125+M125</f>
        <v>7.2778622012397206E-3</v>
      </c>
      <c r="P125" s="11"/>
      <c r="Q125" s="36">
        <f>$H125*Multipliers!I213</f>
        <v>1.9844519635593401E-4</v>
      </c>
      <c r="R125" s="36">
        <f>$H125*Multipliers!J213</f>
        <v>1.3845013699251209E-4</v>
      </c>
      <c r="S125" s="36">
        <f>R125+Q125</f>
        <v>3.368953333484461E-4</v>
      </c>
      <c r="T125" s="36">
        <f>$H125*Multipliers!L213</f>
        <v>4.6150045664170702E-3</v>
      </c>
      <c r="U125" s="36">
        <f>$H125*Multipliers!M213</f>
        <v>9.1377090415057998E-4</v>
      </c>
      <c r="V125" s="36">
        <f>$H125*Multipliers!N213</f>
        <v>4.6150045664170703E-4</v>
      </c>
      <c r="W125" s="36">
        <f>V125+U125</f>
        <v>1.3752713607922871E-3</v>
      </c>
      <c r="X125" s="36"/>
      <c r="Y125" s="36">
        <f>$H125*Multipliers!Q213</f>
        <v>4.6611546120812412E-4</v>
      </c>
      <c r="Z125" s="36">
        <f>$H125*Multipliers!R213</f>
        <v>2.6305526028577302E-4</v>
      </c>
      <c r="AA125" s="36">
        <f>Z125+Y125</f>
        <v>7.2917072149389708E-4</v>
      </c>
    </row>
    <row r="126" spans="3:27" ht="15" x14ac:dyDescent="0.2">
      <c r="C126" s="6" t="s">
        <v>114</v>
      </c>
      <c r="D126" s="8"/>
      <c r="F126" s="8">
        <f>G$119*Multipliers!U214</f>
        <v>29.140274188882881</v>
      </c>
      <c r="H126" s="18">
        <f t="shared" ref="H126:H138" si="30">F126*G$42/10^6</f>
        <v>3.1321172980774894E-5</v>
      </c>
      <c r="J126" s="70"/>
      <c r="K126" s="70"/>
      <c r="L126" s="70"/>
      <c r="M126" s="82">
        <f>$H126*Multipliers!E214</f>
        <v>2.7813201606928105E-5</v>
      </c>
      <c r="N126" s="82">
        <f>$H126*Multipliers!F214</f>
        <v>2.4837690173754491E-5</v>
      </c>
      <c r="O126" s="82">
        <f t="shared" ref="O126:O138" si="31">N126+M126</f>
        <v>5.2650891780682596E-5</v>
      </c>
      <c r="P126" s="36"/>
      <c r="Q126" s="36">
        <f>$H126*Multipliers!I214</f>
        <v>1.816628032884944E-6</v>
      </c>
      <c r="R126" s="36">
        <f>$H126*Multipliers!J214</f>
        <v>9.7095636240402179E-7</v>
      </c>
      <c r="S126" s="36">
        <f t="shared" ref="S126:S138" si="32">R126+Q126</f>
        <v>2.7875843952889658E-6</v>
      </c>
      <c r="T126" s="36">
        <f>$H126*Multipliers!L214</f>
        <v>3.1321172980774894E-5</v>
      </c>
      <c r="U126" s="36">
        <f>$H126*Multipliers!M214</f>
        <v>7.9555779371168232E-6</v>
      </c>
      <c r="V126" s="36">
        <f>$H126*Multipliers!N214</f>
        <v>3.2260808170198139E-6</v>
      </c>
      <c r="W126" s="36">
        <f t="shared" ref="W126:W138" si="33">V126+U126</f>
        <v>1.1181658754136637E-5</v>
      </c>
      <c r="X126" s="36"/>
      <c r="Y126" s="36">
        <f>$H126*Multipliers!Q214</f>
        <v>4.7294971200970089E-6</v>
      </c>
      <c r="Z126" s="36">
        <f>$H126*Multipliers!R214</f>
        <v>1.8479492058657187E-6</v>
      </c>
      <c r="AA126" s="36">
        <f t="shared" ref="AA126:AA138" si="34">Z126+Y126</f>
        <v>6.5774463259627276E-6</v>
      </c>
    </row>
    <row r="127" spans="3:27" ht="15" x14ac:dyDescent="0.2">
      <c r="C127" s="6" t="s">
        <v>45</v>
      </c>
      <c r="D127" s="8"/>
      <c r="F127" s="8">
        <f>G$119*Multipliers!U215</f>
        <v>0</v>
      </c>
      <c r="H127" s="18">
        <f t="shared" si="30"/>
        <v>0</v>
      </c>
      <c r="J127" s="70"/>
      <c r="K127" s="70"/>
      <c r="L127" s="70"/>
      <c r="M127" s="82">
        <f>$H127*Multipliers!E215</f>
        <v>0</v>
      </c>
      <c r="N127" s="82">
        <f>$H127*Multipliers!F215</f>
        <v>0</v>
      </c>
      <c r="O127" s="82">
        <f t="shared" si="31"/>
        <v>0</v>
      </c>
      <c r="P127" s="36"/>
      <c r="Q127" s="36">
        <f>$H127*Multipliers!I215</f>
        <v>0</v>
      </c>
      <c r="R127" s="36">
        <f>$H127*Multipliers!J215</f>
        <v>0</v>
      </c>
      <c r="S127" s="36">
        <f t="shared" si="32"/>
        <v>0</v>
      </c>
      <c r="T127" s="36">
        <f>$H127*Multipliers!L215</f>
        <v>0</v>
      </c>
      <c r="U127" s="36">
        <f>$H127*Multipliers!M215</f>
        <v>0</v>
      </c>
      <c r="V127" s="36">
        <f>$H127*Multipliers!N215</f>
        <v>0</v>
      </c>
      <c r="W127" s="36">
        <f t="shared" si="33"/>
        <v>0</v>
      </c>
      <c r="X127" s="36"/>
      <c r="Y127" s="36">
        <f>$H127*Multipliers!Q215</f>
        <v>0</v>
      </c>
      <c r="Z127" s="36">
        <f>$H127*Multipliers!R215</f>
        <v>0</v>
      </c>
      <c r="AA127" s="36">
        <f t="shared" si="34"/>
        <v>0</v>
      </c>
    </row>
    <row r="128" spans="3:27" ht="15" x14ac:dyDescent="0.2">
      <c r="C128" s="6" t="s">
        <v>115</v>
      </c>
      <c r="D128" s="8"/>
      <c r="F128" s="8">
        <f>G$119*Multipliers!U216</f>
        <v>39998.509149726866</v>
      </c>
      <c r="H128" s="18">
        <f t="shared" si="30"/>
        <v>4.2992053401119001E-2</v>
      </c>
      <c r="J128" s="70"/>
      <c r="K128" s="70"/>
      <c r="L128" s="70"/>
      <c r="M128" s="82">
        <f>$H128*Multipliers!E216</f>
        <v>6.7712484106762422E-2</v>
      </c>
      <c r="N128" s="82">
        <f>$H128*Multipliers!F216</f>
        <v>1.9303431977102433E-2</v>
      </c>
      <c r="O128" s="82">
        <f t="shared" si="31"/>
        <v>8.7015916083864858E-2</v>
      </c>
      <c r="P128" s="36"/>
      <c r="Q128" s="36">
        <f>$H128*Multipliers!I216</f>
        <v>3.8692848061007098E-3</v>
      </c>
      <c r="R128" s="36">
        <f>$H128*Multipliers!J216</f>
        <v>7.7385696122014196E-4</v>
      </c>
      <c r="S128" s="36">
        <f t="shared" si="32"/>
        <v>4.6431417673208518E-3</v>
      </c>
      <c r="T128" s="36">
        <f>$H128*Multipliers!L216</f>
        <v>4.2992053401119001E-2</v>
      </c>
      <c r="U128" s="36">
        <f>$H128*Multipliers!M216</f>
        <v>1.6852884933238648E-2</v>
      </c>
      <c r="V128" s="36">
        <f>$H128*Multipliers!N216</f>
        <v>2.5795232040671402E-3</v>
      </c>
      <c r="W128" s="36">
        <f t="shared" si="33"/>
        <v>1.943240813730579E-2</v>
      </c>
      <c r="X128" s="36"/>
      <c r="Y128" s="36">
        <f>$H128*Multipliers!Q216</f>
        <v>9.0713232676361086E-3</v>
      </c>
      <c r="Z128" s="36">
        <f>$H128*Multipliers!R216</f>
        <v>1.4617298156380462E-3</v>
      </c>
      <c r="AA128" s="36">
        <f t="shared" si="34"/>
        <v>1.0533053083274155E-2</v>
      </c>
    </row>
    <row r="129" spans="3:27" ht="15" x14ac:dyDescent="0.2">
      <c r="C129" s="6" t="s">
        <v>116</v>
      </c>
      <c r="D129" s="8"/>
      <c r="F129" s="8">
        <f>G$119*Multipliers!U217</f>
        <v>0.10887986337818223</v>
      </c>
      <c r="H129" s="18">
        <f t="shared" si="30"/>
        <v>1.1702858431895619E-7</v>
      </c>
      <c r="J129" s="70"/>
      <c r="K129" s="70"/>
      <c r="L129" s="70"/>
      <c r="M129" s="82">
        <f>$H129*Multipliers!E217</f>
        <v>1.2966767142540347E-7</v>
      </c>
      <c r="N129" s="82">
        <f>$H129*Multipliers!F217</f>
        <v>1.0228298269476771E-7</v>
      </c>
      <c r="O129" s="82">
        <f t="shared" si="31"/>
        <v>2.3195065412017118E-7</v>
      </c>
      <c r="P129" s="36"/>
      <c r="Q129" s="36">
        <f>$H129*Multipliers!I217</f>
        <v>6.4365721375425906E-9</v>
      </c>
      <c r="R129" s="36">
        <f>$H129*Multipliers!J217</f>
        <v>4.0960004511634668E-9</v>
      </c>
      <c r="S129" s="36">
        <f t="shared" si="32"/>
        <v>1.0532572588706058E-8</v>
      </c>
      <c r="T129" s="36">
        <f>$H129*Multipliers!L217</f>
        <v>1.1702858431895619E-7</v>
      </c>
      <c r="U129" s="36">
        <f>$H129*Multipliers!M217</f>
        <v>2.6565488640403058E-8</v>
      </c>
      <c r="V129" s="36">
        <f>$H129*Multipliers!N217</f>
        <v>1.3458287196679963E-8</v>
      </c>
      <c r="W129" s="36">
        <f t="shared" si="33"/>
        <v>4.0023775837083023E-8</v>
      </c>
      <c r="X129" s="36"/>
      <c r="Y129" s="36">
        <f>$H129*Multipliers!Q217</f>
        <v>1.2873144275085181E-8</v>
      </c>
      <c r="Z129" s="36">
        <f>$H129*Multipliers!R217</f>
        <v>7.7238865650511084E-9</v>
      </c>
      <c r="AA129" s="36">
        <f t="shared" si="34"/>
        <v>2.0597030840136291E-8</v>
      </c>
    </row>
    <row r="130" spans="3:27" ht="15" x14ac:dyDescent="0.2">
      <c r="C130" s="6" t="s">
        <v>117</v>
      </c>
      <c r="D130" s="8"/>
      <c r="F130" s="8">
        <f>G$119*Multipliers!U218</f>
        <v>2.5095796789387292</v>
      </c>
      <c r="G130" s="18"/>
      <c r="H130" s="18">
        <f t="shared" si="30"/>
        <v>2.6974001247752425E-6</v>
      </c>
      <c r="I130" s="70"/>
      <c r="J130" s="70"/>
      <c r="K130" s="70"/>
      <c r="L130" s="70"/>
      <c r="M130" s="82">
        <f>$H130*Multipliers!E218</f>
        <v>3.7197147720650593E-6</v>
      </c>
      <c r="N130" s="82">
        <f>$H130*Multipliers!F218</f>
        <v>1.591466073617393E-6</v>
      </c>
      <c r="O130" s="82">
        <f t="shared" si="31"/>
        <v>5.3111808456824527E-6</v>
      </c>
      <c r="P130" s="36"/>
      <c r="Q130" s="36">
        <f>$H130*Multipliers!I218</f>
        <v>1.9151540885904221E-7</v>
      </c>
      <c r="R130" s="36">
        <f>$H130*Multipliers!J218</f>
        <v>6.2040202869830571E-8</v>
      </c>
      <c r="S130" s="36">
        <f t="shared" si="32"/>
        <v>2.5355561172887277E-7</v>
      </c>
      <c r="T130" s="36">
        <f>$H130*Multipliers!L218</f>
        <v>2.6974001247752425E-6</v>
      </c>
      <c r="U130" s="36">
        <f>$H130*Multipliers!M218</f>
        <v>7.5527203493706798E-7</v>
      </c>
      <c r="V130" s="36">
        <f>$H130*Multipliers!N218</f>
        <v>2.103972097324689E-7</v>
      </c>
      <c r="W130" s="36">
        <f t="shared" si="33"/>
        <v>9.6566924466953693E-7</v>
      </c>
      <c r="X130" s="36"/>
      <c r="Y130" s="36">
        <f>$H130*Multipliers!Q218</f>
        <v>3.7763601746853399E-7</v>
      </c>
      <c r="Z130" s="36">
        <f>$H130*Multipliers!R218</f>
        <v>1.1868560549011066E-7</v>
      </c>
      <c r="AA130" s="36">
        <f t="shared" si="34"/>
        <v>4.9632162295864467E-7</v>
      </c>
    </row>
    <row r="131" spans="3:27" ht="15" x14ac:dyDescent="0.2">
      <c r="C131" s="6" t="s">
        <v>118</v>
      </c>
      <c r="D131" s="8"/>
      <c r="F131" s="8">
        <f>G$119*Multipliers!U219</f>
        <v>3.3512531510208892E-3</v>
      </c>
      <c r="G131" s="18"/>
      <c r="H131" s="18">
        <f t="shared" si="30"/>
        <v>3.6020656142465809E-9</v>
      </c>
      <c r="I131" s="70"/>
      <c r="J131" s="70"/>
      <c r="K131" s="70"/>
      <c r="L131" s="70"/>
      <c r="M131" s="82">
        <f>$H131*Multipliers!E219</f>
        <v>5.7200801954235703E-9</v>
      </c>
      <c r="N131" s="82">
        <f>$H131*Multipliers!F219</f>
        <v>2.6259058327857573E-9</v>
      </c>
      <c r="O131" s="82">
        <f t="shared" si="31"/>
        <v>8.3459860282093268E-9</v>
      </c>
      <c r="P131" s="36"/>
      <c r="Q131" s="36">
        <f>$H131*Multipliers!I219</f>
        <v>2.9176731475397307E-10</v>
      </c>
      <c r="R131" s="36">
        <f>$H131*Multipliers!J219</f>
        <v>1.0445990281315086E-10</v>
      </c>
      <c r="S131" s="36">
        <f t="shared" si="32"/>
        <v>3.962272175671239E-10</v>
      </c>
      <c r="T131" s="36">
        <f>$H131*Multipliers!L219</f>
        <v>3.6020656142465809E-9</v>
      </c>
      <c r="U131" s="36">
        <f>$H131*Multipliers!M219</f>
        <v>1.0482010937457549E-9</v>
      </c>
      <c r="V131" s="36">
        <f>$H131*Multipliers!N219</f>
        <v>3.4579829896767178E-10</v>
      </c>
      <c r="W131" s="36">
        <f t="shared" si="33"/>
        <v>1.3939993927134267E-9</v>
      </c>
      <c r="X131" s="36"/>
      <c r="Y131" s="36">
        <f>$H131*Multipliers!Q219</f>
        <v>5.5471810459397349E-10</v>
      </c>
      <c r="Z131" s="36">
        <f>$H131*Multipliers!R219</f>
        <v>1.9811360878356195E-10</v>
      </c>
      <c r="AA131" s="36">
        <f t="shared" si="34"/>
        <v>7.5283171337753544E-10</v>
      </c>
    </row>
    <row r="132" spans="3:27" ht="15" x14ac:dyDescent="0.2">
      <c r="C132" s="6" t="s">
        <v>119</v>
      </c>
      <c r="D132" s="8"/>
      <c r="F132" s="8">
        <f>G$119*Multipliers!U220</f>
        <v>59193.503493398704</v>
      </c>
      <c r="G132" s="18"/>
      <c r="H132" s="18">
        <f t="shared" si="30"/>
        <v>6.3623627912264308E-2</v>
      </c>
      <c r="I132" s="70"/>
      <c r="J132" s="70"/>
      <c r="K132" s="70"/>
      <c r="L132" s="70"/>
      <c r="M132" s="82">
        <f>$H132*Multipliers!E220</f>
        <v>0.1089236509857965</v>
      </c>
      <c r="N132" s="82">
        <f>$H132*Multipliers!F220</f>
        <v>6.2287531726106758E-2</v>
      </c>
      <c r="O132" s="82">
        <f t="shared" si="31"/>
        <v>0.17121118271190325</v>
      </c>
      <c r="P132" s="36"/>
      <c r="Q132" s="36">
        <f>$H132*Multipliers!I220</f>
        <v>6.4896100470509593E-3</v>
      </c>
      <c r="R132" s="36">
        <f>$H132*Multipliers!J220</f>
        <v>2.4813214885783079E-3</v>
      </c>
      <c r="S132" s="36">
        <f t="shared" si="32"/>
        <v>8.9709315356292681E-3</v>
      </c>
      <c r="T132" s="36">
        <f>$H132*Multipliers!L220</f>
        <v>6.3623627912264308E-2</v>
      </c>
      <c r="U132" s="36">
        <f>$H132*Multipliers!M220</f>
        <v>2.6149311071940629E-2</v>
      </c>
      <c r="V132" s="36">
        <f>$H132*Multipliers!N220</f>
        <v>8.2710716285943602E-3</v>
      </c>
      <c r="W132" s="36">
        <f t="shared" si="33"/>
        <v>3.442038270053499E-2</v>
      </c>
      <c r="X132" s="36"/>
      <c r="Y132" s="36">
        <f>$H132*Multipliers!Q220</f>
        <v>1.4251692652347206E-2</v>
      </c>
      <c r="Z132" s="36">
        <f>$H132*Multipliers!R220</f>
        <v>4.7717720934198227E-3</v>
      </c>
      <c r="AA132" s="36">
        <f t="shared" si="34"/>
        <v>1.9023464745767028E-2</v>
      </c>
    </row>
    <row r="133" spans="3:27" ht="15" x14ac:dyDescent="0.2">
      <c r="C133" s="6" t="s">
        <v>46</v>
      </c>
      <c r="D133" s="8"/>
      <c r="F133" s="8">
        <f>G$119*Multipliers!U221</f>
        <v>45521.537579452022</v>
      </c>
      <c r="G133" s="18"/>
      <c r="H133" s="18">
        <f t="shared" si="30"/>
        <v>4.8928432987113239E-2</v>
      </c>
      <c r="I133" s="70"/>
      <c r="J133" s="70"/>
      <c r="K133" s="70"/>
      <c r="L133" s="70"/>
      <c r="M133" s="82">
        <f>$H133*Multipliers!E221</f>
        <v>7.3881933810540992E-2</v>
      </c>
      <c r="N133" s="82">
        <f>$H133*Multipliers!F221</f>
        <v>5.3870204718811675E-2</v>
      </c>
      <c r="O133" s="82">
        <f t="shared" si="31"/>
        <v>0.12775213852935266</v>
      </c>
      <c r="P133" s="36"/>
      <c r="Q133" s="36">
        <f>$H133*Multipliers!I221</f>
        <v>3.6207040410463796E-3</v>
      </c>
      <c r="R133" s="36">
        <f>$H133*Multipliers!J221</f>
        <v>2.3974932163685486E-3</v>
      </c>
      <c r="S133" s="36">
        <f t="shared" si="32"/>
        <v>6.0181972574149282E-3</v>
      </c>
      <c r="T133" s="36">
        <f>$H133*Multipliers!L221</f>
        <v>4.8928432987113239E-2</v>
      </c>
      <c r="U133" s="36">
        <f>$H133*Multipliers!M221</f>
        <v>1.193853764885563E-2</v>
      </c>
      <c r="V133" s="36">
        <f>$H133*Multipliers!N221</f>
        <v>8.0731914428736843E-3</v>
      </c>
      <c r="W133" s="36">
        <f t="shared" si="33"/>
        <v>2.0011729091729314E-2</v>
      </c>
      <c r="X133" s="36"/>
      <c r="Y133" s="36">
        <f>$H133*Multipliers!Q221</f>
        <v>6.8989090511829658E-3</v>
      </c>
      <c r="Z133" s="36">
        <f>$H133*Multipliers!R221</f>
        <v>4.5992727007886447E-3</v>
      </c>
      <c r="AA133" s="36">
        <f t="shared" si="34"/>
        <v>1.149818175197161E-2</v>
      </c>
    </row>
    <row r="134" spans="3:27" ht="15" x14ac:dyDescent="0.2">
      <c r="C134" s="6" t="s">
        <v>47</v>
      </c>
      <c r="D134" s="8"/>
      <c r="F134" s="8">
        <f>G$119*Multipliers!U222</f>
        <v>124176.07969021457</v>
      </c>
      <c r="G134" s="18"/>
      <c r="H134" s="18">
        <f t="shared" si="30"/>
        <v>0.13346959080898066</v>
      </c>
      <c r="I134" s="70"/>
      <c r="J134" s="70"/>
      <c r="K134" s="70"/>
      <c r="L134" s="70"/>
      <c r="M134" s="82">
        <f>$H134*Multipliers!E222</f>
        <v>0.22823300028335691</v>
      </c>
      <c r="N134" s="82">
        <f>$H134*Multipliers!F222</f>
        <v>0.19566642012596563</v>
      </c>
      <c r="O134" s="82">
        <f t="shared" si="31"/>
        <v>0.42389942040932255</v>
      </c>
      <c r="P134" s="36"/>
      <c r="Q134" s="36">
        <f>$H134*Multipliers!I222</f>
        <v>9.8767497198645679E-3</v>
      </c>
      <c r="R134" s="36">
        <f>$H134*Multipliers!J222</f>
        <v>8.0081754485388391E-3</v>
      </c>
      <c r="S134" s="36">
        <f t="shared" si="32"/>
        <v>1.7884925168403405E-2</v>
      </c>
      <c r="T134" s="36">
        <f>$H134*Multipliers!L222</f>
        <v>0.13346959080898066</v>
      </c>
      <c r="U134" s="36">
        <f>$H134*Multipliers!M222</f>
        <v>3.5369441564379878E-2</v>
      </c>
      <c r="V134" s="36">
        <f>$H134*Multipliers!N222</f>
        <v>2.6693918161796133E-2</v>
      </c>
      <c r="W134" s="36">
        <f t="shared" si="33"/>
        <v>6.2063359726176007E-2</v>
      </c>
      <c r="X134" s="36"/>
      <c r="Y134" s="36">
        <f>$H134*Multipliers!Q222</f>
        <v>1.9886969030538118E-2</v>
      </c>
      <c r="Z134" s="36">
        <f>$H134*Multipliers!R222</f>
        <v>1.5349002943032777E-2</v>
      </c>
      <c r="AA134" s="36">
        <f t="shared" si="34"/>
        <v>3.5235971973570895E-2</v>
      </c>
    </row>
    <row r="135" spans="3:27" ht="15" x14ac:dyDescent="0.2">
      <c r="C135" s="6" t="s">
        <v>120</v>
      </c>
      <c r="D135" s="8"/>
      <c r="F135" s="8">
        <f>(G$119*Multipliers!U223)+(G118*H118)</f>
        <v>669130.95090616145</v>
      </c>
      <c r="G135" s="18"/>
      <c r="H135" s="18">
        <f t="shared" si="30"/>
        <v>0.71920964518988006</v>
      </c>
      <c r="I135" s="70"/>
      <c r="J135" s="70"/>
      <c r="K135" s="70"/>
      <c r="L135" s="70"/>
      <c r="M135" s="82">
        <f>$H135*Multipliers!E223</f>
        <v>1.6491477164203951</v>
      </c>
      <c r="N135" s="82">
        <f>$H135*Multipliers!F223</f>
        <v>0.61564345628253736</v>
      </c>
      <c r="O135" s="82">
        <f t="shared" si="31"/>
        <v>2.2647911727029326</v>
      </c>
      <c r="P135" s="36"/>
      <c r="Q135" s="36">
        <f>$H135*Multipliers!I223</f>
        <v>6.6167287357468962E-2</v>
      </c>
      <c r="R135" s="36">
        <f>$H135*Multipliers!J223</f>
        <v>2.4453127936455925E-2</v>
      </c>
      <c r="S135" s="36">
        <f t="shared" si="32"/>
        <v>9.0620415293924894E-2</v>
      </c>
      <c r="T135" s="36">
        <f>$H135*Multipliers!L223</f>
        <v>0.71920964518988006</v>
      </c>
      <c r="U135" s="36">
        <f>$H135*Multipliers!M223</f>
        <v>0.26610756872025559</v>
      </c>
      <c r="V135" s="36">
        <f>$H135*Multipliers!N223</f>
        <v>8.2709109196836217E-2</v>
      </c>
      <c r="W135" s="36">
        <f t="shared" si="33"/>
        <v>0.34881667791709181</v>
      </c>
      <c r="X135" s="36"/>
      <c r="Y135" s="36">
        <f>$H135*Multipliers!Q223</f>
        <v>0.14599955797354566</v>
      </c>
      <c r="Z135" s="36">
        <f>$H135*Multipliers!R223</f>
        <v>4.7467836582532084E-2</v>
      </c>
      <c r="AA135" s="36">
        <f t="shared" si="34"/>
        <v>0.19346739455607775</v>
      </c>
    </row>
    <row r="136" spans="3:27" ht="15" x14ac:dyDescent="0.2">
      <c r="C136" s="6" t="s">
        <v>121</v>
      </c>
      <c r="D136" s="8"/>
      <c r="F136" s="8">
        <f>G$119*Multipliers!U224</f>
        <v>641578.84928723902</v>
      </c>
      <c r="G136" s="18"/>
      <c r="H136" s="18">
        <f t="shared" si="30"/>
        <v>0.68959550583084195</v>
      </c>
      <c r="I136" s="70"/>
      <c r="J136" s="70"/>
      <c r="K136" s="70"/>
      <c r="L136" s="70"/>
      <c r="M136" s="82">
        <f>$H136*Multipliers!E224</f>
        <v>1.2709245172462418</v>
      </c>
      <c r="N136" s="82">
        <f>$H136*Multipliers!F224</f>
        <v>1.1026632138235162</v>
      </c>
      <c r="O136" s="82">
        <f t="shared" si="31"/>
        <v>2.3735877310697582</v>
      </c>
      <c r="P136" s="36"/>
      <c r="Q136" s="36">
        <f>$H136*Multipliers!I224</f>
        <v>6.2753191030606614E-2</v>
      </c>
      <c r="R136" s="36">
        <f>$H136*Multipliers!J224</f>
        <v>4.8961280913989776E-2</v>
      </c>
      <c r="S136" s="36">
        <f t="shared" si="32"/>
        <v>0.11171447194459638</v>
      </c>
      <c r="T136" s="36">
        <f>$H136*Multipliers!L224</f>
        <v>0.68959550583084195</v>
      </c>
      <c r="U136" s="36">
        <f>$H136*Multipliers!M224</f>
        <v>0.2054994607375909</v>
      </c>
      <c r="V136" s="36">
        <f>$H136*Multipliers!N224</f>
        <v>0.16274453937607869</v>
      </c>
      <c r="W136" s="36">
        <f t="shared" si="33"/>
        <v>0.36824400011366959</v>
      </c>
      <c r="X136" s="36"/>
      <c r="Y136" s="36">
        <f>$H136*Multipliers!Q224</f>
        <v>0.11516244947375061</v>
      </c>
      <c r="Z136" s="36">
        <f>$H136*Multipliers!R224</f>
        <v>9.3095393287163666E-2</v>
      </c>
      <c r="AA136" s="36">
        <f t="shared" si="34"/>
        <v>0.20825784276091427</v>
      </c>
    </row>
    <row r="137" spans="3:27" ht="15" x14ac:dyDescent="0.2">
      <c r="C137" s="6" t="s">
        <v>122</v>
      </c>
      <c r="D137" s="8"/>
      <c r="F137" s="8">
        <f>G$119*Multipliers!U225</f>
        <v>7044.5439090580803</v>
      </c>
      <c r="G137" s="18"/>
      <c r="H137" s="18">
        <f t="shared" si="30"/>
        <v>7.571767407406501E-3</v>
      </c>
      <c r="I137" s="70"/>
      <c r="J137" s="70"/>
      <c r="K137" s="70"/>
      <c r="L137" s="70"/>
      <c r="M137" s="82">
        <f>$H137*Multipliers!E225</f>
        <v>1.3038583475553995E-2</v>
      </c>
      <c r="N137" s="82">
        <f>$H137*Multipliers!F225</f>
        <v>9.411706887406281E-3</v>
      </c>
      <c r="O137" s="82">
        <f t="shared" si="31"/>
        <v>2.2450290362960278E-2</v>
      </c>
      <c r="P137" s="36"/>
      <c r="Q137" s="36">
        <f>$H137*Multipliers!I225</f>
        <v>5.6031078814808104E-4</v>
      </c>
      <c r="R137" s="36">
        <f>$H137*Multipliers!J225</f>
        <v>3.8616013777773153E-4</v>
      </c>
      <c r="S137" s="36">
        <f t="shared" si="32"/>
        <v>9.4647092592581262E-4</v>
      </c>
      <c r="T137" s="36">
        <f>$H137*Multipliers!L225</f>
        <v>7.571767407406501E-3</v>
      </c>
      <c r="U137" s="36">
        <f>$H137*Multipliers!M225</f>
        <v>1.9762312933330967E-3</v>
      </c>
      <c r="V137" s="36">
        <f>$H137*Multipliers!N225</f>
        <v>1.2796286918516986E-3</v>
      </c>
      <c r="W137" s="36">
        <f t="shared" si="33"/>
        <v>3.2558599851847956E-3</v>
      </c>
      <c r="X137" s="36"/>
      <c r="Y137" s="36">
        <f>$H137*Multipliers!Q225</f>
        <v>1.0979062740739426E-3</v>
      </c>
      <c r="Z137" s="36">
        <f>$H137*Multipliers!R225</f>
        <v>7.3446143851843061E-4</v>
      </c>
      <c r="AA137" s="36">
        <f t="shared" si="34"/>
        <v>1.8323677125923732E-3</v>
      </c>
    </row>
    <row r="138" spans="3:27" ht="15" x14ac:dyDescent="0.2">
      <c r="C138" s="6" t="s">
        <v>48</v>
      </c>
      <c r="D138" s="8"/>
      <c r="F138" s="8">
        <f>(G$119*Multipliers!U226)+(G117*H117)</f>
        <v>11302.782881479803</v>
      </c>
      <c r="G138" s="18"/>
      <c r="H138" s="18">
        <f t="shared" si="30"/>
        <v>1.2148698927823703E-2</v>
      </c>
      <c r="I138" s="70"/>
      <c r="J138" s="70"/>
      <c r="K138" s="70"/>
      <c r="L138" s="70"/>
      <c r="M138" s="82">
        <f>$H138*Multipliers!E226</f>
        <v>4.9566691625520702E-3</v>
      </c>
      <c r="N138" s="82">
        <f>$H138*Multipliers!F226</f>
        <v>2.6654245447645202E-2</v>
      </c>
      <c r="O138" s="82">
        <f t="shared" si="31"/>
        <v>3.1610914610197272E-2</v>
      </c>
      <c r="P138" s="36"/>
      <c r="Q138" s="36">
        <f>$H138*Multipliers!I226</f>
        <v>2.7942007533994517E-4</v>
      </c>
      <c r="R138" s="36">
        <f>$H138*Multipliers!J226</f>
        <v>1.2270185917101942E-3</v>
      </c>
      <c r="S138" s="36">
        <f t="shared" si="32"/>
        <v>1.5064386670501392E-3</v>
      </c>
      <c r="T138" s="36">
        <f>$H138*Multipliers!L226</f>
        <v>1.2148698927823703E-2</v>
      </c>
      <c r="U138" s="36">
        <f>$H138*Multipliers!M226</f>
        <v>9.9619331208154359E-4</v>
      </c>
      <c r="V138" s="36">
        <f>$H138*Multipliers!N226</f>
        <v>4.0819628397487642E-3</v>
      </c>
      <c r="W138" s="36">
        <f t="shared" si="33"/>
        <v>5.0781561518303073E-3</v>
      </c>
      <c r="X138" s="36"/>
      <c r="Y138" s="36">
        <f>$H138*Multipliers!Q226</f>
        <v>5.3454275282424288E-4</v>
      </c>
      <c r="Z138" s="36">
        <f>$H138*Multipliers!R226</f>
        <v>2.3446988930699748E-3</v>
      </c>
      <c r="AA138" s="36">
        <f t="shared" si="34"/>
        <v>2.8792416458942177E-3</v>
      </c>
    </row>
    <row r="139" spans="3:27" ht="15" x14ac:dyDescent="0.2">
      <c r="C139" s="6" t="s">
        <v>0</v>
      </c>
      <c r="D139" s="8"/>
      <c r="F139" s="8">
        <f>SUM(F125:F138)</f>
        <v>1602272.1799672367</v>
      </c>
      <c r="G139" s="18"/>
      <c r="H139" s="18">
        <f>SUM(H125:H138)</f>
        <v>1.722188466235602</v>
      </c>
      <c r="I139" s="70"/>
      <c r="J139" s="70"/>
      <c r="K139" s="70"/>
      <c r="L139" s="70">
        <f>IF(L141=0,0,D121)</f>
        <v>25.324015276627946</v>
      </c>
      <c r="M139" s="82">
        <f>SUM(M125:M138)</f>
        <v>3.4210406479416369</v>
      </c>
      <c r="N139" s="82">
        <f>SUM(N125:N138)</f>
        <v>2.0886141831091605</v>
      </c>
      <c r="O139" s="82">
        <f>N139+M139+L139</f>
        <v>30.833670107678742</v>
      </c>
      <c r="P139" s="36">
        <f>H139</f>
        <v>1.722188466235602</v>
      </c>
      <c r="Q139" s="36">
        <f>SUM(Q125:Q138)</f>
        <v>0.15381701793376337</v>
      </c>
      <c r="R139" s="36">
        <f>SUM(R125:R138)</f>
        <v>8.8827922028657594E-2</v>
      </c>
      <c r="S139" s="36">
        <f>R139+Q139+P139</f>
        <v>1.9648334061980228</v>
      </c>
      <c r="T139" s="36">
        <f>SUM(T125:T138)</f>
        <v>1.722188466235602</v>
      </c>
      <c r="U139" s="36">
        <f>SUM(U125:U138)</f>
        <v>0.56581213864948843</v>
      </c>
      <c r="V139" s="36">
        <f>SUM(V125:V138)</f>
        <v>0.29689789528060068</v>
      </c>
      <c r="W139" s="36">
        <f>V139+U139+T139</f>
        <v>2.584898500165691</v>
      </c>
      <c r="X139" s="36">
        <f>P139</f>
        <v>1.722188466235602</v>
      </c>
      <c r="Y139" s="36">
        <f>SUM(Y125:Y138)</f>
        <v>0.3133745864981069</v>
      </c>
      <c r="Z139" s="36">
        <f>SUM(Z125:Z138)</f>
        <v>0.17008919757126076</v>
      </c>
      <c r="AA139" s="36">
        <f>Z139+Y139+X139</f>
        <v>2.2056522503049694</v>
      </c>
    </row>
    <row r="140" spans="3:27" ht="15" x14ac:dyDescent="0.2">
      <c r="C140" s="6"/>
      <c r="D140" s="8"/>
      <c r="F140" s="92"/>
      <c r="G140" s="20"/>
      <c r="I140" s="16"/>
      <c r="J140" s="16"/>
      <c r="K140" s="16"/>
      <c r="L140" s="16"/>
      <c r="M140" s="71"/>
      <c r="N140" s="71"/>
      <c r="O140" t="s">
        <v>141</v>
      </c>
      <c r="P140" s="1">
        <f>P117</f>
        <v>2010</v>
      </c>
      <c r="Q140" s="1" t="s">
        <v>139</v>
      </c>
      <c r="R140" s="71"/>
      <c r="S140" s="71"/>
      <c r="T140" s="71"/>
      <c r="W140" s="23"/>
      <c r="X140" s="71"/>
      <c r="Y140" s="398"/>
      <c r="Z140" s="398"/>
      <c r="AA140" s="23"/>
    </row>
    <row r="141" spans="3:27" x14ac:dyDescent="0.2">
      <c r="C141" s="17" t="s">
        <v>230</v>
      </c>
      <c r="E141" s="17" t="s">
        <v>224</v>
      </c>
      <c r="F141" s="10"/>
      <c r="G141" s="10" t="s">
        <v>325</v>
      </c>
      <c r="H141" s="10" t="s">
        <v>402</v>
      </c>
      <c r="I141" s="31" t="s">
        <v>403</v>
      </c>
      <c r="L141" s="264">
        <f>SUM(M146:M159)</f>
        <v>10.931572884306432</v>
      </c>
      <c r="P141" s="18">
        <f t="shared" ref="P141:W141" si="35">P139*$G63</f>
        <v>1.602272179967237</v>
      </c>
      <c r="Q141" s="18">
        <f t="shared" si="35"/>
        <v>0.14310671188008897</v>
      </c>
      <c r="R141" s="18">
        <f t="shared" si="35"/>
        <v>8.2642818170718224E-2</v>
      </c>
      <c r="S141" s="18">
        <f t="shared" si="35"/>
        <v>1.8280217100180443</v>
      </c>
      <c r="T141" s="18">
        <f t="shared" si="35"/>
        <v>1.602272179967237</v>
      </c>
      <c r="U141" s="18">
        <f t="shared" si="35"/>
        <v>0.52641453976722663</v>
      </c>
      <c r="V141" s="18">
        <f t="shared" si="35"/>
        <v>0.27622484253349622</v>
      </c>
      <c r="W141" s="83">
        <f t="shared" si="35"/>
        <v>2.40491156226796</v>
      </c>
      <c r="X141" s="18">
        <f t="shared" ref="X141:AA141" si="36">X139*$G63</f>
        <v>1.602272179967237</v>
      </c>
      <c r="Y141" s="18">
        <f t="shared" si="36"/>
        <v>0.29155425883914987</v>
      </c>
      <c r="Z141" s="18">
        <f t="shared" si="36"/>
        <v>0.15824585678307465</v>
      </c>
      <c r="AA141" s="83">
        <f t="shared" si="36"/>
        <v>2.0520722955894612</v>
      </c>
    </row>
    <row r="142" spans="3:27" x14ac:dyDescent="0.2">
      <c r="D142" s="10" t="s">
        <v>106</v>
      </c>
      <c r="E142" s="10" t="s">
        <v>106</v>
      </c>
      <c r="F142" s="10"/>
      <c r="G142" s="10" t="s">
        <v>106</v>
      </c>
      <c r="H142" s="10" t="s">
        <v>404</v>
      </c>
      <c r="I142" s="10" t="s">
        <v>106</v>
      </c>
      <c r="O142" s="82" t="s">
        <v>359</v>
      </c>
      <c r="P142" s="8">
        <f>P139*10^6/L139</f>
        <v>68006.137550589978</v>
      </c>
      <c r="X142" s="398"/>
      <c r="Y142" s="398"/>
      <c r="Z142" s="398"/>
      <c r="AA142" s="398"/>
    </row>
    <row r="143" spans="3:27" ht="15" x14ac:dyDescent="0.2">
      <c r="C143" s="6" t="s">
        <v>44</v>
      </c>
      <c r="D143" s="8">
        <v>0</v>
      </c>
      <c r="E143" s="8">
        <v>0</v>
      </c>
      <c r="G143" s="8"/>
      <c r="H143" s="8"/>
      <c r="I143" s="8"/>
      <c r="L143" s="1" t="s">
        <v>152</v>
      </c>
      <c r="X143" s="398"/>
      <c r="Y143" s="398"/>
      <c r="Z143" s="398"/>
      <c r="AA143" s="398"/>
    </row>
    <row r="144" spans="3:27" ht="15" x14ac:dyDescent="0.2">
      <c r="C144" s="6" t="s">
        <v>114</v>
      </c>
      <c r="D144" s="8">
        <f>G80*D241</f>
        <v>0</v>
      </c>
      <c r="E144" s="8">
        <v>0</v>
      </c>
      <c r="G144" s="8">
        <f>$G80</f>
        <v>0</v>
      </c>
      <c r="H144" s="8">
        <f>$G$80*DefaultData!$E$101*Calculations!D$241</f>
        <v>0</v>
      </c>
      <c r="I144" s="8">
        <f>(G144-H157)</f>
        <v>0</v>
      </c>
      <c r="L144" s="11" t="s">
        <v>43</v>
      </c>
      <c r="M144" s="11"/>
      <c r="N144" s="11"/>
      <c r="O144" s="11"/>
      <c r="P144" s="11" t="s">
        <v>145</v>
      </c>
      <c r="Q144" s="11"/>
      <c r="R144" s="11"/>
      <c r="S144" s="11"/>
      <c r="T144" s="11" t="s">
        <v>146</v>
      </c>
      <c r="X144" s="11" t="s">
        <v>146</v>
      </c>
      <c r="Y144" s="398"/>
      <c r="Z144" s="398"/>
      <c r="AA144" s="398"/>
    </row>
    <row r="145" spans="3:27" ht="15" x14ac:dyDescent="0.2">
      <c r="C145" s="6" t="s">
        <v>45</v>
      </c>
      <c r="D145" s="8">
        <v>0</v>
      </c>
      <c r="E145" s="8">
        <f>G9+G13+G23</f>
        <v>98345588.235294104</v>
      </c>
      <c r="G145" s="8"/>
      <c r="H145" s="8"/>
      <c r="I145" s="8"/>
      <c r="L145" s="11" t="s">
        <v>111</v>
      </c>
      <c r="M145" s="11" t="s">
        <v>112</v>
      </c>
      <c r="N145" s="11" t="s">
        <v>113</v>
      </c>
      <c r="O145" s="11" t="s">
        <v>0</v>
      </c>
      <c r="P145" s="11" t="s">
        <v>111</v>
      </c>
      <c r="Q145" s="11" t="s">
        <v>112</v>
      </c>
      <c r="R145" s="11" t="s">
        <v>113</v>
      </c>
      <c r="S145" s="11" t="s">
        <v>0</v>
      </c>
      <c r="T145" s="11" t="s">
        <v>111</v>
      </c>
      <c r="U145" s="11" t="s">
        <v>112</v>
      </c>
      <c r="V145" s="11" t="s">
        <v>113</v>
      </c>
      <c r="W145" s="11" t="s">
        <v>0</v>
      </c>
      <c r="X145" s="11" t="s">
        <v>111</v>
      </c>
      <c r="Y145" s="11" t="s">
        <v>112</v>
      </c>
      <c r="Z145" s="11" t="s">
        <v>113</v>
      </c>
      <c r="AA145" s="11" t="s">
        <v>0</v>
      </c>
    </row>
    <row r="146" spans="3:27" ht="15" x14ac:dyDescent="0.2">
      <c r="C146" s="6" t="s">
        <v>115</v>
      </c>
      <c r="D146" s="8">
        <f>G78</f>
        <v>725985</v>
      </c>
      <c r="E146" s="8">
        <v>0</v>
      </c>
      <c r="G146" s="8"/>
      <c r="H146" s="8"/>
      <c r="I146" s="8"/>
      <c r="J146" s="6" t="s">
        <v>44</v>
      </c>
      <c r="L146" s="14">
        <f>L100+L125</f>
        <v>0</v>
      </c>
      <c r="M146" s="14">
        <f t="shared" ref="M146:V146" si="37">M100+M125</f>
        <v>4.1904241463067001E-3</v>
      </c>
      <c r="N146" s="14">
        <f t="shared" si="37"/>
        <v>3.08743805493302E-3</v>
      </c>
      <c r="O146" s="14">
        <f>N146+M146+L146</f>
        <v>7.2778622012397206E-3</v>
      </c>
      <c r="P146" s="18">
        <f t="shared" si="37"/>
        <v>0</v>
      </c>
      <c r="Q146" s="18">
        <f t="shared" si="37"/>
        <v>1.9844519635593401E-4</v>
      </c>
      <c r="R146" s="18">
        <f t="shared" si="37"/>
        <v>1.3845013699251209E-4</v>
      </c>
      <c r="S146" s="18">
        <f>R146+Q146+P146</f>
        <v>3.368953333484461E-4</v>
      </c>
      <c r="T146" s="18">
        <f t="shared" si="37"/>
        <v>4.6150045664170702E-3</v>
      </c>
      <c r="U146" s="18">
        <f t="shared" si="37"/>
        <v>9.1377090415057998E-4</v>
      </c>
      <c r="V146" s="18">
        <f t="shared" si="37"/>
        <v>4.6150045664170703E-4</v>
      </c>
      <c r="W146" s="18">
        <f>V146+U146+T146</f>
        <v>5.9902759272093577E-3</v>
      </c>
      <c r="X146" s="18">
        <f t="shared" ref="X146:Z146" si="38">X100+X125</f>
        <v>0</v>
      </c>
      <c r="Y146" s="18">
        <f t="shared" si="38"/>
        <v>4.6611546120812412E-4</v>
      </c>
      <c r="Z146" s="18">
        <f t="shared" si="38"/>
        <v>2.6305526028577302E-4</v>
      </c>
      <c r="AA146" s="18">
        <f>Z146+Y146+X146</f>
        <v>7.2917072149389708E-4</v>
      </c>
    </row>
    <row r="147" spans="3:27" ht="15" x14ac:dyDescent="0.2">
      <c r="C147" s="6" t="s">
        <v>116</v>
      </c>
      <c r="D147">
        <v>0</v>
      </c>
      <c r="E147" s="95">
        <v>0</v>
      </c>
      <c r="G147" s="8"/>
      <c r="H147" s="8"/>
      <c r="I147" s="8"/>
      <c r="J147" s="6" t="s">
        <v>114</v>
      </c>
      <c r="L147" s="14">
        <f t="shared" ref="L147:V147" si="39">L101+L126</f>
        <v>0</v>
      </c>
      <c r="M147" s="14">
        <f t="shared" si="39"/>
        <v>2.7813201606928105E-5</v>
      </c>
      <c r="N147" s="14">
        <f t="shared" si="39"/>
        <v>2.4837690173754491E-5</v>
      </c>
      <c r="O147" s="14">
        <f t="shared" ref="O147:O161" si="40">N147+M147+L147</f>
        <v>5.2650891780682596E-5</v>
      </c>
      <c r="P147" s="18">
        <f t="shared" si="39"/>
        <v>0</v>
      </c>
      <c r="Q147" s="18">
        <f t="shared" si="39"/>
        <v>1.816628032884944E-6</v>
      </c>
      <c r="R147" s="18">
        <f t="shared" si="39"/>
        <v>9.7095636240402179E-7</v>
      </c>
      <c r="S147" s="18">
        <f t="shared" ref="S147:S160" si="41">R147+Q147+P147</f>
        <v>2.7875843952889658E-6</v>
      </c>
      <c r="T147" s="18">
        <f t="shared" si="39"/>
        <v>3.1321172980774894E-5</v>
      </c>
      <c r="U147" s="18">
        <f t="shared" si="39"/>
        <v>7.9555779371168232E-6</v>
      </c>
      <c r="V147" s="18">
        <f t="shared" si="39"/>
        <v>3.2260808170198139E-6</v>
      </c>
      <c r="W147" s="18">
        <f t="shared" ref="W147:W160" si="42">V147+U147+T147</f>
        <v>4.2502831734911529E-5</v>
      </c>
      <c r="X147" s="18">
        <f t="shared" ref="X147:Z147" si="43">X101+X126</f>
        <v>0</v>
      </c>
      <c r="Y147" s="18">
        <f t="shared" si="43"/>
        <v>4.7294971200970089E-6</v>
      </c>
      <c r="Z147" s="18">
        <f t="shared" si="43"/>
        <v>1.8479492058657187E-6</v>
      </c>
      <c r="AA147" s="18">
        <f t="shared" ref="AA147:AA160" si="44">Z147+Y147+X147</f>
        <v>6.5774463259627276E-6</v>
      </c>
    </row>
    <row r="148" spans="3:27" ht="12.75" customHeight="1" x14ac:dyDescent="0.2">
      <c r="C148" s="6" t="s">
        <v>117</v>
      </c>
      <c r="D148" s="8">
        <f>G71</f>
        <v>62498.046874999978</v>
      </c>
      <c r="E148" s="8">
        <f>G8+G10+G24</f>
        <v>5147058.823529412</v>
      </c>
      <c r="G148" s="8"/>
      <c r="H148" s="8"/>
      <c r="I148" s="8"/>
      <c r="J148" s="6" t="s">
        <v>45</v>
      </c>
      <c r="L148" s="14">
        <f t="shared" ref="L148:V148" si="45">L102+L127</f>
        <v>0</v>
      </c>
      <c r="M148" s="14">
        <f t="shared" si="45"/>
        <v>0</v>
      </c>
      <c r="N148" s="14">
        <f t="shared" si="45"/>
        <v>0</v>
      </c>
      <c r="O148" s="14">
        <f t="shared" si="40"/>
        <v>0</v>
      </c>
      <c r="P148" s="18">
        <f t="shared" si="45"/>
        <v>0</v>
      </c>
      <c r="Q148" s="18">
        <f t="shared" si="45"/>
        <v>0</v>
      </c>
      <c r="R148" s="18">
        <f t="shared" si="45"/>
        <v>0</v>
      </c>
      <c r="S148" s="18">
        <f t="shared" si="41"/>
        <v>0</v>
      </c>
      <c r="T148" s="18">
        <f t="shared" si="45"/>
        <v>0</v>
      </c>
      <c r="U148" s="18">
        <f t="shared" si="45"/>
        <v>0</v>
      </c>
      <c r="V148" s="18">
        <f t="shared" si="45"/>
        <v>0</v>
      </c>
      <c r="W148" s="18">
        <f t="shared" si="42"/>
        <v>0</v>
      </c>
      <c r="X148" s="18">
        <f t="shared" ref="X148:Z148" si="46">X102+X127</f>
        <v>0</v>
      </c>
      <c r="Y148" s="18">
        <f t="shared" si="46"/>
        <v>0</v>
      </c>
      <c r="Z148" s="18">
        <f t="shared" si="46"/>
        <v>0</v>
      </c>
      <c r="AA148" s="18">
        <f t="shared" si="44"/>
        <v>0</v>
      </c>
    </row>
    <row r="149" spans="3:27" ht="12.75" customHeight="1" x14ac:dyDescent="0.2">
      <c r="C149" s="6" t="s">
        <v>118</v>
      </c>
      <c r="D149" s="8">
        <v>0</v>
      </c>
      <c r="E149" s="8">
        <v>0</v>
      </c>
      <c r="G149" s="8"/>
      <c r="H149" s="8"/>
      <c r="I149" s="8"/>
      <c r="J149" s="6" t="s">
        <v>115</v>
      </c>
      <c r="L149" s="14">
        <f t="shared" ref="L149:V149" si="47">L103+L128</f>
        <v>0.30501754012166754</v>
      </c>
      <c r="M149" s="14">
        <f t="shared" si="47"/>
        <v>0.75400194938051446</v>
      </c>
      <c r="N149" s="14">
        <f t="shared" si="47"/>
        <v>0.21495039699800064</v>
      </c>
      <c r="O149" s="14">
        <f t="shared" si="40"/>
        <v>1.2739698865001827</v>
      </c>
      <c r="P149" s="18">
        <f t="shared" si="47"/>
        <v>2.2658445837609592E-2</v>
      </c>
      <c r="Q149" s="18">
        <f t="shared" si="47"/>
        <v>4.3085825678886538E-2</v>
      </c>
      <c r="R149" s="18">
        <f t="shared" si="47"/>
        <v>8.6171651357773073E-3</v>
      </c>
      <c r="S149" s="18">
        <f t="shared" si="41"/>
        <v>7.4361436652273433E-2</v>
      </c>
      <c r="T149" s="18">
        <f t="shared" si="47"/>
        <v>0.47873139643207269</v>
      </c>
      <c r="U149" s="18">
        <f t="shared" si="47"/>
        <v>0.1876627074013725</v>
      </c>
      <c r="V149" s="18">
        <f t="shared" si="47"/>
        <v>2.8723883785924359E-2</v>
      </c>
      <c r="W149" s="18">
        <f t="shared" si="42"/>
        <v>0.6951179876193696</v>
      </c>
      <c r="X149" s="18">
        <f t="shared" ref="X149:Z149" si="48">X103+X128</f>
        <v>5.664611459402398E-2</v>
      </c>
      <c r="Y149" s="18">
        <f t="shared" si="48"/>
        <v>0.10101232464716733</v>
      </c>
      <c r="Z149" s="18">
        <f t="shared" si="48"/>
        <v>1.6276867478690473E-2</v>
      </c>
      <c r="AA149" s="18">
        <f t="shared" si="44"/>
        <v>0.17393530671988178</v>
      </c>
    </row>
    <row r="150" spans="3:27" ht="12.75" customHeight="1" x14ac:dyDescent="0.2">
      <c r="C150" s="6" t="s">
        <v>119</v>
      </c>
      <c r="D150" s="8">
        <f>+G77</f>
        <v>427050</v>
      </c>
      <c r="E150" s="8">
        <f>G15</f>
        <v>3676470.588235294</v>
      </c>
      <c r="G150" s="8"/>
      <c r="H150" s="8">
        <f>$G$80*DefaultData!$K$101*Calculations!D$241</f>
        <v>0</v>
      </c>
      <c r="I150" s="8"/>
      <c r="J150" s="6" t="s">
        <v>116</v>
      </c>
      <c r="L150" s="14">
        <f t="shared" ref="L150:V150" si="49">L104+L129</f>
        <v>0</v>
      </c>
      <c r="M150" s="14">
        <f t="shared" si="49"/>
        <v>1.2966767142540347E-7</v>
      </c>
      <c r="N150" s="14">
        <f t="shared" si="49"/>
        <v>1.0228298269476771E-7</v>
      </c>
      <c r="O150" s="14">
        <f t="shared" si="40"/>
        <v>2.3195065412017118E-7</v>
      </c>
      <c r="P150" s="18">
        <f t="shared" si="49"/>
        <v>0</v>
      </c>
      <c r="Q150" s="18">
        <f t="shared" si="49"/>
        <v>6.4365721375425906E-9</v>
      </c>
      <c r="R150" s="18">
        <f t="shared" si="49"/>
        <v>4.0960004511634668E-9</v>
      </c>
      <c r="S150" s="18">
        <f t="shared" si="41"/>
        <v>1.0532572588706058E-8</v>
      </c>
      <c r="T150" s="18">
        <f t="shared" si="49"/>
        <v>1.1702858431895619E-7</v>
      </c>
      <c r="U150" s="18">
        <f t="shared" si="49"/>
        <v>2.6565488640403058E-8</v>
      </c>
      <c r="V150" s="18">
        <f t="shared" si="49"/>
        <v>1.3458287196679963E-8</v>
      </c>
      <c r="W150" s="18">
        <f t="shared" si="42"/>
        <v>1.5705236015603922E-7</v>
      </c>
      <c r="X150" s="18">
        <f t="shared" ref="X150:Z150" si="50">X104+X129</f>
        <v>0</v>
      </c>
      <c r="Y150" s="18">
        <f t="shared" si="50"/>
        <v>1.2873144275085181E-8</v>
      </c>
      <c r="Z150" s="18">
        <f t="shared" si="50"/>
        <v>7.7238865650511084E-9</v>
      </c>
      <c r="AA150" s="18">
        <f t="shared" si="44"/>
        <v>2.0597030840136291E-8</v>
      </c>
    </row>
    <row r="151" spans="3:27" ht="15" x14ac:dyDescent="0.2">
      <c r="C151" s="6" t="s">
        <v>46</v>
      </c>
      <c r="D151" s="8">
        <v>0</v>
      </c>
      <c r="E151" s="8">
        <v>0</v>
      </c>
      <c r="G151" s="8"/>
      <c r="H151" s="8">
        <f>$G$80*DefaultData!$L$101*Calculations!D$241</f>
        <v>0</v>
      </c>
      <c r="I151" s="8"/>
      <c r="J151" s="6" t="s">
        <v>117</v>
      </c>
      <c r="L151" s="14">
        <f t="shared" ref="L151:V151" si="51">L105+L130</f>
        <v>9.8929917645780116E-2</v>
      </c>
      <c r="M151" s="14">
        <f t="shared" si="51"/>
        <v>5.8479654748432919E-2</v>
      </c>
      <c r="N151" s="14">
        <f t="shared" si="51"/>
        <v>2.5020301886566655E-2</v>
      </c>
      <c r="O151" s="14">
        <f t="shared" si="40"/>
        <v>0.18242987428077967</v>
      </c>
      <c r="P151" s="18">
        <f t="shared" si="51"/>
        <v>4.7917191144334131E-3</v>
      </c>
      <c r="Q151" s="18">
        <f t="shared" si="51"/>
        <v>3.0109176846546313E-3</v>
      </c>
      <c r="R151" s="18">
        <f t="shared" si="51"/>
        <v>9.7536770066276803E-4</v>
      </c>
      <c r="S151" s="18">
        <f t="shared" si="41"/>
        <v>8.7780044997508126E-3</v>
      </c>
      <c r="T151" s="18">
        <f t="shared" si="51"/>
        <v>4.240729133316383E-2</v>
      </c>
      <c r="U151" s="18">
        <f t="shared" si="51"/>
        <v>1.1874041573285874E-2</v>
      </c>
      <c r="V151" s="18">
        <f t="shared" si="51"/>
        <v>3.3077687239867789E-3</v>
      </c>
      <c r="W151" s="18">
        <f t="shared" si="42"/>
        <v>5.7589101630436484E-2</v>
      </c>
      <c r="X151" s="18">
        <f t="shared" ref="X151:Z151" si="52">X105+X130</f>
        <v>5.5125972112950771E-3</v>
      </c>
      <c r="Y151" s="18">
        <f t="shared" si="52"/>
        <v>5.9370207866429369E-3</v>
      </c>
      <c r="Z151" s="18">
        <f t="shared" si="52"/>
        <v>1.8659208186592082E-3</v>
      </c>
      <c r="AA151" s="18">
        <f t="shared" si="44"/>
        <v>1.3315538816597222E-2</v>
      </c>
    </row>
    <row r="152" spans="3:27" ht="12.75" customHeight="1" x14ac:dyDescent="0.2">
      <c r="C152" s="6" t="s">
        <v>47</v>
      </c>
      <c r="D152" s="8">
        <v>0</v>
      </c>
      <c r="E152" s="8">
        <v>0</v>
      </c>
      <c r="G152" s="8"/>
      <c r="H152" s="8"/>
      <c r="I152" s="8"/>
      <c r="J152" s="6" t="s">
        <v>118</v>
      </c>
      <c r="L152" s="14">
        <f t="shared" ref="L152:V152" si="53">L106+L131</f>
        <v>0</v>
      </c>
      <c r="M152" s="14">
        <f t="shared" si="53"/>
        <v>5.7200801954235703E-9</v>
      </c>
      <c r="N152" s="14">
        <f t="shared" si="53"/>
        <v>2.6259058327857573E-9</v>
      </c>
      <c r="O152" s="14">
        <f t="shared" si="40"/>
        <v>8.3459860282093268E-9</v>
      </c>
      <c r="P152" s="18">
        <f t="shared" si="53"/>
        <v>0</v>
      </c>
      <c r="Q152" s="18">
        <f t="shared" si="53"/>
        <v>2.9176731475397307E-10</v>
      </c>
      <c r="R152" s="18">
        <f t="shared" si="53"/>
        <v>1.0445990281315086E-10</v>
      </c>
      <c r="S152" s="18">
        <f t="shared" si="41"/>
        <v>3.962272175671239E-10</v>
      </c>
      <c r="T152" s="18">
        <f t="shared" si="53"/>
        <v>3.6020656142465809E-9</v>
      </c>
      <c r="U152" s="18">
        <f t="shared" si="53"/>
        <v>1.0482010937457549E-9</v>
      </c>
      <c r="V152" s="18">
        <f t="shared" si="53"/>
        <v>3.4579829896767178E-10</v>
      </c>
      <c r="W152" s="18">
        <f t="shared" si="42"/>
        <v>4.9960650069600074E-9</v>
      </c>
      <c r="X152" s="18">
        <f t="shared" ref="X152:Z152" si="54">X106+X131</f>
        <v>0</v>
      </c>
      <c r="Y152" s="18">
        <f t="shared" si="54"/>
        <v>5.5471810459397349E-10</v>
      </c>
      <c r="Z152" s="18">
        <f t="shared" si="54"/>
        <v>1.9811360878356195E-10</v>
      </c>
      <c r="AA152" s="18">
        <f t="shared" si="44"/>
        <v>7.5283171337753544E-10</v>
      </c>
    </row>
    <row r="153" spans="3:27" ht="12.75" customHeight="1" x14ac:dyDescent="0.2">
      <c r="C153" s="6" t="s">
        <v>120</v>
      </c>
      <c r="D153" s="8">
        <f>H84+H85+H86+J88+IF(E1="MYCOUNTY",0,(D67*E67*DefaultData!M92)+(D68*E68*DefaultData!M92)+(D69*E69*DefaultData!M92))</f>
        <v>525930.78633278771</v>
      </c>
      <c r="E153" s="8">
        <f>G20+G21</f>
        <v>29411764.705882352</v>
      </c>
      <c r="G153" s="8"/>
      <c r="H153" s="8"/>
      <c r="I153" s="8"/>
      <c r="J153" s="6" t="s">
        <v>119</v>
      </c>
      <c r="L153" s="14">
        <f t="shared" ref="L153:V153" si="55">L107+L132</f>
        <v>1.0405826393728046</v>
      </c>
      <c r="M153" s="14">
        <f t="shared" si="55"/>
        <v>0.95282581991343318</v>
      </c>
      <c r="N153" s="14">
        <f t="shared" si="55"/>
        <v>0.54486943790610465</v>
      </c>
      <c r="O153" s="14">
        <f t="shared" si="40"/>
        <v>2.5382778971923425</v>
      </c>
      <c r="P153" s="18">
        <f t="shared" si="55"/>
        <v>0.10154430303685348</v>
      </c>
      <c r="Q153" s="18">
        <f t="shared" si="55"/>
        <v>5.6768828055590061E-2</v>
      </c>
      <c r="R153" s="18">
        <f t="shared" si="55"/>
        <v>2.1705728374196202E-2</v>
      </c>
      <c r="S153" s="18">
        <f t="shared" si="41"/>
        <v>0.18001885946663976</v>
      </c>
      <c r="T153" s="18">
        <f t="shared" si="55"/>
        <v>0.55655713779990257</v>
      </c>
      <c r="U153" s="18">
        <f t="shared" si="55"/>
        <v>0.22874498363575996</v>
      </c>
      <c r="V153" s="18">
        <f t="shared" si="55"/>
        <v>7.2352427913987341E-2</v>
      </c>
      <c r="W153" s="18">
        <f t="shared" si="42"/>
        <v>0.85765454934964991</v>
      </c>
      <c r="X153" s="18">
        <f t="shared" ref="X153:Z153" si="56">X107+X132</f>
        <v>0.22329887997910014</v>
      </c>
      <c r="Y153" s="18">
        <f t="shared" si="56"/>
        <v>0.12466879886717817</v>
      </c>
      <c r="Z153" s="18">
        <f t="shared" si="56"/>
        <v>4.174178533499269E-2</v>
      </c>
      <c r="AA153" s="18">
        <f t="shared" si="44"/>
        <v>0.389709464181271</v>
      </c>
    </row>
    <row r="154" spans="3:27" ht="12.75" customHeight="1" x14ac:dyDescent="0.2">
      <c r="C154" s="6" t="s">
        <v>121</v>
      </c>
      <c r="D154" s="8">
        <f>G76</f>
        <v>348757.50000000006</v>
      </c>
      <c r="E154" s="8">
        <v>0</v>
      </c>
      <c r="G154" s="8"/>
      <c r="H154" s="8"/>
      <c r="I154" s="8"/>
      <c r="J154" s="6" t="s">
        <v>46</v>
      </c>
      <c r="L154" s="14">
        <f t="shared" ref="L154:V154" si="57">L108+L133</f>
        <v>1.3593481442780346</v>
      </c>
      <c r="M154" s="14">
        <f t="shared" si="57"/>
        <v>0.65651483130126831</v>
      </c>
      <c r="N154" s="14">
        <f t="shared" si="57"/>
        <v>0.47869061540575919</v>
      </c>
      <c r="O154" s="14">
        <f t="shared" si="40"/>
        <v>2.494553590985062</v>
      </c>
      <c r="P154" s="18">
        <f t="shared" si="57"/>
        <v>0.12154262431097955</v>
      </c>
      <c r="Q154" s="18">
        <f t="shared" si="57"/>
        <v>3.2173574514101889E-2</v>
      </c>
      <c r="R154" s="18">
        <f t="shared" si="57"/>
        <v>2.1304123664743144E-2</v>
      </c>
      <c r="S154" s="18">
        <f t="shared" si="41"/>
        <v>0.17502032248982458</v>
      </c>
      <c r="T154" s="18">
        <f t="shared" si="57"/>
        <v>0.43477803397434989</v>
      </c>
      <c r="U154" s="18">
        <f t="shared" si="57"/>
        <v>0.10608584028974137</v>
      </c>
      <c r="V154" s="18">
        <f t="shared" si="57"/>
        <v>7.1738375605767735E-2</v>
      </c>
      <c r="W154" s="18">
        <f t="shared" si="42"/>
        <v>0.61260224986985901</v>
      </c>
      <c r="X154" s="18">
        <f t="shared" ref="X154:Z154" si="58">X108+X133</f>
        <v>0.24964469183874211</v>
      </c>
      <c r="Y154" s="18">
        <f t="shared" si="58"/>
        <v>6.130370279038333E-2</v>
      </c>
      <c r="Z154" s="18">
        <f t="shared" si="58"/>
        <v>4.0869135193588889E-2</v>
      </c>
      <c r="AA154" s="18">
        <f t="shared" si="44"/>
        <v>0.3518175298227143</v>
      </c>
    </row>
    <row r="155" spans="3:27" ht="12.75" customHeight="1" x14ac:dyDescent="0.2">
      <c r="C155" s="6" t="s">
        <v>122</v>
      </c>
      <c r="D155" s="8">
        <f>G72</f>
        <v>1827442.8906249991</v>
      </c>
      <c r="E155" s="8">
        <f>G19+G14</f>
        <v>0</v>
      </c>
      <c r="G155" s="8"/>
      <c r="H155" s="8"/>
      <c r="I155" s="8"/>
      <c r="J155" s="6" t="s">
        <v>47</v>
      </c>
      <c r="L155" s="14">
        <f t="shared" ref="L155:V155" si="59">L109+L134</f>
        <v>1.6771160947537904</v>
      </c>
      <c r="M155" s="14">
        <f t="shared" si="59"/>
        <v>0.45969938624211248</v>
      </c>
      <c r="N155" s="14">
        <f t="shared" si="59"/>
        <v>0.39410485393622041</v>
      </c>
      <c r="O155" s="14">
        <f t="shared" si="40"/>
        <v>2.5309203349321234</v>
      </c>
      <c r="P155" s="18">
        <f t="shared" si="59"/>
        <v>5.4144183850001304E-2</v>
      </c>
      <c r="Q155" s="18">
        <f t="shared" si="59"/>
        <v>1.9893423732114807E-2</v>
      </c>
      <c r="R155" s="18">
        <f t="shared" si="59"/>
        <v>1.6129803026039034E-2</v>
      </c>
      <c r="S155" s="18">
        <f t="shared" si="41"/>
        <v>9.0167410608155141E-2</v>
      </c>
      <c r="T155" s="18">
        <f t="shared" si="59"/>
        <v>0.26883005043398389</v>
      </c>
      <c r="U155" s="18">
        <f t="shared" si="59"/>
        <v>7.1239963365005737E-2</v>
      </c>
      <c r="V155" s="18">
        <f t="shared" si="59"/>
        <v>5.3766010086796781E-2</v>
      </c>
      <c r="W155" s="18">
        <f t="shared" si="42"/>
        <v>0.39383602388578642</v>
      </c>
      <c r="X155" s="18">
        <f t="shared" ref="X155:Z155" si="60">X109+X134</f>
        <v>8.6766054619627095E-2</v>
      </c>
      <c r="Y155" s="18">
        <f t="shared" si="60"/>
        <v>4.0055677514663601E-2</v>
      </c>
      <c r="Z155" s="18">
        <f t="shared" si="60"/>
        <v>3.0915455799908155E-2</v>
      </c>
      <c r="AA155" s="18">
        <f t="shared" si="44"/>
        <v>0.15773718793419883</v>
      </c>
    </row>
    <row r="156" spans="3:27" ht="12.75" customHeight="1" x14ac:dyDescent="0.2">
      <c r="C156" s="6" t="s">
        <v>48</v>
      </c>
      <c r="D156" s="8">
        <f>G81+G82+G87+IF(E1="MYCOUNTY",0,(D67*E67*DefaultData!M91)+(D68*E68*DefaultData!M91)+(D69*E69*DefaultData!M91))</f>
        <v>184048.50753276391</v>
      </c>
      <c r="E156" s="8">
        <f>G22+G27</f>
        <v>29852941.176470589</v>
      </c>
      <c r="G156" s="8"/>
      <c r="H156" s="8"/>
      <c r="I156" s="8"/>
      <c r="J156" s="6" t="s">
        <v>120</v>
      </c>
      <c r="L156" s="14">
        <f t="shared" ref="L156:V156" si="61">L110+L135</f>
        <v>3.2199042597454159</v>
      </c>
      <c r="M156" s="14">
        <f t="shared" si="61"/>
        <v>2.945362686152881</v>
      </c>
      <c r="N156" s="14">
        <f t="shared" si="61"/>
        <v>1.0995335627330423</v>
      </c>
      <c r="O156" s="14">
        <f t="shared" si="40"/>
        <v>7.264800508631339</v>
      </c>
      <c r="P156" s="18">
        <f t="shared" si="61"/>
        <v>0.10175259247790992</v>
      </c>
      <c r="Q156" s="18">
        <f t="shared" si="61"/>
        <v>0.11817416795728959</v>
      </c>
      <c r="R156" s="18">
        <f t="shared" si="61"/>
        <v>4.3673062071172247E-2</v>
      </c>
      <c r="S156" s="18">
        <f t="shared" si="41"/>
        <v>0.26359982250637176</v>
      </c>
      <c r="T156" s="18">
        <f t="shared" si="61"/>
        <v>1.284501825622713</v>
      </c>
      <c r="U156" s="18">
        <f t="shared" si="61"/>
        <v>0.47526567548040377</v>
      </c>
      <c r="V156" s="18">
        <f t="shared" si="61"/>
        <v>0.14771770994661199</v>
      </c>
      <c r="W156" s="18">
        <f t="shared" si="42"/>
        <v>1.9074852110497287</v>
      </c>
      <c r="X156" s="18">
        <f t="shared" ref="X156:Z156" si="62">X110+X135</f>
        <v>0.30469248525329695</v>
      </c>
      <c r="Y156" s="18">
        <f t="shared" si="62"/>
        <v>0.26075387060141075</v>
      </c>
      <c r="Z156" s="18">
        <f t="shared" si="62"/>
        <v>8.4777120491099062E-2</v>
      </c>
      <c r="AA156" s="18">
        <f t="shared" si="44"/>
        <v>0.65022347634580679</v>
      </c>
    </row>
    <row r="157" spans="3:27" ht="12.75" customHeight="1" x14ac:dyDescent="0.2">
      <c r="C157" s="6" t="s">
        <v>0</v>
      </c>
      <c r="D157" s="8">
        <f>SUM(D143:D156)</f>
        <v>4101712.7313655508</v>
      </c>
      <c r="E157" s="8">
        <f>SUM(E143:E156)</f>
        <v>166433823.52941173</v>
      </c>
      <c r="G157" s="8">
        <f>SUM(G143:G156)</f>
        <v>0</v>
      </c>
      <c r="H157" s="8">
        <f>SUM(H143:H156)</f>
        <v>0</v>
      </c>
      <c r="I157" s="8">
        <f>SUM(I143:I156)</f>
        <v>0</v>
      </c>
      <c r="J157" s="6" t="s">
        <v>121</v>
      </c>
      <c r="L157" s="14">
        <f t="shared" ref="L157:V157" si="63">L111+L136</f>
        <v>1.2664302425856981</v>
      </c>
      <c r="M157" s="14">
        <f t="shared" si="63"/>
        <v>1.6193913636310495</v>
      </c>
      <c r="N157" s="14">
        <f t="shared" si="63"/>
        <v>1.4049955455485881</v>
      </c>
      <c r="O157" s="14">
        <f t="shared" si="40"/>
        <v>4.290817151765336</v>
      </c>
      <c r="P157" s="18">
        <f t="shared" si="63"/>
        <v>8.8487511724411272E-2</v>
      </c>
      <c r="Q157" s="18">
        <f t="shared" si="63"/>
        <v>7.9959096088131024E-2</v>
      </c>
      <c r="R157" s="18">
        <f t="shared" si="63"/>
        <v>6.238566837645388E-2</v>
      </c>
      <c r="S157" s="18">
        <f t="shared" si="41"/>
        <v>0.23083227618899618</v>
      </c>
      <c r="T157" s="18">
        <f t="shared" si="63"/>
        <v>0.87867138558385749</v>
      </c>
      <c r="U157" s="18">
        <f t="shared" si="63"/>
        <v>0.26184407290398953</v>
      </c>
      <c r="V157" s="18">
        <f t="shared" si="63"/>
        <v>0.20736644699779036</v>
      </c>
      <c r="W157" s="18">
        <f t="shared" si="42"/>
        <v>1.3478819054856372</v>
      </c>
      <c r="X157" s="18">
        <f t="shared" ref="X157:Z157" si="64">X111+X136</f>
        <v>0.10399173386415855</v>
      </c>
      <c r="Y157" s="18">
        <f t="shared" si="64"/>
        <v>0.14673812139250419</v>
      </c>
      <c r="Z157" s="18">
        <f t="shared" si="64"/>
        <v>0.11862063705382077</v>
      </c>
      <c r="AA157" s="18">
        <f t="shared" si="44"/>
        <v>0.3693504923104835</v>
      </c>
    </row>
    <row r="158" spans="3:27" ht="30" x14ac:dyDescent="0.2">
      <c r="J158" s="6" t="s">
        <v>122</v>
      </c>
      <c r="L158" s="14">
        <f t="shared" ref="L158:V158" si="65">L112+L137</f>
        <v>16.389378813130755</v>
      </c>
      <c r="M158" s="14">
        <f t="shared" si="65"/>
        <v>3.3954103855142836</v>
      </c>
      <c r="N158" s="14">
        <f t="shared" si="65"/>
        <v>2.4509263119594982</v>
      </c>
      <c r="O158" s="14">
        <f t="shared" si="40"/>
        <v>22.235715510604535</v>
      </c>
      <c r="P158" s="18">
        <f t="shared" si="65"/>
        <v>0.63836866182496355</v>
      </c>
      <c r="Q158" s="18">
        <f t="shared" si="65"/>
        <v>0.14591194455752438</v>
      </c>
      <c r="R158" s="18">
        <f t="shared" si="65"/>
        <v>0.10056093476261815</v>
      </c>
      <c r="S158" s="18">
        <f t="shared" si="41"/>
        <v>0.88484154114510605</v>
      </c>
      <c r="T158" s="18">
        <f t="shared" si="65"/>
        <v>1.9717830345611405</v>
      </c>
      <c r="U158" s="18">
        <f t="shared" si="65"/>
        <v>0.51463537202045773</v>
      </c>
      <c r="V158" s="18">
        <f t="shared" si="65"/>
        <v>0.33323133284083278</v>
      </c>
      <c r="W158" s="18">
        <f t="shared" si="42"/>
        <v>2.8196497394224309</v>
      </c>
      <c r="X158" s="18">
        <f t="shared" ref="X158:Z158" si="66">X112+X137</f>
        <v>1.1745983377579328</v>
      </c>
      <c r="Y158" s="18">
        <f t="shared" si="66"/>
        <v>0.2859085400113654</v>
      </c>
      <c r="Z158" s="18">
        <f t="shared" si="66"/>
        <v>0.19126295435243063</v>
      </c>
      <c r="AA158" s="18">
        <f t="shared" si="44"/>
        <v>1.6517698321217287</v>
      </c>
    </row>
    <row r="159" spans="3:27" ht="15" x14ac:dyDescent="0.2">
      <c r="J159" s="6" t="s">
        <v>48</v>
      </c>
      <c r="L159" s="14">
        <f t="shared" ref="L159:V159" si="67">L113+L138</f>
        <v>0</v>
      </c>
      <c r="M159" s="14">
        <f t="shared" si="67"/>
        <v>8.5668434686791334E-2</v>
      </c>
      <c r="N159" s="14">
        <f t="shared" si="67"/>
        <v>0.46067780809514758</v>
      </c>
      <c r="O159" s="14">
        <f t="shared" si="40"/>
        <v>0.54634624278193888</v>
      </c>
      <c r="P159" s="18">
        <f t="shared" si="67"/>
        <v>0</v>
      </c>
      <c r="Q159" s="18">
        <f t="shared" si="67"/>
        <v>4.8293480338142177E-3</v>
      </c>
      <c r="R159" s="18">
        <f t="shared" si="67"/>
        <v>2.120713701805374E-2</v>
      </c>
      <c r="S159" s="18">
        <f t="shared" si="41"/>
        <v>2.6036485051867959E-2</v>
      </c>
      <c r="T159" s="18">
        <f t="shared" si="67"/>
        <v>0.20997165364409642</v>
      </c>
      <c r="U159" s="18">
        <f t="shared" si="67"/>
        <v>1.7217675598815908E-2</v>
      </c>
      <c r="V159" s="18">
        <f t="shared" si="67"/>
        <v>7.0550475624416409E-2</v>
      </c>
      <c r="W159" s="18">
        <f t="shared" si="42"/>
        <v>0.29773980486732876</v>
      </c>
      <c r="X159" s="18">
        <f t="shared" ref="X159:Z159" si="68">X113+X138</f>
        <v>0.17804065924464546</v>
      </c>
      <c r="Y159" s="18">
        <f t="shared" si="68"/>
        <v>9.2387527603402433E-3</v>
      </c>
      <c r="Z159" s="18">
        <f t="shared" si="68"/>
        <v>4.0524529153310618E-2</v>
      </c>
      <c r="AA159" s="18">
        <f t="shared" si="44"/>
        <v>0.22780394115829633</v>
      </c>
    </row>
    <row r="160" spans="3:27" ht="30" x14ac:dyDescent="0.2">
      <c r="J160" s="6" t="s">
        <v>132</v>
      </c>
      <c r="L160" s="14">
        <f>L139</f>
        <v>25.324015276627946</v>
      </c>
      <c r="M160" s="14"/>
      <c r="N160" s="14"/>
      <c r="O160" s="14">
        <f t="shared" si="40"/>
        <v>25.324015276627946</v>
      </c>
      <c r="P160" s="14">
        <f>P139</f>
        <v>1.722188466235602</v>
      </c>
      <c r="Q160" s="18"/>
      <c r="R160" s="18"/>
      <c r="S160" s="18">
        <f t="shared" si="41"/>
        <v>1.722188466235602</v>
      </c>
      <c r="T160" s="18"/>
      <c r="U160" s="18"/>
      <c r="V160" s="18"/>
      <c r="W160" s="18">
        <f t="shared" si="42"/>
        <v>0</v>
      </c>
      <c r="X160" s="18">
        <f>X139</f>
        <v>1.722188466235602</v>
      </c>
      <c r="Y160" s="18"/>
      <c r="Z160" s="18"/>
      <c r="AA160" s="18">
        <f t="shared" si="44"/>
        <v>1.722188466235602</v>
      </c>
    </row>
    <row r="161" spans="3:42" ht="15" x14ac:dyDescent="0.2">
      <c r="J161" s="6" t="s">
        <v>0</v>
      </c>
      <c r="L161" s="14">
        <f>SUM(L146:L160)</f>
        <v>50.680722928261893</v>
      </c>
      <c r="M161" s="14">
        <f t="shared" ref="M161:W161" si="69">SUM(M146:M160)</f>
        <v>10.931572884306432</v>
      </c>
      <c r="N161" s="14">
        <f t="shared" si="69"/>
        <v>7.0768812151229232</v>
      </c>
      <c r="O161" s="14">
        <f t="shared" si="40"/>
        <v>68.689177027691244</v>
      </c>
      <c r="P161" s="18">
        <f t="shared" si="69"/>
        <v>2.8554785084127641</v>
      </c>
      <c r="Q161" s="18">
        <f t="shared" si="69"/>
        <v>0.50400739485483537</v>
      </c>
      <c r="R161" s="18">
        <f t="shared" si="69"/>
        <v>0.29669841542353181</v>
      </c>
      <c r="S161" s="18">
        <f t="shared" si="69"/>
        <v>3.6561843186911314</v>
      </c>
      <c r="T161" s="18">
        <f t="shared" si="69"/>
        <v>6.1308782557553281</v>
      </c>
      <c r="U161" s="18">
        <f t="shared" si="69"/>
        <v>1.8754920863646096</v>
      </c>
      <c r="V161" s="18">
        <f t="shared" si="69"/>
        <v>0.98921917186765884</v>
      </c>
      <c r="W161" s="18">
        <f t="shared" si="69"/>
        <v>8.9955895139875963</v>
      </c>
      <c r="X161" s="18">
        <f t="shared" ref="X161:AA161" si="70">SUM(X146:X160)</f>
        <v>4.1053800205984237</v>
      </c>
      <c r="Y161" s="18">
        <f t="shared" si="70"/>
        <v>1.0360876677578463</v>
      </c>
      <c r="Z161" s="18">
        <f t="shared" si="70"/>
        <v>0.56711931680799232</v>
      </c>
      <c r="AA161" s="18">
        <f t="shared" si="70"/>
        <v>5.7085870051642624</v>
      </c>
    </row>
    <row r="162" spans="3:42" x14ac:dyDescent="0.2">
      <c r="J162" s="158" t="s">
        <v>141</v>
      </c>
      <c r="K162" s="1">
        <f>P140</f>
        <v>2010</v>
      </c>
      <c r="L162" s="1" t="s">
        <v>139</v>
      </c>
      <c r="P162" s="18">
        <f t="shared" ref="P162:W162" si="71">P161*$G63</f>
        <v>2.6566510368779821</v>
      </c>
      <c r="Q162" s="18">
        <f t="shared" si="71"/>
        <v>0.46891327116993259</v>
      </c>
      <c r="R162" s="18">
        <f t="shared" si="71"/>
        <v>0.27603925249401351</v>
      </c>
      <c r="S162" s="18">
        <f t="shared" si="71"/>
        <v>3.4016035605419286</v>
      </c>
      <c r="T162" s="18">
        <f t="shared" si="71"/>
        <v>5.7039841228497412</v>
      </c>
      <c r="U162" s="18">
        <f t="shared" si="71"/>
        <v>1.7449012420221508</v>
      </c>
      <c r="V162" s="18">
        <f t="shared" si="71"/>
        <v>0.92033966667905021</v>
      </c>
      <c r="W162" s="18">
        <f t="shared" si="71"/>
        <v>8.3692250315509416</v>
      </c>
      <c r="X162" s="18">
        <f t="shared" ref="X162:AA162" si="72">X161*$G63</f>
        <v>3.8195216865993631</v>
      </c>
      <c r="Y162" s="18">
        <f t="shared" si="72"/>
        <v>0.96394470094449447</v>
      </c>
      <c r="Z162" s="18">
        <f t="shared" si="72"/>
        <v>0.52763069888029379</v>
      </c>
      <c r="AA162" s="18">
        <f t="shared" si="72"/>
        <v>5.3110970864241516</v>
      </c>
    </row>
    <row r="163" spans="3:42" x14ac:dyDescent="0.2">
      <c r="L163" s="14"/>
      <c r="M163" s="14"/>
      <c r="N163" s="14"/>
      <c r="O163" s="14"/>
      <c r="P163" s="38"/>
      <c r="Q163" s="38"/>
      <c r="R163" s="38"/>
      <c r="S163" s="38"/>
      <c r="T163" s="38"/>
      <c r="U163" s="38"/>
      <c r="V163" s="38"/>
      <c r="W163" s="38"/>
      <c r="X163" s="38"/>
      <c r="Y163" s="38"/>
      <c r="Z163" s="38"/>
      <c r="AA163" s="38"/>
      <c r="AC163" s="14"/>
      <c r="AD163" s="14"/>
      <c r="AE163" s="14"/>
      <c r="AF163" s="14"/>
      <c r="AG163" s="14"/>
      <c r="AH163" s="14"/>
      <c r="AI163" s="14"/>
      <c r="AJ163" s="14"/>
      <c r="AK163" s="14"/>
      <c r="AL163" s="14"/>
      <c r="AM163" s="14"/>
      <c r="AN163" s="14"/>
      <c r="AO163" s="14"/>
      <c r="AP163" s="14"/>
    </row>
    <row r="164" spans="3:42" x14ac:dyDescent="0.2">
      <c r="C164" t="s">
        <v>133</v>
      </c>
      <c r="H164" t="s">
        <v>133</v>
      </c>
      <c r="M164" t="s">
        <v>133</v>
      </c>
      <c r="X164" s="398"/>
      <c r="Y164" s="398"/>
      <c r="Z164" s="398"/>
      <c r="AA164" s="398"/>
    </row>
    <row r="165" spans="3:42" x14ac:dyDescent="0.2">
      <c r="C165" t="s">
        <v>183</v>
      </c>
      <c r="H165" t="s">
        <v>183</v>
      </c>
      <c r="M165" t="s">
        <v>183</v>
      </c>
      <c r="X165" s="398"/>
      <c r="Y165" s="398"/>
      <c r="Z165" s="398"/>
      <c r="AA165" s="398"/>
      <c r="AB165" s="14"/>
    </row>
    <row r="166" spans="3:42" x14ac:dyDescent="0.2">
      <c r="C166" s="24" t="s">
        <v>169</v>
      </c>
      <c r="H166" s="24" t="s">
        <v>195</v>
      </c>
      <c r="M166" s="24" t="s">
        <v>196</v>
      </c>
      <c r="X166" s="398"/>
      <c r="Y166" s="398"/>
      <c r="Z166" s="398"/>
      <c r="AA166" s="398"/>
    </row>
    <row r="167" spans="3:42" x14ac:dyDescent="0.2">
      <c r="C167" t="s">
        <v>108</v>
      </c>
      <c r="D167" t="s">
        <v>162</v>
      </c>
      <c r="E167" t="s">
        <v>163</v>
      </c>
      <c r="F167" t="s">
        <v>164</v>
      </c>
      <c r="H167" t="s">
        <v>108</v>
      </c>
      <c r="I167" t="s">
        <v>162</v>
      </c>
      <c r="J167" t="s">
        <v>163</v>
      </c>
      <c r="K167" t="s">
        <v>164</v>
      </c>
      <c r="M167" t="s">
        <v>108</v>
      </c>
      <c r="N167" t="s">
        <v>162</v>
      </c>
      <c r="O167" t="s">
        <v>163</v>
      </c>
      <c r="P167" t="s">
        <v>164</v>
      </c>
      <c r="X167" s="398"/>
      <c r="Y167" s="398"/>
      <c r="Z167" s="398"/>
      <c r="AA167" s="398"/>
    </row>
    <row r="168" spans="3:42" x14ac:dyDescent="0.2">
      <c r="C168">
        <v>1</v>
      </c>
      <c r="D168" s="91">
        <f>IF(C168&lt;=DefaultData!D$72,-ISPMT(DefaultData!D$73,C168,DefaultData!D$72,DefaultData!D$34*DefaultData!D$71),0)</f>
        <v>47500000</v>
      </c>
      <c r="E168" s="91">
        <f>IF(C168&lt;=DefaultData!D$72,-PPMT(DefaultData!D$73,C168,DefaultData!D$72,DefaultData!D$71*DefaultData!D$34),0)</f>
        <v>8729812.3862728961</v>
      </c>
      <c r="F168" s="91">
        <f t="shared" ref="F168:F199" si="73">E168+D168</f>
        <v>56229812.386272892</v>
      </c>
      <c r="H168">
        <v>1</v>
      </c>
      <c r="I168" s="91">
        <f>IF(H168&lt;=DefaultData!$D$80,-ISPMT(DefaultData!$D$79,H168,DefaultData!$D$80,DefaultData!$D$34*DefaultData!$D$76*DefaultData!$D$77),0)</f>
        <v>0</v>
      </c>
      <c r="J168" s="91">
        <f>IF(H168&lt;=DefaultData!$D$80,-PPMT(DefaultData!$D$79,H168,DefaultData!$D$80,DefaultData!$D$76*DefaultData!$D$34*DefaultData!$D$77),0)</f>
        <v>0</v>
      </c>
      <c r="K168" s="91">
        <f t="shared" ref="K168:K199" si="74">J168+I168</f>
        <v>0</v>
      </c>
      <c r="M168">
        <v>1</v>
      </c>
      <c r="N168" s="91">
        <f>IF(M168&lt;=DefaultData!$D$80,-ISPMT(DefaultData!$D$79,M168,DefaultData!$D$80,DefaultData!$D$34*DefaultData!$D$76*DefaultData!$D$78),0)</f>
        <v>17999999.999999996</v>
      </c>
      <c r="O168" s="91">
        <f>IF(M168&lt;=DefaultData!$D$80,-PPMT(DefaultData!$D$79,M168,DefaultData!$D$80,DefaultData!$D$76*DefaultData!$D$34*DefaultData!$D$78),0)</f>
        <v>5862635.383322333</v>
      </c>
      <c r="P168" s="91">
        <f t="shared" ref="P168:P199" si="75">O168+N168</f>
        <v>23862635.383322328</v>
      </c>
      <c r="X168" s="398"/>
      <c r="Y168" s="398"/>
      <c r="Z168" s="398"/>
      <c r="AA168" s="398"/>
    </row>
    <row r="169" spans="3:42" x14ac:dyDescent="0.2">
      <c r="C169">
        <v>2</v>
      </c>
      <c r="D169" s="91">
        <f>IF(C169&lt;=DefaultData!D$72,-ISPMT(DefaultData!D$73,C169,DefaultData!D$72,DefaultData!D$34*DefaultData!D$71),0)</f>
        <v>45000000</v>
      </c>
      <c r="E169" s="91">
        <f>IF(C169&lt;=DefaultData!D$72,-PPMT(DefaultData!D$73,C169,DefaultData!D$72,DefaultData!D$71*DefaultData!D$34),0)</f>
        <v>9602793.6249001864</v>
      </c>
      <c r="F169" s="91">
        <f t="shared" si="73"/>
        <v>54602793.624900185</v>
      </c>
      <c r="H169">
        <v>2</v>
      </c>
      <c r="I169" s="91">
        <f>IF(H169&lt;=DefaultData!$D$80,-ISPMT(DefaultData!$D$79,H169,DefaultData!$D$80,DefaultData!$D$34*DefaultData!$D$76*DefaultData!$D$77),0)</f>
        <v>0</v>
      </c>
      <c r="J169" s="91">
        <f>IF(H169&lt;=DefaultData!$D$80,-PPMT(DefaultData!$D$79,H169,DefaultData!$D$80,DefaultData!$D$76*DefaultData!$D$34*DefaultData!$D$77),0)</f>
        <v>0</v>
      </c>
      <c r="K169" s="91">
        <f t="shared" si="74"/>
        <v>0</v>
      </c>
      <c r="M169">
        <v>2</v>
      </c>
      <c r="N169" s="91">
        <f>IF(M169&lt;=DefaultData!$D$80,-ISPMT(DefaultData!$D$79,M169,DefaultData!$D$80,DefaultData!$D$34*DefaultData!$D$76*DefaultData!$D$78),0)</f>
        <v>15999999.999999996</v>
      </c>
      <c r="O169" s="91">
        <f>IF(M169&lt;=DefaultData!$D$80,-PPMT(DefaultData!$D$79,M169,DefaultData!$D$80,DefaultData!$D$76*DefaultData!$D$34*DefaultData!$D$78),0)</f>
        <v>6800657.0446539056</v>
      </c>
      <c r="P169" s="91">
        <f t="shared" si="75"/>
        <v>22800657.0446539</v>
      </c>
      <c r="X169" s="398"/>
      <c r="Y169" s="398"/>
      <c r="Z169" s="398"/>
      <c r="AA169" s="398"/>
    </row>
    <row r="170" spans="3:42" x14ac:dyDescent="0.2">
      <c r="C170">
        <v>3</v>
      </c>
      <c r="D170" s="91">
        <f>IF(C170&lt;=DefaultData!D$72,-ISPMT(DefaultData!D$73,C170,DefaultData!D$72,DefaultData!D$34*DefaultData!D$71),0)</f>
        <v>42500000</v>
      </c>
      <c r="E170" s="91">
        <f>IF(C170&lt;=DefaultData!D$72,-PPMT(DefaultData!D$73,C170,DefaultData!D$72,DefaultData!D$71*DefaultData!D$34),0)</f>
        <v>10563072.987390205</v>
      </c>
      <c r="F170" s="91">
        <f t="shared" si="73"/>
        <v>53063072.987390205</v>
      </c>
      <c r="H170">
        <v>3</v>
      </c>
      <c r="I170" s="91">
        <f>IF(H170&lt;=DefaultData!$D$80,-ISPMT(DefaultData!$D$79,H170,DefaultData!$D$80,DefaultData!$D$34*DefaultData!$D$76*DefaultData!$D$77),0)</f>
        <v>0</v>
      </c>
      <c r="J170" s="91">
        <f>IF(H170&lt;=DefaultData!$D$80,-PPMT(DefaultData!$D$79,H170,DefaultData!$D$80,DefaultData!$D$76*DefaultData!$D$34*DefaultData!$D$77),0)</f>
        <v>0</v>
      </c>
      <c r="K170" s="91">
        <f t="shared" si="74"/>
        <v>0</v>
      </c>
      <c r="M170">
        <v>3</v>
      </c>
      <c r="N170" s="91">
        <f>IF(M170&lt;=DefaultData!$D$80,-ISPMT(DefaultData!$D$79,M170,DefaultData!$D$80,DefaultData!$D$34*DefaultData!$D$76*DefaultData!$D$78),0)</f>
        <v>13999999.999999996</v>
      </c>
      <c r="O170" s="91">
        <f>IF(M170&lt;=DefaultData!$D$80,-PPMT(DefaultData!$D$79,M170,DefaultData!$D$80,DefaultData!$D$76*DefaultData!$D$34*DefaultData!$D$78),0)</f>
        <v>7888762.171798531</v>
      </c>
      <c r="P170" s="91">
        <f t="shared" si="75"/>
        <v>21888762.171798527</v>
      </c>
      <c r="X170" s="398"/>
      <c r="Y170" s="398"/>
      <c r="Z170" s="398"/>
      <c r="AA170" s="398"/>
    </row>
    <row r="171" spans="3:42" x14ac:dyDescent="0.2">
      <c r="C171">
        <v>4</v>
      </c>
      <c r="D171" s="91">
        <f>IF(C171&lt;=DefaultData!D$72,-ISPMT(DefaultData!D$73,C171,DefaultData!D$72,DefaultData!D$34*DefaultData!D$71),0)</f>
        <v>40000000</v>
      </c>
      <c r="E171" s="91">
        <f>IF(C171&lt;=DefaultData!D$72,-PPMT(DefaultData!D$73,C171,DefaultData!D$72,DefaultData!D$71*DefaultData!D$34),0)</f>
        <v>11619380.286129227</v>
      </c>
      <c r="F171" s="91">
        <f t="shared" si="73"/>
        <v>51619380.286129229</v>
      </c>
      <c r="H171">
        <v>4</v>
      </c>
      <c r="I171" s="91">
        <f>IF(H171&lt;=DefaultData!$D$80,-ISPMT(DefaultData!$D$79,H171,DefaultData!$D$80,DefaultData!$D$34*DefaultData!$D$76*DefaultData!$D$77),0)</f>
        <v>0</v>
      </c>
      <c r="J171" s="91">
        <f>IF(H171&lt;=DefaultData!$D$80,-PPMT(DefaultData!$D$79,H171,DefaultData!$D$80,DefaultData!$D$76*DefaultData!$D$34*DefaultData!$D$77),0)</f>
        <v>0</v>
      </c>
      <c r="K171" s="91">
        <f t="shared" si="74"/>
        <v>0</v>
      </c>
      <c r="M171">
        <v>4</v>
      </c>
      <c r="N171" s="91">
        <f>IF(M171&lt;=DefaultData!$D$80,-ISPMT(DefaultData!$D$79,M171,DefaultData!$D$80,DefaultData!$D$34*DefaultData!$D$76*DefaultData!$D$78),0)</f>
        <v>11999999.999999996</v>
      </c>
      <c r="O171" s="91">
        <f>IF(M171&lt;=DefaultData!$D$80,-PPMT(DefaultData!$D$79,M171,DefaultData!$D$80,DefaultData!$D$76*DefaultData!$D$34*DefaultData!$D$78),0)</f>
        <v>9150964.119286295</v>
      </c>
      <c r="P171" s="91">
        <f t="shared" si="75"/>
        <v>21150964.119286291</v>
      </c>
      <c r="X171" s="398"/>
      <c r="Y171" s="398"/>
      <c r="Z171" s="398"/>
      <c r="AA171" s="398"/>
    </row>
    <row r="172" spans="3:42" x14ac:dyDescent="0.2">
      <c r="C172">
        <v>5</v>
      </c>
      <c r="D172" s="91">
        <f>IF(C172&lt;=DefaultData!D$72,-ISPMT(DefaultData!D$73,C172,DefaultData!D$72,DefaultData!D$34*DefaultData!D$71),0)</f>
        <v>37500000</v>
      </c>
      <c r="E172" s="91">
        <f>IF(C172&lt;=DefaultData!D$72,-PPMT(DefaultData!D$73,C172,DefaultData!D$72,DefaultData!D$71*DefaultData!D$34),0)</f>
        <v>12781318.314742148</v>
      </c>
      <c r="F172" s="91">
        <f t="shared" si="73"/>
        <v>50281318.314742148</v>
      </c>
      <c r="H172">
        <v>5</v>
      </c>
      <c r="I172" s="91">
        <f>IF(H172&lt;=DefaultData!$D$80,-ISPMT(DefaultData!$D$79,H172,DefaultData!$D$80,DefaultData!$D$34*DefaultData!$D$76*DefaultData!$D$77),0)</f>
        <v>0</v>
      </c>
      <c r="J172" s="91">
        <f>IF(H172&lt;=DefaultData!$D$80,-PPMT(DefaultData!$D$79,H172,DefaultData!$D$80,DefaultData!$D$76*DefaultData!$D$34*DefaultData!$D$77),0)</f>
        <v>0</v>
      </c>
      <c r="K172" s="91">
        <f t="shared" si="74"/>
        <v>0</v>
      </c>
      <c r="M172">
        <v>5</v>
      </c>
      <c r="N172" s="91">
        <f>IF(M172&lt;=DefaultData!$D$80,-ISPMT(DefaultData!$D$79,M172,DefaultData!$D$80,DefaultData!$D$34*DefaultData!$D$76*DefaultData!$D$78),0)</f>
        <v>9999999.9999999981</v>
      </c>
      <c r="O172" s="91">
        <f>IF(M172&lt;=DefaultData!$D$80,-PPMT(DefaultData!$D$79,M172,DefaultData!$D$80,DefaultData!$D$76*DefaultData!$D$34*DefaultData!$D$78),0)</f>
        <v>10615118.378372101</v>
      </c>
      <c r="P172" s="91">
        <f t="shared" si="75"/>
        <v>20615118.378372099</v>
      </c>
      <c r="X172" s="398"/>
      <c r="Y172" s="398"/>
      <c r="Z172" s="398"/>
      <c r="AA172" s="398"/>
    </row>
    <row r="173" spans="3:42" x14ac:dyDescent="0.2">
      <c r="C173">
        <v>6</v>
      </c>
      <c r="D173" s="91">
        <f>IF(C173&lt;=DefaultData!D$72,-ISPMT(DefaultData!D$73,C173,DefaultData!D$72,DefaultData!D$34*DefaultData!D$71),0)</f>
        <v>35000000</v>
      </c>
      <c r="E173" s="91">
        <f>IF(C173&lt;=DefaultData!D$72,-PPMT(DefaultData!D$73,C173,DefaultData!D$72,DefaultData!D$71*DefaultData!D$34),0)</f>
        <v>14059450.146216361</v>
      </c>
      <c r="F173" s="91">
        <f t="shared" si="73"/>
        <v>49059450.146216363</v>
      </c>
      <c r="H173">
        <v>6</v>
      </c>
      <c r="I173" s="91">
        <f>IF(H173&lt;=DefaultData!$D$80,-ISPMT(DefaultData!$D$79,H173,DefaultData!$D$80,DefaultData!$D$34*DefaultData!$D$76*DefaultData!$D$77),0)</f>
        <v>0</v>
      </c>
      <c r="J173" s="91">
        <f>IF(H173&lt;=DefaultData!$D$80,-PPMT(DefaultData!$D$79,H173,DefaultData!$D$80,DefaultData!$D$76*DefaultData!$D$34*DefaultData!$D$77),0)</f>
        <v>0</v>
      </c>
      <c r="K173" s="91">
        <f t="shared" si="74"/>
        <v>0</v>
      </c>
      <c r="M173">
        <v>6</v>
      </c>
      <c r="N173" s="91">
        <f>IF(M173&lt;=DefaultData!$D$80,-ISPMT(DefaultData!$D$79,M173,DefaultData!$D$80,DefaultData!$D$34*DefaultData!$D$76*DefaultData!$D$78),0)</f>
        <v>7999999.9999999981</v>
      </c>
      <c r="O173" s="91">
        <f>IF(M173&lt;=DefaultData!$D$80,-PPMT(DefaultData!$D$79,M173,DefaultData!$D$80,DefaultData!$D$76*DefaultData!$D$34*DefaultData!$D$78),0)</f>
        <v>12313537.318911638</v>
      </c>
      <c r="P173" s="91">
        <f t="shared" si="75"/>
        <v>20313537.318911634</v>
      </c>
      <c r="X173" s="398"/>
      <c r="Y173" s="398"/>
      <c r="Z173" s="398"/>
      <c r="AA173" s="398"/>
    </row>
    <row r="174" spans="3:42" x14ac:dyDescent="0.2">
      <c r="C174">
        <v>7</v>
      </c>
      <c r="D174" s="91">
        <f>IF(C174&lt;=DefaultData!D$72,-ISPMT(DefaultData!D$73,C174,DefaultData!D$72,DefaultData!D$34*DefaultData!D$71),0)</f>
        <v>32500000</v>
      </c>
      <c r="E174" s="91">
        <f>IF(C174&lt;=DefaultData!D$72,-PPMT(DefaultData!D$73,C174,DefaultData!D$72,DefaultData!D$71*DefaultData!D$34),0)</f>
        <v>15465395.160838</v>
      </c>
      <c r="F174" s="91">
        <f t="shared" si="73"/>
        <v>47965395.160838</v>
      </c>
      <c r="H174">
        <v>7</v>
      </c>
      <c r="I174" s="91">
        <f>IF(H174&lt;=DefaultData!$D$80,-ISPMT(DefaultData!$D$79,H174,DefaultData!$D$80,DefaultData!$D$34*DefaultData!$D$76*DefaultData!$D$77),0)</f>
        <v>0</v>
      </c>
      <c r="J174" s="91">
        <f>IF(H174&lt;=DefaultData!$D$80,-PPMT(DefaultData!$D$79,H174,DefaultData!$D$80,DefaultData!$D$76*DefaultData!$D$34*DefaultData!$D$77),0)</f>
        <v>0</v>
      </c>
      <c r="K174" s="91">
        <f t="shared" si="74"/>
        <v>0</v>
      </c>
      <c r="M174">
        <v>7</v>
      </c>
      <c r="N174" s="91">
        <f>IF(M174&lt;=DefaultData!$D$80,-ISPMT(DefaultData!$D$79,M174,DefaultData!$D$80,DefaultData!$D$34*DefaultData!$D$76*DefaultData!$D$78),0)</f>
        <v>5999999.9999999981</v>
      </c>
      <c r="O174" s="91">
        <f>IF(M174&lt;=DefaultData!$D$80,-PPMT(DefaultData!$D$79,M174,DefaultData!$D$80,DefaultData!$D$76*DefaultData!$D$34*DefaultData!$D$78),0)</f>
        <v>14283703.289937502</v>
      </c>
      <c r="P174" s="91">
        <f t="shared" si="75"/>
        <v>20283703.2899375</v>
      </c>
      <c r="X174" s="398"/>
      <c r="Y174" s="398"/>
      <c r="Z174" s="398"/>
      <c r="AA174" s="398"/>
    </row>
    <row r="175" spans="3:42" x14ac:dyDescent="0.2">
      <c r="C175">
        <v>8</v>
      </c>
      <c r="D175" s="91">
        <f>IF(C175&lt;=DefaultData!D$72,-ISPMT(DefaultData!D$73,C175,DefaultData!D$72,DefaultData!D$34*DefaultData!D$71),0)</f>
        <v>30000000</v>
      </c>
      <c r="E175" s="91">
        <f>IF(C175&lt;=DefaultData!D$72,-PPMT(DefaultData!D$73,C175,DefaultData!D$72,DefaultData!D$71*DefaultData!D$34),0)</f>
        <v>17011934.676921796</v>
      </c>
      <c r="F175" s="91">
        <f t="shared" si="73"/>
        <v>47011934.6769218</v>
      </c>
      <c r="H175">
        <v>8</v>
      </c>
      <c r="I175" s="91">
        <f>IF(H175&lt;=DefaultData!$D$80,-ISPMT(DefaultData!$D$79,H175,DefaultData!$D$80,DefaultData!$D$34*DefaultData!$D$76*DefaultData!$D$77),0)</f>
        <v>0</v>
      </c>
      <c r="J175" s="91">
        <f>IF(H175&lt;=DefaultData!$D$80,-PPMT(DefaultData!$D$79,H175,DefaultData!$D$80,DefaultData!$D$76*DefaultData!$D$34*DefaultData!$D$77),0)</f>
        <v>0</v>
      </c>
      <c r="K175" s="91">
        <f t="shared" si="74"/>
        <v>0</v>
      </c>
      <c r="M175">
        <v>8</v>
      </c>
      <c r="N175" s="91">
        <f>IF(M175&lt;=DefaultData!$D$80,-ISPMT(DefaultData!$D$79,M175,DefaultData!$D$80,DefaultData!$D$34*DefaultData!$D$76*DefaultData!$D$78),0)</f>
        <v>3999999.9999999991</v>
      </c>
      <c r="O175" s="91">
        <f>IF(M175&lt;=DefaultData!$D$80,-PPMT(DefaultData!$D$79,M175,DefaultData!$D$80,DefaultData!$D$76*DefaultData!$D$34*DefaultData!$D$78),0)</f>
        <v>16569095.816327501</v>
      </c>
      <c r="P175" s="91">
        <f t="shared" si="75"/>
        <v>20569095.816327501</v>
      </c>
      <c r="X175" s="398"/>
      <c r="Y175" s="398"/>
      <c r="Z175" s="398"/>
      <c r="AA175" s="398"/>
    </row>
    <row r="176" spans="3:42" x14ac:dyDescent="0.2">
      <c r="C176">
        <v>9</v>
      </c>
      <c r="D176" s="91">
        <f>IF(C176&lt;=DefaultData!D$72,-ISPMT(DefaultData!D$73,C176,DefaultData!D$72,DefaultData!D$34*DefaultData!D$71),0)</f>
        <v>27500000</v>
      </c>
      <c r="E176" s="91">
        <f>IF(C176&lt;=DefaultData!D$72,-PPMT(DefaultData!D$73,C176,DefaultData!D$72,DefaultData!D$71*DefaultData!D$34),0)</f>
        <v>18713128.144613978</v>
      </c>
      <c r="F176" s="91">
        <f t="shared" si="73"/>
        <v>46213128.144613981</v>
      </c>
      <c r="H176">
        <v>9</v>
      </c>
      <c r="I176" s="91">
        <f>IF(H176&lt;=DefaultData!$D$80,-ISPMT(DefaultData!$D$79,H176,DefaultData!$D$80,DefaultData!$D$34*DefaultData!$D$76*DefaultData!$D$77),0)</f>
        <v>0</v>
      </c>
      <c r="J176" s="91">
        <f>IF(H176&lt;=DefaultData!$D$80,-PPMT(DefaultData!$D$79,H176,DefaultData!$D$80,DefaultData!$D$76*DefaultData!$D$34*DefaultData!$D$77),0)</f>
        <v>0</v>
      </c>
      <c r="K176" s="91">
        <f t="shared" si="74"/>
        <v>0</v>
      </c>
      <c r="M176">
        <v>9</v>
      </c>
      <c r="N176" s="91">
        <f>IF(M176&lt;=DefaultData!$D$80,-ISPMT(DefaultData!$D$79,M176,DefaultData!$D$80,DefaultData!$D$34*DefaultData!$D$76*DefaultData!$D$78),0)</f>
        <v>1999999.9999999995</v>
      </c>
      <c r="O176" s="91">
        <f>IF(M176&lt;=DefaultData!$D$80,-PPMT(DefaultData!$D$79,M176,DefaultData!$D$80,DefaultData!$D$76*DefaultData!$D$34*DefaultData!$D$78),0)</f>
        <v>19220151.1469399</v>
      </c>
      <c r="P176" s="91">
        <f t="shared" si="75"/>
        <v>21220151.1469399</v>
      </c>
      <c r="X176" s="398"/>
      <c r="Y176" s="398"/>
      <c r="Z176" s="398"/>
      <c r="AA176" s="398"/>
    </row>
    <row r="177" spans="3:27" x14ac:dyDescent="0.2">
      <c r="C177">
        <v>10</v>
      </c>
      <c r="D177" s="91">
        <f>IF(C177&lt;=DefaultData!D$72,-ISPMT(DefaultData!D$73,C177,DefaultData!D$72,DefaultData!D$34*DefaultData!D$71),0)</f>
        <v>25000000</v>
      </c>
      <c r="E177" s="91">
        <f>IF(C177&lt;=DefaultData!D$72,-PPMT(DefaultData!D$73,C177,DefaultData!D$72,DefaultData!D$71*DefaultData!D$34),0)</f>
        <v>20584440.959075376</v>
      </c>
      <c r="F177" s="91">
        <f t="shared" si="73"/>
        <v>45584440.959075376</v>
      </c>
      <c r="H177">
        <v>10</v>
      </c>
      <c r="I177" s="91">
        <f>IF(H177&lt;=DefaultData!$D$80,-ISPMT(DefaultData!$D$79,H177,DefaultData!$D$80,DefaultData!$D$34*DefaultData!$D$76*DefaultData!$D$77),0)</f>
        <v>0</v>
      </c>
      <c r="J177" s="91">
        <f>IF(H177&lt;=DefaultData!$D$80,-PPMT(DefaultData!$D$79,H177,DefaultData!$D$80,DefaultData!$D$76*DefaultData!$D$34*DefaultData!$D$77),0)</f>
        <v>0</v>
      </c>
      <c r="K177" s="91">
        <f t="shared" si="74"/>
        <v>0</v>
      </c>
      <c r="M177">
        <v>10</v>
      </c>
      <c r="N177" s="91">
        <f>IF(M177&lt;=DefaultData!$D$80,-ISPMT(DefaultData!$D$79,M177,DefaultData!$D$80,DefaultData!$D$34*DefaultData!$D$76*DefaultData!$D$78),0)</f>
        <v>0</v>
      </c>
      <c r="O177" s="91">
        <f>IF(M177&lt;=DefaultData!$D$80,-PPMT(DefaultData!$D$79,M177,DefaultData!$D$80,DefaultData!$D$76*DefaultData!$D$34*DefaultData!$D$78),0)</f>
        <v>22295375.330450289</v>
      </c>
      <c r="P177" s="91">
        <f t="shared" si="75"/>
        <v>22295375.330450289</v>
      </c>
      <c r="X177" s="398"/>
      <c r="Y177" s="398"/>
      <c r="Z177" s="398"/>
      <c r="AA177" s="398"/>
    </row>
    <row r="178" spans="3:27" x14ac:dyDescent="0.2">
      <c r="C178">
        <v>11</v>
      </c>
      <c r="D178" s="91">
        <f>IF(C178&lt;=DefaultData!D$72,-ISPMT(DefaultData!D$73,C178,DefaultData!D$72,DefaultData!D$34*DefaultData!D$71),0)</f>
        <v>22500000</v>
      </c>
      <c r="E178" s="91">
        <f>IF(C178&lt;=DefaultData!D$72,-PPMT(DefaultData!D$73,C178,DefaultData!D$72,DefaultData!D$71*DefaultData!D$34),0)</f>
        <v>22642885.054982912</v>
      </c>
      <c r="F178" s="91">
        <f t="shared" si="73"/>
        <v>45142885.054982916</v>
      </c>
      <c r="H178">
        <v>11</v>
      </c>
      <c r="I178" s="91">
        <f>IF(H178&lt;=DefaultData!$D$80,-ISPMT(DefaultData!$D$79,H178,DefaultData!$D$80,DefaultData!$D$34*DefaultData!$D$76*DefaultData!$D$77),0)</f>
        <v>0</v>
      </c>
      <c r="J178" s="91">
        <f>IF(H178&lt;=DefaultData!$D$80,-PPMT(DefaultData!$D$79,H178,DefaultData!$D$80,DefaultData!$D$76*DefaultData!$D$34*DefaultData!$D$77),0)</f>
        <v>0</v>
      </c>
      <c r="K178" s="91">
        <f t="shared" si="74"/>
        <v>0</v>
      </c>
      <c r="M178">
        <v>11</v>
      </c>
      <c r="N178" s="91">
        <f>IF(M178&lt;=DefaultData!$D$80,-ISPMT(DefaultData!$D$79,M178,DefaultData!$D$80,DefaultData!$D$34*DefaultData!$D$76*DefaultData!$D$78),0)</f>
        <v>0</v>
      </c>
      <c r="O178" s="91">
        <f>IF(M178&lt;=DefaultData!$D$80,-PPMT(DefaultData!$D$79,M178,DefaultData!$D$80,DefaultData!$D$76*DefaultData!$D$34*DefaultData!$D$78),0)</f>
        <v>0</v>
      </c>
      <c r="P178" s="91">
        <f t="shared" si="75"/>
        <v>0</v>
      </c>
      <c r="X178" s="398"/>
      <c r="Y178" s="398"/>
      <c r="Z178" s="398"/>
      <c r="AA178" s="398"/>
    </row>
    <row r="179" spans="3:27" x14ac:dyDescent="0.2">
      <c r="C179">
        <v>12</v>
      </c>
      <c r="D179" s="91">
        <f>IF(C179&lt;=DefaultData!D$72,-ISPMT(DefaultData!D$73,C179,DefaultData!D$72,DefaultData!D$34*DefaultData!D$71),0)</f>
        <v>20000000</v>
      </c>
      <c r="E179" s="91">
        <f>IF(C179&lt;=DefaultData!D$72,-PPMT(DefaultData!D$73,C179,DefaultData!D$72,DefaultData!D$71*DefaultData!D$34),0)</f>
        <v>24907173.560481206</v>
      </c>
      <c r="F179" s="91">
        <f t="shared" si="73"/>
        <v>44907173.560481206</v>
      </c>
      <c r="H179">
        <v>12</v>
      </c>
      <c r="I179" s="91">
        <f>IF(H179&lt;=DefaultData!$D$80,-ISPMT(DefaultData!$D$79,H179,DefaultData!$D$80,DefaultData!$D$34*DefaultData!$D$76*DefaultData!$D$77),0)</f>
        <v>0</v>
      </c>
      <c r="J179" s="91">
        <f>IF(H179&lt;=DefaultData!$D$80,-PPMT(DefaultData!$D$79,H179,DefaultData!$D$80,DefaultData!$D$76*DefaultData!$D$34*DefaultData!$D$77),0)</f>
        <v>0</v>
      </c>
      <c r="K179" s="91">
        <f t="shared" si="74"/>
        <v>0</v>
      </c>
      <c r="M179">
        <v>12</v>
      </c>
      <c r="N179" s="91">
        <f>IF(M179&lt;=DefaultData!$D$80,-ISPMT(DefaultData!$D$79,M179,DefaultData!$D$80,DefaultData!$D$34*DefaultData!$D$76*DefaultData!$D$78),0)</f>
        <v>0</v>
      </c>
      <c r="O179" s="91">
        <f>IF(M179&lt;=DefaultData!$D$80,-PPMT(DefaultData!$D$79,M179,DefaultData!$D$80,DefaultData!$D$76*DefaultData!$D$34*DefaultData!$D$78),0)</f>
        <v>0</v>
      </c>
      <c r="P179" s="91">
        <f t="shared" si="75"/>
        <v>0</v>
      </c>
      <c r="X179" s="398"/>
      <c r="Y179" s="398"/>
      <c r="Z179" s="398"/>
      <c r="AA179" s="398"/>
    </row>
    <row r="180" spans="3:27" x14ac:dyDescent="0.2">
      <c r="C180">
        <v>13</v>
      </c>
      <c r="D180" s="91">
        <f>IF(C180&lt;=DefaultData!D$72,-ISPMT(DefaultData!D$73,C180,DefaultData!D$72,DefaultData!D$34*DefaultData!D$71),0)</f>
        <v>17500000</v>
      </c>
      <c r="E180" s="91">
        <f>IF(C180&lt;=DefaultData!D$72,-PPMT(DefaultData!D$73,C180,DefaultData!D$72,DefaultData!D$71*DefaultData!D$34),0)</f>
        <v>27397890.916529324</v>
      </c>
      <c r="F180" s="91">
        <f t="shared" si="73"/>
        <v>44897890.916529328</v>
      </c>
      <c r="H180">
        <v>13</v>
      </c>
      <c r="I180" s="91">
        <f>IF(H180&lt;=DefaultData!$D$80,-ISPMT(DefaultData!$D$79,H180,DefaultData!$D$80,DefaultData!$D$34*DefaultData!$D$76*DefaultData!$D$77),0)</f>
        <v>0</v>
      </c>
      <c r="J180" s="91">
        <f>IF(H180&lt;=DefaultData!$D$80,-PPMT(DefaultData!$D$79,H180,DefaultData!$D$80,DefaultData!$D$76*DefaultData!$D$34*DefaultData!$D$77),0)</f>
        <v>0</v>
      </c>
      <c r="K180" s="91">
        <f t="shared" si="74"/>
        <v>0</v>
      </c>
      <c r="M180">
        <v>13</v>
      </c>
      <c r="N180" s="91">
        <f>IF(M180&lt;=DefaultData!$D$80,-ISPMT(DefaultData!$D$79,M180,DefaultData!$D$80,DefaultData!$D$34*DefaultData!$D$76*DefaultData!$D$78),0)</f>
        <v>0</v>
      </c>
      <c r="O180" s="91">
        <f>IF(M180&lt;=DefaultData!$D$80,-PPMT(DefaultData!$D$79,M180,DefaultData!$D$80,DefaultData!$D$76*DefaultData!$D$34*DefaultData!$D$78),0)</f>
        <v>0</v>
      </c>
      <c r="P180" s="91">
        <f t="shared" si="75"/>
        <v>0</v>
      </c>
      <c r="X180" s="398"/>
      <c r="Y180" s="398"/>
      <c r="Z180" s="398"/>
      <c r="AA180" s="398"/>
    </row>
    <row r="181" spans="3:27" x14ac:dyDescent="0.2">
      <c r="C181">
        <v>14</v>
      </c>
      <c r="D181" s="91">
        <f>IF(C181&lt;=DefaultData!D$72,-ISPMT(DefaultData!D$73,C181,DefaultData!D$72,DefaultData!D$34*DefaultData!D$71),0)</f>
        <v>15000000</v>
      </c>
      <c r="E181" s="91">
        <f>IF(C181&lt;=DefaultData!D$72,-PPMT(DefaultData!D$73,C181,DefaultData!D$72,DefaultData!D$71*DefaultData!D$34),0)</f>
        <v>30137680.008182254</v>
      </c>
      <c r="F181" s="91">
        <f t="shared" si="73"/>
        <v>45137680.008182257</v>
      </c>
      <c r="H181">
        <v>14</v>
      </c>
      <c r="I181" s="91">
        <f>IF(H181&lt;=DefaultData!$D$80,-ISPMT(DefaultData!$D$79,H181,DefaultData!$D$80,DefaultData!$D$34*DefaultData!$D$76*DefaultData!$D$77),0)</f>
        <v>0</v>
      </c>
      <c r="J181" s="91">
        <f>IF(H181&lt;=DefaultData!$D$80,-PPMT(DefaultData!$D$79,H181,DefaultData!$D$80,DefaultData!$D$76*DefaultData!$D$34*DefaultData!$D$77),0)</f>
        <v>0</v>
      </c>
      <c r="K181" s="91">
        <f t="shared" si="74"/>
        <v>0</v>
      </c>
      <c r="M181">
        <v>14</v>
      </c>
      <c r="N181" s="91">
        <f>IF(M181&lt;=DefaultData!$D$80,-ISPMT(DefaultData!$D$79,M181,DefaultData!$D$80,DefaultData!$D$34*DefaultData!$D$76*DefaultData!$D$78),0)</f>
        <v>0</v>
      </c>
      <c r="O181" s="91">
        <f>IF(M181&lt;=DefaultData!$D$80,-PPMT(DefaultData!$D$79,M181,DefaultData!$D$80,DefaultData!$D$76*DefaultData!$D$34*DefaultData!$D$78),0)</f>
        <v>0</v>
      </c>
      <c r="P181" s="91">
        <f t="shared" si="75"/>
        <v>0</v>
      </c>
      <c r="X181" s="398"/>
      <c r="Y181" s="398"/>
      <c r="Z181" s="398"/>
      <c r="AA181" s="398"/>
    </row>
    <row r="182" spans="3:27" x14ac:dyDescent="0.2">
      <c r="C182">
        <v>15</v>
      </c>
      <c r="D182" s="91">
        <f>IF(C182&lt;=DefaultData!D$72,-ISPMT(DefaultData!D$73,C182,DefaultData!D$72,DefaultData!D$34*DefaultData!D$71),0)</f>
        <v>12500000</v>
      </c>
      <c r="E182" s="91">
        <f>IF(C182&lt;=DefaultData!D$72,-PPMT(DefaultData!D$73,C182,DefaultData!D$72,DefaultData!D$71*DefaultData!D$34),0)</f>
        <v>33151448.00900048</v>
      </c>
      <c r="F182" s="91">
        <f t="shared" si="73"/>
        <v>45651448.00900048</v>
      </c>
      <c r="H182">
        <v>15</v>
      </c>
      <c r="I182" s="91">
        <f>IF(H182&lt;=DefaultData!$D$80,-ISPMT(DefaultData!$D$79,H182,DefaultData!$D$80,DefaultData!$D$34*DefaultData!$D$76*DefaultData!$D$77),0)</f>
        <v>0</v>
      </c>
      <c r="J182" s="91">
        <f>IF(H182&lt;=DefaultData!$D$80,-PPMT(DefaultData!$D$79,H182,DefaultData!$D$80,DefaultData!$D$76*DefaultData!$D$34*DefaultData!$D$77),0)</f>
        <v>0</v>
      </c>
      <c r="K182" s="91">
        <f t="shared" si="74"/>
        <v>0</v>
      </c>
      <c r="M182">
        <v>15</v>
      </c>
      <c r="N182" s="91">
        <f>IF(M182&lt;=DefaultData!$D$80,-ISPMT(DefaultData!$D$79,M182,DefaultData!$D$80,DefaultData!$D$34*DefaultData!$D$76*DefaultData!$D$78),0)</f>
        <v>0</v>
      </c>
      <c r="O182" s="91">
        <f>IF(M182&lt;=DefaultData!$D$80,-PPMT(DefaultData!$D$79,M182,DefaultData!$D$80,DefaultData!$D$76*DefaultData!$D$34*DefaultData!$D$78),0)</f>
        <v>0</v>
      </c>
      <c r="P182" s="91">
        <f t="shared" si="75"/>
        <v>0</v>
      </c>
      <c r="X182" s="398"/>
      <c r="Y182" s="398"/>
      <c r="Z182" s="398"/>
      <c r="AA182" s="398"/>
    </row>
    <row r="183" spans="3:27" x14ac:dyDescent="0.2">
      <c r="C183">
        <v>16</v>
      </c>
      <c r="D183" s="91">
        <f>IF(C183&lt;=DefaultData!D$72,-ISPMT(DefaultData!D$73,C183,DefaultData!D$72,DefaultData!D$34*DefaultData!D$71),0)</f>
        <v>10000000</v>
      </c>
      <c r="E183" s="91">
        <f>IF(C183&lt;=DefaultData!D$72,-PPMT(DefaultData!D$73,C183,DefaultData!D$72,DefaultData!D$71*DefaultData!D$34),0)</f>
        <v>36466592.809900522</v>
      </c>
      <c r="F183" s="91">
        <f t="shared" si="73"/>
        <v>46466592.809900522</v>
      </c>
      <c r="H183">
        <v>16</v>
      </c>
      <c r="I183" s="91">
        <f>IF(H183&lt;=DefaultData!$D$80,-ISPMT(DefaultData!$D$79,H183,DefaultData!$D$80,DefaultData!$D$34*DefaultData!$D$76*DefaultData!$D$77),0)</f>
        <v>0</v>
      </c>
      <c r="J183" s="91">
        <f>IF(H183&lt;=DefaultData!$D$80,-PPMT(DefaultData!$D$79,H183,DefaultData!$D$80,DefaultData!$D$76*DefaultData!$D$34*DefaultData!$D$77),0)</f>
        <v>0</v>
      </c>
      <c r="K183" s="91">
        <f t="shared" si="74"/>
        <v>0</v>
      </c>
      <c r="M183">
        <v>16</v>
      </c>
      <c r="N183" s="91">
        <f>IF(M183&lt;=DefaultData!$D$80,-ISPMT(DefaultData!$D$79,M183,DefaultData!$D$80,DefaultData!$D$34*DefaultData!$D$76*DefaultData!$D$78),0)</f>
        <v>0</v>
      </c>
      <c r="O183" s="91">
        <f>IF(M183&lt;=DefaultData!$D$80,-PPMT(DefaultData!$D$79,M183,DefaultData!$D$80,DefaultData!$D$76*DefaultData!$D$34*DefaultData!$D$78),0)</f>
        <v>0</v>
      </c>
      <c r="P183" s="91">
        <f t="shared" si="75"/>
        <v>0</v>
      </c>
      <c r="X183" s="398"/>
      <c r="Y183" s="398"/>
      <c r="Z183" s="398"/>
      <c r="AA183" s="398"/>
    </row>
    <row r="184" spans="3:27" x14ac:dyDescent="0.2">
      <c r="C184">
        <v>17</v>
      </c>
      <c r="D184" s="91">
        <f>IF(C184&lt;=DefaultData!D$72,-ISPMT(DefaultData!D$73,C184,DefaultData!D$72,DefaultData!D$34*DefaultData!D$71),0)</f>
        <v>7500000</v>
      </c>
      <c r="E184" s="91">
        <f>IF(C184&lt;=DefaultData!D$72,-PPMT(DefaultData!D$73,C184,DefaultData!D$72,DefaultData!D$71*DefaultData!D$34),0)</f>
        <v>40113252.090890579</v>
      </c>
      <c r="F184" s="91">
        <f t="shared" si="73"/>
        <v>47613252.090890579</v>
      </c>
      <c r="H184">
        <v>17</v>
      </c>
      <c r="I184" s="91">
        <f>IF(H184&lt;=DefaultData!$D$80,-ISPMT(DefaultData!$D$79,H184,DefaultData!$D$80,DefaultData!$D$34*DefaultData!$D$76*DefaultData!$D$77),0)</f>
        <v>0</v>
      </c>
      <c r="J184" s="91">
        <f>IF(H184&lt;=DefaultData!$D$80,-PPMT(DefaultData!$D$79,H184,DefaultData!$D$80,DefaultData!$D$76*DefaultData!$D$34*DefaultData!$D$77),0)</f>
        <v>0</v>
      </c>
      <c r="K184" s="91">
        <f t="shared" si="74"/>
        <v>0</v>
      </c>
      <c r="M184">
        <v>17</v>
      </c>
      <c r="N184" s="91">
        <f>IF(M184&lt;=DefaultData!$D$80,-ISPMT(DefaultData!$D$79,M184,DefaultData!$D$80,DefaultData!$D$34*DefaultData!$D$76*DefaultData!$D$78),0)</f>
        <v>0</v>
      </c>
      <c r="O184" s="91">
        <f>IF(M184&lt;=DefaultData!$D$80,-PPMT(DefaultData!$D$79,M184,DefaultData!$D$80,DefaultData!$D$76*DefaultData!$D$34*DefaultData!$D$78),0)</f>
        <v>0</v>
      </c>
      <c r="P184" s="91">
        <f t="shared" si="75"/>
        <v>0</v>
      </c>
      <c r="X184" s="398"/>
      <c r="Y184" s="398"/>
      <c r="Z184" s="398"/>
      <c r="AA184" s="398"/>
    </row>
    <row r="185" spans="3:27" x14ac:dyDescent="0.2">
      <c r="C185">
        <v>18</v>
      </c>
      <c r="D185" s="91">
        <f>IF(C185&lt;=DefaultData!D$72,-ISPMT(DefaultData!D$73,C185,DefaultData!D$72,DefaultData!D$34*DefaultData!D$71),0)</f>
        <v>5000000</v>
      </c>
      <c r="E185" s="91">
        <f>IF(C185&lt;=DefaultData!D$72,-PPMT(DefaultData!D$73,C185,DefaultData!D$72,DefaultData!D$71*DefaultData!D$34),0)</f>
        <v>44124577.299979635</v>
      </c>
      <c r="F185" s="91">
        <f t="shared" si="73"/>
        <v>49124577.299979635</v>
      </c>
      <c r="H185">
        <v>18</v>
      </c>
      <c r="I185" s="91">
        <f>IF(H185&lt;=DefaultData!$D$80,-ISPMT(DefaultData!$D$79,H185,DefaultData!$D$80,DefaultData!$D$34*DefaultData!$D$76*DefaultData!$D$77),0)</f>
        <v>0</v>
      </c>
      <c r="J185" s="91">
        <f>IF(H185&lt;=DefaultData!$D$80,-PPMT(DefaultData!$D$79,H185,DefaultData!$D$80,DefaultData!$D$76*DefaultData!$D$34*DefaultData!$D$77),0)</f>
        <v>0</v>
      </c>
      <c r="K185" s="91">
        <f t="shared" si="74"/>
        <v>0</v>
      </c>
      <c r="M185">
        <v>18</v>
      </c>
      <c r="N185" s="91">
        <f>IF(M185&lt;=DefaultData!$D$80,-ISPMT(DefaultData!$D$79,M185,DefaultData!$D$80,DefaultData!$D$34*DefaultData!$D$76*DefaultData!$D$78),0)</f>
        <v>0</v>
      </c>
      <c r="O185" s="91">
        <f>IF(M185&lt;=DefaultData!$D$80,-PPMT(DefaultData!$D$79,M185,DefaultData!$D$80,DefaultData!$D$76*DefaultData!$D$34*DefaultData!$D$78),0)</f>
        <v>0</v>
      </c>
      <c r="P185" s="91">
        <f t="shared" si="75"/>
        <v>0</v>
      </c>
      <c r="X185" s="398"/>
      <c r="Y185" s="398"/>
      <c r="Z185" s="398"/>
      <c r="AA185" s="398"/>
    </row>
    <row r="186" spans="3:27" x14ac:dyDescent="0.2">
      <c r="C186">
        <v>19</v>
      </c>
      <c r="D186" s="91">
        <f>IF(C186&lt;=DefaultData!D$72,-ISPMT(DefaultData!D$73,C186,DefaultData!D$72,DefaultData!D$34*DefaultData!D$71),0)</f>
        <v>2500000</v>
      </c>
      <c r="E186" s="91">
        <f>IF(C186&lt;=DefaultData!D$72,-PPMT(DefaultData!D$73,C186,DefaultData!D$72,DefaultData!D$71*DefaultData!D$34),0)</f>
        <v>48537035.029977605</v>
      </c>
      <c r="F186" s="91">
        <f t="shared" si="73"/>
        <v>51037035.029977605</v>
      </c>
      <c r="H186">
        <v>19</v>
      </c>
      <c r="I186" s="91">
        <f>IF(H186&lt;=DefaultData!$D$80,-ISPMT(DefaultData!$D$79,H186,DefaultData!$D$80,DefaultData!$D$34*DefaultData!$D$76*DefaultData!$D$77),0)</f>
        <v>0</v>
      </c>
      <c r="J186" s="91">
        <f>IF(H186&lt;=DefaultData!$D$80,-PPMT(DefaultData!$D$79,H186,DefaultData!$D$80,DefaultData!$D$76*DefaultData!$D$34*DefaultData!$D$77),0)</f>
        <v>0</v>
      </c>
      <c r="K186" s="91">
        <f t="shared" si="74"/>
        <v>0</v>
      </c>
      <c r="M186">
        <v>19</v>
      </c>
      <c r="N186" s="91">
        <f>IF(M186&lt;=DefaultData!$D$80,-ISPMT(DefaultData!$D$79,M186,DefaultData!$D$80,DefaultData!$D$34*DefaultData!$D$76*DefaultData!$D$78),0)</f>
        <v>0</v>
      </c>
      <c r="O186" s="91">
        <f>IF(M186&lt;=DefaultData!$D$80,-PPMT(DefaultData!$D$79,M186,DefaultData!$D$80,DefaultData!$D$76*DefaultData!$D$34*DefaultData!$D$78),0)</f>
        <v>0</v>
      </c>
      <c r="P186" s="91">
        <f t="shared" si="75"/>
        <v>0</v>
      </c>
      <c r="X186" s="398"/>
      <c r="Y186" s="398"/>
      <c r="Z186" s="398"/>
      <c r="AA186" s="398"/>
    </row>
    <row r="187" spans="3:27" x14ac:dyDescent="0.2">
      <c r="C187">
        <v>20</v>
      </c>
      <c r="D187" s="91">
        <f>IF(C187&lt;=DefaultData!D$72,-ISPMT(DefaultData!D$73,C187,DefaultData!D$72,DefaultData!D$34*DefaultData!D$71),0)</f>
        <v>0</v>
      </c>
      <c r="E187" s="91">
        <f>IF(C187&lt;=DefaultData!D$72,-PPMT(DefaultData!D$73,C187,DefaultData!D$72,DefaultData!D$71*DefaultData!D$34),0)</f>
        <v>53390738.532975361</v>
      </c>
      <c r="F187" s="91">
        <f t="shared" si="73"/>
        <v>53390738.532975361</v>
      </c>
      <c r="H187">
        <v>20</v>
      </c>
      <c r="I187" s="91">
        <f>IF(H187&lt;=DefaultData!$D$80,-ISPMT(DefaultData!$D$79,H187,DefaultData!$D$80,DefaultData!$D$34*DefaultData!$D$76*DefaultData!$D$77),0)</f>
        <v>0</v>
      </c>
      <c r="J187" s="91">
        <f>IF(H187&lt;=DefaultData!$D$80,-PPMT(DefaultData!$D$79,H187,DefaultData!$D$80,DefaultData!$D$76*DefaultData!$D$34*DefaultData!$D$77),0)</f>
        <v>0</v>
      </c>
      <c r="K187" s="91">
        <f t="shared" si="74"/>
        <v>0</v>
      </c>
      <c r="M187">
        <v>20</v>
      </c>
      <c r="N187" s="91">
        <f>IF(M187&lt;=DefaultData!$D$80,-ISPMT(DefaultData!$D$79,M187,DefaultData!$D$80,DefaultData!$D$34*DefaultData!$D$76*DefaultData!$D$78),0)</f>
        <v>0</v>
      </c>
      <c r="O187" s="91">
        <f>IF(M187&lt;=DefaultData!$D$80,-PPMT(DefaultData!$D$79,M187,DefaultData!$D$80,DefaultData!$D$76*DefaultData!$D$34*DefaultData!$D$78),0)</f>
        <v>0</v>
      </c>
      <c r="P187" s="91">
        <f t="shared" si="75"/>
        <v>0</v>
      </c>
      <c r="X187" s="398"/>
      <c r="Y187" s="398"/>
      <c r="Z187" s="398"/>
      <c r="AA187" s="398"/>
    </row>
    <row r="188" spans="3:27" x14ac:dyDescent="0.2">
      <c r="C188">
        <v>21</v>
      </c>
      <c r="D188" s="91">
        <f>IF(C188&lt;=DefaultData!D$72,-ISPMT(DefaultData!D$73,C188,DefaultData!D$72,DefaultData!D$34*DefaultData!D$71),0)</f>
        <v>0</v>
      </c>
      <c r="E188" s="91">
        <f>IF(C188&lt;=DefaultData!D$72,-PPMT(DefaultData!D$73,C188,DefaultData!D$72,DefaultData!D$71*DefaultData!D$34),0)</f>
        <v>0</v>
      </c>
      <c r="F188" s="91">
        <f t="shared" si="73"/>
        <v>0</v>
      </c>
      <c r="H188">
        <v>21</v>
      </c>
      <c r="I188" s="91">
        <f>IF(H188&lt;=DefaultData!$D$80,-ISPMT(DefaultData!$D$79,H188,DefaultData!$D$80,DefaultData!$D$34*DefaultData!$D$76*DefaultData!$D$77),0)</f>
        <v>0</v>
      </c>
      <c r="J188" s="91">
        <f>IF(H188&lt;=DefaultData!$D$80,-PPMT(DefaultData!$D$79,H188,DefaultData!$D$80,DefaultData!$D$76*DefaultData!$D$34*DefaultData!$D$77),0)</f>
        <v>0</v>
      </c>
      <c r="K188" s="91">
        <f t="shared" si="74"/>
        <v>0</v>
      </c>
      <c r="M188">
        <v>21</v>
      </c>
      <c r="N188" s="91">
        <f>IF(M188&lt;=DefaultData!$D$80,-ISPMT(DefaultData!$D$79,M188,DefaultData!$D$80,DefaultData!$D$34*DefaultData!$D$76*DefaultData!$D$78),0)</f>
        <v>0</v>
      </c>
      <c r="O188" s="91">
        <f>IF(M188&lt;=DefaultData!$D$80,-PPMT(DefaultData!$D$79,M188,DefaultData!$D$80,DefaultData!$D$76*DefaultData!$D$34*DefaultData!$D$78),0)</f>
        <v>0</v>
      </c>
      <c r="P188" s="91">
        <f t="shared" si="75"/>
        <v>0</v>
      </c>
      <c r="X188" s="398"/>
      <c r="Y188" s="398"/>
      <c r="Z188" s="398"/>
      <c r="AA188" s="398"/>
    </row>
    <row r="189" spans="3:27" x14ac:dyDescent="0.2">
      <c r="C189">
        <v>22</v>
      </c>
      <c r="D189" s="91">
        <f>IF(C189&lt;=DefaultData!D$72,-ISPMT(DefaultData!D$73,C189,DefaultData!D$72,DefaultData!D$34*DefaultData!D$71),0)</f>
        <v>0</v>
      </c>
      <c r="E189" s="91">
        <f>IF(C189&lt;=DefaultData!D$72,-PPMT(DefaultData!D$73,C189,DefaultData!D$72,DefaultData!D$71*DefaultData!D$34),0)</f>
        <v>0</v>
      </c>
      <c r="F189" s="91">
        <f t="shared" si="73"/>
        <v>0</v>
      </c>
      <c r="H189">
        <v>22</v>
      </c>
      <c r="I189" s="91">
        <f>IF(H189&lt;=DefaultData!$D$80,-ISPMT(DefaultData!$D$79,H189,DefaultData!$D$80,DefaultData!$D$34*DefaultData!$D$76*DefaultData!$D$77),0)</f>
        <v>0</v>
      </c>
      <c r="J189" s="91">
        <f>IF(H189&lt;=DefaultData!$D$80,-PPMT(DefaultData!$D$79,H189,DefaultData!$D$80,DefaultData!$D$76*DefaultData!$D$34*DefaultData!$D$77),0)</f>
        <v>0</v>
      </c>
      <c r="K189" s="91">
        <f t="shared" si="74"/>
        <v>0</v>
      </c>
      <c r="M189">
        <v>22</v>
      </c>
      <c r="N189" s="91">
        <f>IF(M189&lt;=DefaultData!$D$80,-ISPMT(DefaultData!$D$79,M189,DefaultData!$D$80,DefaultData!$D$34*DefaultData!$D$76*DefaultData!$D$78),0)</f>
        <v>0</v>
      </c>
      <c r="O189" s="91">
        <f>IF(M189&lt;=DefaultData!$D$80,-PPMT(DefaultData!$D$79,M189,DefaultData!$D$80,DefaultData!$D$76*DefaultData!$D$34*DefaultData!$D$78),0)</f>
        <v>0</v>
      </c>
      <c r="P189" s="91">
        <f t="shared" si="75"/>
        <v>0</v>
      </c>
      <c r="X189" s="398"/>
      <c r="Y189" s="398"/>
      <c r="Z189" s="398"/>
      <c r="AA189" s="398"/>
    </row>
    <row r="190" spans="3:27" x14ac:dyDescent="0.2">
      <c r="C190">
        <v>23</v>
      </c>
      <c r="D190" s="91">
        <f>IF(C190&lt;=DefaultData!D$72,-ISPMT(DefaultData!D$73,C190,DefaultData!D$72,DefaultData!D$34*DefaultData!D$71),0)</f>
        <v>0</v>
      </c>
      <c r="E190" s="91">
        <f>IF(C190&lt;=DefaultData!D$72,-PPMT(DefaultData!D$73,C190,DefaultData!D$72,DefaultData!D$71*DefaultData!D$34),0)</f>
        <v>0</v>
      </c>
      <c r="F190" s="91">
        <f t="shared" si="73"/>
        <v>0</v>
      </c>
      <c r="H190">
        <v>23</v>
      </c>
      <c r="I190" s="91">
        <f>IF(H190&lt;=DefaultData!$D$80,-ISPMT(DefaultData!$D$79,H190,DefaultData!$D$80,DefaultData!$D$34*DefaultData!$D$76*DefaultData!$D$77),0)</f>
        <v>0</v>
      </c>
      <c r="J190" s="91">
        <f>IF(H190&lt;=DefaultData!$D$80,-PPMT(DefaultData!$D$79,H190,DefaultData!$D$80,DefaultData!$D$76*DefaultData!$D$34*DefaultData!$D$77),0)</f>
        <v>0</v>
      </c>
      <c r="K190" s="91">
        <f t="shared" si="74"/>
        <v>0</v>
      </c>
      <c r="M190">
        <v>23</v>
      </c>
      <c r="N190" s="91">
        <f>IF(M190&lt;=DefaultData!$D$80,-ISPMT(DefaultData!$D$79,M190,DefaultData!$D$80,DefaultData!$D$34*DefaultData!$D$76*DefaultData!$D$78),0)</f>
        <v>0</v>
      </c>
      <c r="O190" s="91">
        <f>IF(M190&lt;=DefaultData!$D$80,-PPMT(DefaultData!$D$79,M190,DefaultData!$D$80,DefaultData!$D$76*DefaultData!$D$34*DefaultData!$D$78),0)</f>
        <v>0</v>
      </c>
      <c r="P190" s="91">
        <f t="shared" si="75"/>
        <v>0</v>
      </c>
      <c r="X190" s="398"/>
      <c r="Y190" s="398"/>
      <c r="Z190" s="398"/>
      <c r="AA190" s="398"/>
    </row>
    <row r="191" spans="3:27" x14ac:dyDescent="0.2">
      <c r="C191">
        <v>24</v>
      </c>
      <c r="D191" s="91">
        <f>IF(C191&lt;=DefaultData!D$72,-ISPMT(DefaultData!D$73,C191,DefaultData!D$72,DefaultData!D$34*DefaultData!D$71),0)</f>
        <v>0</v>
      </c>
      <c r="E191" s="91">
        <f>IF(C191&lt;=DefaultData!D$72,-PPMT(DefaultData!D$73,C191,DefaultData!D$72,DefaultData!D$71*DefaultData!D$34),0)</f>
        <v>0</v>
      </c>
      <c r="F191" s="91">
        <f t="shared" si="73"/>
        <v>0</v>
      </c>
      <c r="H191">
        <v>24</v>
      </c>
      <c r="I191" s="91">
        <f>IF(H191&lt;=DefaultData!$D$80,-ISPMT(DefaultData!$D$79,H191,DefaultData!$D$80,DefaultData!$D$34*DefaultData!$D$76*DefaultData!$D$77),0)</f>
        <v>0</v>
      </c>
      <c r="J191" s="91">
        <f>IF(H191&lt;=DefaultData!$D$80,-PPMT(DefaultData!$D$79,H191,DefaultData!$D$80,DefaultData!$D$76*DefaultData!$D$34*DefaultData!$D$77),0)</f>
        <v>0</v>
      </c>
      <c r="K191" s="91">
        <f t="shared" si="74"/>
        <v>0</v>
      </c>
      <c r="M191">
        <v>24</v>
      </c>
      <c r="N191" s="91">
        <f>IF(M191&lt;=DefaultData!$D$80,-ISPMT(DefaultData!$D$79,M191,DefaultData!$D$80,DefaultData!$D$34*DefaultData!$D$76*DefaultData!$D$78),0)</f>
        <v>0</v>
      </c>
      <c r="O191" s="91">
        <f>IF(M191&lt;=DefaultData!$D$80,-PPMT(DefaultData!$D$79,M191,DefaultData!$D$80,DefaultData!$D$76*DefaultData!$D$34*DefaultData!$D$78),0)</f>
        <v>0</v>
      </c>
      <c r="P191" s="91">
        <f t="shared" si="75"/>
        <v>0</v>
      </c>
      <c r="X191" s="398"/>
      <c r="Y191" s="398"/>
      <c r="Z191" s="398"/>
      <c r="AA191" s="398"/>
    </row>
    <row r="192" spans="3:27" x14ac:dyDescent="0.2">
      <c r="C192">
        <v>25</v>
      </c>
      <c r="D192" s="91">
        <f>IF(C192&lt;=DefaultData!D$72,-ISPMT(DefaultData!D$73,C192,DefaultData!D$72,DefaultData!D$34*DefaultData!D$71),0)</f>
        <v>0</v>
      </c>
      <c r="E192" s="91">
        <f>IF(C192&lt;=DefaultData!D$72,-PPMT(DefaultData!D$73,C192,DefaultData!D$72,DefaultData!D$71*DefaultData!D$34),0)</f>
        <v>0</v>
      </c>
      <c r="F192" s="91">
        <f t="shared" si="73"/>
        <v>0</v>
      </c>
      <c r="H192">
        <v>25</v>
      </c>
      <c r="I192" s="91">
        <f>IF(H192&lt;=DefaultData!$D$80,-ISPMT(DefaultData!$D$79,H192,DefaultData!$D$80,DefaultData!$D$34*DefaultData!$D$76*DefaultData!$D$77),0)</f>
        <v>0</v>
      </c>
      <c r="J192" s="91">
        <f>IF(H192&lt;=DefaultData!$D$80,-PPMT(DefaultData!$D$79,H192,DefaultData!$D$80,DefaultData!$D$76*DefaultData!$D$34*DefaultData!$D$77),0)</f>
        <v>0</v>
      </c>
      <c r="K192" s="91">
        <f t="shared" si="74"/>
        <v>0</v>
      </c>
      <c r="M192">
        <v>25</v>
      </c>
      <c r="N192" s="91">
        <f>IF(M192&lt;=DefaultData!$D$80,-ISPMT(DefaultData!$D$79,M192,DefaultData!$D$80,DefaultData!$D$34*DefaultData!$D$76*DefaultData!$D$78),0)</f>
        <v>0</v>
      </c>
      <c r="O192" s="91">
        <f>IF(M192&lt;=DefaultData!$D$80,-PPMT(DefaultData!$D$79,M192,DefaultData!$D$80,DefaultData!$D$76*DefaultData!$D$34*DefaultData!$D$78),0)</f>
        <v>0</v>
      </c>
      <c r="P192" s="91">
        <f t="shared" si="75"/>
        <v>0</v>
      </c>
      <c r="X192" s="398"/>
      <c r="Y192" s="398"/>
      <c r="Z192" s="398"/>
      <c r="AA192" s="398"/>
    </row>
    <row r="193" spans="3:27" x14ac:dyDescent="0.2">
      <c r="C193">
        <v>26</v>
      </c>
      <c r="D193" s="91">
        <f>IF(C193&lt;=DefaultData!D$72,-ISPMT(DefaultData!D$73,C193,DefaultData!D$72,DefaultData!D$34*DefaultData!D$71),0)</f>
        <v>0</v>
      </c>
      <c r="E193" s="91">
        <f>IF(C193&lt;=DefaultData!D$72,-PPMT(DefaultData!D$73,C193,DefaultData!D$72,DefaultData!D$71*DefaultData!D$34),0)</f>
        <v>0</v>
      </c>
      <c r="F193" s="91">
        <f t="shared" si="73"/>
        <v>0</v>
      </c>
      <c r="H193">
        <v>26</v>
      </c>
      <c r="I193" s="91">
        <f>IF(H193&lt;=DefaultData!$D$80,-ISPMT(DefaultData!$D$79,H193,DefaultData!$D$80,DefaultData!$D$34*DefaultData!$D$76*DefaultData!$D$77),0)</f>
        <v>0</v>
      </c>
      <c r="J193" s="91">
        <f>IF(H193&lt;=DefaultData!$D$80,-PPMT(DefaultData!$D$79,H193,DefaultData!$D$80,DefaultData!$D$76*DefaultData!$D$34*DefaultData!$D$77),0)</f>
        <v>0</v>
      </c>
      <c r="K193" s="91">
        <f t="shared" si="74"/>
        <v>0</v>
      </c>
      <c r="M193">
        <v>26</v>
      </c>
      <c r="N193" s="91">
        <f>IF(M193&lt;=DefaultData!$D$80,-ISPMT(DefaultData!$D$79,M193,DefaultData!$D$80,DefaultData!$D$34*DefaultData!$D$76*DefaultData!$D$78),0)</f>
        <v>0</v>
      </c>
      <c r="O193" s="91">
        <f>IF(M193&lt;=DefaultData!$D$80,-PPMT(DefaultData!$D$79,M193,DefaultData!$D$80,DefaultData!$D$76*DefaultData!$D$34*DefaultData!$D$78),0)</f>
        <v>0</v>
      </c>
      <c r="P193" s="91">
        <f t="shared" si="75"/>
        <v>0</v>
      </c>
      <c r="X193" s="398"/>
      <c r="Y193" s="398"/>
      <c r="Z193" s="398"/>
      <c r="AA193" s="398"/>
    </row>
    <row r="194" spans="3:27" x14ac:dyDescent="0.2">
      <c r="C194">
        <v>27</v>
      </c>
      <c r="D194" s="91">
        <f>IF(C194&lt;=DefaultData!D$72,-ISPMT(DefaultData!D$73,C194,DefaultData!D$72,DefaultData!D$34*DefaultData!D$71),0)</f>
        <v>0</v>
      </c>
      <c r="E194" s="91">
        <f>IF(C194&lt;=DefaultData!D$72,-PPMT(DefaultData!D$73,C194,DefaultData!D$72,DefaultData!D$71*DefaultData!D$34),0)</f>
        <v>0</v>
      </c>
      <c r="F194" s="91">
        <f t="shared" si="73"/>
        <v>0</v>
      </c>
      <c r="H194">
        <v>27</v>
      </c>
      <c r="I194" s="91">
        <f>IF(H194&lt;=DefaultData!$D$80,-ISPMT(DefaultData!$D$79,H194,DefaultData!$D$80,DefaultData!$D$34*DefaultData!$D$76*DefaultData!$D$77),0)</f>
        <v>0</v>
      </c>
      <c r="J194" s="91">
        <f>IF(H194&lt;=DefaultData!$D$80,-PPMT(DefaultData!$D$79,H194,DefaultData!$D$80,DefaultData!$D$76*DefaultData!$D$34*DefaultData!$D$77),0)</f>
        <v>0</v>
      </c>
      <c r="K194" s="91">
        <f t="shared" si="74"/>
        <v>0</v>
      </c>
      <c r="M194">
        <v>27</v>
      </c>
      <c r="N194" s="91">
        <f>IF(M194&lt;=DefaultData!$D$80,-ISPMT(DefaultData!$D$79,M194,DefaultData!$D$80,DefaultData!$D$34*DefaultData!$D$76*DefaultData!$D$78),0)</f>
        <v>0</v>
      </c>
      <c r="O194" s="91">
        <f>IF(M194&lt;=DefaultData!$D$80,-PPMT(DefaultData!$D$79,M194,DefaultData!$D$80,DefaultData!$D$76*DefaultData!$D$34*DefaultData!$D$78),0)</f>
        <v>0</v>
      </c>
      <c r="P194" s="91">
        <f t="shared" si="75"/>
        <v>0</v>
      </c>
      <c r="X194" s="398"/>
      <c r="Y194" s="398"/>
      <c r="Z194" s="398"/>
      <c r="AA194" s="398"/>
    </row>
    <row r="195" spans="3:27" x14ac:dyDescent="0.2">
      <c r="C195">
        <v>28</v>
      </c>
      <c r="D195" s="91">
        <f>IF(C195&lt;=DefaultData!D$72,-ISPMT(DefaultData!D$73,C195,DefaultData!D$72,DefaultData!D$34*DefaultData!D$71),0)</f>
        <v>0</v>
      </c>
      <c r="E195" s="91">
        <f>IF(C195&lt;=DefaultData!D$72,-PPMT(DefaultData!D$73,C195,DefaultData!D$72,DefaultData!D$71*DefaultData!D$34),0)</f>
        <v>0</v>
      </c>
      <c r="F195" s="91">
        <f t="shared" si="73"/>
        <v>0</v>
      </c>
      <c r="H195">
        <v>28</v>
      </c>
      <c r="I195" s="91">
        <f>IF(H195&lt;=DefaultData!$D$80,-ISPMT(DefaultData!$D$79,H195,DefaultData!$D$80,DefaultData!$D$34*DefaultData!$D$76*DefaultData!$D$77),0)</f>
        <v>0</v>
      </c>
      <c r="J195" s="91">
        <f>IF(H195&lt;=DefaultData!$D$80,-PPMT(DefaultData!$D$79,H195,DefaultData!$D$80,DefaultData!$D$76*DefaultData!$D$34*DefaultData!$D$77),0)</f>
        <v>0</v>
      </c>
      <c r="K195" s="91">
        <f t="shared" si="74"/>
        <v>0</v>
      </c>
      <c r="M195">
        <v>28</v>
      </c>
      <c r="N195" s="91">
        <f>IF(M195&lt;=DefaultData!$D$80,-ISPMT(DefaultData!$D$79,M195,DefaultData!$D$80,DefaultData!$D$34*DefaultData!$D$76*DefaultData!$D$78),0)</f>
        <v>0</v>
      </c>
      <c r="O195" s="91">
        <f>IF(M195&lt;=DefaultData!$D$80,-PPMT(DefaultData!$D$79,M195,DefaultData!$D$80,DefaultData!$D$76*DefaultData!$D$34*DefaultData!$D$78),0)</f>
        <v>0</v>
      </c>
      <c r="P195" s="91">
        <f t="shared" si="75"/>
        <v>0</v>
      </c>
      <c r="X195" s="398"/>
      <c r="Y195" s="398"/>
      <c r="Z195" s="398"/>
      <c r="AA195" s="398"/>
    </row>
    <row r="196" spans="3:27" x14ac:dyDescent="0.2">
      <c r="C196">
        <v>29</v>
      </c>
      <c r="D196" s="91">
        <f>IF(C196&lt;=DefaultData!D$72,-ISPMT(DefaultData!D$73,C196,DefaultData!D$72,DefaultData!D$34*DefaultData!D$71),0)</f>
        <v>0</v>
      </c>
      <c r="E196" s="91">
        <f>IF(C196&lt;=DefaultData!D$72,-PPMT(DefaultData!D$73,C196,DefaultData!D$72,DefaultData!D$71*DefaultData!D$34),0)</f>
        <v>0</v>
      </c>
      <c r="F196" s="91">
        <f t="shared" si="73"/>
        <v>0</v>
      </c>
      <c r="H196">
        <v>29</v>
      </c>
      <c r="I196" s="91">
        <f>IF(H196&lt;=DefaultData!$D$80,-ISPMT(DefaultData!$D$79,H196,DefaultData!$D$80,DefaultData!$D$34*DefaultData!$D$76*DefaultData!$D$77),0)</f>
        <v>0</v>
      </c>
      <c r="J196" s="91">
        <f>IF(H196&lt;=DefaultData!$D$80,-PPMT(DefaultData!$D$79,H196,DefaultData!$D$80,DefaultData!$D$76*DefaultData!$D$34*DefaultData!$D$77),0)</f>
        <v>0</v>
      </c>
      <c r="K196" s="91">
        <f t="shared" si="74"/>
        <v>0</v>
      </c>
      <c r="M196">
        <v>29</v>
      </c>
      <c r="N196" s="91">
        <f>IF(M196&lt;=DefaultData!$D$80,-ISPMT(DefaultData!$D$79,M196,DefaultData!$D$80,DefaultData!$D$34*DefaultData!$D$76*DefaultData!$D$78),0)</f>
        <v>0</v>
      </c>
      <c r="O196" s="91">
        <f>IF(M196&lt;=DefaultData!$D$80,-PPMT(DefaultData!$D$79,M196,DefaultData!$D$80,DefaultData!$D$76*DefaultData!$D$34*DefaultData!$D$78),0)</f>
        <v>0</v>
      </c>
      <c r="P196" s="91">
        <f t="shared" si="75"/>
        <v>0</v>
      </c>
      <c r="X196" s="398"/>
      <c r="Y196" s="398"/>
      <c r="Z196" s="398"/>
      <c r="AA196" s="398"/>
    </row>
    <row r="197" spans="3:27" x14ac:dyDescent="0.2">
      <c r="C197">
        <v>30</v>
      </c>
      <c r="D197" s="91">
        <f>IF(C197&lt;=DefaultData!D$72,-ISPMT(DefaultData!D$73,C197,DefaultData!D$72,DefaultData!D$34*DefaultData!D$71),0)</f>
        <v>0</v>
      </c>
      <c r="E197" s="91">
        <f>IF(C197&lt;=DefaultData!D$72,-PPMT(DefaultData!D$73,C197,DefaultData!D$72,DefaultData!D$71*DefaultData!D$34),0)</f>
        <v>0</v>
      </c>
      <c r="F197" s="91">
        <f t="shared" si="73"/>
        <v>0</v>
      </c>
      <c r="H197">
        <v>30</v>
      </c>
      <c r="I197" s="91">
        <f>IF(H197&lt;=DefaultData!$D$80,-ISPMT(DefaultData!$D$79,H197,DefaultData!$D$80,DefaultData!$D$34*DefaultData!$D$76*DefaultData!$D$77),0)</f>
        <v>0</v>
      </c>
      <c r="J197" s="91">
        <f>IF(H197&lt;=DefaultData!$D$80,-PPMT(DefaultData!$D$79,H197,DefaultData!$D$80,DefaultData!$D$76*DefaultData!$D$34*DefaultData!$D$77),0)</f>
        <v>0</v>
      </c>
      <c r="K197" s="91">
        <f t="shared" si="74"/>
        <v>0</v>
      </c>
      <c r="M197">
        <v>30</v>
      </c>
      <c r="N197" s="91">
        <f>IF(M197&lt;=DefaultData!$D$80,-ISPMT(DefaultData!$D$79,M197,DefaultData!$D$80,DefaultData!$D$34*DefaultData!$D$76*DefaultData!$D$78),0)</f>
        <v>0</v>
      </c>
      <c r="O197" s="91">
        <f>IF(M197&lt;=DefaultData!$D$80,-PPMT(DefaultData!$D$79,M197,DefaultData!$D$80,DefaultData!$D$76*DefaultData!$D$34*DefaultData!$D$78),0)</f>
        <v>0</v>
      </c>
      <c r="P197" s="91">
        <f t="shared" si="75"/>
        <v>0</v>
      </c>
      <c r="X197" s="398"/>
      <c r="Y197" s="398"/>
      <c r="Z197" s="398"/>
      <c r="AA197" s="398"/>
    </row>
    <row r="198" spans="3:27" x14ac:dyDescent="0.2">
      <c r="C198" t="s">
        <v>0</v>
      </c>
      <c r="D198" s="91">
        <f>SUM(D168:D197)</f>
        <v>475000000</v>
      </c>
      <c r="E198" s="91">
        <f>SUM(E168:E197)</f>
        <v>500000000.00000006</v>
      </c>
      <c r="F198" s="91">
        <f t="shared" si="73"/>
        <v>975000000</v>
      </c>
      <c r="H198" t="s">
        <v>0</v>
      </c>
      <c r="I198" s="91">
        <f>SUM(I168:I197)</f>
        <v>0</v>
      </c>
      <c r="J198" s="91">
        <f>SUM(J168:J197)</f>
        <v>0</v>
      </c>
      <c r="K198" s="91">
        <f t="shared" si="74"/>
        <v>0</v>
      </c>
      <c r="M198" t="s">
        <v>0</v>
      </c>
      <c r="N198" s="91">
        <f>SUM(N168:N197)</f>
        <v>89999999.999999985</v>
      </c>
      <c r="O198" s="91">
        <f>SUM(O168:O197)</f>
        <v>125000000</v>
      </c>
      <c r="P198" s="91">
        <f t="shared" si="75"/>
        <v>215000000</v>
      </c>
      <c r="X198" s="398"/>
      <c r="Y198" s="398"/>
      <c r="Z198" s="398"/>
      <c r="AA198" s="398"/>
    </row>
    <row r="199" spans="3:27" x14ac:dyDescent="0.2">
      <c r="C199" t="s">
        <v>179</v>
      </c>
      <c r="D199" s="91">
        <f>D198/DefaultData!$D72</f>
        <v>23750000</v>
      </c>
      <c r="E199" s="91">
        <f>E198/DefaultData!$D72</f>
        <v>25000000.000000004</v>
      </c>
      <c r="F199" s="91">
        <f t="shared" si="73"/>
        <v>48750000</v>
      </c>
      <c r="H199" t="s">
        <v>179</v>
      </c>
      <c r="I199" s="91">
        <f>I198/DefaultData!$D80</f>
        <v>0</v>
      </c>
      <c r="J199" s="91">
        <f>J198/DefaultData!$D80</f>
        <v>0</v>
      </c>
      <c r="K199" s="91">
        <f t="shared" si="74"/>
        <v>0</v>
      </c>
      <c r="M199" t="s">
        <v>179</v>
      </c>
      <c r="N199" s="91">
        <f>N198/DefaultData!$D80</f>
        <v>8999999.9999999981</v>
      </c>
      <c r="O199" s="91">
        <f>O198/DefaultData!$D80</f>
        <v>12500000</v>
      </c>
      <c r="P199" s="91">
        <f t="shared" si="75"/>
        <v>21500000</v>
      </c>
      <c r="X199" s="398"/>
      <c r="Y199" s="398"/>
      <c r="Z199" s="398"/>
      <c r="AA199" s="398"/>
    </row>
    <row r="200" spans="3:27" x14ac:dyDescent="0.2">
      <c r="X200" s="398"/>
      <c r="Y200" s="398"/>
      <c r="Z200" s="398"/>
      <c r="AA200" s="398"/>
    </row>
    <row r="201" spans="3:27" x14ac:dyDescent="0.2">
      <c r="C201" s="24" t="s">
        <v>184</v>
      </c>
      <c r="H201" s="24" t="s">
        <v>194</v>
      </c>
      <c r="M201" s="24" t="s">
        <v>194</v>
      </c>
      <c r="X201" s="398"/>
      <c r="Y201" s="398"/>
      <c r="Z201" s="398"/>
      <c r="AA201" s="398"/>
    </row>
    <row r="202" spans="3:27" x14ac:dyDescent="0.2">
      <c r="C202" t="s">
        <v>165</v>
      </c>
      <c r="H202" s="24" t="s">
        <v>195</v>
      </c>
      <c r="M202" s="24" t="s">
        <v>196</v>
      </c>
      <c r="X202" s="398"/>
      <c r="Y202" s="398"/>
      <c r="Z202" s="398"/>
      <c r="AA202" s="398"/>
    </row>
    <row r="203" spans="3:27" x14ac:dyDescent="0.2">
      <c r="D203" t="s">
        <v>162</v>
      </c>
      <c r="E203" t="s">
        <v>163</v>
      </c>
      <c r="F203" t="s">
        <v>164</v>
      </c>
      <c r="I203" t="s">
        <v>162</v>
      </c>
      <c r="J203" t="s">
        <v>163</v>
      </c>
      <c r="K203" t="s">
        <v>164</v>
      </c>
      <c r="N203" t="s">
        <v>162</v>
      </c>
      <c r="O203" t="s">
        <v>163</v>
      </c>
      <c r="P203" t="s">
        <v>164</v>
      </c>
      <c r="X203" s="398"/>
      <c r="Y203" s="398"/>
      <c r="Z203" s="398"/>
      <c r="AA203" s="398"/>
    </row>
    <row r="204" spans="3:27" x14ac:dyDescent="0.2">
      <c r="C204">
        <v>1</v>
      </c>
      <c r="D204" s="91">
        <f>IF(C204&lt;=ProjectData!B$80,-ISPMT(ProjectData!B$81,C204,ProjectData!B$80,ProjectData!B$79*ProjectData!B$52),0)</f>
        <v>47500000</v>
      </c>
      <c r="E204" s="91">
        <f>IF(C204&lt;=ProjectData!B$80,-PPMT(ProjectData!B$81,C204,ProjectData!B$80,ProjectData!B$52*ProjectData!B$79),0)</f>
        <v>8729812.3862728961</v>
      </c>
      <c r="F204" s="91">
        <f t="shared" ref="F204:F235" si="76">E204+D204</f>
        <v>56229812.386272892</v>
      </c>
      <c r="H204">
        <v>1</v>
      </c>
      <c r="I204" s="91">
        <f>IF(H204&lt;=ProjectData!B$87,-ISPMT(ProjectData!B$86,H204,ProjectData!B$87,ProjectData!B$52*ProjectData!B$83*ProjectData!B$84),0)</f>
        <v>0</v>
      </c>
      <c r="J204" s="91">
        <f>IF(H204&lt;=ProjectData!B$87,-PPMT(ProjectData!B$86,H204,ProjectData!B$87,ProjectData!B$83*ProjectData!B$52*ProjectData!B$84),0)</f>
        <v>0</v>
      </c>
      <c r="K204" s="91">
        <f t="shared" ref="K204:K235" si="77">J204+I204</f>
        <v>0</v>
      </c>
      <c r="M204">
        <v>1</v>
      </c>
      <c r="N204" s="91">
        <f>IF(M204&lt;=ProjectData!$B$87,-ISPMT(ProjectData!$B$86,M204,ProjectData!$B$87,ProjectData!$B$52*ProjectData!$B$83*ProjectData!$B$85),0)</f>
        <v>17999999.999999996</v>
      </c>
      <c r="O204" s="91">
        <f>IF(M204&lt;=ProjectData!$B$87,-PPMT(ProjectData!$B$86,M204,ProjectData!$B$87,ProjectData!$B$83*ProjectData!$B$52*ProjectData!$B$85),0)</f>
        <v>5862635.383322333</v>
      </c>
      <c r="P204" s="91">
        <f t="shared" ref="P204:P235" si="78">O204+N204</f>
        <v>23862635.383322328</v>
      </c>
      <c r="X204" s="398"/>
      <c r="Y204" s="398"/>
      <c r="Z204" s="398"/>
      <c r="AA204" s="398"/>
    </row>
    <row r="205" spans="3:27" x14ac:dyDescent="0.2">
      <c r="C205">
        <v>2</v>
      </c>
      <c r="D205" s="91">
        <f>IF(C205&lt;=ProjectData!B$80,-ISPMT(ProjectData!B$81,C205,ProjectData!B$80,ProjectData!B$79*ProjectData!B$52),0)</f>
        <v>45000000</v>
      </c>
      <c r="E205" s="91">
        <f>IF(C205&lt;=ProjectData!B$80,-PPMT(ProjectData!B$81,C205,ProjectData!B$80,ProjectData!B$52*ProjectData!B$79),0)</f>
        <v>9602793.6249001864</v>
      </c>
      <c r="F205" s="91">
        <f t="shared" si="76"/>
        <v>54602793.624900185</v>
      </c>
      <c r="H205">
        <v>2</v>
      </c>
      <c r="I205" s="91">
        <f>IF(H205&lt;=ProjectData!B$87,-ISPMT(ProjectData!B$86,H205,ProjectData!B$87,ProjectData!B$52*ProjectData!B$83*ProjectData!B$84),0)</f>
        <v>0</v>
      </c>
      <c r="J205" s="91">
        <f>IF(H205&lt;=ProjectData!B$87,-PPMT(ProjectData!B$86,H205,ProjectData!B$87,ProjectData!B$83*ProjectData!B$52*ProjectData!B$84),0)</f>
        <v>0</v>
      </c>
      <c r="K205" s="91">
        <f t="shared" si="77"/>
        <v>0</v>
      </c>
      <c r="M205">
        <v>2</v>
      </c>
      <c r="N205" s="91">
        <f>IF(M205&lt;=ProjectData!$B$87,-ISPMT(ProjectData!$B$86,M205,ProjectData!$B$87,ProjectData!$B$52*ProjectData!$B$83*ProjectData!$B$85),0)</f>
        <v>15999999.999999996</v>
      </c>
      <c r="O205" s="91">
        <f>IF(M205&lt;=ProjectData!$B$87,-PPMT(ProjectData!$B$86,M205,ProjectData!$B$87,ProjectData!$B$83*ProjectData!$B$52*ProjectData!$B$85),0)</f>
        <v>6800657.0446539056</v>
      </c>
      <c r="P205" s="91">
        <f t="shared" si="78"/>
        <v>22800657.0446539</v>
      </c>
      <c r="X205" s="398"/>
      <c r="Y205" s="398"/>
      <c r="Z205" s="398"/>
      <c r="AA205" s="398"/>
    </row>
    <row r="206" spans="3:27" x14ac:dyDescent="0.2">
      <c r="C206">
        <v>3</v>
      </c>
      <c r="D206" s="91">
        <f>IF(C206&lt;=ProjectData!B$80,-ISPMT(ProjectData!B$81,C206,ProjectData!B$80,ProjectData!B$79*ProjectData!B$52),0)</f>
        <v>42500000</v>
      </c>
      <c r="E206" s="91">
        <f>IF(C206&lt;=ProjectData!B$80,-PPMT(ProjectData!B$81,C206,ProjectData!B$80,ProjectData!B$52*ProjectData!B$79),0)</f>
        <v>10563072.987390205</v>
      </c>
      <c r="F206" s="91">
        <f t="shared" si="76"/>
        <v>53063072.987390205</v>
      </c>
      <c r="H206">
        <v>3</v>
      </c>
      <c r="I206" s="91">
        <f>IF(H206&lt;=ProjectData!B$87,-ISPMT(ProjectData!B$86,H206,ProjectData!B$87,ProjectData!B$52*ProjectData!B$83*ProjectData!B$84),0)</f>
        <v>0</v>
      </c>
      <c r="J206" s="91">
        <f>IF(H206&lt;=ProjectData!B$87,-PPMT(ProjectData!B$86,H206,ProjectData!B$87,ProjectData!B$83*ProjectData!B$52*ProjectData!B$84),0)</f>
        <v>0</v>
      </c>
      <c r="K206" s="91">
        <f t="shared" si="77"/>
        <v>0</v>
      </c>
      <c r="M206">
        <v>3</v>
      </c>
      <c r="N206" s="91">
        <f>IF(M206&lt;=ProjectData!$B$87,-ISPMT(ProjectData!$B$86,M206,ProjectData!$B$87,ProjectData!$B$52*ProjectData!$B$83*ProjectData!$B$85),0)</f>
        <v>13999999.999999996</v>
      </c>
      <c r="O206" s="91">
        <f>IF(M206&lt;=ProjectData!$B$87,-PPMT(ProjectData!$B$86,M206,ProjectData!$B$87,ProjectData!$B$83*ProjectData!$B$52*ProjectData!$B$85),0)</f>
        <v>7888762.171798531</v>
      </c>
      <c r="P206" s="91">
        <f t="shared" si="78"/>
        <v>21888762.171798527</v>
      </c>
      <c r="X206" s="398"/>
      <c r="Y206" s="398"/>
      <c r="Z206" s="398"/>
      <c r="AA206" s="398"/>
    </row>
    <row r="207" spans="3:27" x14ac:dyDescent="0.2">
      <c r="C207">
        <v>4</v>
      </c>
      <c r="D207" s="91">
        <f>IF(C207&lt;=ProjectData!B$80,-ISPMT(ProjectData!B$81,C207,ProjectData!B$80,ProjectData!B$79*ProjectData!B$52),0)</f>
        <v>40000000</v>
      </c>
      <c r="E207" s="91">
        <f>IF(C207&lt;=ProjectData!B$80,-PPMT(ProjectData!B$81,C207,ProjectData!B$80,ProjectData!B$52*ProjectData!B$79),0)</f>
        <v>11619380.286129227</v>
      </c>
      <c r="F207" s="91">
        <f t="shared" si="76"/>
        <v>51619380.286129229</v>
      </c>
      <c r="H207">
        <v>4</v>
      </c>
      <c r="I207" s="91">
        <f>IF(H207&lt;=ProjectData!B$87,-ISPMT(ProjectData!B$86,H207,ProjectData!B$87,ProjectData!B$52*ProjectData!B$83*ProjectData!B$84),0)</f>
        <v>0</v>
      </c>
      <c r="J207" s="91">
        <f>IF(H207&lt;=ProjectData!B$87,-PPMT(ProjectData!B$86,H207,ProjectData!B$87,ProjectData!B$83*ProjectData!B$52*ProjectData!B$84),0)</f>
        <v>0</v>
      </c>
      <c r="K207" s="91">
        <f t="shared" si="77"/>
        <v>0</v>
      </c>
      <c r="M207">
        <v>4</v>
      </c>
      <c r="N207" s="91">
        <f>IF(M207&lt;=ProjectData!$B$87,-ISPMT(ProjectData!$B$86,M207,ProjectData!$B$87,ProjectData!$B$52*ProjectData!$B$83*ProjectData!$B$85),0)</f>
        <v>11999999.999999996</v>
      </c>
      <c r="O207" s="91">
        <f>IF(M207&lt;=ProjectData!$B$87,-PPMT(ProjectData!$B$86,M207,ProjectData!$B$87,ProjectData!$B$83*ProjectData!$B$52*ProjectData!$B$85),0)</f>
        <v>9150964.119286295</v>
      </c>
      <c r="P207" s="91">
        <f t="shared" si="78"/>
        <v>21150964.119286291</v>
      </c>
      <c r="X207" s="398"/>
      <c r="Y207" s="398"/>
      <c r="Z207" s="398"/>
      <c r="AA207" s="398"/>
    </row>
    <row r="208" spans="3:27" x14ac:dyDescent="0.2">
      <c r="C208">
        <v>5</v>
      </c>
      <c r="D208" s="91">
        <f>IF(C208&lt;=ProjectData!B$80,-ISPMT(ProjectData!B$81,C208,ProjectData!B$80,ProjectData!B$79*ProjectData!B$52),0)</f>
        <v>37500000</v>
      </c>
      <c r="E208" s="91">
        <f>IF(C208&lt;=ProjectData!B$80,-PPMT(ProjectData!B$81,C208,ProjectData!B$80,ProjectData!B$52*ProjectData!B$79),0)</f>
        <v>12781318.314742148</v>
      </c>
      <c r="F208" s="91">
        <f t="shared" si="76"/>
        <v>50281318.314742148</v>
      </c>
      <c r="H208">
        <v>5</v>
      </c>
      <c r="I208" s="91">
        <f>IF(H208&lt;=ProjectData!B$87,-ISPMT(ProjectData!B$86,H208,ProjectData!B$87,ProjectData!B$52*ProjectData!B$83*ProjectData!B$84),0)</f>
        <v>0</v>
      </c>
      <c r="J208" s="91">
        <f>IF(H208&lt;=ProjectData!B$87,-PPMT(ProjectData!B$86,H208,ProjectData!B$87,ProjectData!B$83*ProjectData!B$52*ProjectData!B$84),0)</f>
        <v>0</v>
      </c>
      <c r="K208" s="91">
        <f t="shared" si="77"/>
        <v>0</v>
      </c>
      <c r="M208">
        <v>5</v>
      </c>
      <c r="N208" s="91">
        <f>IF(M208&lt;=ProjectData!$B$87,-ISPMT(ProjectData!$B$86,M208,ProjectData!$B$87,ProjectData!$B$52*ProjectData!$B$83*ProjectData!$B$85),0)</f>
        <v>9999999.9999999981</v>
      </c>
      <c r="O208" s="91">
        <f>IF(M208&lt;=ProjectData!$B$87,-PPMT(ProjectData!$B$86,M208,ProjectData!$B$87,ProjectData!$B$83*ProjectData!$B$52*ProjectData!$B$85),0)</f>
        <v>10615118.378372101</v>
      </c>
      <c r="P208" s="91">
        <f t="shared" si="78"/>
        <v>20615118.378372099</v>
      </c>
      <c r="X208" s="398"/>
      <c r="Y208" s="398"/>
      <c r="Z208" s="398"/>
      <c r="AA208" s="398"/>
    </row>
    <row r="209" spans="3:27" x14ac:dyDescent="0.2">
      <c r="C209">
        <v>6</v>
      </c>
      <c r="D209" s="91">
        <f>IF(C209&lt;=ProjectData!B$80,-ISPMT(ProjectData!B$81,C209,ProjectData!B$80,ProjectData!B$79*ProjectData!B$52),0)</f>
        <v>35000000</v>
      </c>
      <c r="E209" s="91">
        <f>IF(C209&lt;=ProjectData!B$80,-PPMT(ProjectData!B$81,C209,ProjectData!B$80,ProjectData!B$52*ProjectData!B$79),0)</f>
        <v>14059450.146216361</v>
      </c>
      <c r="F209" s="91">
        <f t="shared" si="76"/>
        <v>49059450.146216363</v>
      </c>
      <c r="H209">
        <v>6</v>
      </c>
      <c r="I209" s="91">
        <f>IF(H209&lt;=ProjectData!B$87,-ISPMT(ProjectData!B$86,H209,ProjectData!B$87,ProjectData!B$52*ProjectData!B$83*ProjectData!B$84),0)</f>
        <v>0</v>
      </c>
      <c r="J209" s="91">
        <f>IF(H209&lt;=ProjectData!B$87,-PPMT(ProjectData!B$86,H209,ProjectData!B$87,ProjectData!B$83*ProjectData!B$52*ProjectData!B$84),0)</f>
        <v>0</v>
      </c>
      <c r="K209" s="91">
        <f t="shared" si="77"/>
        <v>0</v>
      </c>
      <c r="M209">
        <v>6</v>
      </c>
      <c r="N209" s="91">
        <f>IF(M209&lt;=ProjectData!$B$87,-ISPMT(ProjectData!$B$86,M209,ProjectData!$B$87,ProjectData!$B$52*ProjectData!$B$83*ProjectData!$B$85),0)</f>
        <v>7999999.9999999981</v>
      </c>
      <c r="O209" s="91">
        <f>IF(M209&lt;=ProjectData!$B$87,-PPMT(ProjectData!$B$86,M209,ProjectData!$B$87,ProjectData!$B$83*ProjectData!$B$52*ProjectData!$B$85),0)</f>
        <v>12313537.318911638</v>
      </c>
      <c r="P209" s="91">
        <f t="shared" si="78"/>
        <v>20313537.318911634</v>
      </c>
      <c r="X209" s="398"/>
      <c r="Y209" s="398"/>
      <c r="Z209" s="398"/>
      <c r="AA209" s="398"/>
    </row>
    <row r="210" spans="3:27" x14ac:dyDescent="0.2">
      <c r="C210">
        <v>7</v>
      </c>
      <c r="D210" s="91">
        <f>IF(C210&lt;=ProjectData!B$80,-ISPMT(ProjectData!B$81,C210,ProjectData!B$80,ProjectData!B$79*ProjectData!B$52),0)</f>
        <v>32500000</v>
      </c>
      <c r="E210" s="91">
        <f>IF(C210&lt;=ProjectData!B$80,-PPMT(ProjectData!B$81,C210,ProjectData!B$80,ProjectData!B$52*ProjectData!B$79),0)</f>
        <v>15465395.160838</v>
      </c>
      <c r="F210" s="91">
        <f t="shared" si="76"/>
        <v>47965395.160838</v>
      </c>
      <c r="H210">
        <v>7</v>
      </c>
      <c r="I210" s="91">
        <f>IF(H210&lt;=ProjectData!B$87,-ISPMT(ProjectData!B$86,H210,ProjectData!B$87,ProjectData!B$52*ProjectData!B$83*ProjectData!B$84),0)</f>
        <v>0</v>
      </c>
      <c r="J210" s="91">
        <f>IF(H210&lt;=ProjectData!B$87,-PPMT(ProjectData!B$86,H210,ProjectData!B$87,ProjectData!B$83*ProjectData!B$52*ProjectData!B$84),0)</f>
        <v>0</v>
      </c>
      <c r="K210" s="91">
        <f t="shared" si="77"/>
        <v>0</v>
      </c>
      <c r="M210">
        <v>7</v>
      </c>
      <c r="N210" s="91">
        <f>IF(M210&lt;=ProjectData!$B$87,-ISPMT(ProjectData!$B$86,M210,ProjectData!$B$87,ProjectData!$B$52*ProjectData!$B$83*ProjectData!$B$85),0)</f>
        <v>5999999.9999999981</v>
      </c>
      <c r="O210" s="91">
        <f>IF(M210&lt;=ProjectData!$B$87,-PPMT(ProjectData!$B$86,M210,ProjectData!$B$87,ProjectData!$B$83*ProjectData!$B$52*ProjectData!$B$85),0)</f>
        <v>14283703.289937502</v>
      </c>
      <c r="P210" s="91">
        <f t="shared" si="78"/>
        <v>20283703.2899375</v>
      </c>
      <c r="X210" s="398"/>
      <c r="Y210" s="398"/>
      <c r="Z210" s="398"/>
      <c r="AA210" s="398"/>
    </row>
    <row r="211" spans="3:27" x14ac:dyDescent="0.2">
      <c r="C211">
        <v>8</v>
      </c>
      <c r="D211" s="91">
        <f>IF(C211&lt;=ProjectData!B$80,-ISPMT(ProjectData!B$81,C211,ProjectData!B$80,ProjectData!B$79*ProjectData!B$52),0)</f>
        <v>30000000</v>
      </c>
      <c r="E211" s="91">
        <f>IF(C211&lt;=ProjectData!B$80,-PPMT(ProjectData!B$81,C211,ProjectData!B$80,ProjectData!B$52*ProjectData!B$79),0)</f>
        <v>17011934.676921796</v>
      </c>
      <c r="F211" s="91">
        <f t="shared" si="76"/>
        <v>47011934.6769218</v>
      </c>
      <c r="H211">
        <v>8</v>
      </c>
      <c r="I211" s="91">
        <f>IF(H211&lt;=ProjectData!B$87,-ISPMT(ProjectData!B$86,H211,ProjectData!B$87,ProjectData!B$52*ProjectData!B$83*ProjectData!B$84),0)</f>
        <v>0</v>
      </c>
      <c r="J211" s="91">
        <f>IF(H211&lt;=ProjectData!B$87,-PPMT(ProjectData!B$86,H211,ProjectData!B$87,ProjectData!B$83*ProjectData!B$52*ProjectData!B$84),0)</f>
        <v>0</v>
      </c>
      <c r="K211" s="91">
        <f t="shared" si="77"/>
        <v>0</v>
      </c>
      <c r="M211">
        <v>8</v>
      </c>
      <c r="N211" s="91">
        <f>IF(M211&lt;=ProjectData!$B$87,-ISPMT(ProjectData!$B$86,M211,ProjectData!$B$87,ProjectData!$B$52*ProjectData!$B$83*ProjectData!$B$85),0)</f>
        <v>3999999.9999999991</v>
      </c>
      <c r="O211" s="91">
        <f>IF(M211&lt;=ProjectData!$B$87,-PPMT(ProjectData!$B$86,M211,ProjectData!$B$87,ProjectData!$B$83*ProjectData!$B$52*ProjectData!$B$85),0)</f>
        <v>16569095.816327501</v>
      </c>
      <c r="P211" s="91">
        <f t="shared" si="78"/>
        <v>20569095.816327501</v>
      </c>
      <c r="X211" s="398"/>
      <c r="Y211" s="398"/>
      <c r="Z211" s="398"/>
      <c r="AA211" s="398"/>
    </row>
    <row r="212" spans="3:27" x14ac:dyDescent="0.2">
      <c r="C212">
        <v>9</v>
      </c>
      <c r="D212" s="91">
        <f>IF(C212&lt;=ProjectData!B$80,-ISPMT(ProjectData!B$81,C212,ProjectData!B$80,ProjectData!B$79*ProjectData!B$52),0)</f>
        <v>27500000</v>
      </c>
      <c r="E212" s="91">
        <f>IF(C212&lt;=ProjectData!B$80,-PPMT(ProjectData!B$81,C212,ProjectData!B$80,ProjectData!B$52*ProjectData!B$79),0)</f>
        <v>18713128.144613978</v>
      </c>
      <c r="F212" s="91">
        <f t="shared" si="76"/>
        <v>46213128.144613981</v>
      </c>
      <c r="H212">
        <v>9</v>
      </c>
      <c r="I212" s="91">
        <f>IF(H212&lt;=ProjectData!B$87,-ISPMT(ProjectData!B$86,H212,ProjectData!B$87,ProjectData!B$52*ProjectData!B$83*ProjectData!B$84),0)</f>
        <v>0</v>
      </c>
      <c r="J212" s="91">
        <f>IF(H212&lt;=ProjectData!B$87,-PPMT(ProjectData!B$86,H212,ProjectData!B$87,ProjectData!B$83*ProjectData!B$52*ProjectData!B$84),0)</f>
        <v>0</v>
      </c>
      <c r="K212" s="91">
        <f t="shared" si="77"/>
        <v>0</v>
      </c>
      <c r="M212">
        <v>9</v>
      </c>
      <c r="N212" s="91">
        <f>IF(M212&lt;=ProjectData!$B$87,-ISPMT(ProjectData!$B$86,M212,ProjectData!$B$87,ProjectData!$B$52*ProjectData!$B$83*ProjectData!$B$85),0)</f>
        <v>1999999.9999999995</v>
      </c>
      <c r="O212" s="91">
        <f>IF(M212&lt;=ProjectData!$B$87,-PPMT(ProjectData!$B$86,M212,ProjectData!$B$87,ProjectData!$B$83*ProjectData!$B$52*ProjectData!$B$85),0)</f>
        <v>19220151.1469399</v>
      </c>
      <c r="P212" s="91">
        <f t="shared" si="78"/>
        <v>21220151.1469399</v>
      </c>
      <c r="X212" s="398"/>
      <c r="Y212" s="398"/>
      <c r="Z212" s="398"/>
      <c r="AA212" s="398"/>
    </row>
    <row r="213" spans="3:27" x14ac:dyDescent="0.2">
      <c r="C213">
        <v>10</v>
      </c>
      <c r="D213" s="91">
        <f>IF(C213&lt;=ProjectData!B$80,-ISPMT(ProjectData!B$81,C213,ProjectData!B$80,ProjectData!B$79*ProjectData!B$52),0)</f>
        <v>25000000</v>
      </c>
      <c r="E213" s="91">
        <f>IF(C213&lt;=ProjectData!B$80,-PPMT(ProjectData!B$81,C213,ProjectData!B$80,ProjectData!B$52*ProjectData!B$79),0)</f>
        <v>20584440.959075376</v>
      </c>
      <c r="F213" s="91">
        <f t="shared" si="76"/>
        <v>45584440.959075376</v>
      </c>
      <c r="H213">
        <v>10</v>
      </c>
      <c r="I213" s="91">
        <f>IF(H213&lt;=ProjectData!B$87,-ISPMT(ProjectData!B$86,H213,ProjectData!B$87,ProjectData!B$52*ProjectData!B$83*ProjectData!B$84),0)</f>
        <v>0</v>
      </c>
      <c r="J213" s="91">
        <f>IF(H213&lt;=ProjectData!B$87,-PPMT(ProjectData!B$86,H213,ProjectData!B$87,ProjectData!B$83*ProjectData!B$52*ProjectData!B$84),0)</f>
        <v>0</v>
      </c>
      <c r="K213" s="91">
        <f t="shared" si="77"/>
        <v>0</v>
      </c>
      <c r="M213">
        <v>10</v>
      </c>
      <c r="N213" s="91">
        <f>IF(M213&lt;=ProjectData!$B$87,-ISPMT(ProjectData!$B$86,M213,ProjectData!$B$87,ProjectData!$B$52*ProjectData!$B$83*ProjectData!$B$85),0)</f>
        <v>0</v>
      </c>
      <c r="O213" s="91">
        <f>IF(M213&lt;=ProjectData!$B$87,-PPMT(ProjectData!$B$86,M213,ProjectData!$B$87,ProjectData!$B$83*ProjectData!$B$52*ProjectData!$B$85),0)</f>
        <v>22295375.330450289</v>
      </c>
      <c r="P213" s="91">
        <f t="shared" si="78"/>
        <v>22295375.330450289</v>
      </c>
      <c r="X213" s="398"/>
      <c r="Y213" s="398"/>
      <c r="Z213" s="398"/>
      <c r="AA213" s="398"/>
    </row>
    <row r="214" spans="3:27" x14ac:dyDescent="0.2">
      <c r="C214">
        <v>11</v>
      </c>
      <c r="D214" s="91">
        <f>IF(C214&lt;=ProjectData!B$80,-ISPMT(ProjectData!B$81,C214,ProjectData!B$80,ProjectData!B$79*ProjectData!B$52),0)</f>
        <v>22500000</v>
      </c>
      <c r="E214" s="91">
        <f>IF(C214&lt;=ProjectData!B$80,-PPMT(ProjectData!B$81,C214,ProjectData!B$80,ProjectData!B$52*ProjectData!B$79),0)</f>
        <v>22642885.054982912</v>
      </c>
      <c r="F214" s="91">
        <f t="shared" si="76"/>
        <v>45142885.054982916</v>
      </c>
      <c r="H214">
        <v>11</v>
      </c>
      <c r="I214" s="91">
        <f>IF(H214&lt;=ProjectData!B$87,-ISPMT(ProjectData!B$86,H214,ProjectData!B$87,ProjectData!B$52*ProjectData!B$83*ProjectData!B$84),0)</f>
        <v>0</v>
      </c>
      <c r="J214" s="91">
        <f>IF(H214&lt;=ProjectData!B$87,-PPMT(ProjectData!B$86,H214,ProjectData!B$87,ProjectData!B$83*ProjectData!B$52*ProjectData!B$84),0)</f>
        <v>0</v>
      </c>
      <c r="K214" s="91">
        <f t="shared" si="77"/>
        <v>0</v>
      </c>
      <c r="M214">
        <v>11</v>
      </c>
      <c r="N214" s="91">
        <f>IF(M214&lt;=ProjectData!$B$87,-ISPMT(ProjectData!$B$86,M214,ProjectData!$B$87,ProjectData!$B$52*ProjectData!$B$83*ProjectData!$B$85),0)</f>
        <v>0</v>
      </c>
      <c r="O214" s="91">
        <f>IF(M214&lt;=ProjectData!$B$87,-PPMT(ProjectData!$B$86,M214,ProjectData!$B$87,ProjectData!$B$83*ProjectData!$B$52*ProjectData!$B$85),0)</f>
        <v>0</v>
      </c>
      <c r="P214" s="91">
        <f t="shared" si="78"/>
        <v>0</v>
      </c>
    </row>
    <row r="215" spans="3:27" x14ac:dyDescent="0.2">
      <c r="C215">
        <v>12</v>
      </c>
      <c r="D215" s="91">
        <f>IF(C215&lt;=ProjectData!B$80,-ISPMT(ProjectData!B$81,C215,ProjectData!B$80,ProjectData!B$79*ProjectData!B$52),0)</f>
        <v>20000000</v>
      </c>
      <c r="E215" s="91">
        <f>IF(C215&lt;=ProjectData!B$80,-PPMT(ProjectData!B$81,C215,ProjectData!B$80,ProjectData!B$52*ProjectData!B$79),0)</f>
        <v>24907173.560481206</v>
      </c>
      <c r="F215" s="91">
        <f t="shared" si="76"/>
        <v>44907173.560481206</v>
      </c>
      <c r="H215">
        <v>12</v>
      </c>
      <c r="I215" s="91">
        <f>IF(H215&lt;=ProjectData!B$87,-ISPMT(ProjectData!B$86,H215,ProjectData!B$87,ProjectData!B$52*ProjectData!B$83*ProjectData!B$84),0)</f>
        <v>0</v>
      </c>
      <c r="J215" s="91">
        <f>IF(H215&lt;=ProjectData!B$87,-PPMT(ProjectData!B$86,H215,ProjectData!B$87,ProjectData!B$83*ProjectData!B$52*ProjectData!B$84),0)</f>
        <v>0</v>
      </c>
      <c r="K215" s="91">
        <f t="shared" si="77"/>
        <v>0</v>
      </c>
      <c r="M215">
        <v>12</v>
      </c>
      <c r="N215" s="91">
        <f>IF(M215&lt;=ProjectData!$B$87,-ISPMT(ProjectData!$B$86,M215,ProjectData!$B$87,ProjectData!$B$52*ProjectData!$B$83*ProjectData!$B$85),0)</f>
        <v>0</v>
      </c>
      <c r="O215" s="91">
        <f>IF(M215&lt;=ProjectData!$B$87,-PPMT(ProjectData!$B$86,M215,ProjectData!$B$87,ProjectData!$B$83*ProjectData!$B$52*ProjectData!$B$85),0)</f>
        <v>0</v>
      </c>
      <c r="P215" s="91">
        <f t="shared" si="78"/>
        <v>0</v>
      </c>
    </row>
    <row r="216" spans="3:27" x14ac:dyDescent="0.2">
      <c r="C216">
        <v>13</v>
      </c>
      <c r="D216" s="91">
        <f>IF(C216&lt;=ProjectData!B$80,-ISPMT(ProjectData!B$81,C216,ProjectData!B$80,ProjectData!B$79*ProjectData!B$52),0)</f>
        <v>17500000</v>
      </c>
      <c r="E216" s="91">
        <f>IF(C216&lt;=ProjectData!B$80,-PPMT(ProjectData!B$81,C216,ProjectData!B$80,ProjectData!B$52*ProjectData!B$79),0)</f>
        <v>27397890.916529324</v>
      </c>
      <c r="F216" s="91">
        <f t="shared" si="76"/>
        <v>44897890.916529328</v>
      </c>
      <c r="H216">
        <v>13</v>
      </c>
      <c r="I216" s="91">
        <f>IF(H216&lt;=ProjectData!B$87,-ISPMT(ProjectData!B$86,H216,ProjectData!B$87,ProjectData!B$52*ProjectData!B$83*ProjectData!B$84),0)</f>
        <v>0</v>
      </c>
      <c r="J216" s="91">
        <f>IF(H216&lt;=ProjectData!B$87,-PPMT(ProjectData!B$86,H216,ProjectData!B$87,ProjectData!B$83*ProjectData!B$52*ProjectData!B$84),0)</f>
        <v>0</v>
      </c>
      <c r="K216" s="91">
        <f t="shared" si="77"/>
        <v>0</v>
      </c>
      <c r="M216">
        <v>13</v>
      </c>
      <c r="N216" s="91">
        <f>IF(M216&lt;=ProjectData!$B$87,-ISPMT(ProjectData!$B$86,M216,ProjectData!$B$87,ProjectData!$B$52*ProjectData!$B$83*ProjectData!$B$85),0)</f>
        <v>0</v>
      </c>
      <c r="O216" s="91">
        <f>IF(M216&lt;=ProjectData!$B$87,-PPMT(ProjectData!$B$86,M216,ProjectData!$B$87,ProjectData!$B$83*ProjectData!$B$52*ProjectData!$B$85),0)</f>
        <v>0</v>
      </c>
      <c r="P216" s="91">
        <f t="shared" si="78"/>
        <v>0</v>
      </c>
    </row>
    <row r="217" spans="3:27" x14ac:dyDescent="0.2">
      <c r="C217">
        <v>14</v>
      </c>
      <c r="D217" s="91">
        <f>IF(C217&lt;=ProjectData!B$80,-ISPMT(ProjectData!B$81,C217,ProjectData!B$80,ProjectData!B$79*ProjectData!B$52),0)</f>
        <v>15000000</v>
      </c>
      <c r="E217" s="91">
        <f>IF(C217&lt;=ProjectData!B$80,-PPMT(ProjectData!B$81,C217,ProjectData!B$80,ProjectData!B$52*ProjectData!B$79),0)</f>
        <v>30137680.008182254</v>
      </c>
      <c r="F217" s="91">
        <f t="shared" si="76"/>
        <v>45137680.008182257</v>
      </c>
      <c r="H217">
        <v>14</v>
      </c>
      <c r="I217" s="91">
        <f>IF(H217&lt;=ProjectData!B$87,-ISPMT(ProjectData!B$86,H217,ProjectData!B$87,ProjectData!B$52*ProjectData!B$83*ProjectData!B$84),0)</f>
        <v>0</v>
      </c>
      <c r="J217" s="91">
        <f>IF(H217&lt;=ProjectData!B$87,-PPMT(ProjectData!B$86,H217,ProjectData!B$87,ProjectData!B$83*ProjectData!B$52*ProjectData!B$84),0)</f>
        <v>0</v>
      </c>
      <c r="K217" s="91">
        <f t="shared" si="77"/>
        <v>0</v>
      </c>
      <c r="M217">
        <v>14</v>
      </c>
      <c r="N217" s="91">
        <f>IF(M217&lt;=ProjectData!$B$87,-ISPMT(ProjectData!$B$86,M217,ProjectData!$B$87,ProjectData!$B$52*ProjectData!$B$83*ProjectData!$B$85),0)</f>
        <v>0</v>
      </c>
      <c r="O217" s="91">
        <f>IF(M217&lt;=ProjectData!$B$87,-PPMT(ProjectData!$B$86,M217,ProjectData!$B$87,ProjectData!$B$83*ProjectData!$B$52*ProjectData!$B$85),0)</f>
        <v>0</v>
      </c>
      <c r="P217" s="91">
        <f t="shared" si="78"/>
        <v>0</v>
      </c>
    </row>
    <row r="218" spans="3:27" x14ac:dyDescent="0.2">
      <c r="C218">
        <v>15</v>
      </c>
      <c r="D218" s="91">
        <f>IF(C218&lt;=ProjectData!B$80,-ISPMT(ProjectData!B$81,C218,ProjectData!B$80,ProjectData!B$79*ProjectData!B$52),0)</f>
        <v>12500000</v>
      </c>
      <c r="E218" s="91">
        <f>IF(C218&lt;=ProjectData!B$80,-PPMT(ProjectData!B$81,C218,ProjectData!B$80,ProjectData!B$52*ProjectData!B$79),0)</f>
        <v>33151448.00900048</v>
      </c>
      <c r="F218" s="91">
        <f t="shared" si="76"/>
        <v>45651448.00900048</v>
      </c>
      <c r="H218">
        <v>15</v>
      </c>
      <c r="I218" s="91">
        <f>IF(H218&lt;=ProjectData!B$87,-ISPMT(ProjectData!B$86,H218,ProjectData!B$87,ProjectData!B$52*ProjectData!B$83*ProjectData!B$84),0)</f>
        <v>0</v>
      </c>
      <c r="J218" s="91">
        <f>IF(H218&lt;=ProjectData!B$87,-PPMT(ProjectData!B$86,H218,ProjectData!B$87,ProjectData!B$83*ProjectData!B$52*ProjectData!B$84),0)</f>
        <v>0</v>
      </c>
      <c r="K218" s="91">
        <f t="shared" si="77"/>
        <v>0</v>
      </c>
      <c r="M218">
        <v>15</v>
      </c>
      <c r="N218" s="91">
        <f>IF(M218&lt;=ProjectData!$B$87,-ISPMT(ProjectData!$B$86,M218,ProjectData!$B$87,ProjectData!$B$52*ProjectData!$B$83*ProjectData!$B$85),0)</f>
        <v>0</v>
      </c>
      <c r="O218" s="91">
        <f>IF(M218&lt;=ProjectData!$B$87,-PPMT(ProjectData!$B$86,M218,ProjectData!$B$87,ProjectData!$B$83*ProjectData!$B$52*ProjectData!$B$85),0)</f>
        <v>0</v>
      </c>
      <c r="P218" s="91">
        <f t="shared" si="78"/>
        <v>0</v>
      </c>
    </row>
    <row r="219" spans="3:27" x14ac:dyDescent="0.2">
      <c r="C219">
        <v>16</v>
      </c>
      <c r="D219" s="91">
        <f>IF(C219&lt;=ProjectData!B$80,-ISPMT(ProjectData!B$81,C219,ProjectData!B$80,ProjectData!B$79*ProjectData!B$52),0)</f>
        <v>10000000</v>
      </c>
      <c r="E219" s="91">
        <f>IF(C219&lt;=ProjectData!B$80,-PPMT(ProjectData!B$81,C219,ProjectData!B$80,ProjectData!B$52*ProjectData!B$79),0)</f>
        <v>36466592.809900522</v>
      </c>
      <c r="F219" s="91">
        <f t="shared" si="76"/>
        <v>46466592.809900522</v>
      </c>
      <c r="H219">
        <v>16</v>
      </c>
      <c r="I219" s="91">
        <f>IF(H219&lt;=ProjectData!B$87,-ISPMT(ProjectData!B$86,H219,ProjectData!B$87,ProjectData!B$52*ProjectData!B$83*ProjectData!B$84),0)</f>
        <v>0</v>
      </c>
      <c r="J219" s="91">
        <f>IF(H219&lt;=ProjectData!B$87,-PPMT(ProjectData!B$86,H219,ProjectData!B$87,ProjectData!B$83*ProjectData!B$52*ProjectData!B$84),0)</f>
        <v>0</v>
      </c>
      <c r="K219" s="91">
        <f t="shared" si="77"/>
        <v>0</v>
      </c>
      <c r="M219">
        <v>16</v>
      </c>
      <c r="N219" s="91">
        <f>IF(M219&lt;=ProjectData!$B$87,-ISPMT(ProjectData!$B$86,M219,ProjectData!$B$87,ProjectData!$B$52*ProjectData!$B$83*ProjectData!$B$85),0)</f>
        <v>0</v>
      </c>
      <c r="O219" s="91">
        <f>IF(M219&lt;=ProjectData!$B$87,-PPMT(ProjectData!$B$86,M219,ProjectData!$B$87,ProjectData!$B$83*ProjectData!$B$52*ProjectData!$B$85),0)</f>
        <v>0</v>
      </c>
      <c r="P219" s="91">
        <f t="shared" si="78"/>
        <v>0</v>
      </c>
    </row>
    <row r="220" spans="3:27" x14ac:dyDescent="0.2">
      <c r="C220">
        <v>17</v>
      </c>
      <c r="D220" s="91">
        <f>IF(C220&lt;=ProjectData!B$80,-ISPMT(ProjectData!B$81,C220,ProjectData!B$80,ProjectData!B$79*ProjectData!B$52),0)</f>
        <v>7500000</v>
      </c>
      <c r="E220" s="91">
        <f>IF(C220&lt;=ProjectData!B$80,-PPMT(ProjectData!B$81,C220,ProjectData!B$80,ProjectData!B$52*ProjectData!B$79),0)</f>
        <v>40113252.090890579</v>
      </c>
      <c r="F220" s="91">
        <f t="shared" si="76"/>
        <v>47613252.090890579</v>
      </c>
      <c r="H220">
        <v>17</v>
      </c>
      <c r="I220" s="91">
        <f>IF(H220&lt;=ProjectData!B$87,-ISPMT(ProjectData!B$86,H220,ProjectData!B$87,ProjectData!B$52*ProjectData!B$83*ProjectData!B$84),0)</f>
        <v>0</v>
      </c>
      <c r="J220" s="91">
        <f>IF(H220&lt;=ProjectData!B$87,-PPMT(ProjectData!B$86,H220,ProjectData!B$87,ProjectData!B$83*ProjectData!B$52*ProjectData!B$84),0)</f>
        <v>0</v>
      </c>
      <c r="K220" s="91">
        <f t="shared" si="77"/>
        <v>0</v>
      </c>
      <c r="M220">
        <v>17</v>
      </c>
      <c r="N220" s="91">
        <f>IF(M220&lt;=ProjectData!$B$87,-ISPMT(ProjectData!$B$86,M220,ProjectData!$B$87,ProjectData!$B$52*ProjectData!$B$83*ProjectData!$B$85),0)</f>
        <v>0</v>
      </c>
      <c r="O220" s="91">
        <f>IF(M220&lt;=ProjectData!$B$87,-PPMT(ProjectData!$B$86,M220,ProjectData!$B$87,ProjectData!$B$83*ProjectData!$B$52*ProjectData!$B$85),0)</f>
        <v>0</v>
      </c>
      <c r="P220" s="91">
        <f t="shared" si="78"/>
        <v>0</v>
      </c>
    </row>
    <row r="221" spans="3:27" x14ac:dyDescent="0.2">
      <c r="C221">
        <v>18</v>
      </c>
      <c r="D221" s="91">
        <f>IF(C221&lt;=ProjectData!B$80,-ISPMT(ProjectData!B$81,C221,ProjectData!B$80,ProjectData!B$79*ProjectData!B$52),0)</f>
        <v>5000000</v>
      </c>
      <c r="E221" s="91">
        <f>IF(C221&lt;=ProjectData!B$80,-PPMT(ProjectData!B$81,C221,ProjectData!B$80,ProjectData!B$52*ProjectData!B$79),0)</f>
        <v>44124577.299979635</v>
      </c>
      <c r="F221" s="91">
        <f t="shared" si="76"/>
        <v>49124577.299979635</v>
      </c>
      <c r="H221">
        <v>18</v>
      </c>
      <c r="I221" s="91">
        <f>IF(H221&lt;=ProjectData!B$87,-ISPMT(ProjectData!B$86,H221,ProjectData!B$87,ProjectData!B$52*ProjectData!B$83*ProjectData!B$84),0)</f>
        <v>0</v>
      </c>
      <c r="J221" s="91">
        <f>IF(H221&lt;=ProjectData!B$87,-PPMT(ProjectData!B$86,H221,ProjectData!B$87,ProjectData!B$83*ProjectData!B$52*ProjectData!B$84),0)</f>
        <v>0</v>
      </c>
      <c r="K221" s="91">
        <f t="shared" si="77"/>
        <v>0</v>
      </c>
      <c r="M221">
        <v>18</v>
      </c>
      <c r="N221" s="91">
        <f>IF(M221&lt;=ProjectData!$B$87,-ISPMT(ProjectData!$B$86,M221,ProjectData!$B$87,ProjectData!$B$52*ProjectData!$B$83*ProjectData!$B$85),0)</f>
        <v>0</v>
      </c>
      <c r="O221" s="91">
        <f>IF(M221&lt;=ProjectData!$B$87,-PPMT(ProjectData!$B$86,M221,ProjectData!$B$87,ProjectData!$B$83*ProjectData!$B$52*ProjectData!$B$85),0)</f>
        <v>0</v>
      </c>
      <c r="P221" s="91">
        <f t="shared" si="78"/>
        <v>0</v>
      </c>
    </row>
    <row r="222" spans="3:27" x14ac:dyDescent="0.2">
      <c r="C222">
        <v>19</v>
      </c>
      <c r="D222" s="91">
        <f>IF(C222&lt;=ProjectData!B$80,-ISPMT(ProjectData!B$81,C222,ProjectData!B$80,ProjectData!B$79*ProjectData!B$52),0)</f>
        <v>2500000</v>
      </c>
      <c r="E222" s="91">
        <f>IF(C222&lt;=ProjectData!B$80,-PPMT(ProjectData!B$81,C222,ProjectData!B$80,ProjectData!B$52*ProjectData!B$79),0)</f>
        <v>48537035.029977605</v>
      </c>
      <c r="F222" s="91">
        <f t="shared" si="76"/>
        <v>51037035.029977605</v>
      </c>
      <c r="H222">
        <v>19</v>
      </c>
      <c r="I222" s="91">
        <f>IF(H222&lt;=ProjectData!B$87,-ISPMT(ProjectData!B$86,H222,ProjectData!B$87,ProjectData!B$52*ProjectData!B$83*ProjectData!B$84),0)</f>
        <v>0</v>
      </c>
      <c r="J222" s="91">
        <f>IF(H222&lt;=ProjectData!B$87,-PPMT(ProjectData!B$86,H222,ProjectData!B$87,ProjectData!B$83*ProjectData!B$52*ProjectData!B$84),0)</f>
        <v>0</v>
      </c>
      <c r="K222" s="91">
        <f t="shared" si="77"/>
        <v>0</v>
      </c>
      <c r="M222">
        <v>19</v>
      </c>
      <c r="N222" s="91">
        <f>IF(M222&lt;=ProjectData!$B$87,-ISPMT(ProjectData!$B$86,M222,ProjectData!$B$87,ProjectData!$B$52*ProjectData!$B$83*ProjectData!$B$85),0)</f>
        <v>0</v>
      </c>
      <c r="O222" s="91">
        <f>IF(M222&lt;=ProjectData!$B$87,-PPMT(ProjectData!$B$86,M222,ProjectData!$B$87,ProjectData!$B$83*ProjectData!$B$52*ProjectData!$B$85),0)</f>
        <v>0</v>
      </c>
      <c r="P222" s="91">
        <f t="shared" si="78"/>
        <v>0</v>
      </c>
    </row>
    <row r="223" spans="3:27" x14ac:dyDescent="0.2">
      <c r="C223">
        <v>20</v>
      </c>
      <c r="D223" s="91">
        <f>IF(C223&lt;=ProjectData!B$80,-ISPMT(ProjectData!B$81,C223,ProjectData!B$80,ProjectData!B$79*ProjectData!B$52),0)</f>
        <v>0</v>
      </c>
      <c r="E223" s="91">
        <f>IF(C223&lt;=ProjectData!B$80,-PPMT(ProjectData!B$81,C223,ProjectData!B$80,ProjectData!B$52*ProjectData!B$79),0)</f>
        <v>53390738.532975361</v>
      </c>
      <c r="F223" s="91">
        <f t="shared" si="76"/>
        <v>53390738.532975361</v>
      </c>
      <c r="H223">
        <v>20</v>
      </c>
      <c r="I223" s="91">
        <f>IF(H223&lt;=ProjectData!B$87,-ISPMT(ProjectData!B$86,H223,ProjectData!B$87,ProjectData!B$52*ProjectData!B$83*ProjectData!B$84),0)</f>
        <v>0</v>
      </c>
      <c r="J223" s="91">
        <f>IF(H223&lt;=ProjectData!B$87,-PPMT(ProjectData!B$86,H223,ProjectData!B$87,ProjectData!B$83*ProjectData!B$52*ProjectData!B$84),0)</f>
        <v>0</v>
      </c>
      <c r="K223" s="91">
        <f t="shared" si="77"/>
        <v>0</v>
      </c>
      <c r="M223">
        <v>20</v>
      </c>
      <c r="N223" s="91">
        <f>IF(M223&lt;=ProjectData!$B$87,-ISPMT(ProjectData!$B$86,M223,ProjectData!$B$87,ProjectData!$B$52*ProjectData!$B$83*ProjectData!$B$85),0)</f>
        <v>0</v>
      </c>
      <c r="O223" s="91">
        <f>IF(M223&lt;=ProjectData!$B$87,-PPMT(ProjectData!$B$86,M223,ProjectData!$B$87,ProjectData!$B$83*ProjectData!$B$52*ProjectData!$B$85),0)</f>
        <v>0</v>
      </c>
      <c r="P223" s="91">
        <f t="shared" si="78"/>
        <v>0</v>
      </c>
    </row>
    <row r="224" spans="3:27" x14ac:dyDescent="0.2">
      <c r="C224">
        <v>21</v>
      </c>
      <c r="D224" s="91">
        <f>IF(C224&lt;=ProjectData!B$80,-ISPMT(ProjectData!B$81,C224,ProjectData!B$80,ProjectData!B$79*ProjectData!B$52),0)</f>
        <v>0</v>
      </c>
      <c r="E224" s="91">
        <f>IF(C224&lt;=ProjectData!B$80,-PPMT(ProjectData!B$81,C224,ProjectData!B$80,ProjectData!B$52*ProjectData!B$79),0)</f>
        <v>0</v>
      </c>
      <c r="F224" s="91">
        <f t="shared" si="76"/>
        <v>0</v>
      </c>
      <c r="H224">
        <v>21</v>
      </c>
      <c r="I224" s="91">
        <f>IF(H224&lt;=ProjectData!B$87,-ISPMT(ProjectData!B$86,H224,ProjectData!B$87,ProjectData!B$52*ProjectData!B$83*ProjectData!B$84),0)</f>
        <v>0</v>
      </c>
      <c r="J224" s="91">
        <f>IF(H224&lt;=ProjectData!B$87,-PPMT(ProjectData!B$86,H224,ProjectData!B$87,ProjectData!B$83*ProjectData!B$52*ProjectData!B$84),0)</f>
        <v>0</v>
      </c>
      <c r="K224" s="91">
        <f t="shared" si="77"/>
        <v>0</v>
      </c>
      <c r="M224">
        <v>21</v>
      </c>
      <c r="N224" s="91">
        <f>IF(M224&lt;=ProjectData!$B$87,-ISPMT(ProjectData!$B$86,M224,ProjectData!$B$87,ProjectData!$B$52*ProjectData!$B$83*ProjectData!$B$85),0)</f>
        <v>0</v>
      </c>
      <c r="O224" s="91">
        <f>IF(M224&lt;=ProjectData!$B$87,-PPMT(ProjectData!$B$86,M224,ProjectData!$B$87,ProjectData!$B$83*ProjectData!$B$52*ProjectData!$B$85),0)</f>
        <v>0</v>
      </c>
      <c r="P224" s="91">
        <f t="shared" si="78"/>
        <v>0</v>
      </c>
    </row>
    <row r="225" spans="3:57" x14ac:dyDescent="0.2">
      <c r="C225">
        <v>22</v>
      </c>
      <c r="D225" s="91">
        <f>IF(C225&lt;=ProjectData!B$80,-ISPMT(ProjectData!B$81,C225,ProjectData!B$80,ProjectData!B$79*ProjectData!B$52),0)</f>
        <v>0</v>
      </c>
      <c r="E225" s="91">
        <f>IF(C225&lt;=ProjectData!B$80,-PPMT(ProjectData!B$81,C225,ProjectData!B$80,ProjectData!B$52*ProjectData!B$79),0)</f>
        <v>0</v>
      </c>
      <c r="F225" s="91">
        <f t="shared" si="76"/>
        <v>0</v>
      </c>
      <c r="H225">
        <v>22</v>
      </c>
      <c r="I225" s="91">
        <f>IF(H225&lt;=ProjectData!B$87,-ISPMT(ProjectData!B$86,H225,ProjectData!B$87,ProjectData!B$52*ProjectData!B$83*ProjectData!B$84),0)</f>
        <v>0</v>
      </c>
      <c r="J225" s="91">
        <f>IF(H225&lt;=ProjectData!B$87,-PPMT(ProjectData!B$86,H225,ProjectData!B$87,ProjectData!B$83*ProjectData!B$52*ProjectData!B$84),0)</f>
        <v>0</v>
      </c>
      <c r="K225" s="91">
        <f t="shared" si="77"/>
        <v>0</v>
      </c>
      <c r="M225">
        <v>22</v>
      </c>
      <c r="N225" s="91">
        <f>IF(M225&lt;=ProjectData!$B$87,-ISPMT(ProjectData!$B$86,M225,ProjectData!$B$87,ProjectData!$B$52*ProjectData!$B$83*ProjectData!$B$85),0)</f>
        <v>0</v>
      </c>
      <c r="O225" s="91">
        <f>IF(M225&lt;=ProjectData!$B$87,-PPMT(ProjectData!$B$86,M225,ProjectData!$B$87,ProjectData!$B$83*ProjectData!$B$52*ProjectData!$B$85),0)</f>
        <v>0</v>
      </c>
      <c r="P225" s="91">
        <f t="shared" si="78"/>
        <v>0</v>
      </c>
    </row>
    <row r="226" spans="3:57" x14ac:dyDescent="0.2">
      <c r="C226">
        <v>23</v>
      </c>
      <c r="D226" s="91">
        <f>IF(C226&lt;=ProjectData!B$80,-ISPMT(ProjectData!B$81,C226,ProjectData!B$80,ProjectData!B$79*ProjectData!B$52),0)</f>
        <v>0</v>
      </c>
      <c r="E226" s="91">
        <f>IF(C226&lt;=ProjectData!B$80,-PPMT(ProjectData!B$81,C226,ProjectData!B$80,ProjectData!B$52*ProjectData!B$79),0)</f>
        <v>0</v>
      </c>
      <c r="F226" s="91">
        <f t="shared" si="76"/>
        <v>0</v>
      </c>
      <c r="H226">
        <v>23</v>
      </c>
      <c r="I226" s="91">
        <f>IF(H226&lt;=ProjectData!B$87,-ISPMT(ProjectData!B$86,H226,ProjectData!B$87,ProjectData!B$52*ProjectData!B$83*ProjectData!B$84),0)</f>
        <v>0</v>
      </c>
      <c r="J226" s="91">
        <f>IF(H226&lt;=ProjectData!B$87,-PPMT(ProjectData!B$86,H226,ProjectData!B$87,ProjectData!B$83*ProjectData!B$52*ProjectData!B$84),0)</f>
        <v>0</v>
      </c>
      <c r="K226" s="91">
        <f t="shared" si="77"/>
        <v>0</v>
      </c>
      <c r="M226">
        <v>23</v>
      </c>
      <c r="N226" s="91">
        <f>IF(M226&lt;=ProjectData!$B$87,-ISPMT(ProjectData!$B$86,M226,ProjectData!$B$87,ProjectData!$B$52*ProjectData!$B$83*ProjectData!$B$85),0)</f>
        <v>0</v>
      </c>
      <c r="O226" s="91">
        <f>IF(M226&lt;=ProjectData!$B$87,-PPMT(ProjectData!$B$86,M226,ProjectData!$B$87,ProjectData!$B$83*ProjectData!$B$52*ProjectData!$B$85),0)</f>
        <v>0</v>
      </c>
      <c r="P226" s="91">
        <f t="shared" si="78"/>
        <v>0</v>
      </c>
    </row>
    <row r="227" spans="3:57" x14ac:dyDescent="0.2">
      <c r="C227">
        <v>24</v>
      </c>
      <c r="D227" s="91">
        <f>IF(C227&lt;=ProjectData!B$80,-ISPMT(ProjectData!B$81,C227,ProjectData!B$80,ProjectData!B$79*ProjectData!B$52),0)</f>
        <v>0</v>
      </c>
      <c r="E227" s="91">
        <f>IF(C227&lt;=ProjectData!B$80,-PPMT(ProjectData!B$81,C227,ProjectData!B$80,ProjectData!B$52*ProjectData!B$79),0)</f>
        <v>0</v>
      </c>
      <c r="F227" s="91">
        <f t="shared" si="76"/>
        <v>0</v>
      </c>
      <c r="H227">
        <v>24</v>
      </c>
      <c r="I227" s="91">
        <f>IF(H227&lt;=ProjectData!B$87,-ISPMT(ProjectData!B$86,H227,ProjectData!B$87,ProjectData!B$52*ProjectData!B$83*ProjectData!B$84),0)</f>
        <v>0</v>
      </c>
      <c r="J227" s="91">
        <f>IF(H227&lt;=ProjectData!B$87,-PPMT(ProjectData!B$86,H227,ProjectData!B$87,ProjectData!B$83*ProjectData!B$52*ProjectData!B$84),0)</f>
        <v>0</v>
      </c>
      <c r="K227" s="91">
        <f t="shared" si="77"/>
        <v>0</v>
      </c>
      <c r="M227">
        <v>24</v>
      </c>
      <c r="N227" s="91">
        <f>IF(M227&lt;=ProjectData!$B$87,-ISPMT(ProjectData!$B$86,M227,ProjectData!$B$87,ProjectData!$B$52*ProjectData!$B$83*ProjectData!$B$85),0)</f>
        <v>0</v>
      </c>
      <c r="O227" s="91">
        <f>IF(M227&lt;=ProjectData!$B$87,-PPMT(ProjectData!$B$86,M227,ProjectData!$B$87,ProjectData!$B$83*ProjectData!$B$52*ProjectData!$B$85),0)</f>
        <v>0</v>
      </c>
      <c r="P227" s="91">
        <f t="shared" si="78"/>
        <v>0</v>
      </c>
    </row>
    <row r="228" spans="3:57" x14ac:dyDescent="0.2">
      <c r="C228">
        <v>25</v>
      </c>
      <c r="D228" s="91">
        <f>IF(C228&lt;=ProjectData!B$80,-ISPMT(ProjectData!B$81,C228,ProjectData!B$80,ProjectData!B$79*ProjectData!B$52),0)</f>
        <v>0</v>
      </c>
      <c r="E228" s="91">
        <f>IF(C228&lt;=ProjectData!B$80,-PPMT(ProjectData!B$81,C228,ProjectData!B$80,ProjectData!B$52*ProjectData!B$79),0)</f>
        <v>0</v>
      </c>
      <c r="F228" s="91">
        <f t="shared" si="76"/>
        <v>0</v>
      </c>
      <c r="H228">
        <v>25</v>
      </c>
      <c r="I228" s="91">
        <f>IF(H228&lt;=ProjectData!B$87,-ISPMT(ProjectData!B$86,H228,ProjectData!B$87,ProjectData!B$52*ProjectData!B$83*ProjectData!B$84),0)</f>
        <v>0</v>
      </c>
      <c r="J228" s="91">
        <f>IF(H228&lt;=ProjectData!B$87,-PPMT(ProjectData!B$86,H228,ProjectData!B$87,ProjectData!B$83*ProjectData!B$52*ProjectData!B$84),0)</f>
        <v>0</v>
      </c>
      <c r="K228" s="91">
        <f t="shared" si="77"/>
        <v>0</v>
      </c>
      <c r="M228">
        <v>25</v>
      </c>
      <c r="N228" s="91">
        <f>IF(M228&lt;=ProjectData!$B$87,-ISPMT(ProjectData!$B$86,M228,ProjectData!$B$87,ProjectData!$B$52*ProjectData!$B$83*ProjectData!$B$85),0)</f>
        <v>0</v>
      </c>
      <c r="O228" s="91">
        <f>IF(M228&lt;=ProjectData!$B$87,-PPMT(ProjectData!$B$86,M228,ProjectData!$B$87,ProjectData!$B$83*ProjectData!$B$52*ProjectData!$B$85),0)</f>
        <v>0</v>
      </c>
      <c r="P228" s="91">
        <f t="shared" si="78"/>
        <v>0</v>
      </c>
    </row>
    <row r="229" spans="3:57" x14ac:dyDescent="0.2">
      <c r="C229">
        <v>26</v>
      </c>
      <c r="D229" s="91">
        <f>IF(C229&lt;=ProjectData!B$80,-ISPMT(ProjectData!B$81,C229,ProjectData!B$80,ProjectData!B$79*ProjectData!B$52),0)</f>
        <v>0</v>
      </c>
      <c r="E229" s="91">
        <f>IF(C229&lt;=ProjectData!B$80,-PPMT(ProjectData!B$81,C229,ProjectData!B$80,ProjectData!B$52*ProjectData!B$79),0)</f>
        <v>0</v>
      </c>
      <c r="F229" s="91">
        <f t="shared" si="76"/>
        <v>0</v>
      </c>
      <c r="H229">
        <v>26</v>
      </c>
      <c r="I229" s="91">
        <f>IF(H229&lt;=ProjectData!B$87,-ISPMT(ProjectData!B$86,H229,ProjectData!B$87,ProjectData!B$52*ProjectData!B$83*ProjectData!B$84),0)</f>
        <v>0</v>
      </c>
      <c r="J229" s="91">
        <f>IF(H229&lt;=ProjectData!B$87,-PPMT(ProjectData!B$86,H229,ProjectData!B$87,ProjectData!B$83*ProjectData!B$52*ProjectData!B$84),0)</f>
        <v>0</v>
      </c>
      <c r="K229" s="91">
        <f t="shared" si="77"/>
        <v>0</v>
      </c>
      <c r="M229">
        <v>26</v>
      </c>
      <c r="N229" s="91">
        <f>IF(M229&lt;=ProjectData!$B$87,-ISPMT(ProjectData!$B$86,M229,ProjectData!$B$87,ProjectData!$B$52*ProjectData!$B$83*ProjectData!$B$85),0)</f>
        <v>0</v>
      </c>
      <c r="O229" s="91">
        <f>IF(M229&lt;=ProjectData!$B$87,-PPMT(ProjectData!$B$86,M229,ProjectData!$B$87,ProjectData!$B$83*ProjectData!$B$52*ProjectData!$B$85),0)</f>
        <v>0</v>
      </c>
      <c r="P229" s="91">
        <f t="shared" si="78"/>
        <v>0</v>
      </c>
    </row>
    <row r="230" spans="3:57" x14ac:dyDescent="0.2">
      <c r="C230">
        <v>27</v>
      </c>
      <c r="D230" s="91">
        <f>IF(C230&lt;=ProjectData!B$80,-ISPMT(ProjectData!B$81,C230,ProjectData!B$80,ProjectData!B$79*ProjectData!B$52),0)</f>
        <v>0</v>
      </c>
      <c r="E230" s="91">
        <f>IF(C230&lt;=ProjectData!B$80,-PPMT(ProjectData!B$81,C230,ProjectData!B$80,ProjectData!B$52*ProjectData!B$79),0)</f>
        <v>0</v>
      </c>
      <c r="F230" s="91">
        <f t="shared" si="76"/>
        <v>0</v>
      </c>
      <c r="H230">
        <v>27</v>
      </c>
      <c r="I230" s="91">
        <f>IF(H230&lt;=ProjectData!B$87,-ISPMT(ProjectData!B$86,H230,ProjectData!B$87,ProjectData!B$52*ProjectData!B$83*ProjectData!B$84),0)</f>
        <v>0</v>
      </c>
      <c r="J230" s="91">
        <f>IF(H230&lt;=ProjectData!B$87,-PPMT(ProjectData!B$86,H230,ProjectData!B$87,ProjectData!B$83*ProjectData!B$52*ProjectData!B$84),0)</f>
        <v>0</v>
      </c>
      <c r="K230" s="91">
        <f t="shared" si="77"/>
        <v>0</v>
      </c>
      <c r="M230">
        <v>27</v>
      </c>
      <c r="N230" s="91">
        <f>IF(M230&lt;=ProjectData!$B$87,-ISPMT(ProjectData!$B$86,M230,ProjectData!$B$87,ProjectData!$B$52*ProjectData!$B$83*ProjectData!$B$85),0)</f>
        <v>0</v>
      </c>
      <c r="O230" s="91">
        <f>IF(M230&lt;=ProjectData!$B$87,-PPMT(ProjectData!$B$86,M230,ProjectData!$B$87,ProjectData!$B$83*ProjectData!$B$52*ProjectData!$B$85),0)</f>
        <v>0</v>
      </c>
      <c r="P230" s="91">
        <f t="shared" si="78"/>
        <v>0</v>
      </c>
    </row>
    <row r="231" spans="3:57" x14ac:dyDescent="0.2">
      <c r="C231">
        <v>28</v>
      </c>
      <c r="D231" s="91">
        <f>IF(C231&lt;=ProjectData!B$80,-ISPMT(ProjectData!B$81,C231,ProjectData!B$80,ProjectData!B$79*ProjectData!B$52),0)</f>
        <v>0</v>
      </c>
      <c r="E231" s="91">
        <f>IF(C231&lt;=ProjectData!B$80,-PPMT(ProjectData!B$81,C231,ProjectData!B$80,ProjectData!B$52*ProjectData!B$79),0)</f>
        <v>0</v>
      </c>
      <c r="F231" s="91">
        <f t="shared" si="76"/>
        <v>0</v>
      </c>
      <c r="H231">
        <v>28</v>
      </c>
      <c r="I231" s="91">
        <f>IF(H231&lt;=ProjectData!B$87,-ISPMT(ProjectData!B$86,H231,ProjectData!B$87,ProjectData!B$52*ProjectData!B$83*ProjectData!B$84),0)</f>
        <v>0</v>
      </c>
      <c r="J231" s="91">
        <f>IF(H231&lt;=ProjectData!B$87,-PPMT(ProjectData!B$86,H231,ProjectData!B$87,ProjectData!B$83*ProjectData!B$52*ProjectData!B$84),0)</f>
        <v>0</v>
      </c>
      <c r="K231" s="91">
        <f t="shared" si="77"/>
        <v>0</v>
      </c>
      <c r="M231">
        <v>28</v>
      </c>
      <c r="N231" s="91">
        <f>IF(M231&lt;=ProjectData!$B$87,-ISPMT(ProjectData!$B$86,M231,ProjectData!$B$87,ProjectData!$B$52*ProjectData!$B$83*ProjectData!$B$85),0)</f>
        <v>0</v>
      </c>
      <c r="O231" s="91">
        <f>IF(M231&lt;=ProjectData!$B$87,-PPMT(ProjectData!$B$86,M231,ProjectData!$B$87,ProjectData!$B$83*ProjectData!$B$52*ProjectData!$B$85),0)</f>
        <v>0</v>
      </c>
      <c r="P231" s="91">
        <f t="shared" si="78"/>
        <v>0</v>
      </c>
    </row>
    <row r="232" spans="3:57" x14ac:dyDescent="0.2">
      <c r="C232">
        <v>29</v>
      </c>
      <c r="D232" s="91">
        <f>IF(C232&lt;=ProjectData!B$80,-ISPMT(ProjectData!B$81,C232,ProjectData!B$80,ProjectData!B$79*ProjectData!B$52),0)</f>
        <v>0</v>
      </c>
      <c r="E232" s="91">
        <f>IF(C232&lt;=ProjectData!B$80,-PPMT(ProjectData!B$81,C232,ProjectData!B$80,ProjectData!B$52*ProjectData!B$79),0)</f>
        <v>0</v>
      </c>
      <c r="F232" s="91">
        <f t="shared" si="76"/>
        <v>0</v>
      </c>
      <c r="H232">
        <v>29</v>
      </c>
      <c r="I232" s="91">
        <f>IF(H232&lt;=ProjectData!B$87,-ISPMT(ProjectData!B$86,H232,ProjectData!B$87,ProjectData!B$52*ProjectData!B$83*ProjectData!B$84),0)</f>
        <v>0</v>
      </c>
      <c r="J232" s="91">
        <f>IF(H232&lt;=ProjectData!B$87,-PPMT(ProjectData!B$86,H232,ProjectData!B$87,ProjectData!B$83*ProjectData!B$52*ProjectData!B$84),0)</f>
        <v>0</v>
      </c>
      <c r="K232" s="91">
        <f t="shared" si="77"/>
        <v>0</v>
      </c>
      <c r="M232">
        <v>29</v>
      </c>
      <c r="N232" s="91">
        <f>IF(M232&lt;=ProjectData!$B$87,-ISPMT(ProjectData!$B$86,M232,ProjectData!$B$87,ProjectData!$B$52*ProjectData!$B$83*ProjectData!$B$85),0)</f>
        <v>0</v>
      </c>
      <c r="O232" s="91">
        <f>IF(M232&lt;=ProjectData!$B$87,-PPMT(ProjectData!$B$86,M232,ProjectData!$B$87,ProjectData!$B$83*ProjectData!$B$52*ProjectData!$B$85),0)</f>
        <v>0</v>
      </c>
      <c r="P232" s="91">
        <f t="shared" si="78"/>
        <v>0</v>
      </c>
    </row>
    <row r="233" spans="3:57" x14ac:dyDescent="0.2">
      <c r="C233">
        <v>30</v>
      </c>
      <c r="D233" s="91">
        <f>IF(C233&lt;=ProjectData!B$80,-ISPMT(ProjectData!B$81,C233,ProjectData!B$80,ProjectData!B$79*ProjectData!B$52),0)</f>
        <v>0</v>
      </c>
      <c r="E233" s="91">
        <f>IF(C233&lt;=ProjectData!B$80,-PPMT(ProjectData!B$81,C233,ProjectData!B$80,ProjectData!B$52*ProjectData!B$79),0)</f>
        <v>0</v>
      </c>
      <c r="F233" s="91">
        <f t="shared" si="76"/>
        <v>0</v>
      </c>
      <c r="H233">
        <v>30</v>
      </c>
      <c r="I233" s="91">
        <f>IF(H233&lt;=ProjectData!B$87,-ISPMT(ProjectData!B$86,H233,ProjectData!B$87,ProjectData!B$52*ProjectData!B$83*ProjectData!B$84),0)</f>
        <v>0</v>
      </c>
      <c r="J233" s="91">
        <f>IF(H233&lt;=ProjectData!B$87,-PPMT(ProjectData!B$86,H233,ProjectData!B$87,ProjectData!B$83*ProjectData!B$52*ProjectData!B$84),0)</f>
        <v>0</v>
      </c>
      <c r="K233" s="91">
        <f t="shared" si="77"/>
        <v>0</v>
      </c>
      <c r="M233">
        <v>30</v>
      </c>
      <c r="N233" s="91">
        <f>IF(M233&lt;=ProjectData!$B$87,-ISPMT(ProjectData!$B$86,M233,ProjectData!$B$87,ProjectData!$B$52*ProjectData!$B$83*ProjectData!$B$85),0)</f>
        <v>0</v>
      </c>
      <c r="O233" s="91">
        <f>IF(M233&lt;=ProjectData!$B$87,-PPMT(ProjectData!$B$86,M233,ProjectData!$B$87,ProjectData!$B$83*ProjectData!$B$52*ProjectData!$B$85),0)</f>
        <v>0</v>
      </c>
      <c r="P233" s="91">
        <f t="shared" si="78"/>
        <v>0</v>
      </c>
    </row>
    <row r="234" spans="3:57" x14ac:dyDescent="0.2">
      <c r="C234" t="s">
        <v>0</v>
      </c>
      <c r="D234" s="91">
        <f>SUM(D204:D233)</f>
        <v>475000000</v>
      </c>
      <c r="E234" s="91">
        <f>SUM(E204:E233)</f>
        <v>500000000.00000006</v>
      </c>
      <c r="F234" s="91">
        <f t="shared" si="76"/>
        <v>975000000</v>
      </c>
      <c r="H234" t="s">
        <v>0</v>
      </c>
      <c r="I234" s="91">
        <f>SUM(I204:I233)</f>
        <v>0</v>
      </c>
      <c r="J234" s="91">
        <f>SUM(J204:J233)</f>
        <v>0</v>
      </c>
      <c r="K234" s="91">
        <f t="shared" si="77"/>
        <v>0</v>
      </c>
      <c r="M234" t="s">
        <v>0</v>
      </c>
      <c r="N234" s="91">
        <f>SUM(N204:N233)</f>
        <v>89999999.999999985</v>
      </c>
      <c r="O234" s="91">
        <f>SUM(O204:O233)</f>
        <v>125000000</v>
      </c>
      <c r="P234" s="91">
        <f t="shared" si="78"/>
        <v>215000000</v>
      </c>
    </row>
    <row r="235" spans="3:57" x14ac:dyDescent="0.2">
      <c r="C235" t="s">
        <v>179</v>
      </c>
      <c r="D235" s="91">
        <f>D234/ProjectData!B80</f>
        <v>23750000</v>
      </c>
      <c r="E235" s="91">
        <f>E234/ProjectData!B80</f>
        <v>25000000.000000004</v>
      </c>
      <c r="F235" s="91">
        <f t="shared" si="76"/>
        <v>48750000</v>
      </c>
      <c r="H235" t="s">
        <v>179</v>
      </c>
      <c r="I235" s="91">
        <f>I234/ProjectData!B87</f>
        <v>0</v>
      </c>
      <c r="J235" s="91">
        <f>J234/ProjectData!B87</f>
        <v>0</v>
      </c>
      <c r="K235" s="91">
        <f t="shared" si="77"/>
        <v>0</v>
      </c>
      <c r="M235" t="s">
        <v>179</v>
      </c>
      <c r="N235" s="91">
        <f>N234/ProjectData!B87</f>
        <v>8999999.9999999981</v>
      </c>
      <c r="O235" s="91">
        <f>O234/ProjectData!B87</f>
        <v>12500000</v>
      </c>
      <c r="P235" s="91">
        <f t="shared" si="78"/>
        <v>21500000</v>
      </c>
    </row>
    <row r="236" spans="3:57" x14ac:dyDescent="0.2">
      <c r="D236" s="91"/>
      <c r="E236" s="91"/>
      <c r="F236" s="91"/>
      <c r="I236" s="91"/>
      <c r="J236" s="91"/>
      <c r="K236" s="91"/>
      <c r="N236" s="91"/>
      <c r="O236" s="91"/>
      <c r="P236" s="91"/>
    </row>
    <row r="238" spans="3:57" ht="15.75" customHeight="1" x14ac:dyDescent="0.2">
      <c r="D238" t="s">
        <v>50</v>
      </c>
      <c r="E238" t="s">
        <v>51</v>
      </c>
      <c r="F238" t="s">
        <v>52</v>
      </c>
      <c r="G238" t="s">
        <v>53</v>
      </c>
      <c r="H238" t="s">
        <v>54</v>
      </c>
      <c r="I238" t="s">
        <v>55</v>
      </c>
      <c r="J238" t="s">
        <v>56</v>
      </c>
      <c r="K238" t="s">
        <v>57</v>
      </c>
      <c r="L238" t="s">
        <v>58</v>
      </c>
      <c r="M238" t="s">
        <v>59</v>
      </c>
      <c r="N238" t="s">
        <v>60</v>
      </c>
      <c r="O238" t="s">
        <v>61</v>
      </c>
      <c r="P238" t="s">
        <v>62</v>
      </c>
      <c r="Q238" t="s">
        <v>63</v>
      </c>
      <c r="R238" t="s">
        <v>64</v>
      </c>
      <c r="S238" t="s">
        <v>65</v>
      </c>
      <c r="T238" t="s">
        <v>66</v>
      </c>
      <c r="U238" t="s">
        <v>67</v>
      </c>
      <c r="V238" t="s">
        <v>68</v>
      </c>
      <c r="W238" t="s">
        <v>69</v>
      </c>
      <c r="X238" t="s">
        <v>70</v>
      </c>
      <c r="Y238" t="s">
        <v>71</v>
      </c>
      <c r="Z238" t="s">
        <v>72</v>
      </c>
      <c r="AA238" t="s">
        <v>73</v>
      </c>
      <c r="AB238" t="s">
        <v>74</v>
      </c>
      <c r="AC238" t="s">
        <v>75</v>
      </c>
      <c r="AD238" t="s">
        <v>76</v>
      </c>
      <c r="AE238" s="38" t="s">
        <v>233</v>
      </c>
      <c r="AF238" s="38" t="s">
        <v>232</v>
      </c>
      <c r="AG238" t="s">
        <v>77</v>
      </c>
      <c r="AH238" t="s">
        <v>78</v>
      </c>
      <c r="AI238" t="s">
        <v>79</v>
      </c>
      <c r="AJ238" t="s">
        <v>80</v>
      </c>
      <c r="AK238" t="s">
        <v>81</v>
      </c>
      <c r="AL238" t="s">
        <v>82</v>
      </c>
      <c r="AM238" t="s">
        <v>83</v>
      </c>
      <c r="AN238" t="s">
        <v>84</v>
      </c>
      <c r="AO238" t="s">
        <v>85</v>
      </c>
      <c r="AP238" t="s">
        <v>86</v>
      </c>
      <c r="AQ238" t="s">
        <v>87</v>
      </c>
      <c r="AR238" t="s">
        <v>88</v>
      </c>
      <c r="AS238" t="s">
        <v>89</v>
      </c>
      <c r="AT238" t="s">
        <v>90</v>
      </c>
      <c r="AU238" t="s">
        <v>91</v>
      </c>
      <c r="AV238" t="s">
        <v>92</v>
      </c>
      <c r="AW238" t="s">
        <v>93</v>
      </c>
      <c r="AX238" s="273" t="s">
        <v>394</v>
      </c>
      <c r="AY238" t="s">
        <v>94</v>
      </c>
      <c r="AZ238" t="s">
        <v>95</v>
      </c>
      <c r="BA238" t="s">
        <v>96</v>
      </c>
      <c r="BB238" t="s">
        <v>97</v>
      </c>
      <c r="BC238" t="s">
        <v>98</v>
      </c>
      <c r="BD238" t="s">
        <v>99</v>
      </c>
      <c r="BE238" t="s">
        <v>49</v>
      </c>
    </row>
    <row r="239" spans="3:57" ht="45" x14ac:dyDescent="0.2">
      <c r="C239" s="6" t="s">
        <v>464</v>
      </c>
      <c r="D239" s="354">
        <v>4.2023346303501947</v>
      </c>
      <c r="E239" s="354">
        <v>5</v>
      </c>
      <c r="F239" s="354">
        <v>4.027237354085603</v>
      </c>
      <c r="G239" s="354">
        <v>4.027237354085603</v>
      </c>
      <c r="H239" s="354">
        <v>4.2315175097276256</v>
      </c>
      <c r="I239" s="354">
        <v>4.0661478599221788</v>
      </c>
      <c r="J239" s="354">
        <v>4.7762645914396886</v>
      </c>
      <c r="K239" s="354">
        <v>4.2704280155642023</v>
      </c>
      <c r="L239" s="354">
        <v>0</v>
      </c>
      <c r="M239" s="354">
        <v>7.5875486381322954</v>
      </c>
      <c r="N239" s="354">
        <v>4.4747081712062249</v>
      </c>
      <c r="O239" s="354">
        <v>0</v>
      </c>
      <c r="P239" s="354">
        <v>3.9295381492133306</v>
      </c>
      <c r="Q239" s="354">
        <v>4.4163424124513622</v>
      </c>
      <c r="R239" s="354">
        <v>4.5330739299610894</v>
      </c>
      <c r="S239" s="354">
        <v>5.1750972762645917</v>
      </c>
      <c r="T239" s="354">
        <v>3.9785992217898829</v>
      </c>
      <c r="U239" s="354">
        <v>7.091439688715953</v>
      </c>
      <c r="V239" s="354">
        <v>4.2023346303501947</v>
      </c>
      <c r="W239" s="354">
        <v>5.1850000318416569</v>
      </c>
      <c r="X239" s="354">
        <v>5.3696498054474704</v>
      </c>
      <c r="Y239" s="354">
        <v>4.7957198443579765</v>
      </c>
      <c r="Z239" s="354">
        <v>4.4552529182879379</v>
      </c>
      <c r="AA239" s="354">
        <v>4.6984435797665371</v>
      </c>
      <c r="AB239" s="354">
        <v>4.2023346303501947</v>
      </c>
      <c r="AC239" s="354">
        <v>4.1731517509727629</v>
      </c>
      <c r="AD239" s="354">
        <v>5.9533073929961091</v>
      </c>
      <c r="AE239" s="279">
        <f>'User Add-in Location'!B5</f>
        <v>0</v>
      </c>
      <c r="AF239" s="279">
        <f>'User Add-in Location'!B5</f>
        <v>0</v>
      </c>
      <c r="AG239" s="354">
        <v>5.8754863813229568</v>
      </c>
      <c r="AH239" s="354">
        <v>5.2431906614785984</v>
      </c>
      <c r="AI239" s="354">
        <v>5.2738538318389443</v>
      </c>
      <c r="AJ239" s="354">
        <v>5.1848249027237356</v>
      </c>
      <c r="AK239" s="354">
        <v>4.9027237354085607</v>
      </c>
      <c r="AL239" s="354">
        <v>5.0972762645914393</v>
      </c>
      <c r="AM239" s="354">
        <v>3.6089494163424125</v>
      </c>
      <c r="AN239" s="354">
        <v>6.108949416342413</v>
      </c>
      <c r="AO239" s="354">
        <v>4.309338521400778</v>
      </c>
      <c r="AP239" s="354">
        <v>3.82295719844358</v>
      </c>
      <c r="AQ239" s="354">
        <v>4.1342412451361863</v>
      </c>
      <c r="AR239" s="354">
        <v>4.4747081712062249</v>
      </c>
      <c r="AS239" s="354">
        <v>4.8443579766536971</v>
      </c>
      <c r="AT239" s="354">
        <v>3.9883268482490268</v>
      </c>
      <c r="AU239" s="354">
        <v>4.6595330739299614</v>
      </c>
      <c r="AV239" s="354">
        <v>4.1622081712062249</v>
      </c>
      <c r="AW239" s="354">
        <v>3.8618677042801557</v>
      </c>
      <c r="AX239" s="354">
        <v>4.7568093385214008</v>
      </c>
      <c r="AY239" s="354">
        <v>5.7779722128235482</v>
      </c>
      <c r="AZ239" s="354">
        <v>5.5058365758754864</v>
      </c>
      <c r="BA239" s="354">
        <v>4.5719844357976651</v>
      </c>
      <c r="BB239" s="354">
        <v>5.2431906614785984</v>
      </c>
      <c r="BC239" s="354">
        <v>6.1478599221789887</v>
      </c>
      <c r="BD239" s="354">
        <v>4.6692607003891045</v>
      </c>
      <c r="BE239" s="354">
        <v>3.2517031959904257</v>
      </c>
    </row>
    <row r="240" spans="3:57" ht="45" x14ac:dyDescent="0.2">
      <c r="C240" s="6" t="s">
        <v>399</v>
      </c>
      <c r="D240" s="20">
        <f>DefaultData!D9*Deflators!F7</f>
        <v>3.4932345360824746</v>
      </c>
      <c r="AX240" s="273"/>
    </row>
    <row r="241" spans="3:50" ht="30" x14ac:dyDescent="0.2">
      <c r="C241" s="6" t="s">
        <v>465</v>
      </c>
      <c r="D241" s="38">
        <f>IF(D240&lt;D243,1,D243/D240)</f>
        <v>0.93036982384948808</v>
      </c>
      <c r="E241" s="14"/>
      <c r="AX241" s="273"/>
    </row>
    <row r="242" spans="3:50" x14ac:dyDescent="0.2">
      <c r="AX242" s="273"/>
    </row>
    <row r="243" spans="3:50" ht="15" x14ac:dyDescent="0.2">
      <c r="C243" s="6" t="s">
        <v>400</v>
      </c>
      <c r="D243" s="20">
        <f>ROUND(HLOOKUP(Calculations!$E$1,Calculations!$D$238:$BE$239,2),2)</f>
        <v>3.25</v>
      </c>
      <c r="E243" s="20"/>
      <c r="AX243" s="273"/>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85" max="16383" man="1"/>
  </rowBreaks>
  <colBreaks count="2" manualBreakCount="2">
    <brk id="24" max="1048575" man="1"/>
    <brk id="30" max="1048575" man="1"/>
  </colBreaks>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9"/>
  <sheetViews>
    <sheetView workbookViewId="0">
      <selection activeCell="H1" sqref="H1"/>
    </sheetView>
  </sheetViews>
  <sheetFormatPr defaultRowHeight="12.75" x14ac:dyDescent="0.2"/>
  <cols>
    <col min="1" max="1" width="207" style="275" customWidth="1"/>
    <col min="2" max="2" width="22.140625" customWidth="1"/>
    <col min="3" max="3" width="27.42578125" customWidth="1"/>
    <col min="4" max="4" width="8.28515625" style="65" customWidth="1"/>
    <col min="5" max="9" width="9.140625" style="65"/>
    <col min="10" max="10" width="11" style="65" customWidth="1"/>
    <col min="11" max="24" width="9.140625" style="65"/>
    <col min="25" max="25" width="13.5703125" style="65" customWidth="1"/>
    <col min="26" max="26" width="9.140625" style="65"/>
    <col min="27" max="27" width="11" style="65" customWidth="1"/>
    <col min="28" max="28" width="10.28515625" style="65" customWidth="1"/>
    <col min="29" max="43" width="9.140625" style="65"/>
    <col min="44" max="45" width="11.7109375" style="65" customWidth="1"/>
    <col min="46" max="57" width="9.140625" style="65"/>
  </cols>
  <sheetData>
    <row r="1" spans="1:57" ht="15.75" x14ac:dyDescent="0.25">
      <c r="A1" s="284"/>
      <c r="B1" s="416"/>
      <c r="C1" s="86" t="s">
        <v>161</v>
      </c>
      <c r="G1" s="385"/>
    </row>
    <row r="2" spans="1:57" x14ac:dyDescent="0.2">
      <c r="A2" s="284"/>
      <c r="B2" s="416"/>
      <c r="C2" s="1" t="s">
        <v>246</v>
      </c>
      <c r="D2" s="423">
        <v>2014</v>
      </c>
      <c r="E2" s="424"/>
      <c r="F2" s="424"/>
      <c r="G2" s="424"/>
      <c r="H2" s="424"/>
      <c r="I2" s="424"/>
      <c r="J2" s="424"/>
      <c r="K2" s="424"/>
      <c r="L2" s="424"/>
      <c r="M2" s="424"/>
      <c r="N2" s="424"/>
      <c r="O2" s="424"/>
      <c r="P2" s="424"/>
      <c r="Q2" s="424"/>
      <c r="R2" s="424"/>
      <c r="S2" s="424"/>
      <c r="T2" s="424"/>
      <c r="U2" s="424"/>
      <c r="V2" s="424"/>
      <c r="W2" s="424"/>
      <c r="X2" s="424"/>
      <c r="Y2" s="424"/>
      <c r="Z2" s="424"/>
      <c r="AA2" s="424"/>
      <c r="AB2" s="424"/>
      <c r="AC2" s="424"/>
      <c r="AD2" s="424"/>
    </row>
    <row r="3" spans="1:57" x14ac:dyDescent="0.2">
      <c r="A3" s="284"/>
      <c r="B3" s="416"/>
      <c r="C3" s="17" t="s">
        <v>198</v>
      </c>
      <c r="D3" s="424"/>
      <c r="E3" s="424"/>
      <c r="F3" s="424"/>
      <c r="G3" s="424"/>
      <c r="H3" s="424"/>
      <c r="I3" s="424"/>
      <c r="J3" s="424"/>
      <c r="K3" s="424"/>
      <c r="L3" s="424"/>
      <c r="M3" s="424"/>
      <c r="N3" s="424"/>
      <c r="O3" s="424"/>
      <c r="P3" s="424"/>
      <c r="Q3" s="424"/>
      <c r="R3" s="424"/>
      <c r="S3" s="424"/>
      <c r="T3" s="424"/>
      <c r="U3" s="424"/>
      <c r="V3" s="424"/>
      <c r="W3" s="424"/>
      <c r="X3" s="424"/>
      <c r="Y3" s="424"/>
      <c r="Z3" s="424"/>
      <c r="AA3" s="424"/>
      <c r="AB3" s="424"/>
      <c r="AC3" s="424"/>
      <c r="AD3" s="424"/>
    </row>
    <row r="4" spans="1:57" x14ac:dyDescent="0.2">
      <c r="A4" s="284"/>
      <c r="B4" s="416"/>
      <c r="C4" s="127" t="s">
        <v>203</v>
      </c>
      <c r="D4" s="424" t="s">
        <v>50</v>
      </c>
      <c r="E4" s="422" t="s">
        <v>51</v>
      </c>
      <c r="F4" s="422" t="s">
        <v>52</v>
      </c>
      <c r="G4" s="422" t="s">
        <v>53</v>
      </c>
      <c r="H4" s="422" t="s">
        <v>54</v>
      </c>
      <c r="I4" s="422" t="s">
        <v>55</v>
      </c>
      <c r="J4" s="422" t="s">
        <v>56</v>
      </c>
      <c r="K4" s="422" t="s">
        <v>57</v>
      </c>
      <c r="L4" s="422" t="s">
        <v>58</v>
      </c>
      <c r="M4" s="422" t="s">
        <v>59</v>
      </c>
      <c r="N4" s="422" t="s">
        <v>60</v>
      </c>
      <c r="O4" s="422" t="s">
        <v>61</v>
      </c>
      <c r="P4" s="422" t="s">
        <v>62</v>
      </c>
      <c r="Q4" s="422" t="s">
        <v>63</v>
      </c>
      <c r="R4" s="422" t="s">
        <v>64</v>
      </c>
      <c r="S4" s="422" t="s">
        <v>65</v>
      </c>
      <c r="T4" s="422" t="s">
        <v>66</v>
      </c>
      <c r="U4" s="422" t="s">
        <v>67</v>
      </c>
      <c r="V4" s="422" t="s">
        <v>68</v>
      </c>
      <c r="W4" s="422" t="s">
        <v>69</v>
      </c>
      <c r="X4" s="422" t="s">
        <v>70</v>
      </c>
      <c r="Y4" s="422" t="s">
        <v>71</v>
      </c>
      <c r="Z4" s="422" t="s">
        <v>72</v>
      </c>
      <c r="AA4" s="422" t="s">
        <v>73</v>
      </c>
      <c r="AB4" s="422" t="s">
        <v>74</v>
      </c>
      <c r="AC4" s="422" t="s">
        <v>75</v>
      </c>
      <c r="AD4" s="422" t="s">
        <v>76</v>
      </c>
      <c r="AE4" s="65" t="s">
        <v>233</v>
      </c>
      <c r="AF4" s="65" t="s">
        <v>232</v>
      </c>
      <c r="AG4" s="65" t="s">
        <v>77</v>
      </c>
      <c r="AH4" s="65" t="s">
        <v>78</v>
      </c>
      <c r="AI4" s="65" t="s">
        <v>79</v>
      </c>
      <c r="AJ4" s="65" t="s">
        <v>80</v>
      </c>
      <c r="AK4" s="65" t="s">
        <v>81</v>
      </c>
      <c r="AL4" s="65" t="s">
        <v>82</v>
      </c>
      <c r="AM4" s="65" t="s">
        <v>83</v>
      </c>
      <c r="AN4" s="65" t="s">
        <v>84</v>
      </c>
      <c r="AO4" s="65" t="s">
        <v>85</v>
      </c>
      <c r="AP4" s="65" t="s">
        <v>86</v>
      </c>
      <c r="AQ4" s="65" t="s">
        <v>87</v>
      </c>
      <c r="AR4" s="65" t="s">
        <v>88</v>
      </c>
      <c r="AS4" s="65" t="s">
        <v>89</v>
      </c>
      <c r="AT4" s="65" t="s">
        <v>90</v>
      </c>
      <c r="AU4" s="65" t="s">
        <v>91</v>
      </c>
      <c r="AV4" s="65" t="s">
        <v>92</v>
      </c>
      <c r="AW4" s="65" t="s">
        <v>93</v>
      </c>
      <c r="AX4" s="386" t="s">
        <v>394</v>
      </c>
      <c r="AY4" s="65" t="s">
        <v>94</v>
      </c>
      <c r="AZ4" s="65" t="s">
        <v>95</v>
      </c>
      <c r="BA4" s="65" t="s">
        <v>96</v>
      </c>
      <c r="BB4" s="65" t="s">
        <v>97</v>
      </c>
      <c r="BC4" s="65" t="s">
        <v>98</v>
      </c>
      <c r="BD4" s="65" t="s">
        <v>99</v>
      </c>
      <c r="BE4" s="65" t="s">
        <v>49</v>
      </c>
    </row>
    <row r="5" spans="1:57" ht="23.25" x14ac:dyDescent="0.35">
      <c r="A5" s="285" t="s">
        <v>406</v>
      </c>
      <c r="B5" s="416"/>
      <c r="C5" s="6" t="s">
        <v>44</v>
      </c>
      <c r="D5" s="424">
        <v>6.5663015045558328</v>
      </c>
      <c r="E5" s="422">
        <v>15.007987862510836</v>
      </c>
      <c r="F5" s="422">
        <v>7.0846371347429953</v>
      </c>
      <c r="G5" s="422">
        <v>4.826203119125676</v>
      </c>
      <c r="H5" s="422">
        <v>6.4064739508622397</v>
      </c>
      <c r="I5" s="422">
        <v>5.3327562463783602</v>
      </c>
      <c r="J5" s="422">
        <v>10.92911050768118</v>
      </c>
      <c r="K5" s="422">
        <v>2.1427253941237847</v>
      </c>
      <c r="L5" s="422">
        <v>32.548691043673088</v>
      </c>
      <c r="M5" s="422">
        <v>9.8466682201793301</v>
      </c>
      <c r="N5" s="422">
        <v>5.3003107956201037</v>
      </c>
      <c r="O5" s="422">
        <v>15.700155296893501</v>
      </c>
      <c r="P5" s="422">
        <v>4.3942043294119415</v>
      </c>
      <c r="Q5" s="422">
        <v>3.9758007039236603</v>
      </c>
      <c r="R5" s="422">
        <v>4.9259886709375857</v>
      </c>
      <c r="S5" s="422">
        <v>2.8565842192292377</v>
      </c>
      <c r="T5" s="422">
        <v>3.3648775995019649</v>
      </c>
      <c r="U5" s="422">
        <v>11.000360246278921</v>
      </c>
      <c r="V5" s="422">
        <v>8.0091573924269834</v>
      </c>
      <c r="W5" s="422">
        <v>12.25358869064806</v>
      </c>
      <c r="X5" s="422">
        <v>6.7707329622302233</v>
      </c>
      <c r="Y5" s="422">
        <v>14.203249702918191</v>
      </c>
      <c r="Z5" s="422">
        <v>7.4627809434201628</v>
      </c>
      <c r="AA5" s="422">
        <v>4.1832733089772223</v>
      </c>
      <c r="AB5" s="422">
        <v>5.943993733603512</v>
      </c>
      <c r="AC5" s="422">
        <v>8.0674112781942782</v>
      </c>
      <c r="AD5" s="422">
        <v>5.8716795525144336</v>
      </c>
      <c r="AE5" s="65">
        <f>'User Add-in Location'!B9</f>
        <v>0</v>
      </c>
      <c r="AF5" s="65">
        <f>'User Add-in Location'!C9</f>
        <v>0</v>
      </c>
      <c r="AG5" s="289">
        <v>1.94</v>
      </c>
      <c r="AH5" s="289">
        <v>5.0579999999999998</v>
      </c>
      <c r="AI5" s="289">
        <v>14.271000000000001</v>
      </c>
      <c r="AJ5" s="289">
        <v>14.398999999999999</v>
      </c>
      <c r="AK5" s="289">
        <v>7.2009999999999996</v>
      </c>
      <c r="AL5" s="289">
        <v>7.8479999999999999</v>
      </c>
      <c r="AM5" s="289">
        <v>4.6719999999999997</v>
      </c>
      <c r="AN5" s="289">
        <v>3.677</v>
      </c>
      <c r="AO5" s="289">
        <v>7.3890000000000002</v>
      </c>
      <c r="AP5" s="289">
        <v>9.5559999999999992</v>
      </c>
      <c r="AQ5" s="289">
        <v>10.974</v>
      </c>
      <c r="AR5" s="289">
        <v>7.9619999999999997</v>
      </c>
      <c r="AS5" s="289">
        <v>12.478</v>
      </c>
      <c r="AT5" s="289">
        <v>8.89</v>
      </c>
      <c r="AU5" s="289">
        <v>2.8740000000000001</v>
      </c>
      <c r="AV5" s="289">
        <v>14.212999999999999</v>
      </c>
      <c r="AW5" s="289">
        <v>9.0690000000000008</v>
      </c>
      <c r="AX5" s="289">
        <v>6.1849999999999996</v>
      </c>
      <c r="AY5" s="289">
        <v>6.9829999999999997</v>
      </c>
      <c r="AZ5" s="289">
        <v>8.7579999999999991</v>
      </c>
      <c r="BA5" s="289">
        <v>10.058999999999999</v>
      </c>
      <c r="BB5" s="289">
        <v>8.5530000000000008</v>
      </c>
      <c r="BC5" s="289">
        <v>18.068000000000001</v>
      </c>
      <c r="BD5" s="289">
        <v>6.0720000000000001</v>
      </c>
      <c r="BE5" s="289">
        <v>6.0869999999999997</v>
      </c>
    </row>
    <row r="6" spans="1:57" ht="15" x14ac:dyDescent="0.2">
      <c r="A6" s="284"/>
      <c r="B6" s="416"/>
      <c r="C6" s="6" t="s">
        <v>114</v>
      </c>
      <c r="D6" s="424">
        <v>2.1217253173606982</v>
      </c>
      <c r="E6" s="422">
        <v>1.1545064345650051</v>
      </c>
      <c r="F6" s="422">
        <v>2.2579208180524302</v>
      </c>
      <c r="G6" s="422">
        <v>3.3815852731898213</v>
      </c>
      <c r="H6" s="422">
        <v>1.9009331827578337</v>
      </c>
      <c r="I6" s="422">
        <v>2.4706544185030288</v>
      </c>
      <c r="J6" s="422">
        <v>4.560099781423375</v>
      </c>
      <c r="K6" s="422">
        <v>4.3441267428190811</v>
      </c>
      <c r="L6" s="422">
        <v>5.4270365894704629</v>
      </c>
      <c r="M6" s="422">
        <v>3.8621602818585825</v>
      </c>
      <c r="N6" s="422">
        <v>4.1706590237824814</v>
      </c>
      <c r="O6" s="422">
        <v>5.1325576339942822</v>
      </c>
      <c r="P6" s="422">
        <v>3.9741334224092788</v>
      </c>
      <c r="Q6" s="422">
        <v>2.9996732076009116</v>
      </c>
      <c r="R6" s="422">
        <v>2.5167932095734971</v>
      </c>
      <c r="S6" s="422">
        <v>4.7575558372165849</v>
      </c>
      <c r="T6" s="422">
        <v>4.8576760222946387</v>
      </c>
      <c r="U6" s="422">
        <v>2.209793768067291</v>
      </c>
      <c r="V6" s="422">
        <v>2.3092231612274614</v>
      </c>
      <c r="W6" s="422">
        <v>7.2698137863822607</v>
      </c>
      <c r="X6" s="422">
        <v>3.0838668795599453</v>
      </c>
      <c r="Y6" s="422">
        <v>3.9605628856714223</v>
      </c>
      <c r="Z6" s="422">
        <v>4.1434676681739697</v>
      </c>
      <c r="AA6" s="422">
        <v>2.3585410048996196</v>
      </c>
      <c r="AB6" s="422">
        <v>3.5617445102636367</v>
      </c>
      <c r="AC6" s="422">
        <v>3.0183302285014721</v>
      </c>
      <c r="AD6" s="422">
        <v>2.7152476241623149</v>
      </c>
      <c r="AE6" s="65">
        <f>'User Add-in Location'!B10</f>
        <v>0</v>
      </c>
      <c r="AF6" s="65">
        <f>'User Add-in Location'!C10</f>
        <v>0</v>
      </c>
      <c r="AG6" s="289">
        <v>4.3630000000000004</v>
      </c>
      <c r="AH6" s="289">
        <v>2.3149999999999999</v>
      </c>
      <c r="AI6" s="289">
        <v>5.0670000000000002</v>
      </c>
      <c r="AJ6" s="289">
        <v>3.7330000000000001</v>
      </c>
      <c r="AK6" s="289">
        <v>2.5870000000000002</v>
      </c>
      <c r="AL6" s="289">
        <v>5.274</v>
      </c>
      <c r="AM6" s="289">
        <v>3.4129999999999998</v>
      </c>
      <c r="AN6" s="289">
        <v>2.54</v>
      </c>
      <c r="AO6" s="289">
        <v>3.12</v>
      </c>
      <c r="AP6" s="289">
        <v>3.0840000000000001</v>
      </c>
      <c r="AQ6" s="289">
        <v>5.2889999999999997</v>
      </c>
      <c r="AR6" s="289">
        <v>2.2829999999999999</v>
      </c>
      <c r="AS6" s="289">
        <v>5.234</v>
      </c>
      <c r="AT6" s="289">
        <v>4.8479999999999999</v>
      </c>
      <c r="AU6" s="289">
        <v>4.9180000000000001</v>
      </c>
      <c r="AV6" s="289">
        <v>3.4889999999999999</v>
      </c>
      <c r="AW6" s="289">
        <v>1.8759999999999999</v>
      </c>
      <c r="AX6" s="289">
        <v>2.3010000000000002</v>
      </c>
      <c r="AY6" s="289">
        <v>2.6859999999999999</v>
      </c>
      <c r="AZ6" s="289">
        <v>4.407</v>
      </c>
      <c r="BA6" s="289">
        <v>2.472</v>
      </c>
      <c r="BB6" s="289">
        <v>4.319</v>
      </c>
      <c r="BC6" s="289">
        <v>2.09</v>
      </c>
      <c r="BD6" s="289">
        <v>3.8079999999999998</v>
      </c>
      <c r="BE6" s="289">
        <v>1.6919999999999999</v>
      </c>
    </row>
    <row r="7" spans="1:57" ht="15.75" x14ac:dyDescent="0.25">
      <c r="A7" s="286" t="s">
        <v>407</v>
      </c>
      <c r="B7" s="416"/>
      <c r="C7" s="6" t="s">
        <v>45</v>
      </c>
      <c r="D7" s="424">
        <v>5.658464877060176</v>
      </c>
      <c r="E7" s="422">
        <v>4.6057365049848489</v>
      </c>
      <c r="F7" s="422">
        <v>5.4247639321272834</v>
      </c>
      <c r="G7" s="422">
        <v>5.8646477205794563</v>
      </c>
      <c r="H7" s="422">
        <v>5.2907700337789363</v>
      </c>
      <c r="I7" s="422">
        <v>5.6488630133970359</v>
      </c>
      <c r="J7" s="422">
        <v>5.1653000162932292</v>
      </c>
      <c r="K7" s="422">
        <v>5.7520762308525164</v>
      </c>
      <c r="L7" s="422">
        <v>5.1720714934127292</v>
      </c>
      <c r="M7" s="422">
        <v>5.6790833431967247</v>
      </c>
      <c r="N7" s="422">
        <v>5.6240884963707005</v>
      </c>
      <c r="O7" s="422">
        <v>4.7463855382954749</v>
      </c>
      <c r="P7" s="422">
        <v>6.1614920079593549</v>
      </c>
      <c r="Q7" s="422">
        <v>5.0767309134163812</v>
      </c>
      <c r="R7" s="422">
        <v>5.7371185378032488</v>
      </c>
      <c r="S7" s="422">
        <v>5.5983909679329757</v>
      </c>
      <c r="T7" s="422">
        <v>5.8302036251187861</v>
      </c>
      <c r="U7" s="422">
        <v>5.636659357350732</v>
      </c>
      <c r="V7" s="422">
        <v>5.4590925943538364</v>
      </c>
      <c r="W7" s="422">
        <v>6.0965794466917975</v>
      </c>
      <c r="X7" s="422">
        <v>5.3545600750139322</v>
      </c>
      <c r="Y7" s="422">
        <v>5.2317409317589663</v>
      </c>
      <c r="Z7" s="422">
        <v>5.6501982214357671</v>
      </c>
      <c r="AA7" s="422">
        <v>5.1408827060464866</v>
      </c>
      <c r="AB7" s="422">
        <v>5.6826704082238528</v>
      </c>
      <c r="AC7" s="422">
        <v>5.8122124012122924</v>
      </c>
      <c r="AD7" s="422">
        <v>5.7962149001328624</v>
      </c>
      <c r="AE7" s="65">
        <f>'User Add-in Location'!B11</f>
        <v>0</v>
      </c>
      <c r="AF7" s="65">
        <f>'User Add-in Location'!C11</f>
        <v>0</v>
      </c>
      <c r="AG7" s="289">
        <v>5.4740000000000002</v>
      </c>
      <c r="AH7" s="289">
        <v>5.32</v>
      </c>
      <c r="AI7" s="289">
        <v>5.7919999999999998</v>
      </c>
      <c r="AJ7" s="289">
        <v>4.9640000000000004</v>
      </c>
      <c r="AK7" s="289">
        <v>5.827</v>
      </c>
      <c r="AL7" s="289">
        <v>4.9779999999999998</v>
      </c>
      <c r="AM7" s="289">
        <v>5.8339999999999996</v>
      </c>
      <c r="AN7" s="289">
        <v>5.4089999999999998</v>
      </c>
      <c r="AO7" s="289">
        <v>5.69</v>
      </c>
      <c r="AP7" s="289">
        <v>5.7649999999999997</v>
      </c>
      <c r="AQ7" s="289">
        <v>5.6260000000000003</v>
      </c>
      <c r="AR7" s="289">
        <v>5.5750000000000002</v>
      </c>
      <c r="AS7" s="289">
        <v>5.0350000000000001</v>
      </c>
      <c r="AT7" s="289">
        <v>5.7249999999999996</v>
      </c>
      <c r="AU7" s="289">
        <v>6.0140000000000002</v>
      </c>
      <c r="AV7" s="289">
        <v>5.7830000000000004</v>
      </c>
      <c r="AW7" s="289">
        <v>5.1769999999999996</v>
      </c>
      <c r="AX7" s="289">
        <v>5.44</v>
      </c>
      <c r="AY7" s="289">
        <v>5.5940000000000003</v>
      </c>
      <c r="AZ7" s="289">
        <v>6.1529999999999996</v>
      </c>
      <c r="BA7" s="289">
        <v>5.649</v>
      </c>
      <c r="BB7" s="289">
        <v>5.2869999999999999</v>
      </c>
      <c r="BC7" s="289">
        <v>5.3819999999999997</v>
      </c>
      <c r="BD7" s="289">
        <v>5.6660000000000004</v>
      </c>
      <c r="BE7" s="289">
        <v>5.1479999999999997</v>
      </c>
    </row>
    <row r="8" spans="1:57" ht="15" x14ac:dyDescent="0.2">
      <c r="A8" s="287"/>
      <c r="B8" s="416"/>
      <c r="C8" s="6" t="s">
        <v>115</v>
      </c>
      <c r="D8" s="424">
        <v>1.722263429314655</v>
      </c>
      <c r="E8" s="422">
        <v>2.0265835353912882</v>
      </c>
      <c r="F8" s="422">
        <v>2.3565202617840009</v>
      </c>
      <c r="G8" s="422">
        <v>2.108720255723294</v>
      </c>
      <c r="H8" s="422">
        <v>1.7752462288891619</v>
      </c>
      <c r="I8" s="422">
        <v>2.0857658144441165</v>
      </c>
      <c r="J8" s="422">
        <v>2.1699844529286261</v>
      </c>
      <c r="K8" s="422">
        <v>1.5283380989668185</v>
      </c>
      <c r="L8" s="422">
        <v>3.0894862979584099</v>
      </c>
      <c r="M8" s="422">
        <v>2.4512487914785415</v>
      </c>
      <c r="N8" s="422">
        <v>1.9932190474384643</v>
      </c>
      <c r="O8" s="422">
        <v>1.9979140202041468</v>
      </c>
      <c r="P8" s="422">
        <v>1.9073630041483662</v>
      </c>
      <c r="Q8" s="422">
        <v>1.7154571321289029</v>
      </c>
      <c r="R8" s="422">
        <v>1.6580469796191133</v>
      </c>
      <c r="S8" s="422">
        <v>1.754338828561423</v>
      </c>
      <c r="T8" s="422">
        <v>1.6337242350759036</v>
      </c>
      <c r="U8" s="422">
        <v>1.5472413139888725</v>
      </c>
      <c r="V8" s="422">
        <v>0.66667775536000462</v>
      </c>
      <c r="W8" s="422">
        <v>2.4137295854432095</v>
      </c>
      <c r="X8" s="422">
        <v>2.1407379822127441</v>
      </c>
      <c r="Y8" s="422">
        <v>2.0905524253459324</v>
      </c>
      <c r="Z8" s="422">
        <v>1.7349949754370158</v>
      </c>
      <c r="AA8" s="422">
        <v>2.0609765588422073</v>
      </c>
      <c r="AB8" s="422">
        <v>1.7664804256879791</v>
      </c>
      <c r="AC8" s="422">
        <v>1.8184218102751089</v>
      </c>
      <c r="AD8" s="422">
        <v>1.1422024619457718</v>
      </c>
      <c r="AE8" s="65">
        <f>'User Add-in Location'!B12</f>
        <v>0</v>
      </c>
      <c r="AF8" s="65">
        <f>'User Add-in Location'!C12</f>
        <v>0</v>
      </c>
      <c r="AG8" s="289">
        <v>1.716</v>
      </c>
      <c r="AH8" s="289">
        <v>2.669</v>
      </c>
      <c r="AI8" s="289">
        <v>2.702</v>
      </c>
      <c r="AJ8" s="289">
        <v>1.6180000000000001</v>
      </c>
      <c r="AK8" s="289">
        <v>1.639</v>
      </c>
      <c r="AL8" s="289">
        <v>2.23</v>
      </c>
      <c r="AM8" s="289">
        <v>1.823</v>
      </c>
      <c r="AN8" s="289">
        <v>1.7130000000000001</v>
      </c>
      <c r="AO8" s="289">
        <v>1.8109999999999999</v>
      </c>
      <c r="AP8" s="289">
        <v>1.82</v>
      </c>
      <c r="AQ8" s="289">
        <v>2.5510000000000002</v>
      </c>
      <c r="AR8" s="289">
        <v>1.988</v>
      </c>
      <c r="AS8" s="289">
        <v>2.6749999999999998</v>
      </c>
      <c r="AT8" s="289">
        <v>1.88</v>
      </c>
      <c r="AU8" s="289">
        <v>2.2549999999999999</v>
      </c>
      <c r="AV8" s="289">
        <v>1.861</v>
      </c>
      <c r="AW8" s="289">
        <v>1.046</v>
      </c>
      <c r="AX8" s="289">
        <v>1.74</v>
      </c>
      <c r="AY8" s="289">
        <v>1.8839999999999999</v>
      </c>
      <c r="AZ8" s="289">
        <v>2.516</v>
      </c>
      <c r="BA8" s="289">
        <v>2.0699999999999998</v>
      </c>
      <c r="BB8" s="289">
        <v>1.575</v>
      </c>
      <c r="BC8" s="289">
        <v>1.3879999999999999</v>
      </c>
      <c r="BD8" s="289">
        <v>2.2999999999999998</v>
      </c>
      <c r="BE8" s="289">
        <v>0.7</v>
      </c>
    </row>
    <row r="9" spans="1:57" ht="15.75" x14ac:dyDescent="0.25">
      <c r="A9" s="286" t="s">
        <v>408</v>
      </c>
      <c r="B9" s="416"/>
      <c r="C9" s="6" t="s">
        <v>116</v>
      </c>
      <c r="D9" s="424">
        <v>3.7209835041586947</v>
      </c>
      <c r="E9" s="422">
        <v>4.0383095675852241</v>
      </c>
      <c r="F9" s="422">
        <v>4.4303622921792476</v>
      </c>
      <c r="G9" s="422">
        <v>3.5856534108156111</v>
      </c>
      <c r="H9" s="422">
        <v>4.1632234207013763</v>
      </c>
      <c r="I9" s="422">
        <v>3.7081430896026335</v>
      </c>
      <c r="J9" s="422">
        <v>3.9175717489021582</v>
      </c>
      <c r="K9" s="422">
        <v>4.1447204256930004</v>
      </c>
      <c r="L9" s="422">
        <v>0</v>
      </c>
      <c r="M9" s="422">
        <v>4.1780925851042676</v>
      </c>
      <c r="N9" s="422">
        <v>4.0961077547654874</v>
      </c>
      <c r="O9" s="422">
        <v>4.5605125100147434</v>
      </c>
      <c r="P9" s="422">
        <v>4.6311624558960522</v>
      </c>
      <c r="Q9" s="422">
        <v>3.9622681431654025</v>
      </c>
      <c r="R9" s="422">
        <v>3.9737127648621073</v>
      </c>
      <c r="S9" s="422">
        <v>3.8672072178706891</v>
      </c>
      <c r="T9" s="422">
        <v>3.9537980025861321</v>
      </c>
      <c r="U9" s="422">
        <v>3.9979355240740428</v>
      </c>
      <c r="V9" s="422">
        <v>3.4716445222133543</v>
      </c>
      <c r="W9" s="422">
        <v>3.9164822479573691</v>
      </c>
      <c r="X9" s="422">
        <v>4.1121969935370659</v>
      </c>
      <c r="Y9" s="422">
        <v>3.7849325330519097</v>
      </c>
      <c r="Z9" s="422">
        <v>4.0699657514327914</v>
      </c>
      <c r="AA9" s="422">
        <v>4.1142319942392955</v>
      </c>
      <c r="AB9" s="422">
        <v>4.1043371216553011</v>
      </c>
      <c r="AC9" s="422">
        <v>4.0671098050547814</v>
      </c>
      <c r="AD9" s="422">
        <v>4.133525838212269</v>
      </c>
      <c r="AE9" s="65">
        <f>'User Add-in Location'!B13</f>
        <v>0</v>
      </c>
      <c r="AF9" s="65">
        <f>'User Add-in Location'!C13</f>
        <v>0</v>
      </c>
      <c r="AG9" s="289">
        <v>3.6859999999999999</v>
      </c>
      <c r="AH9" s="289">
        <v>4.0609999999999999</v>
      </c>
      <c r="AI9" s="289">
        <v>3.8239999999999998</v>
      </c>
      <c r="AJ9" s="289">
        <v>3.9950000000000001</v>
      </c>
      <c r="AK9" s="289">
        <v>4.4720000000000004</v>
      </c>
      <c r="AL9" s="289">
        <v>3.9129999999999998</v>
      </c>
      <c r="AM9" s="289">
        <v>3.9159999999999999</v>
      </c>
      <c r="AN9" s="289">
        <v>3.8690000000000002</v>
      </c>
      <c r="AO9" s="289">
        <v>3.8650000000000002</v>
      </c>
      <c r="AP9" s="289">
        <v>3.3620000000000001</v>
      </c>
      <c r="AQ9" s="289">
        <v>3.91</v>
      </c>
      <c r="AR9" s="289">
        <v>3.9809999999999999</v>
      </c>
      <c r="AS9" s="289">
        <v>4.5380000000000003</v>
      </c>
      <c r="AT9" s="289">
        <v>3.6469999999999998</v>
      </c>
      <c r="AU9" s="289">
        <v>3.73</v>
      </c>
      <c r="AV9" s="289">
        <v>3.714</v>
      </c>
      <c r="AW9" s="289">
        <v>3.6779999999999999</v>
      </c>
      <c r="AX9" s="289">
        <v>3.8690000000000002</v>
      </c>
      <c r="AY9" s="289">
        <v>3.8159999999999998</v>
      </c>
      <c r="AZ9" s="289">
        <v>4.4850000000000003</v>
      </c>
      <c r="BA9" s="289">
        <v>3.6160000000000001</v>
      </c>
      <c r="BB9" s="289">
        <v>4.0250000000000004</v>
      </c>
      <c r="BC9" s="289">
        <v>4.1470000000000002</v>
      </c>
      <c r="BD9" s="289">
        <v>3.9790000000000001</v>
      </c>
      <c r="BE9" s="289">
        <v>3.6240000000000001</v>
      </c>
    </row>
    <row r="10" spans="1:57" ht="15.75" x14ac:dyDescent="0.25">
      <c r="A10" s="286"/>
      <c r="B10" s="416"/>
      <c r="C10" s="6" t="s">
        <v>117</v>
      </c>
      <c r="D10" s="424">
        <v>1.8864531527506188</v>
      </c>
      <c r="E10" s="422">
        <v>2.3926352998241782</v>
      </c>
      <c r="F10" s="422">
        <v>2.1335161605384201</v>
      </c>
      <c r="G10" s="422">
        <v>2.3739389120601118</v>
      </c>
      <c r="H10" s="422">
        <v>2.1136263813823462</v>
      </c>
      <c r="I10" s="422">
        <v>1.6717336979927495</v>
      </c>
      <c r="J10" s="422">
        <v>2.0251345874276012</v>
      </c>
      <c r="K10" s="422">
        <v>2.9814345564227551</v>
      </c>
      <c r="L10" s="422">
        <v>2.4821015845518559</v>
      </c>
      <c r="M10" s="422">
        <v>2.2962201391346753</v>
      </c>
      <c r="N10" s="422">
        <v>1.9004839163972065</v>
      </c>
      <c r="O10" s="422">
        <v>1.8958374431822449</v>
      </c>
      <c r="P10" s="422">
        <v>2.0214689886197448</v>
      </c>
      <c r="Q10" s="422">
        <v>1.7386777088977396</v>
      </c>
      <c r="R10" s="422">
        <v>1.3715894953347743</v>
      </c>
      <c r="S10" s="422">
        <v>1.5399549449793994</v>
      </c>
      <c r="T10" s="422">
        <v>2.0114459865726531</v>
      </c>
      <c r="U10" s="422">
        <v>2.3507561061996967</v>
      </c>
      <c r="V10" s="422">
        <v>2.1373806966003031</v>
      </c>
      <c r="W10" s="422">
        <v>2.4430518497247249</v>
      </c>
      <c r="X10" s="422">
        <v>1.4634235280100256</v>
      </c>
      <c r="Y10" s="422">
        <v>2.4849712022114545</v>
      </c>
      <c r="Z10" s="422">
        <v>2.2930842658970505</v>
      </c>
      <c r="AA10" s="422">
        <v>2.2346510321367532</v>
      </c>
      <c r="AB10" s="422">
        <v>1.4996395095949993</v>
      </c>
      <c r="AC10" s="422">
        <v>1.6720305950148031</v>
      </c>
      <c r="AD10" s="422">
        <v>2.0740051371976733</v>
      </c>
      <c r="AE10" s="65">
        <f>'User Add-in Location'!B14</f>
        <v>0</v>
      </c>
      <c r="AF10" s="65">
        <f>'User Add-in Location'!C14</f>
        <v>0</v>
      </c>
      <c r="AG10" s="289">
        <v>1.5409999999999999</v>
      </c>
      <c r="AH10" s="289">
        <v>2.1930000000000001</v>
      </c>
      <c r="AI10" s="289">
        <v>2.734</v>
      </c>
      <c r="AJ10" s="289">
        <v>2.7669999999999999</v>
      </c>
      <c r="AK10" s="289">
        <v>2.1070000000000002</v>
      </c>
      <c r="AL10" s="289">
        <v>1.9550000000000001</v>
      </c>
      <c r="AM10" s="289">
        <v>1.7949999999999999</v>
      </c>
      <c r="AN10" s="289">
        <v>1.548</v>
      </c>
      <c r="AO10" s="289">
        <v>2.3849999999999998</v>
      </c>
      <c r="AP10" s="289">
        <v>1.964</v>
      </c>
      <c r="AQ10" s="289">
        <v>2.48</v>
      </c>
      <c r="AR10" s="289">
        <v>2.2490000000000001</v>
      </c>
      <c r="AS10" s="289">
        <v>3.2650000000000001</v>
      </c>
      <c r="AT10" s="289">
        <v>1.841</v>
      </c>
      <c r="AU10" s="289">
        <v>1.887</v>
      </c>
      <c r="AV10" s="289">
        <v>1.798</v>
      </c>
      <c r="AW10" s="289">
        <v>2.0510000000000002</v>
      </c>
      <c r="AX10" s="289">
        <v>1.905</v>
      </c>
      <c r="AY10" s="289">
        <v>1.8660000000000001</v>
      </c>
      <c r="AZ10" s="289">
        <v>3.1970000000000001</v>
      </c>
      <c r="BA10" s="289">
        <v>2.8279999999999998</v>
      </c>
      <c r="BB10" s="289">
        <v>2.504</v>
      </c>
      <c r="BC10" s="289">
        <v>3.165</v>
      </c>
      <c r="BD10" s="289">
        <v>1.7290000000000001</v>
      </c>
      <c r="BE10" s="289">
        <v>2.3330000000000002</v>
      </c>
    </row>
    <row r="11" spans="1:57" ht="15.75" x14ac:dyDescent="0.25">
      <c r="A11" s="286" t="s">
        <v>409</v>
      </c>
      <c r="B11" s="416"/>
      <c r="C11" s="6" t="s">
        <v>118</v>
      </c>
      <c r="D11" s="424">
        <v>3.7477549455499135</v>
      </c>
      <c r="E11" s="422">
        <v>0</v>
      </c>
      <c r="F11" s="422">
        <v>1.1708865742529593</v>
      </c>
      <c r="G11" s="422">
        <v>3.0169146650580951</v>
      </c>
      <c r="H11" s="422">
        <v>1.3193218951584191</v>
      </c>
      <c r="I11" s="422">
        <v>1.5137559611310241</v>
      </c>
      <c r="J11" s="422">
        <v>2.4553771454800843</v>
      </c>
      <c r="K11" s="422">
        <v>3.5709360056026007</v>
      </c>
      <c r="L11" s="422">
        <v>0.67579817323274516</v>
      </c>
      <c r="M11" s="422">
        <v>1.6767637063098211</v>
      </c>
      <c r="N11" s="422">
        <v>2.5358411804322274</v>
      </c>
      <c r="O11" s="422">
        <v>1.1498477817863546</v>
      </c>
      <c r="P11" s="422">
        <v>1.1241177346116753</v>
      </c>
      <c r="Q11" s="422">
        <v>3.009896796236756</v>
      </c>
      <c r="R11" s="422">
        <v>3.2620947207173994</v>
      </c>
      <c r="S11" s="422">
        <v>2.5015151654520342</v>
      </c>
      <c r="T11" s="422">
        <v>2.6689459969920497</v>
      </c>
      <c r="U11" s="422">
        <v>3.7028671336430374</v>
      </c>
      <c r="V11" s="422">
        <v>2.838088486784248</v>
      </c>
      <c r="W11" s="422">
        <v>1.522556991987331</v>
      </c>
      <c r="X11" s="422">
        <v>3.0526045009654057</v>
      </c>
      <c r="Y11" s="422">
        <v>1.3693274182658042</v>
      </c>
      <c r="Z11" s="422">
        <v>2.9302084548498994</v>
      </c>
      <c r="AA11" s="422">
        <v>2.3110433188817834</v>
      </c>
      <c r="AB11" s="422">
        <v>2.7555427935815628</v>
      </c>
      <c r="AC11" s="422">
        <v>1.9274731156646565</v>
      </c>
      <c r="AD11" s="422">
        <v>1.756795569132733</v>
      </c>
      <c r="AE11" s="65">
        <f>'User Add-in Location'!B15</f>
        <v>0</v>
      </c>
      <c r="AF11" s="65">
        <f>'User Add-in Location'!C15</f>
        <v>0</v>
      </c>
      <c r="AG11" s="289">
        <v>4.0640000000000001</v>
      </c>
      <c r="AH11" s="289">
        <v>3.33</v>
      </c>
      <c r="AI11" s="289">
        <v>2.7229999999999999</v>
      </c>
      <c r="AJ11" s="289">
        <v>2.3420000000000001</v>
      </c>
      <c r="AK11" s="289">
        <v>0.98399999999999999</v>
      </c>
      <c r="AL11" s="289">
        <v>1.835</v>
      </c>
      <c r="AM11" s="289">
        <v>1.3260000000000001</v>
      </c>
      <c r="AN11" s="289">
        <v>3.2210000000000001</v>
      </c>
      <c r="AO11" s="289">
        <v>2.3130000000000002</v>
      </c>
      <c r="AP11" s="289">
        <v>3.1869999999999998</v>
      </c>
      <c r="AQ11" s="289">
        <v>0.56299999999999994</v>
      </c>
      <c r="AR11" s="289">
        <v>2.427</v>
      </c>
      <c r="AS11" s="289">
        <v>1.843</v>
      </c>
      <c r="AT11" s="289">
        <v>3.6829999999999998</v>
      </c>
      <c r="AU11" s="289">
        <v>3.0630000000000002</v>
      </c>
      <c r="AV11" s="289">
        <v>3.0150000000000001</v>
      </c>
      <c r="AW11" s="289">
        <v>1.2410000000000001</v>
      </c>
      <c r="AX11" s="289">
        <v>1.359</v>
      </c>
      <c r="AY11" s="289">
        <v>1.4570000000000001</v>
      </c>
      <c r="AZ11" s="289">
        <v>1.46</v>
      </c>
      <c r="BA11" s="289">
        <v>1.696</v>
      </c>
      <c r="BB11" s="289">
        <v>1.8360000000000001</v>
      </c>
      <c r="BC11" s="289">
        <v>2.4769999999999999</v>
      </c>
      <c r="BD11" s="289">
        <v>3.44</v>
      </c>
      <c r="BE11" s="289">
        <v>5.032</v>
      </c>
    </row>
    <row r="12" spans="1:57" ht="15" x14ac:dyDescent="0.2">
      <c r="A12" s="284"/>
      <c r="B12" s="416"/>
      <c r="C12" s="6" t="s">
        <v>119</v>
      </c>
      <c r="D12" s="424">
        <v>2.2836088857715215</v>
      </c>
      <c r="E12" s="422">
        <v>1.6459864953453962</v>
      </c>
      <c r="F12" s="422">
        <v>2.4596742636281288</v>
      </c>
      <c r="G12" s="422">
        <v>3.2843342756979066</v>
      </c>
      <c r="H12" s="422">
        <v>3.2027370950922087</v>
      </c>
      <c r="I12" s="422">
        <v>2.7108330084564249</v>
      </c>
      <c r="J12" s="422">
        <v>3.0112611205923052</v>
      </c>
      <c r="K12" s="422">
        <v>2.707828263547742</v>
      </c>
      <c r="L12" s="422">
        <v>4.1665950662849722</v>
      </c>
      <c r="M12" s="422">
        <v>2.7107788234026735</v>
      </c>
      <c r="N12" s="422">
        <v>2.8044262089283172</v>
      </c>
      <c r="O12" s="422">
        <v>2.2415998564713027</v>
      </c>
      <c r="P12" s="422">
        <v>3.4143175613154977</v>
      </c>
      <c r="Q12" s="422">
        <v>3.4526498132819001</v>
      </c>
      <c r="R12" s="422">
        <v>3.190412520938223</v>
      </c>
      <c r="S12" s="422">
        <v>3.2651392204063465</v>
      </c>
      <c r="T12" s="422">
        <v>2.5789943439432075</v>
      </c>
      <c r="U12" s="422">
        <v>2.8545912368066029</v>
      </c>
      <c r="V12" s="422">
        <v>2.4305787265449177</v>
      </c>
      <c r="W12" s="422">
        <v>3.315745535035949</v>
      </c>
      <c r="X12" s="422">
        <v>2.8147679774712855</v>
      </c>
      <c r="Y12" s="422">
        <v>3.112142899586865</v>
      </c>
      <c r="Z12" s="422">
        <v>2.6751604160775666</v>
      </c>
      <c r="AA12" s="422">
        <v>3.0420095314126301</v>
      </c>
      <c r="AB12" s="422">
        <v>2.789842393550106</v>
      </c>
      <c r="AC12" s="422">
        <v>3.1442156298565127</v>
      </c>
      <c r="AD12" s="422">
        <v>2.6050812329570832</v>
      </c>
      <c r="AE12" s="65">
        <f>'User Add-in Location'!B16</f>
        <v>0</v>
      </c>
      <c r="AF12" s="65">
        <f>'User Add-in Location'!C16</f>
        <v>0</v>
      </c>
      <c r="AG12" s="289">
        <v>2.7440000000000002</v>
      </c>
      <c r="AH12" s="289">
        <v>0</v>
      </c>
      <c r="AI12" s="289">
        <v>2.7850000000000001</v>
      </c>
      <c r="AJ12" s="289">
        <v>3.5179999999999998</v>
      </c>
      <c r="AK12" s="289">
        <v>2.673</v>
      </c>
      <c r="AL12" s="289">
        <v>3.5640000000000001</v>
      </c>
      <c r="AM12" s="289">
        <v>3.0510000000000002</v>
      </c>
      <c r="AN12" s="289">
        <v>2.75</v>
      </c>
      <c r="AO12" s="289">
        <v>3.0110000000000001</v>
      </c>
      <c r="AP12" s="289">
        <v>2.13</v>
      </c>
      <c r="AQ12" s="289">
        <v>2.9449999999999998</v>
      </c>
      <c r="AR12" s="289">
        <v>3.4609999999999999</v>
      </c>
      <c r="AS12" s="289">
        <v>3.39</v>
      </c>
      <c r="AT12" s="289">
        <v>2.4590000000000001</v>
      </c>
      <c r="AU12" s="289">
        <v>3.1440000000000001</v>
      </c>
      <c r="AV12" s="289">
        <v>3.1829999999999998</v>
      </c>
      <c r="AW12" s="289">
        <v>2.6259999999999999</v>
      </c>
      <c r="AX12" s="289">
        <v>2.97</v>
      </c>
      <c r="AY12" s="289">
        <v>3.5670000000000002</v>
      </c>
      <c r="AZ12" s="289">
        <v>2.6150000000000002</v>
      </c>
      <c r="BA12" s="289">
        <v>3.2679999999999998</v>
      </c>
      <c r="BB12" s="289">
        <v>2.9609999999999999</v>
      </c>
      <c r="BC12" s="289">
        <v>2.5009999999999999</v>
      </c>
      <c r="BD12" s="289">
        <v>3.306</v>
      </c>
      <c r="BE12" s="289">
        <v>2.1110000000000002</v>
      </c>
    </row>
    <row r="13" spans="1:57" ht="15" x14ac:dyDescent="0.2">
      <c r="A13" s="284"/>
      <c r="B13" s="416"/>
      <c r="C13" s="6" t="s">
        <v>46</v>
      </c>
      <c r="D13" s="424">
        <v>3.9408817359787265</v>
      </c>
      <c r="E13" s="422">
        <v>3.5149118446304413</v>
      </c>
      <c r="F13" s="422">
        <v>3.6856528305008029</v>
      </c>
      <c r="G13" s="422">
        <v>3.4811726079015677</v>
      </c>
      <c r="H13" s="422">
        <v>3.3753966756923472</v>
      </c>
      <c r="I13" s="422">
        <v>3.6626469629253458</v>
      </c>
      <c r="J13" s="422">
        <v>3.0256775576197459</v>
      </c>
      <c r="K13" s="422">
        <v>3.3663703110403644</v>
      </c>
      <c r="L13" s="422">
        <v>3.1378673473518055</v>
      </c>
      <c r="M13" s="422">
        <v>3.5768389707553889</v>
      </c>
      <c r="N13" s="422">
        <v>3.4624823621647089</v>
      </c>
      <c r="O13" s="422">
        <v>4.3872869565815273</v>
      </c>
      <c r="P13" s="422">
        <v>4.2342134058832412</v>
      </c>
      <c r="Q13" s="422">
        <v>3.3890594676583117</v>
      </c>
      <c r="R13" s="422">
        <v>3.879410329693092</v>
      </c>
      <c r="S13" s="422">
        <v>3.9997207767235308</v>
      </c>
      <c r="T13" s="422">
        <v>3.713357157336024</v>
      </c>
      <c r="U13" s="422">
        <v>3.6677167949562302</v>
      </c>
      <c r="V13" s="422">
        <v>3.7160030347858362</v>
      </c>
      <c r="W13" s="422">
        <v>3.9159248306365786</v>
      </c>
      <c r="X13" s="422">
        <v>3.5362717160207784</v>
      </c>
      <c r="Y13" s="422">
        <v>3.3808728886221697</v>
      </c>
      <c r="Z13" s="422">
        <v>3.5648932148596484</v>
      </c>
      <c r="AA13" s="422">
        <v>3.6579341728530248</v>
      </c>
      <c r="AB13" s="422">
        <v>4.0494564758803318</v>
      </c>
      <c r="AC13" s="422">
        <v>3.8527005612493279</v>
      </c>
      <c r="AD13" s="422">
        <v>4.0830311129906933</v>
      </c>
      <c r="AE13" s="65">
        <f>'User Add-in Location'!B17</f>
        <v>0</v>
      </c>
      <c r="AF13" s="65">
        <f>'User Add-in Location'!C17</f>
        <v>0</v>
      </c>
      <c r="AG13" s="289">
        <v>3.9710000000000001</v>
      </c>
      <c r="AH13" s="289">
        <v>3.827</v>
      </c>
      <c r="AI13" s="289">
        <v>3.677</v>
      </c>
      <c r="AJ13" s="289">
        <v>3.13</v>
      </c>
      <c r="AK13" s="289">
        <v>4.3849999999999998</v>
      </c>
      <c r="AL13" s="289">
        <v>3.206</v>
      </c>
      <c r="AM13" s="289">
        <v>3.827</v>
      </c>
      <c r="AN13" s="289">
        <v>3.5579999999999998</v>
      </c>
      <c r="AO13" s="289">
        <v>3.7669999999999999</v>
      </c>
      <c r="AP13" s="289">
        <v>3.8140000000000001</v>
      </c>
      <c r="AQ13" s="289">
        <v>3.8620000000000001</v>
      </c>
      <c r="AR13" s="289">
        <v>3.4569999999999999</v>
      </c>
      <c r="AS13" s="289">
        <v>3.7130000000000001</v>
      </c>
      <c r="AT13" s="289">
        <v>3.7210000000000001</v>
      </c>
      <c r="AU13" s="289">
        <v>3.9340000000000002</v>
      </c>
      <c r="AV13" s="289">
        <v>3.702</v>
      </c>
      <c r="AW13" s="289">
        <v>3.2610000000000001</v>
      </c>
      <c r="AX13" s="289">
        <v>3.524</v>
      </c>
      <c r="AY13" s="289">
        <v>4.0380000000000003</v>
      </c>
      <c r="AZ13" s="289">
        <v>4.1879999999999997</v>
      </c>
      <c r="BA13" s="289">
        <v>3.64</v>
      </c>
      <c r="BB13" s="289">
        <v>3.456</v>
      </c>
      <c r="BC13" s="289">
        <v>3.9260000000000002</v>
      </c>
      <c r="BD13" s="289">
        <v>3.9729999999999999</v>
      </c>
      <c r="BE13" s="289">
        <v>3.5230000000000001</v>
      </c>
    </row>
    <row r="14" spans="1:57" ht="15" x14ac:dyDescent="0.2">
      <c r="A14" s="284"/>
      <c r="B14" s="416"/>
      <c r="C14" s="6" t="s">
        <v>47</v>
      </c>
      <c r="D14" s="424">
        <v>11.956310142203314</v>
      </c>
      <c r="E14" s="422">
        <v>12.349292427551084</v>
      </c>
      <c r="F14" s="422">
        <v>11.119490757845597</v>
      </c>
      <c r="G14" s="422">
        <v>12.828276082203757</v>
      </c>
      <c r="H14" s="422">
        <v>10.244031208122585</v>
      </c>
      <c r="I14" s="422">
        <v>12.190173326333969</v>
      </c>
      <c r="J14" s="422">
        <v>11.054522692294677</v>
      </c>
      <c r="K14" s="422">
        <v>13.111782376855182</v>
      </c>
      <c r="L14" s="422">
        <v>11.228455379366965</v>
      </c>
      <c r="M14" s="422">
        <v>11.930670038035872</v>
      </c>
      <c r="N14" s="422">
        <v>12.374458776388291</v>
      </c>
      <c r="O14" s="422">
        <v>10.963848250564146</v>
      </c>
      <c r="P14" s="422">
        <v>12.605020897858759</v>
      </c>
      <c r="Q14" s="422">
        <v>11.981935021719313</v>
      </c>
      <c r="R14" s="422">
        <v>12.716494900165218</v>
      </c>
      <c r="S14" s="422">
        <v>13.698202814478414</v>
      </c>
      <c r="T14" s="422">
        <v>12.329884579230699</v>
      </c>
      <c r="U14" s="422">
        <v>13.613723014750194</v>
      </c>
      <c r="V14" s="422">
        <v>11.971938694694618</v>
      </c>
      <c r="W14" s="422">
        <v>12.812100337828195</v>
      </c>
      <c r="X14" s="422">
        <v>11.814157571669126</v>
      </c>
      <c r="Y14" s="422">
        <v>12.584338656655724</v>
      </c>
      <c r="Z14" s="422">
        <v>11.826136685652489</v>
      </c>
      <c r="AA14" s="422">
        <v>12.215539386775415</v>
      </c>
      <c r="AB14" s="422">
        <v>12.634674936601067</v>
      </c>
      <c r="AC14" s="422">
        <v>12.997162245106171</v>
      </c>
      <c r="AD14" s="422">
        <v>14.285715844734698</v>
      </c>
      <c r="AE14" s="65">
        <f>'User Add-in Location'!B18</f>
        <v>0</v>
      </c>
      <c r="AF14" s="65">
        <f>'User Add-in Location'!C18</f>
        <v>0</v>
      </c>
      <c r="AG14" s="289">
        <v>13.051</v>
      </c>
      <c r="AH14" s="289">
        <v>7.7919999999999998</v>
      </c>
      <c r="AI14" s="289">
        <v>12.737</v>
      </c>
      <c r="AJ14" s="289">
        <v>10.862</v>
      </c>
      <c r="AK14" s="289">
        <v>12.952</v>
      </c>
      <c r="AL14" s="289">
        <v>10.887</v>
      </c>
      <c r="AM14" s="289">
        <v>13.452999999999999</v>
      </c>
      <c r="AN14" s="289">
        <v>12.231999999999999</v>
      </c>
      <c r="AO14" s="289">
        <v>12.205</v>
      </c>
      <c r="AP14" s="289">
        <v>12.484999999999999</v>
      </c>
      <c r="AQ14" s="289">
        <v>13.786</v>
      </c>
      <c r="AR14" s="289">
        <v>13.023</v>
      </c>
      <c r="AS14" s="289">
        <v>12.023999999999999</v>
      </c>
      <c r="AT14" s="289">
        <v>12.666</v>
      </c>
      <c r="AU14" s="289">
        <v>12.827999999999999</v>
      </c>
      <c r="AV14" s="289">
        <v>12.02</v>
      </c>
      <c r="AW14" s="289">
        <v>11.103</v>
      </c>
      <c r="AX14" s="289">
        <v>11.765000000000001</v>
      </c>
      <c r="AY14" s="289">
        <v>11.811999999999999</v>
      </c>
      <c r="AZ14" s="289">
        <v>12.468999999999999</v>
      </c>
      <c r="BA14" s="289">
        <v>12.34</v>
      </c>
      <c r="BB14" s="289">
        <v>9.5760000000000005</v>
      </c>
      <c r="BC14" s="289">
        <v>12.811</v>
      </c>
      <c r="BD14" s="289">
        <v>12.845000000000001</v>
      </c>
      <c r="BE14" s="289">
        <v>12.39</v>
      </c>
    </row>
    <row r="15" spans="1:57" ht="15" x14ac:dyDescent="0.2">
      <c r="A15" s="284"/>
      <c r="B15" s="416"/>
      <c r="C15" s="6" t="s">
        <v>120</v>
      </c>
      <c r="D15" s="424">
        <v>5.57680297969842</v>
      </c>
      <c r="E15" s="422">
        <v>4.5384933120094288</v>
      </c>
      <c r="F15" s="422">
        <v>5.6283418839469297</v>
      </c>
      <c r="G15" s="422">
        <v>5.5530656750971517</v>
      </c>
      <c r="H15" s="422">
        <v>4.4063292678624038</v>
      </c>
      <c r="I15" s="422">
        <v>5.4248188372230057</v>
      </c>
      <c r="J15" s="422">
        <v>3.4375406761614546</v>
      </c>
      <c r="K15" s="422">
        <v>2.9675155417541839</v>
      </c>
      <c r="L15" s="422">
        <v>3.2697747735613119</v>
      </c>
      <c r="M15" s="422">
        <v>5.7807741234895973</v>
      </c>
      <c r="N15" s="422">
        <v>4.7101040149539006</v>
      </c>
      <c r="O15" s="422">
        <v>4.5565237543679951</v>
      </c>
      <c r="P15" s="422">
        <v>5.7070093314754029</v>
      </c>
      <c r="Q15" s="422">
        <v>4.1292172070388782</v>
      </c>
      <c r="R15" s="422">
        <v>4.8554445719474462</v>
      </c>
      <c r="S15" s="422">
        <v>4.0853478666182967</v>
      </c>
      <c r="T15" s="422">
        <v>5.3158939084581691</v>
      </c>
      <c r="U15" s="422">
        <v>5.1917177409947728</v>
      </c>
      <c r="V15" s="422">
        <v>5.7430369732190503</v>
      </c>
      <c r="W15" s="422">
        <v>4.5612570073324576</v>
      </c>
      <c r="X15" s="422">
        <v>4.3723836381019696</v>
      </c>
      <c r="Y15" s="422">
        <v>3.631232682706111</v>
      </c>
      <c r="Z15" s="422">
        <v>5.0829858947060691</v>
      </c>
      <c r="AA15" s="422">
        <v>4.4720119188708942</v>
      </c>
      <c r="AB15" s="422">
        <v>5.5064103002685858</v>
      </c>
      <c r="AC15" s="422">
        <v>4.9592969872649917</v>
      </c>
      <c r="AD15" s="422">
        <v>5.9117140975992477</v>
      </c>
      <c r="AE15" s="65">
        <f>'User Add-in Location'!B19</f>
        <v>0</v>
      </c>
      <c r="AF15" s="65">
        <f>'User Add-in Location'!C19</f>
        <v>0</v>
      </c>
      <c r="AG15" s="289">
        <v>4.468</v>
      </c>
      <c r="AH15" s="289">
        <v>0</v>
      </c>
      <c r="AI15" s="289">
        <v>4.22</v>
      </c>
      <c r="AJ15" s="289">
        <v>4.3070000000000004</v>
      </c>
      <c r="AK15" s="289">
        <v>5.01</v>
      </c>
      <c r="AL15" s="289">
        <v>2.8279999999999998</v>
      </c>
      <c r="AM15" s="289">
        <v>4.2519999999999998</v>
      </c>
      <c r="AN15" s="289">
        <v>4.9550000000000001</v>
      </c>
      <c r="AO15" s="289">
        <v>4.0599999999999996</v>
      </c>
      <c r="AP15" s="289">
        <v>5.57</v>
      </c>
      <c r="AQ15" s="289">
        <v>5.1120000000000001</v>
      </c>
      <c r="AR15" s="289">
        <v>4.319</v>
      </c>
      <c r="AS15" s="289">
        <v>4.0460000000000003</v>
      </c>
      <c r="AT15" s="289">
        <v>5.5629999999999997</v>
      </c>
      <c r="AU15" s="289">
        <v>3.9820000000000002</v>
      </c>
      <c r="AV15" s="289">
        <v>5.0209999999999999</v>
      </c>
      <c r="AW15" s="289">
        <v>5.5129999999999999</v>
      </c>
      <c r="AX15" s="289">
        <v>4.47</v>
      </c>
      <c r="AY15" s="289">
        <v>5.2350000000000003</v>
      </c>
      <c r="AZ15" s="289">
        <v>4.6550000000000002</v>
      </c>
      <c r="BA15" s="289">
        <v>4.5979999999999999</v>
      </c>
      <c r="BB15" s="289">
        <v>4.492</v>
      </c>
      <c r="BC15" s="289">
        <v>5.0650000000000004</v>
      </c>
      <c r="BD15" s="289">
        <v>4.3230000000000004</v>
      </c>
      <c r="BE15" s="289">
        <v>5.6959999999999997</v>
      </c>
    </row>
    <row r="16" spans="1:57" ht="15" x14ac:dyDescent="0.2">
      <c r="A16" s="284"/>
      <c r="B16" s="416"/>
      <c r="C16" s="6" t="s">
        <v>121</v>
      </c>
      <c r="D16" s="424">
        <v>5.9663844575048257</v>
      </c>
      <c r="E16" s="422">
        <v>5.4210609965518959</v>
      </c>
      <c r="F16" s="422">
        <v>6.1861656314031972</v>
      </c>
      <c r="G16" s="422">
        <v>7.0145385293628246</v>
      </c>
      <c r="H16" s="422">
        <v>5.0334249768802533</v>
      </c>
      <c r="I16" s="422">
        <v>5.6137216449755138</v>
      </c>
      <c r="J16" s="422">
        <v>5.238210304806092</v>
      </c>
      <c r="K16" s="422">
        <v>4.0748806725010693</v>
      </c>
      <c r="L16" s="422">
        <v>3.3009842280444959</v>
      </c>
      <c r="M16" s="422">
        <v>6.2545018756730961</v>
      </c>
      <c r="N16" s="422">
        <v>6.0543704024481988</v>
      </c>
      <c r="O16" s="422">
        <v>5.9029378842021618</v>
      </c>
      <c r="P16" s="422">
        <v>5.9261765429635256</v>
      </c>
      <c r="Q16" s="422">
        <v>4.8994076967563718</v>
      </c>
      <c r="R16" s="422">
        <v>5.3456796378982894</v>
      </c>
      <c r="S16" s="422">
        <v>6.2794392389772691</v>
      </c>
      <c r="T16" s="422">
        <v>6.4586095421179017</v>
      </c>
      <c r="U16" s="422">
        <v>6.6314483853649255</v>
      </c>
      <c r="V16" s="422">
        <v>6.1841715359583995</v>
      </c>
      <c r="W16" s="422">
        <v>6.4635894024641756</v>
      </c>
      <c r="X16" s="422">
        <v>5.0080656265732388</v>
      </c>
      <c r="Y16" s="422">
        <v>4.342149864165247</v>
      </c>
      <c r="Z16" s="422">
        <v>5.64989379166121</v>
      </c>
      <c r="AA16" s="422">
        <v>5.6061709736138923</v>
      </c>
      <c r="AB16" s="422">
        <v>6.9544674383701421</v>
      </c>
      <c r="AC16" s="422">
        <v>5.7116292490386282</v>
      </c>
      <c r="AD16" s="422">
        <v>7.079556797394698</v>
      </c>
      <c r="AE16" s="65">
        <f>'User Add-in Location'!B20</f>
        <v>0</v>
      </c>
      <c r="AF16" s="65">
        <f>'User Add-in Location'!C20</f>
        <v>0</v>
      </c>
      <c r="AG16" s="289">
        <v>6.0659999999999998</v>
      </c>
      <c r="AH16" s="289">
        <v>6.2450000000000001</v>
      </c>
      <c r="AI16" s="289">
        <v>5.7789999999999999</v>
      </c>
      <c r="AJ16" s="289">
        <v>4.9240000000000004</v>
      </c>
      <c r="AK16" s="289">
        <v>4.8680000000000003</v>
      </c>
      <c r="AL16" s="289">
        <v>4.5739999999999998</v>
      </c>
      <c r="AM16" s="289">
        <v>5.484</v>
      </c>
      <c r="AN16" s="289">
        <v>5.984</v>
      </c>
      <c r="AO16" s="289">
        <v>5.9260000000000002</v>
      </c>
      <c r="AP16" s="289">
        <v>6.7110000000000003</v>
      </c>
      <c r="AQ16" s="289">
        <v>5.5919999999999996</v>
      </c>
      <c r="AR16" s="289">
        <v>5.1230000000000002</v>
      </c>
      <c r="AS16" s="289">
        <v>5.923</v>
      </c>
      <c r="AT16" s="289">
        <v>6.2949999999999999</v>
      </c>
      <c r="AU16" s="289">
        <v>6.718</v>
      </c>
      <c r="AV16" s="289">
        <v>5.79</v>
      </c>
      <c r="AW16" s="289">
        <v>5.4770000000000003</v>
      </c>
      <c r="AX16" s="289">
        <v>5.3289999999999997</v>
      </c>
      <c r="AY16" s="289">
        <v>6.319</v>
      </c>
      <c r="AZ16" s="289">
        <v>6.5140000000000002</v>
      </c>
      <c r="BA16" s="289">
        <v>5.0190000000000001</v>
      </c>
      <c r="BB16" s="289">
        <v>5.3170000000000002</v>
      </c>
      <c r="BC16" s="289">
        <v>6.07</v>
      </c>
      <c r="BD16" s="289">
        <v>5.9470000000000001</v>
      </c>
      <c r="BE16" s="289">
        <v>6.6980000000000004</v>
      </c>
    </row>
    <row r="17" spans="1:57" ht="15" x14ac:dyDescent="0.2">
      <c r="A17" s="284"/>
      <c r="B17" s="416"/>
      <c r="C17" s="6" t="s">
        <v>122</v>
      </c>
      <c r="D17" s="424">
        <v>8.6761030893874125</v>
      </c>
      <c r="E17" s="422">
        <v>7.0509573724388508</v>
      </c>
      <c r="F17" s="422">
        <v>7.8739005379187015</v>
      </c>
      <c r="G17" s="422">
        <v>7.7249277735744055</v>
      </c>
      <c r="H17" s="422">
        <v>6.730931977633321</v>
      </c>
      <c r="I17" s="422">
        <v>7.010025719784573</v>
      </c>
      <c r="J17" s="422">
        <v>6.6360153563914706</v>
      </c>
      <c r="K17" s="422">
        <v>7.5659203035763118</v>
      </c>
      <c r="L17" s="422">
        <v>6.2559808361161515</v>
      </c>
      <c r="M17" s="422">
        <v>8.2157760583184789</v>
      </c>
      <c r="N17" s="422">
        <v>7.3991403963654943</v>
      </c>
      <c r="O17" s="422">
        <v>8.0554225791403908</v>
      </c>
      <c r="P17" s="422">
        <v>9.1265080327058286</v>
      </c>
      <c r="Q17" s="422">
        <v>7.4002404480447268</v>
      </c>
      <c r="R17" s="422">
        <v>8.5660456667570823</v>
      </c>
      <c r="S17" s="422">
        <v>8.7196366660790545</v>
      </c>
      <c r="T17" s="422">
        <v>7.7231574201348554</v>
      </c>
      <c r="U17" s="422">
        <v>8.4843075925569735</v>
      </c>
      <c r="V17" s="422">
        <v>8.1813393053821244</v>
      </c>
      <c r="W17" s="422">
        <v>8.69431565670574</v>
      </c>
      <c r="X17" s="422">
        <v>7.1026512424021098</v>
      </c>
      <c r="Y17" s="422">
        <v>6.9174420910270564</v>
      </c>
      <c r="Z17" s="422">
        <v>8.3323085599157558</v>
      </c>
      <c r="AA17" s="422">
        <v>7.5726062032581964</v>
      </c>
      <c r="AB17" s="422">
        <v>8.9733134484033972</v>
      </c>
      <c r="AC17" s="422">
        <v>7.5152390937993401</v>
      </c>
      <c r="AD17" s="422">
        <v>9.2923086146297287</v>
      </c>
      <c r="AE17" s="65">
        <f>'User Add-in Location'!B21</f>
        <v>0</v>
      </c>
      <c r="AF17" s="65">
        <f>'User Add-in Location'!C21</f>
        <v>0</v>
      </c>
      <c r="AG17" s="289">
        <v>8.2769999999999992</v>
      </c>
      <c r="AH17" s="289">
        <v>7.9059999999999997</v>
      </c>
      <c r="AI17" s="289">
        <v>7.5510000000000002</v>
      </c>
      <c r="AJ17" s="289">
        <v>6.694</v>
      </c>
      <c r="AK17" s="289">
        <v>7.923</v>
      </c>
      <c r="AL17" s="289">
        <v>6.5709999999999997</v>
      </c>
      <c r="AM17" s="289">
        <v>8.2040000000000006</v>
      </c>
      <c r="AN17" s="289">
        <v>7.8490000000000002</v>
      </c>
      <c r="AO17" s="289">
        <v>8.0749999999999993</v>
      </c>
      <c r="AP17" s="289">
        <v>8.15</v>
      </c>
      <c r="AQ17" s="289">
        <v>8.0609999999999999</v>
      </c>
      <c r="AR17" s="289">
        <v>7.4359999999999999</v>
      </c>
      <c r="AS17" s="289">
        <v>7.5190000000000001</v>
      </c>
      <c r="AT17" s="289">
        <v>8.4649999999999999</v>
      </c>
      <c r="AU17" s="289">
        <v>8.5459999999999994</v>
      </c>
      <c r="AV17" s="289">
        <v>7.9969999999999999</v>
      </c>
      <c r="AW17" s="289">
        <v>7.5039999999999996</v>
      </c>
      <c r="AX17" s="289">
        <v>7.4450000000000003</v>
      </c>
      <c r="AY17" s="289">
        <v>7.9420000000000002</v>
      </c>
      <c r="AZ17" s="289">
        <v>8.7270000000000003</v>
      </c>
      <c r="BA17" s="289">
        <v>7.0369999999999999</v>
      </c>
      <c r="BB17" s="289">
        <v>5.968</v>
      </c>
      <c r="BC17" s="289">
        <v>8.532</v>
      </c>
      <c r="BD17" s="289">
        <v>8.0660000000000007</v>
      </c>
      <c r="BE17" s="289">
        <v>8.3439999999999994</v>
      </c>
    </row>
    <row r="18" spans="1:57" ht="15.75" x14ac:dyDescent="0.25">
      <c r="A18" s="286" t="s">
        <v>410</v>
      </c>
      <c r="B18" s="416"/>
      <c r="C18" s="6" t="s">
        <v>48</v>
      </c>
      <c r="D18" s="424">
        <v>8.6573833358453012</v>
      </c>
      <c r="E18" s="422">
        <v>7.8686304794968169</v>
      </c>
      <c r="F18" s="422">
        <v>8.1818339482091105</v>
      </c>
      <c r="G18" s="422">
        <v>11.918219563562795</v>
      </c>
      <c r="H18" s="422">
        <v>6.7706171727197866</v>
      </c>
      <c r="I18" s="422">
        <v>9.7113620165401269</v>
      </c>
      <c r="J18" s="422">
        <v>6.5802548402943462</v>
      </c>
      <c r="K18" s="422">
        <v>8.5829000236516801</v>
      </c>
      <c r="L18" s="422">
        <v>4.369121567860387</v>
      </c>
      <c r="M18" s="422">
        <v>8.6896008749585523</v>
      </c>
      <c r="N18" s="422">
        <v>10.183667310218059</v>
      </c>
      <c r="O18" s="422">
        <v>8.098019677126695</v>
      </c>
      <c r="P18" s="422">
        <v>11.166429910583274</v>
      </c>
      <c r="Q18" s="422">
        <v>9.2436109010013325</v>
      </c>
      <c r="R18" s="422">
        <v>11.812686777567011</v>
      </c>
      <c r="S18" s="422">
        <v>10.931989468769988</v>
      </c>
      <c r="T18" s="422">
        <v>11.405731706181031</v>
      </c>
      <c r="U18" s="422">
        <v>10.062863506425654</v>
      </c>
      <c r="V18" s="422">
        <v>10.2648566257858</v>
      </c>
      <c r="W18" s="422">
        <v>10.414893976708209</v>
      </c>
      <c r="X18" s="422">
        <v>5.8156384100103624</v>
      </c>
      <c r="Y18" s="422">
        <v>6.4684425064632265</v>
      </c>
      <c r="Z18" s="422">
        <v>9.650036194131463</v>
      </c>
      <c r="AA18" s="422">
        <v>9.5888723370630657</v>
      </c>
      <c r="AB18" s="422">
        <v>11.859017641330443</v>
      </c>
      <c r="AC18" s="422">
        <v>10.395275426206581</v>
      </c>
      <c r="AD18" s="422">
        <v>10.626711929566142</v>
      </c>
      <c r="AE18" s="65">
        <f>'User Add-in Location'!B22</f>
        <v>0</v>
      </c>
      <c r="AF18" s="65">
        <f>'User Add-in Location'!C22</f>
        <v>0</v>
      </c>
      <c r="AG18" s="289">
        <v>11.164999999999999</v>
      </c>
      <c r="AH18" s="289">
        <v>7.31</v>
      </c>
      <c r="AI18" s="289">
        <v>8.1820000000000004</v>
      </c>
      <c r="AJ18" s="289">
        <v>8.0009999999999994</v>
      </c>
      <c r="AK18" s="289">
        <v>6.3710000000000004</v>
      </c>
      <c r="AL18" s="289">
        <v>6.6440000000000001</v>
      </c>
      <c r="AM18" s="289">
        <v>10.441000000000001</v>
      </c>
      <c r="AN18" s="289">
        <v>10.324999999999999</v>
      </c>
      <c r="AO18" s="289">
        <v>9.0619999999999994</v>
      </c>
      <c r="AP18" s="289">
        <v>9.0410000000000004</v>
      </c>
      <c r="AQ18" s="289">
        <v>8.7449999999999992</v>
      </c>
      <c r="AR18" s="289">
        <v>8.4220000000000006</v>
      </c>
      <c r="AS18" s="289">
        <v>6.8559999999999999</v>
      </c>
      <c r="AT18" s="289">
        <v>10.175000000000001</v>
      </c>
      <c r="AU18" s="289">
        <v>10.57</v>
      </c>
      <c r="AV18" s="289">
        <v>9.9890000000000008</v>
      </c>
      <c r="AW18" s="289">
        <v>9.5399999999999991</v>
      </c>
      <c r="AX18" s="289">
        <v>8.3699999999999992</v>
      </c>
      <c r="AY18" s="289">
        <v>10.32</v>
      </c>
      <c r="AZ18" s="289">
        <v>10.728999999999999</v>
      </c>
      <c r="BA18" s="289">
        <v>7.0940000000000003</v>
      </c>
      <c r="BB18" s="289">
        <v>7.4050000000000002</v>
      </c>
      <c r="BC18" s="289">
        <v>10.044</v>
      </c>
      <c r="BD18" s="289">
        <v>9.2140000000000004</v>
      </c>
      <c r="BE18" s="289">
        <v>10.039</v>
      </c>
    </row>
    <row r="19" spans="1:57" ht="15" x14ac:dyDescent="0.2">
      <c r="A19" s="284"/>
      <c r="B19" s="416"/>
      <c r="C19" s="6"/>
      <c r="D19" s="424"/>
      <c r="E19" s="422"/>
      <c r="F19" s="422"/>
      <c r="G19" s="422"/>
      <c r="H19" s="422"/>
      <c r="I19" s="422"/>
      <c r="J19" s="422"/>
      <c r="K19" s="422"/>
      <c r="L19" s="422"/>
      <c r="M19" s="422"/>
      <c r="N19" s="422"/>
      <c r="O19" s="422"/>
      <c r="P19" s="422"/>
      <c r="Q19" s="422"/>
      <c r="R19" s="422"/>
      <c r="S19" s="422"/>
      <c r="T19" s="422"/>
      <c r="U19" s="422"/>
      <c r="V19" s="422"/>
      <c r="W19" s="422"/>
      <c r="X19" s="422"/>
      <c r="Y19" s="422"/>
      <c r="Z19" s="422"/>
      <c r="AA19" s="422"/>
      <c r="AB19" s="422"/>
      <c r="AC19" s="422"/>
      <c r="AD19" s="422"/>
      <c r="AG19" s="289"/>
      <c r="AH19" s="289"/>
      <c r="AI19" s="289"/>
      <c r="AJ19" s="289"/>
      <c r="AK19" s="289"/>
      <c r="AL19" s="289"/>
      <c r="AM19" s="289"/>
      <c r="AN19" s="289"/>
      <c r="AO19" s="289"/>
      <c r="AP19" s="289"/>
      <c r="AQ19" s="289"/>
      <c r="AR19" s="289"/>
      <c r="AS19" s="289"/>
      <c r="AT19" s="289"/>
      <c r="AU19" s="289"/>
      <c r="AV19" s="289"/>
      <c r="AW19" s="289"/>
      <c r="AX19" s="289"/>
      <c r="AY19" s="289"/>
      <c r="AZ19" s="289"/>
      <c r="BA19" s="289"/>
      <c r="BB19" s="289"/>
      <c r="BC19" s="289"/>
      <c r="BD19" s="289"/>
      <c r="BE19" s="289"/>
    </row>
    <row r="20" spans="1:57" x14ac:dyDescent="0.2">
      <c r="A20" s="284"/>
      <c r="B20" s="416"/>
      <c r="C20" s="17" t="s">
        <v>198</v>
      </c>
      <c r="D20" s="424"/>
      <c r="E20" s="422"/>
      <c r="F20" s="422"/>
      <c r="G20" s="422"/>
      <c r="H20" s="422"/>
      <c r="I20" s="422"/>
      <c r="J20" s="422"/>
      <c r="K20" s="422"/>
      <c r="L20" s="422"/>
      <c r="M20" s="422"/>
      <c r="N20" s="422"/>
      <c r="O20" s="422"/>
      <c r="P20" s="422"/>
      <c r="Q20" s="422"/>
      <c r="R20" s="422"/>
      <c r="S20" s="422"/>
      <c r="T20" s="422"/>
      <c r="U20" s="422"/>
      <c r="V20" s="422"/>
      <c r="W20" s="422"/>
      <c r="X20" s="422"/>
      <c r="Y20" s="422"/>
      <c r="Z20" s="422"/>
      <c r="AA20" s="422"/>
      <c r="AB20" s="422"/>
      <c r="AC20" s="422"/>
      <c r="AD20" s="422"/>
      <c r="AG20" s="289"/>
      <c r="AH20" s="289"/>
      <c r="AI20" s="289"/>
      <c r="AJ20" s="289"/>
      <c r="AK20" s="289"/>
      <c r="AL20" s="289"/>
      <c r="AM20" s="289"/>
      <c r="AN20" s="289"/>
      <c r="AO20" s="289"/>
      <c r="AP20" s="289"/>
      <c r="AQ20" s="289"/>
      <c r="AR20" s="289"/>
      <c r="AS20" s="289"/>
      <c r="AT20" s="289"/>
      <c r="AU20" s="289"/>
      <c r="AV20" s="289"/>
      <c r="AW20" s="289"/>
      <c r="AX20" s="289"/>
      <c r="AY20" s="289"/>
      <c r="AZ20" s="289"/>
      <c r="BA20" s="289"/>
      <c r="BB20" s="289"/>
      <c r="BC20" s="289"/>
      <c r="BD20" s="289"/>
      <c r="BE20" s="289"/>
    </row>
    <row r="21" spans="1:57" ht="25.5" customHeight="1" x14ac:dyDescent="0.2">
      <c r="A21" s="284"/>
      <c r="B21" s="416"/>
      <c r="C21" s="127" t="s">
        <v>202</v>
      </c>
      <c r="D21" s="424" t="s">
        <v>50</v>
      </c>
      <c r="E21" s="422" t="s">
        <v>51</v>
      </c>
      <c r="F21" s="422" t="s">
        <v>52</v>
      </c>
      <c r="G21" s="422" t="s">
        <v>53</v>
      </c>
      <c r="H21" s="422" t="s">
        <v>54</v>
      </c>
      <c r="I21" s="422" t="s">
        <v>55</v>
      </c>
      <c r="J21" s="422" t="s">
        <v>56</v>
      </c>
      <c r="K21" s="422" t="s">
        <v>57</v>
      </c>
      <c r="L21" s="422" t="s">
        <v>58</v>
      </c>
      <c r="M21" s="422" t="s">
        <v>59</v>
      </c>
      <c r="N21" s="422" t="s">
        <v>60</v>
      </c>
      <c r="O21" s="422" t="s">
        <v>61</v>
      </c>
      <c r="P21" s="422" t="s">
        <v>62</v>
      </c>
      <c r="Q21" s="422" t="s">
        <v>63</v>
      </c>
      <c r="R21" s="422" t="s">
        <v>64</v>
      </c>
      <c r="S21" s="422" t="s">
        <v>65</v>
      </c>
      <c r="T21" s="422" t="s">
        <v>66</v>
      </c>
      <c r="U21" s="422" t="s">
        <v>67</v>
      </c>
      <c r="V21" s="422" t="s">
        <v>68</v>
      </c>
      <c r="W21" s="422" t="s">
        <v>69</v>
      </c>
      <c r="X21" s="422" t="s">
        <v>70</v>
      </c>
      <c r="Y21" s="422" t="s">
        <v>71</v>
      </c>
      <c r="Z21" s="422" t="s">
        <v>72</v>
      </c>
      <c r="AA21" s="422" t="s">
        <v>73</v>
      </c>
      <c r="AB21" s="422" t="s">
        <v>74</v>
      </c>
      <c r="AC21" s="422" t="s">
        <v>75</v>
      </c>
      <c r="AD21" s="422" t="s">
        <v>76</v>
      </c>
      <c r="AE21" s="65" t="s">
        <v>233</v>
      </c>
      <c r="AF21" s="65" t="s">
        <v>232</v>
      </c>
      <c r="AG21" s="289" t="s">
        <v>77</v>
      </c>
      <c r="AH21" s="289" t="s">
        <v>78</v>
      </c>
      <c r="AI21" s="289" t="s">
        <v>79</v>
      </c>
      <c r="AJ21" s="289" t="s">
        <v>80</v>
      </c>
      <c r="AK21" s="289" t="s">
        <v>81</v>
      </c>
      <c r="AL21" s="289" t="s">
        <v>82</v>
      </c>
      <c r="AM21" s="289" t="s">
        <v>83</v>
      </c>
      <c r="AN21" s="289" t="s">
        <v>84</v>
      </c>
      <c r="AO21" s="289" t="s">
        <v>85</v>
      </c>
      <c r="AP21" s="289" t="s">
        <v>86</v>
      </c>
      <c r="AQ21" s="289" t="s">
        <v>87</v>
      </c>
      <c r="AR21" s="289" t="s">
        <v>88</v>
      </c>
      <c r="AS21" s="289" t="s">
        <v>89</v>
      </c>
      <c r="AT21" s="289" t="s">
        <v>90</v>
      </c>
      <c r="AU21" s="289" t="s">
        <v>91</v>
      </c>
      <c r="AV21" s="289" t="s">
        <v>92</v>
      </c>
      <c r="AW21" s="289" t="s">
        <v>93</v>
      </c>
      <c r="AX21" s="289" t="s">
        <v>394</v>
      </c>
      <c r="AY21" s="289" t="s">
        <v>94</v>
      </c>
      <c r="AZ21" s="289" t="s">
        <v>95</v>
      </c>
      <c r="BA21" s="289" t="s">
        <v>96</v>
      </c>
      <c r="BB21" s="289" t="s">
        <v>97</v>
      </c>
      <c r="BC21" s="289" t="s">
        <v>98</v>
      </c>
      <c r="BD21" s="289" t="s">
        <v>99</v>
      </c>
      <c r="BE21" s="289" t="s">
        <v>49</v>
      </c>
    </row>
    <row r="22" spans="1:57" ht="15" x14ac:dyDescent="0.2">
      <c r="A22" s="284"/>
      <c r="B22" s="416"/>
      <c r="C22" s="6" t="s">
        <v>44</v>
      </c>
      <c r="D22" s="424">
        <v>1.3195139210020899</v>
      </c>
      <c r="E22" s="422">
        <v>0.57032354145798536</v>
      </c>
      <c r="F22" s="422">
        <v>1.1653534394962377</v>
      </c>
      <c r="G22" s="422">
        <v>1.8343318182980095</v>
      </c>
      <c r="H22" s="422">
        <v>0.78346690047577694</v>
      </c>
      <c r="I22" s="422">
        <v>2.0262411450500903</v>
      </c>
      <c r="J22" s="422">
        <v>0.47801404134830378</v>
      </c>
      <c r="K22" s="422">
        <v>0.90705697817150732</v>
      </c>
      <c r="L22" s="422">
        <v>0.50293721365509236</v>
      </c>
      <c r="M22" s="422">
        <v>0.95650180460474332</v>
      </c>
      <c r="N22" s="422">
        <v>1.3053112636561</v>
      </c>
      <c r="O22" s="422">
        <v>1.1653477122883675</v>
      </c>
      <c r="P22" s="422">
        <v>1.6603899698941409</v>
      </c>
      <c r="Q22" s="422">
        <v>1.1687189922926391</v>
      </c>
      <c r="R22" s="422">
        <v>0.90446848475723374</v>
      </c>
      <c r="S22" s="422">
        <v>1.2108440379812528</v>
      </c>
      <c r="T22" s="422">
        <v>1.7428415134569306</v>
      </c>
      <c r="U22" s="422">
        <v>1.2219709801577103</v>
      </c>
      <c r="V22" s="422">
        <v>0.72523960531645115</v>
      </c>
      <c r="W22" s="422">
        <v>1.4573191331752422</v>
      </c>
      <c r="X22" s="422">
        <v>0.86596692076232662</v>
      </c>
      <c r="Y22" s="422">
        <v>0.43859285140392423</v>
      </c>
      <c r="Z22" s="422">
        <v>1.0059357902516533</v>
      </c>
      <c r="AA22" s="422">
        <v>1.4369928633569864</v>
      </c>
      <c r="AB22" s="422">
        <v>1.3585006613208734</v>
      </c>
      <c r="AC22" s="422">
        <v>1.4740024897016595</v>
      </c>
      <c r="AD22" s="422">
        <v>1.8244932933492493</v>
      </c>
      <c r="AE22" s="65">
        <f>'User Add-in Location'!B26</f>
        <v>0</v>
      </c>
      <c r="AF22" s="65">
        <f>'User Add-in Location'!C26</f>
        <v>0</v>
      </c>
      <c r="AG22" s="289">
        <v>1.3660000000000001</v>
      </c>
      <c r="AH22" s="289">
        <v>0.504</v>
      </c>
      <c r="AI22" s="289">
        <v>0.86699999999999999</v>
      </c>
      <c r="AJ22" s="289">
        <v>0.42599999999999999</v>
      </c>
      <c r="AK22" s="289">
        <v>1.484</v>
      </c>
      <c r="AL22" s="289">
        <v>0.97499999999999998</v>
      </c>
      <c r="AM22" s="289">
        <v>1.0089999999999999</v>
      </c>
      <c r="AN22" s="289">
        <v>1.2509999999999999</v>
      </c>
      <c r="AO22" s="289">
        <v>1.0620000000000001</v>
      </c>
      <c r="AP22" s="289">
        <v>1.7230000000000001</v>
      </c>
      <c r="AQ22" s="289">
        <v>1.6779999999999999</v>
      </c>
      <c r="AR22" s="289">
        <v>1.163</v>
      </c>
      <c r="AS22" s="289">
        <v>0.48299999999999998</v>
      </c>
      <c r="AT22" s="289">
        <v>0.96</v>
      </c>
      <c r="AU22" s="289">
        <v>1.4910000000000001</v>
      </c>
      <c r="AV22" s="289">
        <v>1.286</v>
      </c>
      <c r="AW22" s="289">
        <v>1.528</v>
      </c>
      <c r="AX22" s="289">
        <v>2.516</v>
      </c>
      <c r="AY22" s="289">
        <v>1.2350000000000001</v>
      </c>
      <c r="AZ22" s="289">
        <v>2.1779999999999999</v>
      </c>
      <c r="BA22" s="289">
        <v>1.274</v>
      </c>
      <c r="BB22" s="289">
        <v>0.88800000000000001</v>
      </c>
      <c r="BC22" s="289">
        <v>1.3049999999999999</v>
      </c>
      <c r="BD22" s="289">
        <v>1.9359999999999999</v>
      </c>
      <c r="BE22" s="289">
        <v>0.90800000000000003</v>
      </c>
    </row>
    <row r="23" spans="1:57" ht="15" x14ac:dyDescent="0.2">
      <c r="A23" s="284"/>
      <c r="B23" s="416"/>
      <c r="C23" s="6" t="s">
        <v>114</v>
      </c>
      <c r="D23" s="424">
        <v>1.3467413722604946</v>
      </c>
      <c r="E23" s="422">
        <v>0.3854762229366579</v>
      </c>
      <c r="F23" s="422">
        <v>1.7609998868859333</v>
      </c>
      <c r="G23" s="422">
        <v>1.5724012402520664</v>
      </c>
      <c r="H23" s="422">
        <v>1.0656654247339221</v>
      </c>
      <c r="I23" s="422">
        <v>1.4428833947665449</v>
      </c>
      <c r="J23" s="422">
        <v>1.6201880634694861</v>
      </c>
      <c r="K23" s="422">
        <v>1.4929582899895268</v>
      </c>
      <c r="L23" s="422">
        <v>1.2472158791362375</v>
      </c>
      <c r="M23" s="422">
        <v>2.8130057238150337</v>
      </c>
      <c r="N23" s="422">
        <v>1.640434375707654</v>
      </c>
      <c r="O23" s="422">
        <v>1.7586293427840525</v>
      </c>
      <c r="P23" s="422">
        <v>1.9186764316282412</v>
      </c>
      <c r="Q23" s="422">
        <v>1.8142766261446304</v>
      </c>
      <c r="R23" s="422">
        <v>1.6917733731477158</v>
      </c>
      <c r="S23" s="422">
        <v>1.5867198999377266</v>
      </c>
      <c r="T23" s="422">
        <v>2.8907508297242983</v>
      </c>
      <c r="U23" s="422">
        <v>1.5826005244600601</v>
      </c>
      <c r="V23" s="422">
        <v>0.98603520877119433</v>
      </c>
      <c r="W23" s="422">
        <v>2.762200092923814</v>
      </c>
      <c r="X23" s="422">
        <v>2.0980579403863437</v>
      </c>
      <c r="Y23" s="422">
        <v>2.13432945030323</v>
      </c>
      <c r="Z23" s="422">
        <v>2.2772228130395864</v>
      </c>
      <c r="AA23" s="422">
        <v>1.5445205025050952</v>
      </c>
      <c r="AB23" s="422">
        <v>1.6091708722321885</v>
      </c>
      <c r="AC23" s="422">
        <v>1.8243297632189766</v>
      </c>
      <c r="AD23" s="422">
        <v>1.8873560670493306</v>
      </c>
      <c r="AE23" s="65">
        <f>'User Add-in Location'!B27</f>
        <v>0</v>
      </c>
      <c r="AF23" s="65">
        <f>'User Add-in Location'!C27</f>
        <v>0</v>
      </c>
      <c r="AG23" s="289">
        <v>1.635</v>
      </c>
      <c r="AH23" s="289">
        <v>1.026</v>
      </c>
      <c r="AI23" s="289">
        <v>1.802</v>
      </c>
      <c r="AJ23" s="289">
        <v>1.8420000000000001</v>
      </c>
      <c r="AK23" s="289">
        <v>1.413</v>
      </c>
      <c r="AL23" s="289">
        <v>1.9019999999999999</v>
      </c>
      <c r="AM23" s="289">
        <v>1.5920000000000001</v>
      </c>
      <c r="AN23" s="289">
        <v>0.98599999999999999</v>
      </c>
      <c r="AO23" s="289">
        <v>1.9650000000000001</v>
      </c>
      <c r="AP23" s="289">
        <v>1.8759999999999999</v>
      </c>
      <c r="AQ23" s="289">
        <v>2.2589999999999999</v>
      </c>
      <c r="AR23" s="289">
        <v>1.355</v>
      </c>
      <c r="AS23" s="289">
        <v>1.925</v>
      </c>
      <c r="AT23" s="289">
        <v>1.754</v>
      </c>
      <c r="AU23" s="289">
        <v>1.96</v>
      </c>
      <c r="AV23" s="289">
        <v>1.6839999999999999</v>
      </c>
      <c r="AW23" s="289">
        <v>1.091</v>
      </c>
      <c r="AX23" s="289">
        <v>2.0569999999999999</v>
      </c>
      <c r="AY23" s="289">
        <v>1.7170000000000001</v>
      </c>
      <c r="AZ23" s="289">
        <v>1.5069999999999999</v>
      </c>
      <c r="BA23" s="289">
        <v>1.589</v>
      </c>
      <c r="BB23" s="289">
        <v>1.71</v>
      </c>
      <c r="BC23" s="289">
        <v>1.5489999999999999</v>
      </c>
      <c r="BD23" s="289">
        <v>1.401</v>
      </c>
      <c r="BE23" s="289">
        <v>0.88800000000000001</v>
      </c>
    </row>
    <row r="24" spans="1:57" ht="15" x14ac:dyDescent="0.2">
      <c r="A24" s="284"/>
      <c r="B24" s="416"/>
      <c r="C24" s="6" t="s">
        <v>45</v>
      </c>
      <c r="D24" s="424">
        <v>2.8524229298181676</v>
      </c>
      <c r="E24" s="422">
        <v>1.9416188101673797</v>
      </c>
      <c r="F24" s="422">
        <v>2.870700918963748</v>
      </c>
      <c r="G24" s="422">
        <v>3.0196375131301587</v>
      </c>
      <c r="H24" s="422">
        <v>2.9360729408600177</v>
      </c>
      <c r="I24" s="422">
        <v>3.169258980854897</v>
      </c>
      <c r="J24" s="422">
        <v>2.5532904285257403</v>
      </c>
      <c r="K24" s="422">
        <v>2.6944461864664491</v>
      </c>
      <c r="L24" s="422">
        <v>1.2707790245542459</v>
      </c>
      <c r="M24" s="422">
        <v>3.4065510809688826</v>
      </c>
      <c r="N24" s="422">
        <v>3.2325781999223895</v>
      </c>
      <c r="O24" s="422">
        <v>2.2205186831806043</v>
      </c>
      <c r="P24" s="422">
        <v>3.4000618244729539</v>
      </c>
      <c r="Q24" s="422">
        <v>2.773124388133311</v>
      </c>
      <c r="R24" s="422">
        <v>2.9611464935873348</v>
      </c>
      <c r="S24" s="422">
        <v>2.9131867115807641</v>
      </c>
      <c r="T24" s="422">
        <v>3.0551804966227052</v>
      </c>
      <c r="U24" s="422">
        <v>2.8845992621361329</v>
      </c>
      <c r="V24" s="422">
        <v>2.3965543652100108</v>
      </c>
      <c r="W24" s="422">
        <v>3.5977053354368387</v>
      </c>
      <c r="X24" s="422">
        <v>2.3654046615372093</v>
      </c>
      <c r="Y24" s="422">
        <v>2.6301875953717082</v>
      </c>
      <c r="Z24" s="422">
        <v>3.1454679186263195</v>
      </c>
      <c r="AA24" s="422">
        <v>2.9770112918936849</v>
      </c>
      <c r="AB24" s="422">
        <v>2.7897154159991882</v>
      </c>
      <c r="AC24" s="422">
        <v>3.2617896250774279</v>
      </c>
      <c r="AD24" s="422">
        <v>3.2151159692620102</v>
      </c>
      <c r="AE24" s="65">
        <f>'User Add-in Location'!B28</f>
        <v>0</v>
      </c>
      <c r="AF24" s="65">
        <f>'User Add-in Location'!C28</f>
        <v>0</v>
      </c>
      <c r="AG24" s="289">
        <v>2.9169999999999998</v>
      </c>
      <c r="AH24" s="289">
        <v>1.0289999999999999</v>
      </c>
      <c r="AI24" s="289">
        <v>3.3180000000000001</v>
      </c>
      <c r="AJ24" s="289">
        <v>2.4580000000000002</v>
      </c>
      <c r="AK24" s="289">
        <v>2.6970000000000001</v>
      </c>
      <c r="AL24" s="289">
        <v>2.234</v>
      </c>
      <c r="AM24" s="289">
        <v>3.3719999999999999</v>
      </c>
      <c r="AN24" s="289">
        <v>2.46</v>
      </c>
      <c r="AO24" s="289">
        <v>3.2869999999999999</v>
      </c>
      <c r="AP24" s="289">
        <v>3.0710000000000002</v>
      </c>
      <c r="AQ24" s="289">
        <v>3.1259999999999999</v>
      </c>
      <c r="AR24" s="289">
        <v>3.1120000000000001</v>
      </c>
      <c r="AS24" s="289">
        <v>2.4860000000000002</v>
      </c>
      <c r="AT24" s="289">
        <v>2.9830000000000001</v>
      </c>
      <c r="AU24" s="289">
        <v>3.0950000000000002</v>
      </c>
      <c r="AV24" s="289">
        <v>3.2810000000000001</v>
      </c>
      <c r="AW24" s="289">
        <v>2.8820000000000001</v>
      </c>
      <c r="AX24" s="289">
        <v>4.5359999999999996</v>
      </c>
      <c r="AY24" s="289">
        <v>3.2040000000000002</v>
      </c>
      <c r="AZ24" s="289">
        <v>3.23</v>
      </c>
      <c r="BA24" s="289">
        <v>2.726</v>
      </c>
      <c r="BB24" s="289">
        <v>2.3130000000000002</v>
      </c>
      <c r="BC24" s="289">
        <v>2.2879999999999998</v>
      </c>
      <c r="BD24" s="289">
        <v>3.1680000000000001</v>
      </c>
      <c r="BE24" s="289">
        <v>1.91</v>
      </c>
    </row>
    <row r="25" spans="1:57" ht="15" x14ac:dyDescent="0.2">
      <c r="A25" s="284"/>
      <c r="B25" s="416"/>
      <c r="C25" s="6" t="s">
        <v>115</v>
      </c>
      <c r="D25" s="424">
        <v>1.7196063792779104</v>
      </c>
      <c r="E25" s="422">
        <v>1.5137740180773516</v>
      </c>
      <c r="F25" s="422">
        <v>1.9070028343595831</v>
      </c>
      <c r="G25" s="422">
        <v>1.9438472919298528</v>
      </c>
      <c r="H25" s="422">
        <v>2.1425552439571613</v>
      </c>
      <c r="I25" s="422">
        <v>2.2069593010806581</v>
      </c>
      <c r="J25" s="422">
        <v>1.2877870797942794</v>
      </c>
      <c r="K25" s="422">
        <v>1.3818146461340681</v>
      </c>
      <c r="L25" s="422">
        <v>0.66783594058428331</v>
      </c>
      <c r="M25" s="422">
        <v>2.2369546058194216</v>
      </c>
      <c r="N25" s="422">
        <v>1.8277816656722212</v>
      </c>
      <c r="O25" s="422">
        <v>2.2081797751623955</v>
      </c>
      <c r="P25" s="422">
        <v>2.1859821463507876</v>
      </c>
      <c r="Q25" s="422">
        <v>1.8437573613825995</v>
      </c>
      <c r="R25" s="422">
        <v>1.579410516949618</v>
      </c>
      <c r="S25" s="422">
        <v>1.722338654650287</v>
      </c>
      <c r="T25" s="422">
        <v>2.181515129147626</v>
      </c>
      <c r="U25" s="422">
        <v>1.7093222780525565</v>
      </c>
      <c r="V25" s="422">
        <v>1.6226980245167626</v>
      </c>
      <c r="W25" s="422">
        <v>2.0997135034925263</v>
      </c>
      <c r="X25" s="422">
        <v>1.2603738277121912</v>
      </c>
      <c r="Y25" s="422">
        <v>1.4176902925636234</v>
      </c>
      <c r="Z25" s="422">
        <v>1.8602474388198063</v>
      </c>
      <c r="AA25" s="422">
        <v>2.0701627121006787</v>
      </c>
      <c r="AB25" s="422">
        <v>1.8425147756112974</v>
      </c>
      <c r="AC25" s="422">
        <v>1.9205750805965209</v>
      </c>
      <c r="AD25" s="422">
        <v>2.1731459686252301</v>
      </c>
      <c r="AE25" s="65">
        <f>'User Add-in Location'!B29</f>
        <v>0</v>
      </c>
      <c r="AF25" s="65">
        <f>'User Add-in Location'!C29</f>
        <v>0</v>
      </c>
      <c r="AG25" s="289">
        <v>1.758</v>
      </c>
      <c r="AH25" s="289">
        <v>1.097</v>
      </c>
      <c r="AI25" s="289">
        <v>1.504</v>
      </c>
      <c r="AJ25" s="289">
        <v>1.5389999999999999</v>
      </c>
      <c r="AK25" s="289">
        <v>2.085</v>
      </c>
      <c r="AL25" s="289">
        <v>1.5369999999999999</v>
      </c>
      <c r="AM25" s="289">
        <v>1.6870000000000001</v>
      </c>
      <c r="AN25" s="289">
        <v>1.827</v>
      </c>
      <c r="AO25" s="289">
        <v>1.9710000000000001</v>
      </c>
      <c r="AP25" s="289">
        <v>2.327</v>
      </c>
      <c r="AQ25" s="289">
        <v>2.21</v>
      </c>
      <c r="AR25" s="289">
        <v>1.9359999999999999</v>
      </c>
      <c r="AS25" s="289">
        <v>1.4750000000000001</v>
      </c>
      <c r="AT25" s="289">
        <v>1.6040000000000001</v>
      </c>
      <c r="AU25" s="289">
        <v>1.8280000000000001</v>
      </c>
      <c r="AV25" s="289">
        <v>1.8380000000000001</v>
      </c>
      <c r="AW25" s="289">
        <v>2.3479999999999999</v>
      </c>
      <c r="AX25" s="289">
        <v>4.069</v>
      </c>
      <c r="AY25" s="289">
        <v>2.2869999999999999</v>
      </c>
      <c r="AZ25" s="289">
        <v>2.1960000000000002</v>
      </c>
      <c r="BA25" s="289">
        <v>1.44</v>
      </c>
      <c r="BB25" s="289">
        <v>1.6559999999999999</v>
      </c>
      <c r="BC25" s="289">
        <v>1.633</v>
      </c>
      <c r="BD25" s="289">
        <v>2.0630000000000002</v>
      </c>
      <c r="BE25" s="289">
        <v>1.575</v>
      </c>
    </row>
    <row r="26" spans="1:57" ht="15" x14ac:dyDescent="0.2">
      <c r="A26" s="284"/>
      <c r="B26" s="416"/>
      <c r="C26" s="6" t="s">
        <v>116</v>
      </c>
      <c r="D26" s="424">
        <v>1.5350727987725561</v>
      </c>
      <c r="E26" s="422">
        <v>1.3472167675088091</v>
      </c>
      <c r="F26" s="422">
        <v>1.931791671165606</v>
      </c>
      <c r="G26" s="422">
        <v>1.4335709457717292</v>
      </c>
      <c r="H26" s="422">
        <v>2.2314757370367282</v>
      </c>
      <c r="I26" s="422">
        <v>1.9140012736727552</v>
      </c>
      <c r="J26" s="422">
        <v>1.3534657708028468</v>
      </c>
      <c r="K26" s="422">
        <v>1.2335007430576697</v>
      </c>
      <c r="L26" s="422">
        <v>0</v>
      </c>
      <c r="M26" s="422">
        <v>2.166902548656231</v>
      </c>
      <c r="N26" s="422">
        <v>1.7705566439686753</v>
      </c>
      <c r="O26" s="422">
        <v>1.722141222255986</v>
      </c>
      <c r="P26" s="422">
        <v>1.8684941203129002</v>
      </c>
      <c r="Q26" s="422">
        <v>1.8004963892262158</v>
      </c>
      <c r="R26" s="422">
        <v>1.6032953291404539</v>
      </c>
      <c r="S26" s="422">
        <v>1.5209898530710035</v>
      </c>
      <c r="T26" s="422">
        <v>1.5880798210458058</v>
      </c>
      <c r="U26" s="422">
        <v>1.4774118988979155</v>
      </c>
      <c r="V26" s="422">
        <v>1.2971914032610452</v>
      </c>
      <c r="W26" s="422">
        <v>1.732763509197933</v>
      </c>
      <c r="X26" s="422">
        <v>1.3936610861522396</v>
      </c>
      <c r="Y26" s="422">
        <v>1.4765990561828382</v>
      </c>
      <c r="Z26" s="422">
        <v>1.8303083392178141</v>
      </c>
      <c r="AA26" s="422">
        <v>1.9155843606809291</v>
      </c>
      <c r="AB26" s="422">
        <v>1.5029968815605816</v>
      </c>
      <c r="AC26" s="422">
        <v>1.6822440958604581</v>
      </c>
      <c r="AD26" s="422">
        <v>1.6965238277505084</v>
      </c>
      <c r="AE26" s="65">
        <f>'User Add-in Location'!B30</f>
        <v>0</v>
      </c>
      <c r="AF26" s="65">
        <f>'User Add-in Location'!C30</f>
        <v>0</v>
      </c>
      <c r="AG26" s="289">
        <v>1.484</v>
      </c>
      <c r="AH26" s="289">
        <v>1.157</v>
      </c>
      <c r="AI26" s="289">
        <v>1.4790000000000001</v>
      </c>
      <c r="AJ26" s="289">
        <v>1.5029999999999999</v>
      </c>
      <c r="AK26" s="289">
        <v>1.5780000000000001</v>
      </c>
      <c r="AL26" s="289">
        <v>1.4690000000000001</v>
      </c>
      <c r="AM26" s="289">
        <v>1.873</v>
      </c>
      <c r="AN26" s="289">
        <v>1.391</v>
      </c>
      <c r="AO26" s="289">
        <v>1.865</v>
      </c>
      <c r="AP26" s="289">
        <v>1.538</v>
      </c>
      <c r="AQ26" s="289">
        <v>1.8320000000000001</v>
      </c>
      <c r="AR26" s="289">
        <v>1.8169999999999999</v>
      </c>
      <c r="AS26" s="289">
        <v>1.68</v>
      </c>
      <c r="AT26" s="289">
        <v>1.476</v>
      </c>
      <c r="AU26" s="289">
        <v>1.4750000000000001</v>
      </c>
      <c r="AV26" s="289">
        <v>1.6619999999999999</v>
      </c>
      <c r="AW26" s="289">
        <v>1.994</v>
      </c>
      <c r="AX26" s="289">
        <v>3.919</v>
      </c>
      <c r="AY26" s="289">
        <v>2.2050000000000001</v>
      </c>
      <c r="AZ26" s="289">
        <v>1.5920000000000001</v>
      </c>
      <c r="BA26" s="289">
        <v>1.3320000000000001</v>
      </c>
      <c r="BB26" s="289">
        <v>1.54</v>
      </c>
      <c r="BC26" s="289">
        <v>1.2969999999999999</v>
      </c>
      <c r="BD26" s="289">
        <v>1.7809999999999999</v>
      </c>
      <c r="BE26" s="289">
        <v>1.1080000000000001</v>
      </c>
    </row>
    <row r="27" spans="1:57" ht="15" x14ac:dyDescent="0.2">
      <c r="A27" s="284"/>
      <c r="B27" s="416"/>
      <c r="C27" s="6" t="s">
        <v>117</v>
      </c>
      <c r="D27" s="424">
        <v>1.782071680878289</v>
      </c>
      <c r="E27" s="422">
        <v>1.3724407239351422</v>
      </c>
      <c r="F27" s="422">
        <v>1.8208202242385596</v>
      </c>
      <c r="G27" s="422">
        <v>1.7626156406477094</v>
      </c>
      <c r="H27" s="422">
        <v>2.1732648452743888</v>
      </c>
      <c r="I27" s="422">
        <v>2.2188616353087127</v>
      </c>
      <c r="J27" s="422">
        <v>1.4587514041922987</v>
      </c>
      <c r="K27" s="422">
        <v>1.2291525106411427</v>
      </c>
      <c r="L27" s="422">
        <v>1.0605147699825466</v>
      </c>
      <c r="M27" s="422">
        <v>2.3882860718294978</v>
      </c>
      <c r="N27" s="422">
        <v>1.8684619824634865</v>
      </c>
      <c r="O27" s="422">
        <v>2.103107777191326</v>
      </c>
      <c r="P27" s="422">
        <v>2.0572034120559692</v>
      </c>
      <c r="Q27" s="422">
        <v>1.7693511871621013</v>
      </c>
      <c r="R27" s="422">
        <v>1.8066850011236966</v>
      </c>
      <c r="S27" s="422">
        <v>1.529336059698835</v>
      </c>
      <c r="T27" s="422">
        <v>1.8906857343390584</v>
      </c>
      <c r="U27" s="422">
        <v>1.6992855791468173</v>
      </c>
      <c r="V27" s="422">
        <v>1.5099613817874342</v>
      </c>
      <c r="W27" s="422">
        <v>1.8850409768056124</v>
      </c>
      <c r="X27" s="422">
        <v>1.6448956232052296</v>
      </c>
      <c r="Y27" s="422">
        <v>1.5923566890414804</v>
      </c>
      <c r="Z27" s="422">
        <v>1.8781136891338974</v>
      </c>
      <c r="AA27" s="422">
        <v>2.2405931509565562</v>
      </c>
      <c r="AB27" s="422">
        <v>1.6511377728311345</v>
      </c>
      <c r="AC27" s="422">
        <v>2.1562412017956376</v>
      </c>
      <c r="AD27" s="422">
        <v>2.0803293455392122</v>
      </c>
      <c r="AE27" s="65">
        <f>'User Add-in Location'!B31</f>
        <v>0</v>
      </c>
      <c r="AF27" s="65">
        <f>'User Add-in Location'!C31</f>
        <v>0</v>
      </c>
      <c r="AG27" s="289">
        <v>1.5880000000000001</v>
      </c>
      <c r="AH27" s="289">
        <v>1.2290000000000001</v>
      </c>
      <c r="AI27" s="289">
        <v>1.2350000000000001</v>
      </c>
      <c r="AJ27" s="289">
        <v>1.5169999999999999</v>
      </c>
      <c r="AK27" s="289">
        <v>1.679</v>
      </c>
      <c r="AL27" s="289">
        <v>1.51</v>
      </c>
      <c r="AM27" s="289">
        <v>1.73</v>
      </c>
      <c r="AN27" s="289">
        <v>1.6020000000000001</v>
      </c>
      <c r="AO27" s="289">
        <v>1.994</v>
      </c>
      <c r="AP27" s="289">
        <v>1.59</v>
      </c>
      <c r="AQ27" s="289">
        <v>2.004</v>
      </c>
      <c r="AR27" s="289">
        <v>1.881</v>
      </c>
      <c r="AS27" s="289">
        <v>1.4370000000000001</v>
      </c>
      <c r="AT27" s="289">
        <v>1.5760000000000001</v>
      </c>
      <c r="AU27" s="289">
        <v>1.776</v>
      </c>
      <c r="AV27" s="289">
        <v>1.849</v>
      </c>
      <c r="AW27" s="289">
        <v>1.9990000000000001</v>
      </c>
      <c r="AX27" s="289">
        <v>4.1369999999999996</v>
      </c>
      <c r="AY27" s="289">
        <v>2.258</v>
      </c>
      <c r="AZ27" s="289">
        <v>1.444</v>
      </c>
      <c r="BA27" s="289">
        <v>1.51</v>
      </c>
      <c r="BB27" s="289">
        <v>1.7010000000000001</v>
      </c>
      <c r="BC27" s="289">
        <v>1.246</v>
      </c>
      <c r="BD27" s="289">
        <v>2.0099999999999998</v>
      </c>
      <c r="BE27" s="289">
        <v>1.379</v>
      </c>
    </row>
    <row r="28" spans="1:57" ht="15" x14ac:dyDescent="0.2">
      <c r="A28" s="284"/>
      <c r="B28" s="416"/>
      <c r="C28" s="6" t="s">
        <v>118</v>
      </c>
      <c r="D28" s="424">
        <v>2.0019834400505148</v>
      </c>
      <c r="E28" s="422">
        <v>0</v>
      </c>
      <c r="F28" s="422">
        <v>2.4190030661962365</v>
      </c>
      <c r="G28" s="422">
        <v>1.9636231186569377</v>
      </c>
      <c r="H28" s="422">
        <v>2.4681934695090018</v>
      </c>
      <c r="I28" s="422">
        <v>2.4386219311785955</v>
      </c>
      <c r="J28" s="422">
        <v>1.7857004775795886</v>
      </c>
      <c r="K28" s="422">
        <v>1.4769086504495272</v>
      </c>
      <c r="L28" s="422">
        <v>0.66183697215972415</v>
      </c>
      <c r="M28" s="422">
        <v>2.7434737015795965</v>
      </c>
      <c r="N28" s="422">
        <v>2.2515174112012311</v>
      </c>
      <c r="O28" s="422">
        <v>1.9519902813819148</v>
      </c>
      <c r="P28" s="422">
        <v>2.2755275182826544</v>
      </c>
      <c r="Q28" s="422">
        <v>2.0878442025953725</v>
      </c>
      <c r="R28" s="422">
        <v>1.7846105406361241</v>
      </c>
      <c r="S28" s="422">
        <v>1.8882310698109288</v>
      </c>
      <c r="T28" s="422">
        <v>1.7679703389444659</v>
      </c>
      <c r="U28" s="422">
        <v>1.9887523240940546</v>
      </c>
      <c r="V28" s="422">
        <v>1.5611928304036458</v>
      </c>
      <c r="W28" s="422">
        <v>2.0580461384147726</v>
      </c>
      <c r="X28" s="422">
        <v>1.7869455532361103</v>
      </c>
      <c r="Y28" s="422">
        <v>2.1120938998396679</v>
      </c>
      <c r="Z28" s="422">
        <v>2.3712453047434487</v>
      </c>
      <c r="AA28" s="422">
        <v>2.7171017533989361</v>
      </c>
      <c r="AB28" s="422">
        <v>2.0425831246119674</v>
      </c>
      <c r="AC28" s="422">
        <v>1.6765104686060259</v>
      </c>
      <c r="AD28" s="422">
        <v>2.4242581859711678</v>
      </c>
      <c r="AE28" s="65">
        <f>'User Add-in Location'!B32</f>
        <v>0</v>
      </c>
      <c r="AF28" s="65">
        <f>'User Add-in Location'!C32</f>
        <v>0</v>
      </c>
      <c r="AG28" s="289">
        <v>1.851</v>
      </c>
      <c r="AH28" s="289">
        <v>1.1000000000000001</v>
      </c>
      <c r="AI28" s="289">
        <v>2.056</v>
      </c>
      <c r="AJ28" s="289">
        <v>1.97</v>
      </c>
      <c r="AK28" s="289">
        <v>1.4379999999999999</v>
      </c>
      <c r="AL28" s="289">
        <v>2.0640000000000001</v>
      </c>
      <c r="AM28" s="289">
        <v>2.2669999999999999</v>
      </c>
      <c r="AN28" s="289">
        <v>2.0339999999999998</v>
      </c>
      <c r="AO28" s="289">
        <v>2.34</v>
      </c>
      <c r="AP28" s="289">
        <v>2.0249999999999999</v>
      </c>
      <c r="AQ28" s="289">
        <v>1.1020000000000001</v>
      </c>
      <c r="AR28" s="289">
        <v>2.0720000000000001</v>
      </c>
      <c r="AS28" s="289">
        <v>2.1739999999999999</v>
      </c>
      <c r="AT28" s="289">
        <v>1.6759999999999999</v>
      </c>
      <c r="AU28" s="289">
        <v>2.1389999999999998</v>
      </c>
      <c r="AV28" s="289">
        <v>1.94</v>
      </c>
      <c r="AW28" s="289">
        <v>2.238</v>
      </c>
      <c r="AX28" s="289">
        <v>3.585</v>
      </c>
      <c r="AY28" s="289">
        <v>2.7959999999999998</v>
      </c>
      <c r="AZ28" s="289">
        <v>2.5630000000000002</v>
      </c>
      <c r="BA28" s="289">
        <v>1.962</v>
      </c>
      <c r="BB28" s="289">
        <v>1.905</v>
      </c>
      <c r="BC28" s="289">
        <v>1.792</v>
      </c>
      <c r="BD28" s="289">
        <v>2.3069999999999999</v>
      </c>
      <c r="BE28" s="289">
        <v>1.5880000000000001</v>
      </c>
    </row>
    <row r="29" spans="1:57" ht="15" x14ac:dyDescent="0.2">
      <c r="A29" s="284"/>
      <c r="B29" s="416"/>
      <c r="C29" s="6" t="s">
        <v>119</v>
      </c>
      <c r="D29" s="424">
        <v>2.423218054349038</v>
      </c>
      <c r="E29" s="422">
        <v>1.2342512621145068</v>
      </c>
      <c r="F29" s="422">
        <v>2.4174778826166325</v>
      </c>
      <c r="G29" s="422">
        <v>2.3862633884949687</v>
      </c>
      <c r="H29" s="422">
        <v>2.3183814552236561</v>
      </c>
      <c r="I29" s="422">
        <v>2.5179594728455599</v>
      </c>
      <c r="J29" s="422">
        <v>1.8577201032248394</v>
      </c>
      <c r="K29" s="422">
        <v>1.9645218289394641</v>
      </c>
      <c r="L29" s="422">
        <v>1.2280234248983355</v>
      </c>
      <c r="M29" s="422">
        <v>2.761678793471888</v>
      </c>
      <c r="N29" s="422">
        <v>2.462624134690004</v>
      </c>
      <c r="O29" s="422">
        <v>2.0061166640152415</v>
      </c>
      <c r="P29" s="422">
        <v>2.5991948074990852</v>
      </c>
      <c r="Q29" s="422">
        <v>2.5640599328994069</v>
      </c>
      <c r="R29" s="422">
        <v>2.4222971380329437</v>
      </c>
      <c r="S29" s="422">
        <v>2.2455372271780356</v>
      </c>
      <c r="T29" s="422">
        <v>2.3143201017668136</v>
      </c>
      <c r="U29" s="422">
        <v>2.3146077876666058</v>
      </c>
      <c r="V29" s="422">
        <v>2.2749381291828135</v>
      </c>
      <c r="W29" s="422">
        <v>2.3370009091179464</v>
      </c>
      <c r="X29" s="422">
        <v>1.9731850088045546</v>
      </c>
      <c r="Y29" s="422">
        <v>2.0891658203833385</v>
      </c>
      <c r="Z29" s="422">
        <v>2.470016261768782</v>
      </c>
      <c r="AA29" s="422">
        <v>2.7437910674009318</v>
      </c>
      <c r="AB29" s="422">
        <v>2.4216232688263273</v>
      </c>
      <c r="AC29" s="422">
        <v>2.4284108651994769</v>
      </c>
      <c r="AD29" s="422">
        <v>2.5005747953032902</v>
      </c>
      <c r="AE29" s="65">
        <f>'User Add-in Location'!B33</f>
        <v>0</v>
      </c>
      <c r="AF29" s="65">
        <f>'User Add-in Location'!C33</f>
        <v>0</v>
      </c>
      <c r="AG29" s="289">
        <v>1.5780000000000001</v>
      </c>
      <c r="AH29" s="289">
        <v>0</v>
      </c>
      <c r="AI29" s="289">
        <v>2.0710000000000002</v>
      </c>
      <c r="AJ29" s="289">
        <v>1.946</v>
      </c>
      <c r="AK29" s="289">
        <v>2.1840000000000002</v>
      </c>
      <c r="AL29" s="289">
        <v>2.214</v>
      </c>
      <c r="AM29" s="289">
        <v>2.306</v>
      </c>
      <c r="AN29" s="289">
        <v>2.11</v>
      </c>
      <c r="AO29" s="289">
        <v>2.294</v>
      </c>
      <c r="AP29" s="289">
        <v>2.3239999999999998</v>
      </c>
      <c r="AQ29" s="289">
        <v>2.254</v>
      </c>
      <c r="AR29" s="289">
        <v>2.3450000000000002</v>
      </c>
      <c r="AS29" s="289">
        <v>2.036</v>
      </c>
      <c r="AT29" s="289">
        <v>2.2629999999999999</v>
      </c>
      <c r="AU29" s="289">
        <v>2.3969999999999998</v>
      </c>
      <c r="AV29" s="289">
        <v>2.59</v>
      </c>
      <c r="AW29" s="289">
        <v>2.4470000000000001</v>
      </c>
      <c r="AX29" s="289">
        <v>3.7250000000000001</v>
      </c>
      <c r="AY29" s="289">
        <v>2.9209999999999998</v>
      </c>
      <c r="AZ29" s="289">
        <v>2.5110000000000001</v>
      </c>
      <c r="BA29" s="289">
        <v>2.0529999999999999</v>
      </c>
      <c r="BB29" s="289">
        <v>1.9279999999999999</v>
      </c>
      <c r="BC29" s="289">
        <v>2.1989999999999998</v>
      </c>
      <c r="BD29" s="289">
        <v>2.3570000000000002</v>
      </c>
      <c r="BE29" s="289">
        <v>1.712</v>
      </c>
    </row>
    <row r="30" spans="1:57" ht="15" x14ac:dyDescent="0.2">
      <c r="A30" s="284"/>
      <c r="B30" s="416"/>
      <c r="C30" s="6" t="s">
        <v>46</v>
      </c>
      <c r="D30" s="424">
        <v>2.1567287382251488</v>
      </c>
      <c r="E30" s="422">
        <v>1.5377772588215903</v>
      </c>
      <c r="F30" s="422">
        <v>2.4744670102696218</v>
      </c>
      <c r="G30" s="422">
        <v>1.8527234791281695</v>
      </c>
      <c r="H30" s="422">
        <v>2.0756591268642222</v>
      </c>
      <c r="I30" s="422">
        <v>2.3889636502294485</v>
      </c>
      <c r="J30" s="422">
        <v>1.6162892295928772</v>
      </c>
      <c r="K30" s="422">
        <v>1.6304765292984285</v>
      </c>
      <c r="L30" s="422">
        <v>1.2026884672884457</v>
      </c>
      <c r="M30" s="422">
        <v>2.6623472385063858</v>
      </c>
      <c r="N30" s="422">
        <v>2.1436852420875412</v>
      </c>
      <c r="O30" s="422">
        <v>2.3754275835916667</v>
      </c>
      <c r="P30" s="422">
        <v>2.60957299763571</v>
      </c>
      <c r="Q30" s="422">
        <v>2.100241179095057</v>
      </c>
      <c r="R30" s="422">
        <v>2.1693799795504818</v>
      </c>
      <c r="S30" s="422">
        <v>2.1390981537139346</v>
      </c>
      <c r="T30" s="422">
        <v>2.0936273043741012</v>
      </c>
      <c r="U30" s="422">
        <v>1.9905105567977814</v>
      </c>
      <c r="V30" s="422">
        <v>1.9160468358479574</v>
      </c>
      <c r="W30" s="422">
        <v>2.4326763135944298</v>
      </c>
      <c r="X30" s="422">
        <v>1.8865818663271603</v>
      </c>
      <c r="Y30" s="422">
        <v>1.9212755351723312</v>
      </c>
      <c r="Z30" s="422">
        <v>2.191256579096446</v>
      </c>
      <c r="AA30" s="422">
        <v>2.3142219115160185</v>
      </c>
      <c r="AB30" s="422">
        <v>2.1145777239770949</v>
      </c>
      <c r="AC30" s="422">
        <v>2.3605951925951563</v>
      </c>
      <c r="AD30" s="422">
        <v>2.4139131854394238</v>
      </c>
      <c r="AE30" s="65">
        <f>'User Add-in Location'!B34</f>
        <v>0</v>
      </c>
      <c r="AF30" s="65">
        <f>'User Add-in Location'!C34</f>
        <v>0</v>
      </c>
      <c r="AG30" s="289">
        <v>2.2989999999999999</v>
      </c>
      <c r="AH30" s="289">
        <v>1.7490000000000001</v>
      </c>
      <c r="AI30" s="289">
        <v>2.1040000000000001</v>
      </c>
      <c r="AJ30" s="289">
        <v>1.7729999999999999</v>
      </c>
      <c r="AK30" s="289">
        <v>2.1589999999999998</v>
      </c>
      <c r="AL30" s="289">
        <v>1.65</v>
      </c>
      <c r="AM30" s="289">
        <v>2.3420000000000001</v>
      </c>
      <c r="AN30" s="289">
        <v>1.79</v>
      </c>
      <c r="AO30" s="289">
        <v>2.3149999999999999</v>
      </c>
      <c r="AP30" s="289">
        <v>2.1869999999999998</v>
      </c>
      <c r="AQ30" s="289">
        <v>2.3530000000000002</v>
      </c>
      <c r="AR30" s="289">
        <v>2.04</v>
      </c>
      <c r="AS30" s="289">
        <v>2.2250000000000001</v>
      </c>
      <c r="AT30" s="289">
        <v>2.113</v>
      </c>
      <c r="AU30" s="289">
        <v>2.1240000000000001</v>
      </c>
      <c r="AV30" s="289">
        <v>2.2469999999999999</v>
      </c>
      <c r="AW30" s="289">
        <v>2.0270000000000001</v>
      </c>
      <c r="AX30" s="289">
        <v>2.7370000000000001</v>
      </c>
      <c r="AY30" s="289">
        <v>2.782</v>
      </c>
      <c r="AZ30" s="289">
        <v>2.4689999999999999</v>
      </c>
      <c r="BA30" s="289">
        <v>1.911</v>
      </c>
      <c r="BB30" s="289">
        <v>1.7370000000000001</v>
      </c>
      <c r="BC30" s="289">
        <v>1.857</v>
      </c>
      <c r="BD30" s="289">
        <v>2.34</v>
      </c>
      <c r="BE30" s="289">
        <v>1.51</v>
      </c>
    </row>
    <row r="31" spans="1:57" ht="15" x14ac:dyDescent="0.2">
      <c r="A31" s="284"/>
      <c r="B31" s="416"/>
      <c r="C31" s="6" t="s">
        <v>47</v>
      </c>
      <c r="D31" s="424">
        <v>2.0260876585124379</v>
      </c>
      <c r="E31" s="422">
        <v>1.6484070434337887</v>
      </c>
      <c r="F31" s="422">
        <v>2.3893890380859375</v>
      </c>
      <c r="G31" s="422">
        <v>2.0948806938467732</v>
      </c>
      <c r="H31" s="422">
        <v>1.916296427974425</v>
      </c>
      <c r="I31" s="422">
        <v>2.5153631775413681</v>
      </c>
      <c r="J31" s="422">
        <v>1.8060475623253549</v>
      </c>
      <c r="K31" s="422">
        <v>1.9619050058624896</v>
      </c>
      <c r="L31" s="422">
        <v>1.3182962995763055</v>
      </c>
      <c r="M31" s="422">
        <v>2.7943701399071745</v>
      </c>
      <c r="N31" s="422">
        <v>2.3761489647359042</v>
      </c>
      <c r="O31" s="422">
        <v>1.8191524049478547</v>
      </c>
      <c r="P31" s="422">
        <v>2.5091927158678207</v>
      </c>
      <c r="Q31" s="422">
        <v>2.308811226966085</v>
      </c>
      <c r="R31" s="422">
        <v>2.2328223049050511</v>
      </c>
      <c r="S31" s="422">
        <v>2.3169770135465506</v>
      </c>
      <c r="T31" s="422">
        <v>2.1737336415147746</v>
      </c>
      <c r="U31" s="422">
        <v>2.2698047743983971</v>
      </c>
      <c r="V31" s="422">
        <v>1.8928513603181396</v>
      </c>
      <c r="W31" s="422">
        <v>2.4582375986196574</v>
      </c>
      <c r="X31" s="422">
        <v>1.9474335268809426</v>
      </c>
      <c r="Y31" s="422">
        <v>2.1405304678505099</v>
      </c>
      <c r="Z31" s="422">
        <v>2.2323216825428576</v>
      </c>
      <c r="AA31" s="422">
        <v>2.456390937956253</v>
      </c>
      <c r="AB31" s="422">
        <v>2.0450620520505303</v>
      </c>
      <c r="AC31" s="422">
        <v>2.5019054812324564</v>
      </c>
      <c r="AD31" s="422">
        <v>2.6541591602159835</v>
      </c>
      <c r="AE31" s="65">
        <f>'User Add-in Location'!B35</f>
        <v>0</v>
      </c>
      <c r="AF31" s="65">
        <f>'User Add-in Location'!C35</f>
        <v>0</v>
      </c>
      <c r="AG31" s="289">
        <v>2.3969999999999998</v>
      </c>
      <c r="AH31" s="289">
        <v>1.7170000000000001</v>
      </c>
      <c r="AI31" s="289">
        <v>2.2360000000000002</v>
      </c>
      <c r="AJ31" s="289">
        <v>1.901</v>
      </c>
      <c r="AK31" s="289">
        <v>1.95</v>
      </c>
      <c r="AL31" s="289">
        <v>1.6930000000000001</v>
      </c>
      <c r="AM31" s="289">
        <v>2.5089999999999999</v>
      </c>
      <c r="AN31" s="289">
        <v>1.992</v>
      </c>
      <c r="AO31" s="289">
        <v>2.3370000000000002</v>
      </c>
      <c r="AP31" s="289">
        <v>2.238</v>
      </c>
      <c r="AQ31" s="289">
        <v>2.6190000000000002</v>
      </c>
      <c r="AR31" s="289">
        <v>2.39</v>
      </c>
      <c r="AS31" s="289">
        <v>2.1909999999999998</v>
      </c>
      <c r="AT31" s="289">
        <v>2.194</v>
      </c>
      <c r="AU31" s="289">
        <v>2.1709999999999998</v>
      </c>
      <c r="AV31" s="289">
        <v>2.2469999999999999</v>
      </c>
      <c r="AW31" s="289">
        <v>2.1840000000000002</v>
      </c>
      <c r="AX31" s="289">
        <v>2.8519999999999999</v>
      </c>
      <c r="AY31" s="289">
        <v>2.6909999999999998</v>
      </c>
      <c r="AZ31" s="289">
        <v>2.2480000000000002</v>
      </c>
      <c r="BA31" s="289">
        <v>2.0510000000000002</v>
      </c>
      <c r="BB31" s="289">
        <v>1.5189999999999999</v>
      </c>
      <c r="BC31" s="289">
        <v>1.8480000000000001</v>
      </c>
      <c r="BD31" s="289">
        <v>2.4129999999999998</v>
      </c>
      <c r="BE31" s="289">
        <v>1.71</v>
      </c>
    </row>
    <row r="32" spans="1:57" ht="15" x14ac:dyDescent="0.2">
      <c r="A32" s="284"/>
      <c r="B32" s="416"/>
      <c r="C32" s="6" t="s">
        <v>120</v>
      </c>
      <c r="D32" s="424">
        <v>2.672926329158182</v>
      </c>
      <c r="E32" s="422">
        <v>1.515002522887648</v>
      </c>
      <c r="F32" s="422">
        <v>3.4035654464931229</v>
      </c>
      <c r="G32" s="422">
        <v>2.4859414340515751</v>
      </c>
      <c r="H32" s="422">
        <v>2.1522716907496626</v>
      </c>
      <c r="I32" s="422">
        <v>3.3813058603707535</v>
      </c>
      <c r="J32" s="422">
        <v>1.8894723238527358</v>
      </c>
      <c r="K32" s="422">
        <v>1.1910611308537575</v>
      </c>
      <c r="L32" s="422">
        <v>1.021411763344916</v>
      </c>
      <c r="M32" s="422">
        <v>3.8782614463666718</v>
      </c>
      <c r="N32" s="422">
        <v>2.5206457322205904</v>
      </c>
      <c r="O32" s="422">
        <v>1.9102455392154354</v>
      </c>
      <c r="P32" s="422">
        <v>3.4774914441595612</v>
      </c>
      <c r="Q32" s="422">
        <v>2.3360898510943997</v>
      </c>
      <c r="R32" s="422">
        <v>2.3221651436528621</v>
      </c>
      <c r="S32" s="422">
        <v>2.1954857347477059</v>
      </c>
      <c r="T32" s="422">
        <v>2.7300851174584939</v>
      </c>
      <c r="U32" s="422">
        <v>2.498029581053852</v>
      </c>
      <c r="V32" s="422">
        <v>2.4292389397160883</v>
      </c>
      <c r="W32" s="422">
        <v>2.4981425160870621</v>
      </c>
      <c r="X32" s="422">
        <v>1.9629087845808639</v>
      </c>
      <c r="Y32" s="422">
        <v>1.9163497232987663</v>
      </c>
      <c r="Z32" s="422">
        <v>2.6916940369150035</v>
      </c>
      <c r="AA32" s="422">
        <v>2.743977492692943</v>
      </c>
      <c r="AB32" s="422">
        <v>2.6416492449405373</v>
      </c>
      <c r="AC32" s="422">
        <v>2.6072714565247948</v>
      </c>
      <c r="AD32" s="422">
        <v>2.8128259676969072</v>
      </c>
      <c r="AE32" s="65">
        <f>'User Add-in Location'!B36</f>
        <v>0</v>
      </c>
      <c r="AF32" s="65">
        <f>'User Add-in Location'!C36</f>
        <v>0</v>
      </c>
      <c r="AG32" s="289">
        <v>2.5270000000000001</v>
      </c>
      <c r="AH32" s="289">
        <v>0</v>
      </c>
      <c r="AI32" s="289">
        <v>2.2709999999999999</v>
      </c>
      <c r="AJ32" s="289">
        <v>2.254</v>
      </c>
      <c r="AK32" s="289">
        <v>2.0640000000000001</v>
      </c>
      <c r="AL32" s="289">
        <v>1.1870000000000001</v>
      </c>
      <c r="AM32" s="289">
        <v>2.0489999999999999</v>
      </c>
      <c r="AN32" s="289">
        <v>2.2719999999999998</v>
      </c>
      <c r="AO32" s="289">
        <v>2.2650000000000001</v>
      </c>
      <c r="AP32" s="289">
        <v>2.9820000000000002</v>
      </c>
      <c r="AQ32" s="289">
        <v>2.5910000000000002</v>
      </c>
      <c r="AR32" s="289">
        <v>2.4780000000000002</v>
      </c>
      <c r="AS32" s="289">
        <v>2.1970000000000001</v>
      </c>
      <c r="AT32" s="289">
        <v>2.6920000000000002</v>
      </c>
      <c r="AU32" s="289">
        <v>1.758</v>
      </c>
      <c r="AV32" s="289">
        <v>2.5299999999999998</v>
      </c>
      <c r="AW32" s="289">
        <v>3.319</v>
      </c>
      <c r="AX32" s="289">
        <v>3.0310000000000001</v>
      </c>
      <c r="AY32" s="289">
        <v>3.25</v>
      </c>
      <c r="AZ32" s="289">
        <v>2.3559999999999999</v>
      </c>
      <c r="BA32" s="289">
        <v>2.0670000000000002</v>
      </c>
      <c r="BB32" s="289">
        <v>1.962</v>
      </c>
      <c r="BC32" s="289">
        <v>1.8580000000000001</v>
      </c>
      <c r="BD32" s="289">
        <v>2.4729999999999999</v>
      </c>
      <c r="BE32" s="289">
        <v>2.2930000000000001</v>
      </c>
    </row>
    <row r="33" spans="1:57" ht="15" x14ac:dyDescent="0.2">
      <c r="A33" s="284"/>
      <c r="B33" s="416"/>
      <c r="C33" s="6" t="s">
        <v>121</v>
      </c>
      <c r="D33" s="424">
        <v>2.3910457932758997</v>
      </c>
      <c r="E33" s="422">
        <v>1.6872993097759461</v>
      </c>
      <c r="F33" s="422">
        <v>2.8167665536667048</v>
      </c>
      <c r="G33" s="422">
        <v>2.4472002656843692</v>
      </c>
      <c r="H33" s="422">
        <v>2.129539620189739</v>
      </c>
      <c r="I33" s="422">
        <v>2.6459747610962085</v>
      </c>
      <c r="J33" s="422">
        <v>2.0079742663516553</v>
      </c>
      <c r="K33" s="422">
        <v>1.6015925083606635</v>
      </c>
      <c r="L33" s="422">
        <v>0.9365368547555214</v>
      </c>
      <c r="M33" s="422">
        <v>2.9490561693554245</v>
      </c>
      <c r="N33" s="422">
        <v>2.3509603377079729</v>
      </c>
      <c r="O33" s="422">
        <v>2.1721938182092746</v>
      </c>
      <c r="P33" s="422">
        <v>2.8476026333302009</v>
      </c>
      <c r="Q33" s="422">
        <v>2.0516714342086049</v>
      </c>
      <c r="R33" s="422">
        <v>2.1106139168250611</v>
      </c>
      <c r="S33" s="422">
        <v>2.326551285582847</v>
      </c>
      <c r="T33" s="422">
        <v>2.5336463717801196</v>
      </c>
      <c r="U33" s="422">
        <v>2.364222313554126</v>
      </c>
      <c r="V33" s="422">
        <v>2.0196868879569845</v>
      </c>
      <c r="W33" s="422">
        <v>2.8377173809322729</v>
      </c>
      <c r="X33" s="422">
        <v>2.0633253086037349</v>
      </c>
      <c r="Y33" s="422">
        <v>2.0242493121406437</v>
      </c>
      <c r="Z33" s="422">
        <v>2.5871981772916537</v>
      </c>
      <c r="AA33" s="422">
        <v>2.5074699387960355</v>
      </c>
      <c r="AB33" s="422">
        <v>2.3919638218634534</v>
      </c>
      <c r="AC33" s="422">
        <v>2.4531672446470925</v>
      </c>
      <c r="AD33" s="422">
        <v>2.7195597789985051</v>
      </c>
      <c r="AE33" s="65">
        <f>'User Add-in Location'!B37</f>
        <v>0</v>
      </c>
      <c r="AF33" s="65">
        <f>'User Add-in Location'!C37</f>
        <v>0</v>
      </c>
      <c r="AG33" s="289">
        <v>2.42</v>
      </c>
      <c r="AH33" s="289">
        <v>1.8</v>
      </c>
      <c r="AI33" s="289">
        <v>2.3980000000000001</v>
      </c>
      <c r="AJ33" s="289">
        <v>1.95</v>
      </c>
      <c r="AK33" s="289">
        <v>2.2170000000000001</v>
      </c>
      <c r="AL33" s="289">
        <v>1.5860000000000001</v>
      </c>
      <c r="AM33" s="289">
        <v>2.4289999999999998</v>
      </c>
      <c r="AN33" s="289">
        <v>1.998</v>
      </c>
      <c r="AO33" s="289">
        <v>2.5510000000000002</v>
      </c>
      <c r="AP33" s="289">
        <v>2.4300000000000002</v>
      </c>
      <c r="AQ33" s="289">
        <v>2.214</v>
      </c>
      <c r="AR33" s="289">
        <v>2.2509999999999999</v>
      </c>
      <c r="AS33" s="289">
        <v>2.5590000000000002</v>
      </c>
      <c r="AT33" s="289">
        <v>2.484</v>
      </c>
      <c r="AU33" s="289">
        <v>2.5289999999999999</v>
      </c>
      <c r="AV33" s="289">
        <v>2.323</v>
      </c>
      <c r="AW33" s="289">
        <v>2.2410000000000001</v>
      </c>
      <c r="AX33" s="289">
        <v>2.8959999999999999</v>
      </c>
      <c r="AY33" s="289">
        <v>3.198</v>
      </c>
      <c r="AZ33" s="289">
        <v>2.7490000000000001</v>
      </c>
      <c r="BA33" s="289">
        <v>1.8320000000000001</v>
      </c>
      <c r="BB33" s="289">
        <v>2.0190000000000001</v>
      </c>
      <c r="BC33" s="289">
        <v>2.0030000000000001</v>
      </c>
      <c r="BD33" s="289">
        <v>2.5270000000000001</v>
      </c>
      <c r="BE33" s="289">
        <v>1.843</v>
      </c>
    </row>
    <row r="34" spans="1:57" ht="15" x14ac:dyDescent="0.2">
      <c r="A34" s="284"/>
      <c r="B34" s="416"/>
      <c r="C34" s="6" t="s">
        <v>122</v>
      </c>
      <c r="D34" s="424">
        <v>2.2485344625336445</v>
      </c>
      <c r="E34" s="422">
        <v>1.6940804869606547</v>
      </c>
      <c r="F34" s="422">
        <v>2.786096653557967</v>
      </c>
      <c r="G34" s="422">
        <v>2.0681908550518697</v>
      </c>
      <c r="H34" s="422">
        <v>2.2641617732642918</v>
      </c>
      <c r="I34" s="422">
        <v>2.5583183852149558</v>
      </c>
      <c r="J34" s="422">
        <v>1.8679940626367952</v>
      </c>
      <c r="K34" s="422">
        <v>1.7764663393404252</v>
      </c>
      <c r="L34" s="422">
        <v>1.2540107138619863</v>
      </c>
      <c r="M34" s="422">
        <v>3.0291206831753157</v>
      </c>
      <c r="N34" s="422">
        <v>2.6050512113029556</v>
      </c>
      <c r="O34" s="422">
        <v>2.0911396809105098</v>
      </c>
      <c r="P34" s="422">
        <v>2.7547447302282393</v>
      </c>
      <c r="Q34" s="422">
        <v>2.3779036032183081</v>
      </c>
      <c r="R34" s="422">
        <v>2.2654415631171574</v>
      </c>
      <c r="S34" s="422">
        <v>2.2164816053739065</v>
      </c>
      <c r="T34" s="422">
        <v>2.3124545825485163</v>
      </c>
      <c r="U34" s="422">
        <v>2.2762393676835759</v>
      </c>
      <c r="V34" s="422">
        <v>2.0546406689293053</v>
      </c>
      <c r="W34" s="422">
        <v>2.600950117737137</v>
      </c>
      <c r="X34" s="422">
        <v>2.0279425678346907</v>
      </c>
      <c r="Y34" s="422">
        <v>2.0759849149020226</v>
      </c>
      <c r="Z34" s="422">
        <v>2.4961478969454305</v>
      </c>
      <c r="AA34" s="422">
        <v>2.4734324153823848</v>
      </c>
      <c r="AB34" s="422">
        <v>2.2973736938845803</v>
      </c>
      <c r="AC34" s="422">
        <v>2.561215368158912</v>
      </c>
      <c r="AD34" s="422">
        <v>2.6549661688660153</v>
      </c>
      <c r="AE34" s="65">
        <f>'User Add-in Location'!B38</f>
        <v>0</v>
      </c>
      <c r="AF34" s="65">
        <f>'User Add-in Location'!C38</f>
        <v>0</v>
      </c>
      <c r="AG34" s="289">
        <v>2.4140000000000001</v>
      </c>
      <c r="AH34" s="289">
        <v>1.615</v>
      </c>
      <c r="AI34" s="289">
        <v>2.1459999999999999</v>
      </c>
      <c r="AJ34" s="289">
        <v>2.0139999999999998</v>
      </c>
      <c r="AK34" s="289">
        <v>2.323</v>
      </c>
      <c r="AL34" s="289">
        <v>1.8180000000000001</v>
      </c>
      <c r="AM34" s="289">
        <v>2.5129999999999999</v>
      </c>
      <c r="AN34" s="289">
        <v>1.919</v>
      </c>
      <c r="AO34" s="289">
        <v>2.4350000000000001</v>
      </c>
      <c r="AP34" s="289">
        <v>2.3759999999999999</v>
      </c>
      <c r="AQ34" s="289">
        <v>2.5049999999999999</v>
      </c>
      <c r="AR34" s="289">
        <v>2.2130000000000001</v>
      </c>
      <c r="AS34" s="289">
        <v>2.294</v>
      </c>
      <c r="AT34" s="289">
        <v>2.4329999999999998</v>
      </c>
      <c r="AU34" s="289">
        <v>2.2559999999999998</v>
      </c>
      <c r="AV34" s="289">
        <v>2.3740000000000001</v>
      </c>
      <c r="AW34" s="289">
        <v>2.468</v>
      </c>
      <c r="AX34" s="289">
        <v>3.1509999999999998</v>
      </c>
      <c r="AY34" s="289">
        <v>2.923</v>
      </c>
      <c r="AZ34" s="289">
        <v>2.48</v>
      </c>
      <c r="BA34" s="289">
        <v>2.004</v>
      </c>
      <c r="BB34" s="289">
        <v>1.8939999999999999</v>
      </c>
      <c r="BC34" s="289">
        <v>1.9039999999999999</v>
      </c>
      <c r="BD34" s="289">
        <v>2.3250000000000002</v>
      </c>
      <c r="BE34" s="289">
        <v>1.722</v>
      </c>
    </row>
    <row r="35" spans="1:57" ht="15" x14ac:dyDescent="0.2">
      <c r="A35" s="284"/>
      <c r="B35" s="416"/>
      <c r="C35" s="6" t="s">
        <v>48</v>
      </c>
      <c r="D35" s="424">
        <v>0.53413935215433173</v>
      </c>
      <c r="E35" s="422">
        <v>0.17361487688416552</v>
      </c>
      <c r="F35" s="422">
        <v>0.83888631524351021</v>
      </c>
      <c r="G35" s="422">
        <v>0.4782421611504864</v>
      </c>
      <c r="H35" s="422">
        <v>0.48384951293077194</v>
      </c>
      <c r="I35" s="422">
        <v>0.38169486117484708</v>
      </c>
      <c r="J35" s="422">
        <v>0.74524362029862345</v>
      </c>
      <c r="K35" s="422">
        <v>9.2231681623396261E-2</v>
      </c>
      <c r="L35" s="422">
        <v>3.4680529287659627E-2</v>
      </c>
      <c r="M35" s="422">
        <v>0.50946477031638204</v>
      </c>
      <c r="N35" s="422">
        <v>9.0149270105674958E-2</v>
      </c>
      <c r="O35" s="422">
        <v>0.27260681628137501</v>
      </c>
      <c r="P35" s="422">
        <v>0.70450853936260061</v>
      </c>
      <c r="Q35" s="422">
        <v>0.23166070168771333</v>
      </c>
      <c r="R35" s="422">
        <v>0.3189855515739502</v>
      </c>
      <c r="S35" s="422">
        <v>0.42979218436365663</v>
      </c>
      <c r="T35" s="422">
        <v>0.50659168070898186</v>
      </c>
      <c r="U35" s="422">
        <v>0.48332452182783686</v>
      </c>
      <c r="V35" s="422">
        <v>0.62630162006047063</v>
      </c>
      <c r="W35" s="422">
        <v>0.5674986272376441</v>
      </c>
      <c r="X35" s="422">
        <v>0.12214300982018268</v>
      </c>
      <c r="Y35" s="422">
        <v>0.16498842733259361</v>
      </c>
      <c r="Z35" s="422">
        <v>0.38246958208814491</v>
      </c>
      <c r="AA35" s="422">
        <v>0.76995929186575429</v>
      </c>
      <c r="AB35" s="422">
        <v>0.40165649096866668</v>
      </c>
      <c r="AC35" s="422">
        <v>0.47691213049912956</v>
      </c>
      <c r="AD35" s="422">
        <v>0.58833550815596192</v>
      </c>
      <c r="AE35" s="65">
        <f>'User Add-in Location'!B39</f>
        <v>0</v>
      </c>
      <c r="AF35" s="65">
        <f>'User Add-in Location'!C39</f>
        <v>0</v>
      </c>
      <c r="AG35" s="289">
        <v>0.435</v>
      </c>
      <c r="AH35" s="289">
        <v>0.76400000000000001</v>
      </c>
      <c r="AI35" s="289">
        <v>0.32400000000000001</v>
      </c>
      <c r="AJ35" s="289">
        <v>0.249</v>
      </c>
      <c r="AK35" s="289">
        <v>0.58499999999999996</v>
      </c>
      <c r="AL35" s="289">
        <v>0.44400000000000001</v>
      </c>
      <c r="AM35" s="289">
        <v>0.26300000000000001</v>
      </c>
      <c r="AN35" s="289">
        <v>1.0880000000000001</v>
      </c>
      <c r="AO35" s="289">
        <v>0.35099999999999998</v>
      </c>
      <c r="AP35" s="289">
        <v>1.141</v>
      </c>
      <c r="AQ35" s="289">
        <v>0.59199999999999997</v>
      </c>
      <c r="AR35" s="289">
        <v>0.47</v>
      </c>
      <c r="AS35" s="289">
        <v>0.21299999999999999</v>
      </c>
      <c r="AT35" s="289">
        <v>0.495</v>
      </c>
      <c r="AU35" s="289">
        <v>1.216</v>
      </c>
      <c r="AV35" s="289">
        <v>0.65400000000000003</v>
      </c>
      <c r="AW35" s="289">
        <v>0.438</v>
      </c>
      <c r="AX35" s="289">
        <v>0.61099999999999999</v>
      </c>
      <c r="AY35" s="289">
        <v>0.36699999999999999</v>
      </c>
      <c r="AZ35" s="289">
        <v>0.24199999999999999</v>
      </c>
      <c r="BA35" s="289">
        <v>0.36099999999999999</v>
      </c>
      <c r="BB35" s="289">
        <v>0.71899999999999997</v>
      </c>
      <c r="BC35" s="289">
        <v>0.443</v>
      </c>
      <c r="BD35" s="289">
        <v>0.59799999999999998</v>
      </c>
      <c r="BE35" s="289">
        <v>0.40799999999999997</v>
      </c>
    </row>
    <row r="36" spans="1:57" ht="15" x14ac:dyDescent="0.2">
      <c r="A36" s="284"/>
      <c r="B36" s="416"/>
      <c r="C36" s="6"/>
      <c r="D36" s="424"/>
      <c r="E36" s="422"/>
      <c r="F36" s="422"/>
      <c r="G36" s="422"/>
      <c r="H36" s="422"/>
      <c r="I36" s="422"/>
      <c r="J36" s="422"/>
      <c r="K36" s="422"/>
      <c r="L36" s="422"/>
      <c r="M36" s="422"/>
      <c r="N36" s="422"/>
      <c r="O36" s="422"/>
      <c r="P36" s="422"/>
      <c r="Q36" s="422"/>
      <c r="R36" s="422"/>
      <c r="S36" s="422"/>
      <c r="T36" s="422"/>
      <c r="U36" s="422"/>
      <c r="V36" s="422"/>
      <c r="W36" s="422"/>
      <c r="X36" s="422"/>
      <c r="Y36" s="422"/>
      <c r="Z36" s="422"/>
      <c r="AA36" s="422"/>
      <c r="AB36" s="422"/>
      <c r="AC36" s="422"/>
      <c r="AD36" s="422"/>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row>
    <row r="37" spans="1:57" x14ac:dyDescent="0.2">
      <c r="A37" s="284"/>
      <c r="B37" s="416"/>
      <c r="C37" s="17" t="s">
        <v>198</v>
      </c>
      <c r="D37" s="424"/>
      <c r="E37" s="422"/>
      <c r="F37" s="422"/>
      <c r="G37" s="422"/>
      <c r="H37" s="422"/>
      <c r="I37" s="422"/>
      <c r="J37" s="422"/>
      <c r="K37" s="422"/>
      <c r="L37" s="422"/>
      <c r="M37" s="422"/>
      <c r="N37" s="422"/>
      <c r="O37" s="422"/>
      <c r="P37" s="422"/>
      <c r="Q37" s="422"/>
      <c r="R37" s="422"/>
      <c r="S37" s="422"/>
      <c r="T37" s="422"/>
      <c r="U37" s="422"/>
      <c r="V37" s="422"/>
      <c r="W37" s="422"/>
      <c r="X37" s="422"/>
      <c r="Y37" s="422"/>
      <c r="Z37" s="422"/>
      <c r="AA37" s="422"/>
      <c r="AB37" s="422"/>
      <c r="AC37" s="422"/>
      <c r="AD37" s="422"/>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row>
    <row r="38" spans="1:57" ht="25.5" customHeight="1" x14ac:dyDescent="0.2">
      <c r="A38" s="284"/>
      <c r="B38" s="416"/>
      <c r="C38" s="127" t="s">
        <v>204</v>
      </c>
      <c r="D38" s="424" t="s">
        <v>50</v>
      </c>
      <c r="E38" s="422" t="s">
        <v>51</v>
      </c>
      <c r="F38" s="422" t="s">
        <v>52</v>
      </c>
      <c r="G38" s="422" t="s">
        <v>53</v>
      </c>
      <c r="H38" s="422" t="s">
        <v>54</v>
      </c>
      <c r="I38" s="422" t="s">
        <v>55</v>
      </c>
      <c r="J38" s="422" t="s">
        <v>56</v>
      </c>
      <c r="K38" s="422" t="s">
        <v>57</v>
      </c>
      <c r="L38" s="422" t="s">
        <v>58</v>
      </c>
      <c r="M38" s="422" t="s">
        <v>59</v>
      </c>
      <c r="N38" s="422" t="s">
        <v>60</v>
      </c>
      <c r="O38" s="422" t="s">
        <v>61</v>
      </c>
      <c r="P38" s="422" t="s">
        <v>62</v>
      </c>
      <c r="Q38" s="422" t="s">
        <v>63</v>
      </c>
      <c r="R38" s="422" t="s">
        <v>64</v>
      </c>
      <c r="S38" s="422" t="s">
        <v>65</v>
      </c>
      <c r="T38" s="422" t="s">
        <v>66</v>
      </c>
      <c r="U38" s="422" t="s">
        <v>67</v>
      </c>
      <c r="V38" s="422" t="s">
        <v>68</v>
      </c>
      <c r="W38" s="422" t="s">
        <v>69</v>
      </c>
      <c r="X38" s="422" t="s">
        <v>70</v>
      </c>
      <c r="Y38" s="422" t="s">
        <v>71</v>
      </c>
      <c r="Z38" s="422" t="s">
        <v>72</v>
      </c>
      <c r="AA38" s="422" t="s">
        <v>73</v>
      </c>
      <c r="AB38" s="422" t="s">
        <v>74</v>
      </c>
      <c r="AC38" s="422" t="s">
        <v>75</v>
      </c>
      <c r="AD38" s="422" t="s">
        <v>76</v>
      </c>
      <c r="AE38" s="65" t="s">
        <v>233</v>
      </c>
      <c r="AF38" s="65" t="s">
        <v>232</v>
      </c>
      <c r="AG38" s="422" t="s">
        <v>77</v>
      </c>
      <c r="AH38" s="422" t="s">
        <v>78</v>
      </c>
      <c r="AI38" s="422" t="s">
        <v>79</v>
      </c>
      <c r="AJ38" s="422" t="s">
        <v>80</v>
      </c>
      <c r="AK38" s="422" t="s">
        <v>81</v>
      </c>
      <c r="AL38" s="422" t="s">
        <v>82</v>
      </c>
      <c r="AM38" s="422" t="s">
        <v>83</v>
      </c>
      <c r="AN38" s="422" t="s">
        <v>84</v>
      </c>
      <c r="AO38" s="422" t="s">
        <v>85</v>
      </c>
      <c r="AP38" s="422" t="s">
        <v>86</v>
      </c>
      <c r="AQ38" s="422" t="s">
        <v>87</v>
      </c>
      <c r="AR38" s="422" t="s">
        <v>88</v>
      </c>
      <c r="AS38" s="422" t="s">
        <v>89</v>
      </c>
      <c r="AT38" s="422" t="s">
        <v>90</v>
      </c>
      <c r="AU38" s="422" t="s">
        <v>91</v>
      </c>
      <c r="AV38" s="422" t="s">
        <v>92</v>
      </c>
      <c r="AW38" s="422" t="s">
        <v>93</v>
      </c>
      <c r="AX38" s="422" t="s">
        <v>394</v>
      </c>
      <c r="AY38" s="422" t="s">
        <v>94</v>
      </c>
      <c r="AZ38" s="422" t="s">
        <v>95</v>
      </c>
      <c r="BA38" s="422" t="s">
        <v>96</v>
      </c>
      <c r="BB38" s="422" t="s">
        <v>97</v>
      </c>
      <c r="BC38" s="422" t="s">
        <v>98</v>
      </c>
      <c r="BD38" s="422" t="s">
        <v>99</v>
      </c>
      <c r="BE38" s="422" t="s">
        <v>49</v>
      </c>
    </row>
    <row r="39" spans="1:57" ht="15" x14ac:dyDescent="0.2">
      <c r="A39" s="284"/>
      <c r="B39" s="416"/>
      <c r="C39" s="6" t="s">
        <v>44</v>
      </c>
      <c r="D39" s="424">
        <v>1.7947073124742314</v>
      </c>
      <c r="E39" s="422">
        <v>1.6491502221769507</v>
      </c>
      <c r="F39" s="422">
        <v>2.02684945634318</v>
      </c>
      <c r="G39" s="422">
        <v>1.6601505521508451</v>
      </c>
      <c r="H39" s="422">
        <v>2.3698010044588287</v>
      </c>
      <c r="I39" s="422">
        <v>1.697127758408109</v>
      </c>
      <c r="J39" s="422">
        <v>1.2502609325197296</v>
      </c>
      <c r="K39" s="422">
        <v>1.0384184678610671</v>
      </c>
      <c r="L39" s="422">
        <v>0.49342820770201729</v>
      </c>
      <c r="M39" s="422">
        <v>2.7813724800440229</v>
      </c>
      <c r="N39" s="422">
        <v>2.7812697993886326</v>
      </c>
      <c r="O39" s="422">
        <v>2.351654959950944</v>
      </c>
      <c r="P39" s="422">
        <v>2.4720465965942053</v>
      </c>
      <c r="Q39" s="422">
        <v>3.2094080419114541</v>
      </c>
      <c r="R39" s="422">
        <v>2.22321986894001</v>
      </c>
      <c r="S39" s="422">
        <v>1.6693300391082351</v>
      </c>
      <c r="T39" s="422">
        <v>1.631726010403872</v>
      </c>
      <c r="U39" s="422">
        <v>1.7397758209011713</v>
      </c>
      <c r="V39" s="422">
        <v>1.9559177823253833</v>
      </c>
      <c r="W39" s="422">
        <v>2.486824429244892</v>
      </c>
      <c r="X39" s="422">
        <v>1.3239496434976994</v>
      </c>
      <c r="Y39" s="422">
        <v>1.9815114470392829</v>
      </c>
      <c r="Z39" s="422">
        <v>1.9281983007758816</v>
      </c>
      <c r="AA39" s="422">
        <v>1.9249339968329031</v>
      </c>
      <c r="AB39" s="422">
        <v>1.9874802203559101</v>
      </c>
      <c r="AC39" s="422">
        <v>1.8448929941541288</v>
      </c>
      <c r="AD39" s="422">
        <v>1.4061278151562475</v>
      </c>
      <c r="AE39" s="65">
        <f>'User Add-in Location'!B43</f>
        <v>0</v>
      </c>
      <c r="AF39" s="65">
        <f>'User Add-in Location'!C43</f>
        <v>0</v>
      </c>
      <c r="AG39" s="422">
        <v>1.7629999999999999</v>
      </c>
      <c r="AH39" s="422">
        <v>0.97499999999999998</v>
      </c>
      <c r="AI39" s="422">
        <v>1.651</v>
      </c>
      <c r="AJ39" s="422">
        <v>2.2999999999999998</v>
      </c>
      <c r="AK39" s="422">
        <v>2.149</v>
      </c>
      <c r="AL39" s="422">
        <v>1.3859999999999999</v>
      </c>
      <c r="AM39" s="422">
        <v>1.88</v>
      </c>
      <c r="AN39" s="422">
        <v>0.91400000000000003</v>
      </c>
      <c r="AO39" s="422">
        <v>1.86</v>
      </c>
      <c r="AP39" s="422">
        <v>1.016</v>
      </c>
      <c r="AQ39" s="422">
        <v>2.528</v>
      </c>
      <c r="AR39" s="422">
        <v>1.4650000000000001</v>
      </c>
      <c r="AS39" s="422">
        <v>1.6930000000000001</v>
      </c>
      <c r="AT39" s="422">
        <v>1.8120000000000001</v>
      </c>
      <c r="AU39" s="422">
        <v>1.915</v>
      </c>
      <c r="AV39" s="422">
        <v>1.534</v>
      </c>
      <c r="AW39" s="422">
        <v>1.4059999999999999</v>
      </c>
      <c r="AX39" s="422">
        <v>3.6339999999999999</v>
      </c>
      <c r="AY39" s="422">
        <v>1.2549999999999999</v>
      </c>
      <c r="AZ39" s="422">
        <v>1.589</v>
      </c>
      <c r="BA39" s="422">
        <v>1.0589999999999999</v>
      </c>
      <c r="BB39" s="422">
        <v>2.06</v>
      </c>
      <c r="BC39" s="422">
        <v>0.41399999999999998</v>
      </c>
      <c r="BD39" s="422">
        <v>1.986</v>
      </c>
      <c r="BE39" s="422">
        <v>0.66900000000000004</v>
      </c>
    </row>
    <row r="40" spans="1:57" ht="15" x14ac:dyDescent="0.2">
      <c r="A40" s="284"/>
      <c r="B40" s="416"/>
      <c r="C40" s="6" t="s">
        <v>114</v>
      </c>
      <c r="D40" s="424">
        <v>1.0996796428293423</v>
      </c>
      <c r="E40" s="422">
        <v>0.68857304255167651</v>
      </c>
      <c r="F40" s="422">
        <v>1.7076393832331118</v>
      </c>
      <c r="G40" s="422">
        <v>1.4410644268644031</v>
      </c>
      <c r="H40" s="422">
        <v>1.5157225857610288</v>
      </c>
      <c r="I40" s="422">
        <v>2.7193033246026523</v>
      </c>
      <c r="J40" s="422">
        <v>1.4962161727573562</v>
      </c>
      <c r="K40" s="422">
        <v>2.4153802567634033</v>
      </c>
      <c r="L40" s="422">
        <v>0.51360191124072974</v>
      </c>
      <c r="M40" s="422">
        <v>1.6920703666797583</v>
      </c>
      <c r="N40" s="422">
        <v>1.992067903712176</v>
      </c>
      <c r="O40" s="422">
        <v>1.2556379014167234</v>
      </c>
      <c r="P40" s="422">
        <v>1.6592180417931599</v>
      </c>
      <c r="Q40" s="422">
        <v>1.5999781705331113</v>
      </c>
      <c r="R40" s="422">
        <v>1.7354963896931082</v>
      </c>
      <c r="S40" s="422">
        <v>1.2912213214929553</v>
      </c>
      <c r="T40" s="422">
        <v>2.1900451079658843</v>
      </c>
      <c r="U40" s="422">
        <v>1.2247926325037861</v>
      </c>
      <c r="V40" s="422">
        <v>1.431481098783189</v>
      </c>
      <c r="W40" s="422">
        <v>1.4599095358364824</v>
      </c>
      <c r="X40" s="422">
        <v>1.3134437920390696</v>
      </c>
      <c r="Y40" s="422">
        <v>2.1135309744572295</v>
      </c>
      <c r="Z40" s="422">
        <v>2.1388470884682476</v>
      </c>
      <c r="AA40" s="422">
        <v>1.8233520811882573</v>
      </c>
      <c r="AB40" s="422">
        <v>1.9010893158290698</v>
      </c>
      <c r="AC40" s="422">
        <v>1.5815147593401482</v>
      </c>
      <c r="AD40" s="422">
        <v>1.9660557111104331</v>
      </c>
      <c r="AE40" s="65">
        <f>'User Add-in Location'!B44</f>
        <v>0</v>
      </c>
      <c r="AF40" s="65">
        <f>'User Add-in Location'!C44</f>
        <v>0</v>
      </c>
      <c r="AG40" s="422">
        <v>1.6120000000000001</v>
      </c>
      <c r="AH40" s="422">
        <v>1.022</v>
      </c>
      <c r="AI40" s="422">
        <v>1.4890000000000001</v>
      </c>
      <c r="AJ40" s="422">
        <v>2.5550000000000002</v>
      </c>
      <c r="AK40" s="422">
        <v>1.4710000000000001</v>
      </c>
      <c r="AL40" s="422">
        <v>2.1419999999999999</v>
      </c>
      <c r="AM40" s="422">
        <v>1.1180000000000001</v>
      </c>
      <c r="AN40" s="422">
        <v>1.393</v>
      </c>
      <c r="AO40" s="422">
        <v>2.0750000000000002</v>
      </c>
      <c r="AP40" s="422">
        <v>2.4980000000000002</v>
      </c>
      <c r="AQ40" s="422">
        <v>1.7</v>
      </c>
      <c r="AR40" s="422">
        <v>1.8280000000000001</v>
      </c>
      <c r="AS40" s="422">
        <v>1.802</v>
      </c>
      <c r="AT40" s="422">
        <v>1.1759999999999999</v>
      </c>
      <c r="AU40" s="422">
        <v>1.2789999999999999</v>
      </c>
      <c r="AV40" s="422">
        <v>1.4419999999999999</v>
      </c>
      <c r="AW40" s="422">
        <v>2.1520000000000001</v>
      </c>
      <c r="AX40" s="422">
        <v>3.4710000000000001</v>
      </c>
      <c r="AY40" s="422">
        <v>2.0670000000000002</v>
      </c>
      <c r="AZ40" s="422">
        <v>1.196</v>
      </c>
      <c r="BA40" s="422">
        <v>1.694</v>
      </c>
      <c r="BB40" s="422">
        <v>1.0149999999999999</v>
      </c>
      <c r="BC40" s="422">
        <v>1.252</v>
      </c>
      <c r="BD40" s="422">
        <v>1.5509999999999999</v>
      </c>
      <c r="BE40" s="422">
        <v>0.79300000000000004</v>
      </c>
    </row>
    <row r="41" spans="1:57" ht="15" x14ac:dyDescent="0.2">
      <c r="A41" s="284"/>
      <c r="B41" s="416"/>
      <c r="C41" s="6" t="s">
        <v>45</v>
      </c>
      <c r="D41" s="424">
        <v>2.2048804339577495</v>
      </c>
      <c r="E41" s="422">
        <v>1.8046295557321455</v>
      </c>
      <c r="F41" s="422">
        <v>2.8358066793361738</v>
      </c>
      <c r="G41" s="422">
        <v>1.9048106057150558</v>
      </c>
      <c r="H41" s="422">
        <v>2.6419363354048158</v>
      </c>
      <c r="I41" s="422">
        <v>2.8614471728491675</v>
      </c>
      <c r="J41" s="422">
        <v>2.3583991367186132</v>
      </c>
      <c r="K41" s="422">
        <v>2.0671083694998078</v>
      </c>
      <c r="L41" s="422">
        <v>0.61886739214401376</v>
      </c>
      <c r="M41" s="422">
        <v>2.8695018221597346</v>
      </c>
      <c r="N41" s="422">
        <v>2.5988470178472163</v>
      </c>
      <c r="O41" s="422">
        <v>2.2064078792328257</v>
      </c>
      <c r="P41" s="422">
        <v>2.2220004550697405</v>
      </c>
      <c r="Q41" s="422">
        <v>2.7923303877673495</v>
      </c>
      <c r="R41" s="422">
        <v>2.4260598269889631</v>
      </c>
      <c r="S41" s="422">
        <v>2.2481988001373776</v>
      </c>
      <c r="T41" s="422">
        <v>2.2255427556340317</v>
      </c>
      <c r="U41" s="422">
        <v>2.0898346283128824</v>
      </c>
      <c r="V41" s="422">
        <v>2.0664937102512089</v>
      </c>
      <c r="W41" s="422">
        <v>2.5934882344610029</v>
      </c>
      <c r="X41" s="422">
        <v>2.3806282145941893</v>
      </c>
      <c r="Y41" s="422">
        <v>2.5295973027615419</v>
      </c>
      <c r="Z41" s="422">
        <v>2.7353245485752993</v>
      </c>
      <c r="AA41" s="422">
        <v>2.8111339616974069</v>
      </c>
      <c r="AB41" s="422">
        <v>1.8571133888699471</v>
      </c>
      <c r="AC41" s="422">
        <v>2.7539172523453934</v>
      </c>
      <c r="AD41" s="422">
        <v>2.1852724630812816</v>
      </c>
      <c r="AE41" s="65">
        <f>'User Add-in Location'!B45</f>
        <v>0</v>
      </c>
      <c r="AF41" s="65">
        <f>'User Add-in Location'!C45</f>
        <v>0</v>
      </c>
      <c r="AG41" s="422">
        <v>2.327</v>
      </c>
      <c r="AH41" s="422">
        <v>1.3859999999999999</v>
      </c>
      <c r="AI41" s="422">
        <v>2.8839999999999999</v>
      </c>
      <c r="AJ41" s="422">
        <v>2.569</v>
      </c>
      <c r="AK41" s="422">
        <v>1.8089999999999999</v>
      </c>
      <c r="AL41" s="422">
        <v>1.92</v>
      </c>
      <c r="AM41" s="422">
        <v>2.597</v>
      </c>
      <c r="AN41" s="422">
        <v>1.88</v>
      </c>
      <c r="AO41" s="422">
        <v>2.8969999999999998</v>
      </c>
      <c r="AP41" s="422">
        <v>2.335</v>
      </c>
      <c r="AQ41" s="422">
        <v>2.7440000000000002</v>
      </c>
      <c r="AR41" s="422">
        <v>2.9039999999999999</v>
      </c>
      <c r="AS41" s="422">
        <v>2.3650000000000002</v>
      </c>
      <c r="AT41" s="422">
        <v>2.1459999999999999</v>
      </c>
      <c r="AU41" s="422">
        <v>2.0430000000000001</v>
      </c>
      <c r="AV41" s="422">
        <v>2.9569999999999999</v>
      </c>
      <c r="AW41" s="422">
        <v>2.6930000000000001</v>
      </c>
      <c r="AX41" s="422">
        <v>4.8570000000000002</v>
      </c>
      <c r="AY41" s="422">
        <v>2.9140000000000001</v>
      </c>
      <c r="AZ41" s="422">
        <v>2.419</v>
      </c>
      <c r="BA41" s="422">
        <v>2.214</v>
      </c>
      <c r="BB41" s="422">
        <v>2.0590000000000002</v>
      </c>
      <c r="BC41" s="422">
        <v>1.9239999999999999</v>
      </c>
      <c r="BD41" s="422">
        <v>2.6459999999999999</v>
      </c>
      <c r="BE41" s="422">
        <v>1.2090000000000001</v>
      </c>
    </row>
    <row r="42" spans="1:57" ht="15" x14ac:dyDescent="0.2">
      <c r="A42" s="284"/>
      <c r="B42" s="416"/>
      <c r="C42" s="6" t="s">
        <v>115</v>
      </c>
      <c r="D42" s="424">
        <v>1.1088404815041355</v>
      </c>
      <c r="E42" s="422">
        <v>0.76150424895753865</v>
      </c>
      <c r="F42" s="422">
        <v>1.9623782555183102</v>
      </c>
      <c r="G42" s="422">
        <v>1.1091717009364783</v>
      </c>
      <c r="H42" s="422">
        <v>1.7716435052012987</v>
      </c>
      <c r="I42" s="422">
        <v>1.9077254534927746</v>
      </c>
      <c r="J42" s="422">
        <v>1.528411842591294</v>
      </c>
      <c r="K42" s="422">
        <v>0.95629375884289247</v>
      </c>
      <c r="L42" s="422">
        <v>0.378119351709433</v>
      </c>
      <c r="M42" s="422">
        <v>2.0152550557562448</v>
      </c>
      <c r="N42" s="422">
        <v>1.5830523350164534</v>
      </c>
      <c r="O42" s="422">
        <v>1.0273935547043185</v>
      </c>
      <c r="P42" s="422">
        <v>1.2956194049669387</v>
      </c>
      <c r="Q42" s="422">
        <v>1.6813500789311666</v>
      </c>
      <c r="R42" s="422">
        <v>1.2081934317177583</v>
      </c>
      <c r="S42" s="422">
        <v>1.23059667644676</v>
      </c>
      <c r="T42" s="422">
        <v>1.3086447858093888</v>
      </c>
      <c r="U42" s="422">
        <v>1.0525418403171982</v>
      </c>
      <c r="V42" s="422">
        <v>0.75060341395778429</v>
      </c>
      <c r="W42" s="422">
        <v>1.6493957240880974</v>
      </c>
      <c r="X42" s="422">
        <v>1.2946345229590666</v>
      </c>
      <c r="Y42" s="422">
        <v>1.601032443988079</v>
      </c>
      <c r="Z42" s="422">
        <v>1.5835129192305271</v>
      </c>
      <c r="AA42" s="422">
        <v>1.8974720122905797</v>
      </c>
      <c r="AB42" s="422">
        <v>0.97887195946612904</v>
      </c>
      <c r="AC42" s="422">
        <v>1.45923280029967</v>
      </c>
      <c r="AD42" s="422">
        <v>0.92641636411884276</v>
      </c>
      <c r="AE42" s="65">
        <f>'User Add-in Location'!B46</f>
        <v>0</v>
      </c>
      <c r="AF42" s="65">
        <f>'User Add-in Location'!C46</f>
        <v>0</v>
      </c>
      <c r="AG42" s="422">
        <v>1.1910000000000001</v>
      </c>
      <c r="AH42" s="422">
        <v>0.91500000000000004</v>
      </c>
      <c r="AI42" s="422">
        <v>1.7889999999999999</v>
      </c>
      <c r="AJ42" s="422">
        <v>1.4430000000000001</v>
      </c>
      <c r="AK42" s="422">
        <v>0.95499999999999996</v>
      </c>
      <c r="AL42" s="422">
        <v>1.157</v>
      </c>
      <c r="AM42" s="422">
        <v>1.3959999999999999</v>
      </c>
      <c r="AN42" s="422">
        <v>0.85299999999999998</v>
      </c>
      <c r="AO42" s="422">
        <v>1.6060000000000001</v>
      </c>
      <c r="AP42" s="422">
        <v>1.4019999999999999</v>
      </c>
      <c r="AQ42" s="422">
        <v>1.6839999999999999</v>
      </c>
      <c r="AR42" s="422">
        <v>1.6339999999999999</v>
      </c>
      <c r="AS42" s="422">
        <v>1.6</v>
      </c>
      <c r="AT42" s="422">
        <v>1.2050000000000001</v>
      </c>
      <c r="AU42" s="422">
        <v>1.218</v>
      </c>
      <c r="AV42" s="422">
        <v>1.4430000000000001</v>
      </c>
      <c r="AW42" s="422">
        <v>1.448</v>
      </c>
      <c r="AX42" s="422">
        <v>3.5459999999999998</v>
      </c>
      <c r="AY42" s="422">
        <v>1.63</v>
      </c>
      <c r="AZ42" s="422">
        <v>1.4430000000000001</v>
      </c>
      <c r="BA42" s="422">
        <v>1.1930000000000001</v>
      </c>
      <c r="BB42" s="422">
        <v>1.1659999999999999</v>
      </c>
      <c r="BC42" s="422">
        <v>0.89500000000000002</v>
      </c>
      <c r="BD42" s="422">
        <v>1.6639999999999999</v>
      </c>
      <c r="BE42" s="422">
        <v>0.44900000000000001</v>
      </c>
    </row>
    <row r="43" spans="1:57" ht="15" x14ac:dyDescent="0.2">
      <c r="A43" s="284"/>
      <c r="B43" s="416"/>
      <c r="C43" s="6" t="s">
        <v>116</v>
      </c>
      <c r="D43" s="424">
        <v>1.6437198425211559</v>
      </c>
      <c r="E43" s="422">
        <v>1.3288223521738518</v>
      </c>
      <c r="F43" s="422">
        <v>2.4894425200253001</v>
      </c>
      <c r="G43" s="422">
        <v>1.500710110293656</v>
      </c>
      <c r="H43" s="422">
        <v>2.3662379285911235</v>
      </c>
      <c r="I43" s="422">
        <v>2.2368130414951137</v>
      </c>
      <c r="J43" s="422">
        <v>1.9218265343366601</v>
      </c>
      <c r="K43" s="422">
        <v>1.6197452654198903</v>
      </c>
      <c r="L43" s="422">
        <v>0</v>
      </c>
      <c r="M43" s="422">
        <v>2.6262772174143212</v>
      </c>
      <c r="N43" s="422">
        <v>2.1214620710873024</v>
      </c>
      <c r="O43" s="422">
        <v>1.7352446357651454</v>
      </c>
      <c r="P43" s="422">
        <v>1.8352835570893637</v>
      </c>
      <c r="Q43" s="422">
        <v>2.4698655354540522</v>
      </c>
      <c r="R43" s="422">
        <v>1.8387563702900236</v>
      </c>
      <c r="S43" s="422">
        <v>1.709404988623247</v>
      </c>
      <c r="T43" s="422">
        <v>1.6812722036024419</v>
      </c>
      <c r="U43" s="422">
        <v>1.8325310970951871</v>
      </c>
      <c r="V43" s="422">
        <v>1.5936080081070343</v>
      </c>
      <c r="W43" s="422">
        <v>2.1079528150035114</v>
      </c>
      <c r="X43" s="422">
        <v>1.8493391842376896</v>
      </c>
      <c r="Y43" s="422">
        <v>2.1241568843039071</v>
      </c>
      <c r="Z43" s="422">
        <v>2.4403520059294816</v>
      </c>
      <c r="AA43" s="422">
        <v>2.6784836671701293</v>
      </c>
      <c r="AB43" s="422">
        <v>1.5088254569507227</v>
      </c>
      <c r="AC43" s="422">
        <v>2.2156967259034879</v>
      </c>
      <c r="AD43" s="422">
        <v>1.8013796119428263</v>
      </c>
      <c r="AE43" s="65">
        <f>'User Add-in Location'!B47</f>
        <v>0</v>
      </c>
      <c r="AF43" s="65">
        <f>'User Add-in Location'!C47</f>
        <v>0</v>
      </c>
      <c r="AG43" s="422">
        <v>1.7070000000000001</v>
      </c>
      <c r="AH43" s="422">
        <v>1.1739999999999999</v>
      </c>
      <c r="AI43" s="422">
        <v>2.1309999999999998</v>
      </c>
      <c r="AJ43" s="422">
        <v>2.2010000000000001</v>
      </c>
      <c r="AK43" s="422">
        <v>1.3109999999999999</v>
      </c>
      <c r="AL43" s="422">
        <v>1.62</v>
      </c>
      <c r="AM43" s="422">
        <v>2.113</v>
      </c>
      <c r="AN43" s="422">
        <v>1.296</v>
      </c>
      <c r="AO43" s="422">
        <v>2.427</v>
      </c>
      <c r="AP43" s="422">
        <v>1.85</v>
      </c>
      <c r="AQ43" s="422">
        <v>2.2360000000000002</v>
      </c>
      <c r="AR43" s="422">
        <v>2.339</v>
      </c>
      <c r="AS43" s="422">
        <v>2.125</v>
      </c>
      <c r="AT43" s="422">
        <v>1.897</v>
      </c>
      <c r="AU43" s="422">
        <v>1.4339999999999999</v>
      </c>
      <c r="AV43" s="422">
        <v>2.3580000000000001</v>
      </c>
      <c r="AW43" s="422">
        <v>2.2170000000000001</v>
      </c>
      <c r="AX43" s="422">
        <v>4.5570000000000004</v>
      </c>
      <c r="AY43" s="422">
        <v>2.3330000000000002</v>
      </c>
      <c r="AZ43" s="422">
        <v>2.0379999999999998</v>
      </c>
      <c r="BA43" s="422">
        <v>1.952</v>
      </c>
      <c r="BB43" s="422">
        <v>1.65</v>
      </c>
      <c r="BC43" s="422">
        <v>1.3759999999999999</v>
      </c>
      <c r="BD43" s="422">
        <v>2.2970000000000002</v>
      </c>
      <c r="BE43" s="422">
        <v>0.874</v>
      </c>
    </row>
    <row r="44" spans="1:57" ht="15" x14ac:dyDescent="0.2">
      <c r="A44" s="284"/>
      <c r="B44" s="416"/>
      <c r="C44" s="6" t="s">
        <v>117</v>
      </c>
      <c r="D44" s="424">
        <v>1.1510360953398049</v>
      </c>
      <c r="E44" s="422">
        <v>0.86079482437344268</v>
      </c>
      <c r="F44" s="422">
        <v>1.7713277924340218</v>
      </c>
      <c r="G44" s="422">
        <v>1.1323204406071454</v>
      </c>
      <c r="H44" s="422">
        <v>1.9580052189994603</v>
      </c>
      <c r="I44" s="422">
        <v>1.7370202853344381</v>
      </c>
      <c r="J44" s="422">
        <v>1.588572934968397</v>
      </c>
      <c r="K44" s="422">
        <v>1.4268733921926469</v>
      </c>
      <c r="L44" s="422">
        <v>0.40388319076737389</v>
      </c>
      <c r="M44" s="422">
        <v>2.0795252397656441</v>
      </c>
      <c r="N44" s="422">
        <v>1.5946922866860405</v>
      </c>
      <c r="O44" s="422">
        <v>1.1556519271107391</v>
      </c>
      <c r="P44" s="422">
        <v>1.2284438111819327</v>
      </c>
      <c r="Q44" s="422">
        <v>1.7007534668082371</v>
      </c>
      <c r="R44" s="422">
        <v>1.3153618652140722</v>
      </c>
      <c r="S44" s="422">
        <v>1.1229881477775052</v>
      </c>
      <c r="T44" s="422">
        <v>1.2342653373489156</v>
      </c>
      <c r="U44" s="422">
        <v>1.3156063003698364</v>
      </c>
      <c r="V44" s="422">
        <v>1.1562821659026667</v>
      </c>
      <c r="W44" s="422">
        <v>1.8823842243291438</v>
      </c>
      <c r="X44" s="422">
        <v>1.208707935642451</v>
      </c>
      <c r="Y44" s="422">
        <v>1.907682218356058</v>
      </c>
      <c r="Z44" s="422">
        <v>2.0054597626440227</v>
      </c>
      <c r="AA44" s="422">
        <v>2.0363881220109761</v>
      </c>
      <c r="AB44" s="422">
        <v>0.85538759606424719</v>
      </c>
      <c r="AC44" s="422">
        <v>1.4168194005033001</v>
      </c>
      <c r="AD44" s="422">
        <v>1.0192193887196481</v>
      </c>
      <c r="AE44" s="65">
        <f>'User Add-in Location'!B48</f>
        <v>0</v>
      </c>
      <c r="AF44" s="65">
        <f>'User Add-in Location'!C48</f>
        <v>0</v>
      </c>
      <c r="AG44" s="422">
        <v>1.0569999999999999</v>
      </c>
      <c r="AH44" s="422">
        <v>0.91100000000000003</v>
      </c>
      <c r="AI44" s="422">
        <v>2.694</v>
      </c>
      <c r="AJ44" s="422">
        <v>1.9470000000000001</v>
      </c>
      <c r="AK44" s="422">
        <v>0.95</v>
      </c>
      <c r="AL44" s="422">
        <v>1.268</v>
      </c>
      <c r="AM44" s="422">
        <v>1.63</v>
      </c>
      <c r="AN44" s="422">
        <v>0.81799999999999995</v>
      </c>
      <c r="AO44" s="422">
        <v>2.0070000000000001</v>
      </c>
      <c r="AP44" s="422">
        <v>1.4850000000000001</v>
      </c>
      <c r="AQ44" s="422">
        <v>1.778</v>
      </c>
      <c r="AR44" s="422">
        <v>1.8580000000000001</v>
      </c>
      <c r="AS44" s="422">
        <v>1.879</v>
      </c>
      <c r="AT44" s="422">
        <v>1.5189999999999999</v>
      </c>
      <c r="AU44" s="422">
        <v>1.032</v>
      </c>
      <c r="AV44" s="422">
        <v>1.5469999999999999</v>
      </c>
      <c r="AW44" s="422">
        <v>1.7270000000000001</v>
      </c>
      <c r="AX44" s="422">
        <v>3.8119999999999998</v>
      </c>
      <c r="AY44" s="422">
        <v>1.6850000000000001</v>
      </c>
      <c r="AZ44" s="422">
        <v>2.024</v>
      </c>
      <c r="BA44" s="422">
        <v>1.508</v>
      </c>
      <c r="BB44" s="422">
        <v>1.407</v>
      </c>
      <c r="BC44" s="422">
        <v>1.425</v>
      </c>
      <c r="BD44" s="422">
        <v>1.5409999999999999</v>
      </c>
      <c r="BE44" s="422">
        <v>0.59</v>
      </c>
    </row>
    <row r="45" spans="1:57" ht="15" x14ac:dyDescent="0.2">
      <c r="A45" s="284"/>
      <c r="B45" s="416"/>
      <c r="C45" s="6" t="s">
        <v>118</v>
      </c>
      <c r="D45" s="424">
        <v>1.756674490949159</v>
      </c>
      <c r="E45" s="422">
        <v>0</v>
      </c>
      <c r="F45" s="422">
        <v>2.2296862448415449</v>
      </c>
      <c r="G45" s="422">
        <v>1.4229424243332238</v>
      </c>
      <c r="H45" s="422">
        <v>2.2608492964057514</v>
      </c>
      <c r="I45" s="422">
        <v>1.8897166687955138</v>
      </c>
      <c r="J45" s="422">
        <v>1.6516310015032369</v>
      </c>
      <c r="K45" s="422">
        <v>1.658727256200647</v>
      </c>
      <c r="L45" s="422">
        <v>0.24626022352967211</v>
      </c>
      <c r="M45" s="422">
        <v>2.2981213138949488</v>
      </c>
      <c r="N45" s="422">
        <v>1.7332359475474204</v>
      </c>
      <c r="O45" s="422">
        <v>0.89446088191001649</v>
      </c>
      <c r="P45" s="422">
        <v>1.7480628926266906</v>
      </c>
      <c r="Q45" s="422">
        <v>2.2122596181848997</v>
      </c>
      <c r="R45" s="422">
        <v>1.7919482518267889</v>
      </c>
      <c r="S45" s="422">
        <v>1.5008316232312111</v>
      </c>
      <c r="T45" s="422">
        <v>1.5840467458130212</v>
      </c>
      <c r="U45" s="422">
        <v>1.7172549104177823</v>
      </c>
      <c r="V45" s="422">
        <v>1.4939852235137776</v>
      </c>
      <c r="W45" s="422">
        <v>1.5339036974855649</v>
      </c>
      <c r="X45" s="422">
        <v>1.597986250795344</v>
      </c>
      <c r="Y45" s="422">
        <v>1.773177400712044</v>
      </c>
      <c r="Z45" s="422">
        <v>2.3083224424751858</v>
      </c>
      <c r="AA45" s="422">
        <v>2.2058128464606499</v>
      </c>
      <c r="AB45" s="422">
        <v>1.1370414892832439</v>
      </c>
      <c r="AC45" s="422">
        <v>1.8449779300279514</v>
      </c>
      <c r="AD45" s="422">
        <v>1.1143464452476912</v>
      </c>
      <c r="AE45" s="65">
        <f>'User Add-in Location'!B49</f>
        <v>0</v>
      </c>
      <c r="AF45" s="65">
        <f>'User Add-in Location'!C49</f>
        <v>0</v>
      </c>
      <c r="AG45" s="422">
        <v>1.7989999999999999</v>
      </c>
      <c r="AH45" s="422">
        <v>1.0329999999999999</v>
      </c>
      <c r="AI45" s="422">
        <v>2.097</v>
      </c>
      <c r="AJ45" s="422">
        <v>1.8640000000000001</v>
      </c>
      <c r="AK45" s="422">
        <v>1.008</v>
      </c>
      <c r="AL45" s="422">
        <v>1.373</v>
      </c>
      <c r="AM45" s="422">
        <v>1.631</v>
      </c>
      <c r="AN45" s="422">
        <v>1.155</v>
      </c>
      <c r="AO45" s="422">
        <v>2.036</v>
      </c>
      <c r="AP45" s="422">
        <v>1.7050000000000001</v>
      </c>
      <c r="AQ45" s="422">
        <v>0.98699999999999999</v>
      </c>
      <c r="AR45" s="422">
        <v>2.0009999999999999</v>
      </c>
      <c r="AS45" s="422">
        <v>1.401</v>
      </c>
      <c r="AT45" s="422">
        <v>1.948</v>
      </c>
      <c r="AU45" s="422">
        <v>1.3280000000000001</v>
      </c>
      <c r="AV45" s="422">
        <v>2.0110000000000001</v>
      </c>
      <c r="AW45" s="422">
        <v>1.8049999999999999</v>
      </c>
      <c r="AX45" s="422">
        <v>3.5979999999999999</v>
      </c>
      <c r="AY45" s="422">
        <v>1.8420000000000001</v>
      </c>
      <c r="AZ45" s="422">
        <v>1.679</v>
      </c>
      <c r="BA45" s="422">
        <v>1.5489999999999999</v>
      </c>
      <c r="BB45" s="422">
        <v>1.2190000000000001</v>
      </c>
      <c r="BC45" s="422">
        <v>1.032</v>
      </c>
      <c r="BD45" s="422">
        <v>2.1059999999999999</v>
      </c>
      <c r="BE45" s="422">
        <v>0.72899999999999998</v>
      </c>
    </row>
    <row r="46" spans="1:57" ht="15" x14ac:dyDescent="0.2">
      <c r="A46" s="284"/>
      <c r="B46" s="416"/>
      <c r="C46" s="6" t="s">
        <v>119</v>
      </c>
      <c r="D46" s="424">
        <v>1.67756099863775</v>
      </c>
      <c r="E46" s="422">
        <v>0.84060138116227223</v>
      </c>
      <c r="F46" s="422">
        <v>2.2971328782339784</v>
      </c>
      <c r="G46" s="422">
        <v>1.775493824961176</v>
      </c>
      <c r="H46" s="422">
        <v>2.3315642655256252</v>
      </c>
      <c r="I46" s="422">
        <v>2.5533948908154116</v>
      </c>
      <c r="J46" s="422">
        <v>1.7296537286825597</v>
      </c>
      <c r="K46" s="422">
        <v>1.6247557121763361</v>
      </c>
      <c r="L46" s="422">
        <v>0.62921016083116499</v>
      </c>
      <c r="M46" s="422">
        <v>2.35161847535591</v>
      </c>
      <c r="N46" s="422">
        <v>2.259518119034416</v>
      </c>
      <c r="O46" s="422">
        <v>1.4673861294444113</v>
      </c>
      <c r="P46" s="422">
        <v>1.9551792695233083</v>
      </c>
      <c r="Q46" s="422">
        <v>2.5697486747502856</v>
      </c>
      <c r="R46" s="422">
        <v>1.9570725320370244</v>
      </c>
      <c r="S46" s="422">
        <v>1.7367337177080515</v>
      </c>
      <c r="T46" s="422">
        <v>1.7460002802903436</v>
      </c>
      <c r="U46" s="422">
        <v>1.7295680887459095</v>
      </c>
      <c r="V46" s="422">
        <v>1.5931463100358032</v>
      </c>
      <c r="W46" s="422">
        <v>2.0503178920155527</v>
      </c>
      <c r="X46" s="422">
        <v>1.6709094388931935</v>
      </c>
      <c r="Y46" s="422">
        <v>1.9768004835563722</v>
      </c>
      <c r="Z46" s="422">
        <v>2.2596689647137165</v>
      </c>
      <c r="AA46" s="422">
        <v>2.4447327350560815</v>
      </c>
      <c r="AB46" s="422">
        <v>1.5040203917285209</v>
      </c>
      <c r="AC46" s="422">
        <v>2.1750195124784595</v>
      </c>
      <c r="AD46" s="422">
        <v>1.9062874756093466</v>
      </c>
      <c r="AE46" s="65">
        <f>'User Add-in Location'!B50</f>
        <v>0</v>
      </c>
      <c r="AF46" s="65">
        <f>'User Add-in Location'!C50</f>
        <v>0</v>
      </c>
      <c r="AG46" s="422">
        <v>1.964</v>
      </c>
      <c r="AH46" s="422">
        <v>0</v>
      </c>
      <c r="AI46" s="422">
        <v>1.903</v>
      </c>
      <c r="AJ46" s="422">
        <v>2.044</v>
      </c>
      <c r="AK46" s="422">
        <v>1.5049999999999999</v>
      </c>
      <c r="AL46" s="422">
        <v>1.7490000000000001</v>
      </c>
      <c r="AM46" s="422">
        <v>2.0990000000000002</v>
      </c>
      <c r="AN46" s="422">
        <v>1.5309999999999999</v>
      </c>
      <c r="AO46" s="422">
        <v>2.2290000000000001</v>
      </c>
      <c r="AP46" s="422">
        <v>2.234</v>
      </c>
      <c r="AQ46" s="422">
        <v>2.0419999999999998</v>
      </c>
      <c r="AR46" s="422">
        <v>2.4980000000000002</v>
      </c>
      <c r="AS46" s="422">
        <v>1.93</v>
      </c>
      <c r="AT46" s="422">
        <v>1.643</v>
      </c>
      <c r="AU46" s="422">
        <v>1.64</v>
      </c>
      <c r="AV46" s="422">
        <v>2.3220000000000001</v>
      </c>
      <c r="AW46" s="422">
        <v>2.5009999999999999</v>
      </c>
      <c r="AX46" s="422">
        <v>4.1550000000000002</v>
      </c>
      <c r="AY46" s="422">
        <v>2.69</v>
      </c>
      <c r="AZ46" s="422">
        <v>2.0019999999999998</v>
      </c>
      <c r="BA46" s="422">
        <v>1.905</v>
      </c>
      <c r="BB46" s="422">
        <v>1.593</v>
      </c>
      <c r="BC46" s="422">
        <v>1.62</v>
      </c>
      <c r="BD46" s="422">
        <v>2.153</v>
      </c>
      <c r="BE46" s="422">
        <v>0.97899999999999998</v>
      </c>
    </row>
    <row r="47" spans="1:57" ht="15" x14ac:dyDescent="0.2">
      <c r="A47" s="284"/>
      <c r="B47" s="416"/>
      <c r="C47" s="6" t="s">
        <v>46</v>
      </c>
      <c r="D47" s="424">
        <v>2.0576285079567733</v>
      </c>
      <c r="E47" s="422">
        <v>1.2240348267698002</v>
      </c>
      <c r="F47" s="422">
        <v>2.9906137443588166</v>
      </c>
      <c r="G47" s="422">
        <v>1.7330859661102296</v>
      </c>
      <c r="H47" s="422">
        <v>2.3488607138216855</v>
      </c>
      <c r="I47" s="422">
        <v>2.9266895171411025</v>
      </c>
      <c r="J47" s="422">
        <v>2.072876697243331</v>
      </c>
      <c r="K47" s="422">
        <v>2.0119316412303263</v>
      </c>
      <c r="L47" s="422">
        <v>0.62792103262004739</v>
      </c>
      <c r="M47" s="422">
        <v>3.0513665627576634</v>
      </c>
      <c r="N47" s="422">
        <v>2.6361155050243448</v>
      </c>
      <c r="O47" s="422">
        <v>2.0063843884153996</v>
      </c>
      <c r="P47" s="422">
        <v>2.2548413707824526</v>
      </c>
      <c r="Q47" s="422">
        <v>2.7575533775512331</v>
      </c>
      <c r="R47" s="422">
        <v>2.2406313465027039</v>
      </c>
      <c r="S47" s="422">
        <v>2.1345081991778163</v>
      </c>
      <c r="T47" s="422">
        <v>2.0752246985178511</v>
      </c>
      <c r="U47" s="422">
        <v>1.9185811376857187</v>
      </c>
      <c r="V47" s="422">
        <v>1.8198262799999672</v>
      </c>
      <c r="W47" s="422">
        <v>2.5610674963739819</v>
      </c>
      <c r="X47" s="422">
        <v>2.142257688430969</v>
      </c>
      <c r="Y47" s="422">
        <v>2.547726942964657</v>
      </c>
      <c r="Z47" s="422">
        <v>2.6715158876544702</v>
      </c>
      <c r="AA47" s="422">
        <v>3.0528401797403122</v>
      </c>
      <c r="AB47" s="422">
        <v>1.7291853236581038</v>
      </c>
      <c r="AC47" s="422">
        <v>2.6404872217578088</v>
      </c>
      <c r="AD47" s="422">
        <v>2.144447846041468</v>
      </c>
      <c r="AE47" s="65">
        <f>'User Add-in Location'!B51</f>
        <v>0</v>
      </c>
      <c r="AF47" s="65">
        <f>'User Add-in Location'!C51</f>
        <v>0</v>
      </c>
      <c r="AG47" s="422">
        <v>2.153</v>
      </c>
      <c r="AH47" s="422">
        <v>1.4730000000000001</v>
      </c>
      <c r="AI47" s="422">
        <v>2.827</v>
      </c>
      <c r="AJ47" s="422">
        <v>2.3260000000000001</v>
      </c>
      <c r="AK47" s="422">
        <v>1.6419999999999999</v>
      </c>
      <c r="AL47" s="422">
        <v>1.819</v>
      </c>
      <c r="AM47" s="422">
        <v>2.7080000000000002</v>
      </c>
      <c r="AN47" s="422">
        <v>1.5609999999999999</v>
      </c>
      <c r="AO47" s="422">
        <v>2.7290000000000001</v>
      </c>
      <c r="AP47" s="422">
        <v>1.966</v>
      </c>
      <c r="AQ47" s="422">
        <v>2.617</v>
      </c>
      <c r="AR47" s="422">
        <v>2.633</v>
      </c>
      <c r="AS47" s="422">
        <v>2.536</v>
      </c>
      <c r="AT47" s="422">
        <v>2.1120000000000001</v>
      </c>
      <c r="AU47" s="422">
        <v>1.944</v>
      </c>
      <c r="AV47" s="422">
        <v>2.5430000000000001</v>
      </c>
      <c r="AW47" s="422">
        <v>2.371</v>
      </c>
      <c r="AX47" s="422">
        <v>4.0659999999999998</v>
      </c>
      <c r="AY47" s="422">
        <v>2.819</v>
      </c>
      <c r="AZ47" s="422">
        <v>2.2869999999999999</v>
      </c>
      <c r="BA47" s="422">
        <v>2.2570000000000001</v>
      </c>
      <c r="BB47" s="422">
        <v>1.8360000000000001</v>
      </c>
      <c r="BC47" s="422">
        <v>1.712</v>
      </c>
      <c r="BD47" s="422">
        <v>2.5579999999999998</v>
      </c>
      <c r="BE47" s="422">
        <v>1.101</v>
      </c>
    </row>
    <row r="48" spans="1:57" ht="15" x14ac:dyDescent="0.2">
      <c r="A48" s="284"/>
      <c r="B48" s="416"/>
      <c r="C48" s="6" t="s">
        <v>47</v>
      </c>
      <c r="D48" s="424">
        <v>2.4479159566163111</v>
      </c>
      <c r="E48" s="422">
        <v>2.060249313541886</v>
      </c>
      <c r="F48" s="422">
        <v>3.5433871682509155</v>
      </c>
      <c r="G48" s="422">
        <v>2.4234300153634973</v>
      </c>
      <c r="H48" s="422">
        <v>2.8755052180482701</v>
      </c>
      <c r="I48" s="422">
        <v>3.3354338780669703</v>
      </c>
      <c r="J48" s="422">
        <v>2.7275932514295267</v>
      </c>
      <c r="K48" s="422">
        <v>2.5431145826370227</v>
      </c>
      <c r="L48" s="422">
        <v>0.69731982128364112</v>
      </c>
      <c r="M48" s="422">
        <v>3.8255183186498383</v>
      </c>
      <c r="N48" s="422">
        <v>3.249956639777225</v>
      </c>
      <c r="O48" s="422">
        <v>2.3745917963418721</v>
      </c>
      <c r="P48" s="422">
        <v>2.9015539249934408</v>
      </c>
      <c r="Q48" s="422">
        <v>3.2624426450969062</v>
      </c>
      <c r="R48" s="422">
        <v>2.7183489774077882</v>
      </c>
      <c r="S48" s="422">
        <v>2.6139351833166282</v>
      </c>
      <c r="T48" s="422">
        <v>2.4065816996211962</v>
      </c>
      <c r="U48" s="422">
        <v>2.7609558361500888</v>
      </c>
      <c r="V48" s="422">
        <v>2.2569435261990036</v>
      </c>
      <c r="W48" s="422">
        <v>3.241743835890829</v>
      </c>
      <c r="X48" s="422">
        <v>2.6146030529527744</v>
      </c>
      <c r="Y48" s="422">
        <v>3.1266786069790098</v>
      </c>
      <c r="Z48" s="422">
        <v>3.0659790411307806</v>
      </c>
      <c r="AA48" s="422">
        <v>3.3523583170664919</v>
      </c>
      <c r="AB48" s="422">
        <v>2.2901173700200448</v>
      </c>
      <c r="AC48" s="422">
        <v>3.2166128619790348</v>
      </c>
      <c r="AD48" s="422">
        <v>3.1442221071732837</v>
      </c>
      <c r="AE48" s="65">
        <f>'User Add-in Location'!B52</f>
        <v>0</v>
      </c>
      <c r="AF48" s="65">
        <f>'User Add-in Location'!C52</f>
        <v>0</v>
      </c>
      <c r="AG48" s="422">
        <v>2.581</v>
      </c>
      <c r="AH48" s="422">
        <v>1.1719999999999999</v>
      </c>
      <c r="AI48" s="422">
        <v>3.5350000000000001</v>
      </c>
      <c r="AJ48" s="422">
        <v>2.931</v>
      </c>
      <c r="AK48" s="422">
        <v>2.2999999999999998</v>
      </c>
      <c r="AL48" s="422">
        <v>2.3279999999999998</v>
      </c>
      <c r="AM48" s="422">
        <v>3.4660000000000002</v>
      </c>
      <c r="AN48" s="422">
        <v>1.9610000000000001</v>
      </c>
      <c r="AO48" s="422">
        <v>3.246</v>
      </c>
      <c r="AP48" s="422">
        <v>2.7280000000000002</v>
      </c>
      <c r="AQ48" s="422">
        <v>3.5550000000000002</v>
      </c>
      <c r="AR48" s="422">
        <v>3.33</v>
      </c>
      <c r="AS48" s="422">
        <v>3.1869999999999998</v>
      </c>
      <c r="AT48" s="422">
        <v>2.722</v>
      </c>
      <c r="AU48" s="422">
        <v>2.452</v>
      </c>
      <c r="AV48" s="422">
        <v>3.2919999999999998</v>
      </c>
      <c r="AW48" s="422">
        <v>2.8410000000000002</v>
      </c>
      <c r="AX48" s="422">
        <v>4.9249999999999998</v>
      </c>
      <c r="AY48" s="422">
        <v>3.4729999999999999</v>
      </c>
      <c r="AZ48" s="422">
        <v>3.0390000000000001</v>
      </c>
      <c r="BA48" s="422">
        <v>2.6139999999999999</v>
      </c>
      <c r="BB48" s="422">
        <v>2.169</v>
      </c>
      <c r="BC48" s="422">
        <v>2.2509999999999999</v>
      </c>
      <c r="BD48" s="422">
        <v>2.9849999999999999</v>
      </c>
      <c r="BE48" s="422">
        <v>1.466</v>
      </c>
    </row>
    <row r="49" spans="3:57" ht="15" x14ac:dyDescent="0.2">
      <c r="C49" s="6" t="s">
        <v>120</v>
      </c>
      <c r="D49" s="424">
        <v>1.8621149505155619</v>
      </c>
      <c r="E49" s="422">
        <v>1.1781465771921333</v>
      </c>
      <c r="F49" s="422">
        <v>2.7196502391581103</v>
      </c>
      <c r="G49" s="422">
        <v>1.509702090149543</v>
      </c>
      <c r="H49" s="422">
        <v>2.0670464974722242</v>
      </c>
      <c r="I49" s="422">
        <v>2.4412476223502395</v>
      </c>
      <c r="J49" s="422">
        <v>2.1965538360396195</v>
      </c>
      <c r="K49" s="422">
        <v>1.3050174747322283</v>
      </c>
      <c r="L49" s="422">
        <v>0.49829344491000049</v>
      </c>
      <c r="M49" s="422">
        <v>2.8160195700674842</v>
      </c>
      <c r="N49" s="422">
        <v>2.2239105263019958</v>
      </c>
      <c r="O49" s="422">
        <v>1.5429361836624329</v>
      </c>
      <c r="P49" s="422">
        <v>1.77054296775583</v>
      </c>
      <c r="Q49" s="422">
        <v>2.391852889891529</v>
      </c>
      <c r="R49" s="422">
        <v>1.7247229934047812</v>
      </c>
      <c r="S49" s="422">
        <v>1.7639738374269038</v>
      </c>
      <c r="T49" s="422">
        <v>1.8368439153019869</v>
      </c>
      <c r="U49" s="422">
        <v>1.8580905014994527</v>
      </c>
      <c r="V49" s="422">
        <v>1.5594144523891569</v>
      </c>
      <c r="W49" s="422">
        <v>2.0970225518919596</v>
      </c>
      <c r="X49" s="422">
        <v>1.7074567978989768</v>
      </c>
      <c r="Y49" s="422">
        <v>2.4177698861720747</v>
      </c>
      <c r="Z49" s="422">
        <v>2.2257140714593704</v>
      </c>
      <c r="AA49" s="422">
        <v>2.8697056060965824</v>
      </c>
      <c r="AB49" s="422">
        <v>1.5250150332714891</v>
      </c>
      <c r="AC49" s="422">
        <v>2.1710660384235925</v>
      </c>
      <c r="AD49" s="422">
        <v>1.6844482202609927</v>
      </c>
      <c r="AE49" s="65">
        <f>'User Add-in Location'!B53</f>
        <v>0</v>
      </c>
      <c r="AF49" s="65">
        <f>'User Add-in Location'!C53</f>
        <v>0</v>
      </c>
      <c r="AG49" s="422">
        <v>1.8109999999999999</v>
      </c>
      <c r="AH49" s="422">
        <v>0</v>
      </c>
      <c r="AI49" s="422">
        <v>2.2210000000000001</v>
      </c>
      <c r="AJ49" s="422">
        <v>2.0369999999999999</v>
      </c>
      <c r="AK49" s="422">
        <v>1.1639999999999999</v>
      </c>
      <c r="AL49" s="422">
        <v>1.871</v>
      </c>
      <c r="AM49" s="422">
        <v>2.5539999999999998</v>
      </c>
      <c r="AN49" s="422">
        <v>1.365</v>
      </c>
      <c r="AO49" s="422">
        <v>2.177</v>
      </c>
      <c r="AP49" s="422">
        <v>1.8260000000000001</v>
      </c>
      <c r="AQ49" s="422">
        <v>1.905</v>
      </c>
      <c r="AR49" s="422">
        <v>2.3620000000000001</v>
      </c>
      <c r="AS49" s="422">
        <v>2.2709999999999999</v>
      </c>
      <c r="AT49" s="422">
        <v>2.1419999999999999</v>
      </c>
      <c r="AU49" s="422">
        <v>1.504</v>
      </c>
      <c r="AV49" s="422">
        <v>2.38</v>
      </c>
      <c r="AW49" s="422">
        <v>2.3879999999999999</v>
      </c>
      <c r="AX49" s="422">
        <v>3.7309999999999999</v>
      </c>
      <c r="AY49" s="422">
        <v>2.0960000000000001</v>
      </c>
      <c r="AZ49" s="422">
        <v>1.847</v>
      </c>
      <c r="BA49" s="422">
        <v>1.7629999999999999</v>
      </c>
      <c r="BB49" s="422">
        <v>1.423</v>
      </c>
      <c r="BC49" s="422">
        <v>1.389</v>
      </c>
      <c r="BD49" s="422">
        <v>1.9830000000000001</v>
      </c>
      <c r="BE49" s="422">
        <v>0.85599999999999998</v>
      </c>
    </row>
    <row r="50" spans="3:57" ht="15" x14ac:dyDescent="0.2">
      <c r="C50" s="6" t="s">
        <v>121</v>
      </c>
      <c r="D50" s="424">
        <v>2.9555047099566845</v>
      </c>
      <c r="E50" s="422">
        <v>2.2104293572250402</v>
      </c>
      <c r="F50" s="422">
        <v>4.1357597444903682</v>
      </c>
      <c r="G50" s="422">
        <v>2.5691342375808173</v>
      </c>
      <c r="H50" s="422">
        <v>3.5036120439901226</v>
      </c>
      <c r="I50" s="422">
        <v>3.9176570032101599</v>
      </c>
      <c r="J50" s="422">
        <v>3.0016256139471098</v>
      </c>
      <c r="K50" s="422">
        <v>2.6701175890680715</v>
      </c>
      <c r="L50" s="422">
        <v>0.86150156681551948</v>
      </c>
      <c r="M50" s="422">
        <v>4.3548235404839097</v>
      </c>
      <c r="N50" s="422">
        <v>3.7903530398461842</v>
      </c>
      <c r="O50" s="422">
        <v>2.7323037864843083</v>
      </c>
      <c r="P50" s="422">
        <v>2.9285405679006304</v>
      </c>
      <c r="Q50" s="422">
        <v>3.8574100842996271</v>
      </c>
      <c r="R50" s="422">
        <v>2.6421555718641221</v>
      </c>
      <c r="S50" s="422">
        <v>2.7025278457372637</v>
      </c>
      <c r="T50" s="422">
        <v>2.8930396701483745</v>
      </c>
      <c r="U50" s="422">
        <v>2.8849029746793757</v>
      </c>
      <c r="V50" s="422">
        <v>2.7021108232873972</v>
      </c>
      <c r="W50" s="422">
        <v>3.5256918933446642</v>
      </c>
      <c r="X50" s="422">
        <v>2.9761115350723872</v>
      </c>
      <c r="Y50" s="422">
        <v>3.2900595223675109</v>
      </c>
      <c r="Z50" s="422">
        <v>3.8362859113926961</v>
      </c>
      <c r="AA50" s="422">
        <v>3.8969548173060704</v>
      </c>
      <c r="AB50" s="422">
        <v>2.4444192885930964</v>
      </c>
      <c r="AC50" s="422">
        <v>3.5105119451993234</v>
      </c>
      <c r="AD50" s="422">
        <v>2.9631135079593838</v>
      </c>
      <c r="AE50" s="65">
        <f>'User Add-in Location'!B54</f>
        <v>0</v>
      </c>
      <c r="AF50" s="65">
        <f>'User Add-in Location'!C54</f>
        <v>0</v>
      </c>
      <c r="AG50" s="422">
        <v>2.77</v>
      </c>
      <c r="AH50" s="422">
        <v>2.153</v>
      </c>
      <c r="AI50" s="422">
        <v>3.4039999999999999</v>
      </c>
      <c r="AJ50" s="422">
        <v>3.3029999999999999</v>
      </c>
      <c r="AK50" s="422">
        <v>2.37</v>
      </c>
      <c r="AL50" s="422">
        <v>2.6059999999999999</v>
      </c>
      <c r="AM50" s="422">
        <v>3.4180000000000001</v>
      </c>
      <c r="AN50" s="422">
        <v>2.1739999999999999</v>
      </c>
      <c r="AO50" s="422">
        <v>3.7360000000000002</v>
      </c>
      <c r="AP50" s="422">
        <v>2.8660000000000001</v>
      </c>
      <c r="AQ50" s="422">
        <v>3.0449999999999999</v>
      </c>
      <c r="AR50" s="422">
        <v>3.5790000000000002</v>
      </c>
      <c r="AS50" s="422">
        <v>3.3090000000000002</v>
      </c>
      <c r="AT50" s="422">
        <v>3.1320000000000001</v>
      </c>
      <c r="AU50" s="422">
        <v>2.4420000000000002</v>
      </c>
      <c r="AV50" s="422">
        <v>3.6070000000000002</v>
      </c>
      <c r="AW50" s="422">
        <v>3.4620000000000002</v>
      </c>
      <c r="AX50" s="422">
        <v>5.6360000000000001</v>
      </c>
      <c r="AY50" s="422">
        <v>3.7759999999999998</v>
      </c>
      <c r="AZ50" s="422">
        <v>3.1120000000000001</v>
      </c>
      <c r="BA50" s="422">
        <v>3.262</v>
      </c>
      <c r="BB50" s="422">
        <v>2.5379999999999998</v>
      </c>
      <c r="BC50" s="422">
        <v>2.4169999999999998</v>
      </c>
      <c r="BD50" s="422">
        <v>3.3039999999999998</v>
      </c>
      <c r="BE50" s="422">
        <v>1.599</v>
      </c>
    </row>
    <row r="51" spans="3:57" ht="15" x14ac:dyDescent="0.2">
      <c r="C51" s="6" t="s">
        <v>122</v>
      </c>
      <c r="D51" s="424">
        <v>2.3601020912469508</v>
      </c>
      <c r="E51" s="422">
        <v>1.7588513226168985</v>
      </c>
      <c r="F51" s="422">
        <v>3.4485602078080575</v>
      </c>
      <c r="G51" s="422">
        <v>2.0632541366437187</v>
      </c>
      <c r="H51" s="422">
        <v>2.891375248080545</v>
      </c>
      <c r="I51" s="422">
        <v>3.1283694899205141</v>
      </c>
      <c r="J51" s="422">
        <v>2.550723208581994</v>
      </c>
      <c r="K51" s="422">
        <v>2.399505293717922</v>
      </c>
      <c r="L51" s="422">
        <v>0.79212144723876232</v>
      </c>
      <c r="M51" s="422">
        <v>3.6067451166405995</v>
      </c>
      <c r="N51" s="422">
        <v>3.0031223897316788</v>
      </c>
      <c r="O51" s="422">
        <v>2.4020862708252766</v>
      </c>
      <c r="P51" s="422">
        <v>2.5922024094820149</v>
      </c>
      <c r="Q51" s="422">
        <v>3.1899498603768555</v>
      </c>
      <c r="R51" s="422">
        <v>2.6116452147757645</v>
      </c>
      <c r="S51" s="422">
        <v>2.3208666894518664</v>
      </c>
      <c r="T51" s="422">
        <v>2.3500642322918615</v>
      </c>
      <c r="U51" s="422">
        <v>2.4868407029468171</v>
      </c>
      <c r="V51" s="422">
        <v>2.1268400067216575</v>
      </c>
      <c r="W51" s="422">
        <v>3.1166777244378645</v>
      </c>
      <c r="X51" s="422">
        <v>2.5088649358195347</v>
      </c>
      <c r="Y51" s="422">
        <v>2.9452656176293637</v>
      </c>
      <c r="Z51" s="422">
        <v>3.1413320358237669</v>
      </c>
      <c r="AA51" s="422">
        <v>3.3590186138539209</v>
      </c>
      <c r="AB51" s="422">
        <v>2.039285443052981</v>
      </c>
      <c r="AC51" s="422">
        <v>2.9887904101245497</v>
      </c>
      <c r="AD51" s="422">
        <v>2.5181881215604136</v>
      </c>
      <c r="AE51" s="65">
        <f>'User Add-in Location'!B55</f>
        <v>0</v>
      </c>
      <c r="AF51" s="65">
        <f>'User Add-in Location'!C55</f>
        <v>0</v>
      </c>
      <c r="AG51" s="422">
        <v>2.5110000000000001</v>
      </c>
      <c r="AH51" s="422">
        <v>1.671</v>
      </c>
      <c r="AI51" s="422">
        <v>3.0310000000000001</v>
      </c>
      <c r="AJ51" s="422">
        <v>2.8079999999999998</v>
      </c>
      <c r="AK51" s="422">
        <v>1.911</v>
      </c>
      <c r="AL51" s="422">
        <v>2.2469999999999999</v>
      </c>
      <c r="AM51" s="422">
        <v>3.09</v>
      </c>
      <c r="AN51" s="422">
        <v>1.75</v>
      </c>
      <c r="AO51" s="422">
        <v>3.2429999999999999</v>
      </c>
      <c r="AP51" s="422">
        <v>2.3279999999999998</v>
      </c>
      <c r="AQ51" s="422">
        <v>3.0790000000000002</v>
      </c>
      <c r="AR51" s="422">
        <v>3.214</v>
      </c>
      <c r="AS51" s="422">
        <v>2.968</v>
      </c>
      <c r="AT51" s="422">
        <v>2.4729999999999999</v>
      </c>
      <c r="AU51" s="422">
        <v>2.278</v>
      </c>
      <c r="AV51" s="422">
        <v>3.2309999999999999</v>
      </c>
      <c r="AW51" s="422">
        <v>2.7759999999999998</v>
      </c>
      <c r="AX51" s="422">
        <v>4.8639999999999999</v>
      </c>
      <c r="AY51" s="422">
        <v>3.0859999999999999</v>
      </c>
      <c r="AZ51" s="422">
        <v>2.7509999999999999</v>
      </c>
      <c r="BA51" s="422">
        <v>2.6360000000000001</v>
      </c>
      <c r="BB51" s="422">
        <v>2.0960000000000001</v>
      </c>
      <c r="BC51" s="422">
        <v>2.1589999999999998</v>
      </c>
      <c r="BD51" s="422">
        <v>2.8639999999999999</v>
      </c>
      <c r="BE51" s="422">
        <v>1.2430000000000001</v>
      </c>
    </row>
    <row r="52" spans="3:57" ht="15" x14ac:dyDescent="0.2">
      <c r="C52" s="6" t="s">
        <v>48</v>
      </c>
      <c r="D52" s="424">
        <v>3.1878123987686191</v>
      </c>
      <c r="E52" s="422">
        <v>2.7832528984868379</v>
      </c>
      <c r="F52" s="422">
        <v>4.2843179518423486</v>
      </c>
      <c r="G52" s="422">
        <v>3.4685033200693165</v>
      </c>
      <c r="H52" s="422">
        <v>3.7169836835214292</v>
      </c>
      <c r="I52" s="422">
        <v>4.3067369867988434</v>
      </c>
      <c r="J52" s="422">
        <v>2.9042487867899309</v>
      </c>
      <c r="K52" s="422">
        <v>2.9235543771697863</v>
      </c>
      <c r="L52" s="422">
        <v>0.75406474740204366</v>
      </c>
      <c r="M52" s="422">
        <v>4.820780668877755</v>
      </c>
      <c r="N52" s="422">
        <v>4.4803295236360761</v>
      </c>
      <c r="O52" s="422">
        <v>3.5229228765402807</v>
      </c>
      <c r="P52" s="422">
        <v>3.8683865698126438</v>
      </c>
      <c r="Q52" s="422">
        <v>4.4886655525775137</v>
      </c>
      <c r="R52" s="422">
        <v>3.9973313260652303</v>
      </c>
      <c r="S52" s="422">
        <v>3.578899055567212</v>
      </c>
      <c r="T52" s="422">
        <v>3.6314436438134079</v>
      </c>
      <c r="U52" s="422">
        <v>3.6933921950303406</v>
      </c>
      <c r="V52" s="422">
        <v>3.3567911175199878</v>
      </c>
      <c r="W52" s="422">
        <v>4.5381308047115843</v>
      </c>
      <c r="X52" s="422">
        <v>2.9283253734430024</v>
      </c>
      <c r="Y52" s="422">
        <v>2.8794060562058665</v>
      </c>
      <c r="Z52" s="422">
        <v>4.4402582612375028</v>
      </c>
      <c r="AA52" s="422">
        <v>4.2252971435619218</v>
      </c>
      <c r="AB52" s="422">
        <v>3.4012298590940424</v>
      </c>
      <c r="AC52" s="422">
        <v>4.2869265512512342</v>
      </c>
      <c r="AD52" s="422">
        <v>3.7990067615550771</v>
      </c>
      <c r="AE52" s="65">
        <f>'User Add-in Location'!B56</f>
        <v>0</v>
      </c>
      <c r="AF52" s="65">
        <f>'User Add-in Location'!C56</f>
        <v>0</v>
      </c>
      <c r="AG52" s="422">
        <v>3.855</v>
      </c>
      <c r="AH52" s="422">
        <v>2.4489999999999998</v>
      </c>
      <c r="AI52" s="422">
        <v>3.3149999999999999</v>
      </c>
      <c r="AJ52" s="422">
        <v>3.7759999999999998</v>
      </c>
      <c r="AK52" s="422">
        <v>2.2730000000000001</v>
      </c>
      <c r="AL52" s="422">
        <v>2.8130000000000002</v>
      </c>
      <c r="AM52" s="422">
        <v>4.5090000000000003</v>
      </c>
      <c r="AN52" s="422">
        <v>2.6480000000000001</v>
      </c>
      <c r="AO52" s="422">
        <v>4.3360000000000003</v>
      </c>
      <c r="AP52" s="422">
        <v>3.2410000000000001</v>
      </c>
      <c r="AQ52" s="422">
        <v>4.1529999999999996</v>
      </c>
      <c r="AR52" s="422">
        <v>4.0869999999999997</v>
      </c>
      <c r="AS52" s="422">
        <v>3.4359999999999999</v>
      </c>
      <c r="AT52" s="422">
        <v>3.8879999999999999</v>
      </c>
      <c r="AU52" s="422">
        <v>3.2629999999999999</v>
      </c>
      <c r="AV52" s="422">
        <v>4.1159999999999997</v>
      </c>
      <c r="AW52" s="422">
        <v>3.7690000000000001</v>
      </c>
      <c r="AX52" s="422">
        <v>5.891</v>
      </c>
      <c r="AY52" s="422">
        <v>4.3150000000000004</v>
      </c>
      <c r="AZ52" s="422">
        <v>4.149</v>
      </c>
      <c r="BA52" s="422">
        <v>3.181</v>
      </c>
      <c r="BB52" s="422">
        <v>2.8340000000000001</v>
      </c>
      <c r="BC52" s="422">
        <v>3.0339999999999998</v>
      </c>
      <c r="BD52" s="422">
        <v>4.0309999999999997</v>
      </c>
      <c r="BE52" s="422">
        <v>2.194</v>
      </c>
    </row>
    <row r="53" spans="3:57" ht="15" x14ac:dyDescent="0.2">
      <c r="C53" s="6"/>
      <c r="D53" s="424"/>
      <c r="E53" s="422"/>
      <c r="F53" s="422"/>
      <c r="G53" s="422"/>
      <c r="H53" s="422"/>
      <c r="I53" s="422"/>
      <c r="J53" s="422"/>
      <c r="K53" s="422"/>
      <c r="L53" s="422"/>
      <c r="M53" s="422"/>
      <c r="N53" s="422"/>
      <c r="O53" s="422"/>
      <c r="P53" s="422"/>
      <c r="Q53" s="422"/>
      <c r="R53" s="422"/>
      <c r="S53" s="422"/>
      <c r="T53" s="422"/>
      <c r="U53" s="422"/>
      <c r="V53" s="422"/>
      <c r="W53" s="422"/>
      <c r="X53" s="422"/>
      <c r="Y53" s="422"/>
      <c r="Z53" s="422"/>
      <c r="AA53" s="422"/>
      <c r="AB53" s="422"/>
      <c r="AC53" s="422"/>
      <c r="AD53" s="422"/>
      <c r="AG53" s="422"/>
      <c r="AH53" s="422"/>
      <c r="AI53" s="422"/>
      <c r="AJ53" s="422"/>
      <c r="AK53" s="422"/>
      <c r="AL53" s="422"/>
      <c r="AM53" s="422"/>
      <c r="AN53" s="422"/>
      <c r="AO53" s="422"/>
      <c r="AP53" s="422"/>
      <c r="AQ53" s="422"/>
      <c r="AR53" s="422"/>
      <c r="AS53" s="422"/>
      <c r="AT53" s="422"/>
      <c r="AU53" s="422"/>
      <c r="AV53" s="422"/>
      <c r="AW53" s="422"/>
      <c r="AX53" s="422"/>
      <c r="AY53" s="422"/>
      <c r="AZ53" s="422"/>
      <c r="BA53" s="422"/>
      <c r="BB53" s="422"/>
      <c r="BC53" s="422"/>
      <c r="BD53" s="422"/>
      <c r="BE53" s="422"/>
    </row>
    <row r="54" spans="3:57" ht="12.75" customHeight="1" x14ac:dyDescent="0.2">
      <c r="C54" s="17" t="s">
        <v>199</v>
      </c>
      <c r="D54" s="424"/>
      <c r="E54" s="422"/>
      <c r="F54" s="422"/>
      <c r="G54" s="422"/>
      <c r="H54" s="422"/>
      <c r="I54" s="422"/>
      <c r="J54" s="422"/>
      <c r="K54" s="422"/>
      <c r="L54" s="422"/>
      <c r="M54" s="422"/>
      <c r="N54" s="422"/>
      <c r="O54" s="422"/>
      <c r="P54" s="422"/>
      <c r="Q54" s="422"/>
      <c r="R54" s="422"/>
      <c r="S54" s="422"/>
      <c r="T54" s="422"/>
      <c r="U54" s="422"/>
      <c r="V54" s="422"/>
      <c r="W54" s="422"/>
      <c r="X54" s="422"/>
      <c r="Y54" s="422"/>
      <c r="Z54" s="422"/>
      <c r="AA54" s="422"/>
      <c r="AB54" s="422"/>
      <c r="AC54" s="422"/>
      <c r="AD54" s="422"/>
      <c r="AG54" s="422"/>
      <c r="AH54" s="422"/>
      <c r="AI54" s="422"/>
      <c r="AJ54" s="422"/>
      <c r="AK54" s="422"/>
      <c r="AL54" s="422"/>
      <c r="AM54" s="422"/>
      <c r="AN54" s="422"/>
      <c r="AO54" s="422"/>
      <c r="AP54" s="422"/>
      <c r="AQ54" s="422"/>
      <c r="AR54" s="422"/>
      <c r="AS54" s="422"/>
      <c r="AT54" s="422"/>
      <c r="AU54" s="422"/>
      <c r="AV54" s="422"/>
      <c r="AW54" s="422"/>
      <c r="AX54" s="422"/>
      <c r="AY54" s="422"/>
      <c r="AZ54" s="422"/>
      <c r="BA54" s="422"/>
      <c r="BB54" s="422"/>
      <c r="BC54" s="422"/>
      <c r="BD54" s="422"/>
      <c r="BE54" s="422"/>
    </row>
    <row r="55" spans="3:57" ht="25.5" customHeight="1" x14ac:dyDescent="0.2">
      <c r="C55" s="126" t="s">
        <v>144</v>
      </c>
      <c r="D55" s="424" t="s">
        <v>50</v>
      </c>
      <c r="E55" s="422" t="s">
        <v>51</v>
      </c>
      <c r="F55" s="422" t="s">
        <v>52</v>
      </c>
      <c r="G55" s="422" t="s">
        <v>53</v>
      </c>
      <c r="H55" s="422" t="s">
        <v>54</v>
      </c>
      <c r="I55" s="422" t="s">
        <v>55</v>
      </c>
      <c r="J55" s="422" t="s">
        <v>56</v>
      </c>
      <c r="K55" s="422" t="s">
        <v>57</v>
      </c>
      <c r="L55" s="422" t="s">
        <v>58</v>
      </c>
      <c r="M55" s="422" t="s">
        <v>59</v>
      </c>
      <c r="N55" s="422" t="s">
        <v>60</v>
      </c>
      <c r="O55" s="422" t="s">
        <v>61</v>
      </c>
      <c r="P55" s="422" t="s">
        <v>62</v>
      </c>
      <c r="Q55" s="422" t="s">
        <v>63</v>
      </c>
      <c r="R55" s="422" t="s">
        <v>64</v>
      </c>
      <c r="S55" s="422" t="s">
        <v>65</v>
      </c>
      <c r="T55" s="422" t="s">
        <v>66</v>
      </c>
      <c r="U55" s="422" t="s">
        <v>67</v>
      </c>
      <c r="V55" s="422" t="s">
        <v>68</v>
      </c>
      <c r="W55" s="422" t="s">
        <v>69</v>
      </c>
      <c r="X55" s="422" t="s">
        <v>70</v>
      </c>
      <c r="Y55" s="422" t="s">
        <v>71</v>
      </c>
      <c r="Z55" s="422" t="s">
        <v>72</v>
      </c>
      <c r="AA55" s="422" t="s">
        <v>73</v>
      </c>
      <c r="AB55" s="422" t="s">
        <v>74</v>
      </c>
      <c r="AC55" s="422" t="s">
        <v>75</v>
      </c>
      <c r="AD55" s="422" t="s">
        <v>76</v>
      </c>
      <c r="AE55" s="65" t="s">
        <v>233</v>
      </c>
      <c r="AF55" s="65" t="s">
        <v>232</v>
      </c>
      <c r="AG55" s="422" t="s">
        <v>77</v>
      </c>
      <c r="AH55" s="422" t="s">
        <v>78</v>
      </c>
      <c r="AI55" s="422" t="s">
        <v>79</v>
      </c>
      <c r="AJ55" s="422" t="s">
        <v>80</v>
      </c>
      <c r="AK55" s="422" t="s">
        <v>81</v>
      </c>
      <c r="AL55" s="422" t="s">
        <v>82</v>
      </c>
      <c r="AM55" s="422" t="s">
        <v>83</v>
      </c>
      <c r="AN55" s="422" t="s">
        <v>84</v>
      </c>
      <c r="AO55" s="422" t="s">
        <v>85</v>
      </c>
      <c r="AP55" s="422" t="s">
        <v>86</v>
      </c>
      <c r="AQ55" s="422" t="s">
        <v>87</v>
      </c>
      <c r="AR55" s="422" t="s">
        <v>88</v>
      </c>
      <c r="AS55" s="422" t="s">
        <v>89</v>
      </c>
      <c r="AT55" s="422" t="s">
        <v>90</v>
      </c>
      <c r="AU55" s="422" t="s">
        <v>91</v>
      </c>
      <c r="AV55" s="422" t="s">
        <v>92</v>
      </c>
      <c r="AW55" s="422" t="s">
        <v>93</v>
      </c>
      <c r="AX55" s="422" t="s">
        <v>394</v>
      </c>
      <c r="AY55" s="422" t="s">
        <v>94</v>
      </c>
      <c r="AZ55" s="422" t="s">
        <v>95</v>
      </c>
      <c r="BA55" s="422" t="s">
        <v>96</v>
      </c>
      <c r="BB55" s="422" t="s">
        <v>97</v>
      </c>
      <c r="BC55" s="422" t="s">
        <v>98</v>
      </c>
      <c r="BD55" s="422" t="s">
        <v>99</v>
      </c>
      <c r="BE55" s="422" t="s">
        <v>49</v>
      </c>
    </row>
    <row r="56" spans="3:57" ht="15" x14ac:dyDescent="0.2">
      <c r="C56" s="6" t="s">
        <v>44</v>
      </c>
      <c r="D56" s="424">
        <v>0.31032046675682068</v>
      </c>
      <c r="E56" s="422">
        <v>0.45057016611099243</v>
      </c>
      <c r="F56" s="422">
        <v>0.27041628956794739</v>
      </c>
      <c r="G56" s="422">
        <v>0.26651883125305176</v>
      </c>
      <c r="H56" s="422">
        <v>0.43417537212371826</v>
      </c>
      <c r="I56" s="422">
        <v>0.20264269411563873</v>
      </c>
      <c r="J56" s="422">
        <v>0.26130279898643494</v>
      </c>
      <c r="K56" s="422">
        <v>0.1723911315202713</v>
      </c>
      <c r="L56" s="422">
        <v>0.19533370435237885</v>
      </c>
      <c r="M56" s="422">
        <v>0.38660275936126709</v>
      </c>
      <c r="N56" s="422">
        <v>0.40934967994689941</v>
      </c>
      <c r="O56" s="422">
        <v>0.47207099199295044</v>
      </c>
      <c r="P56" s="422">
        <v>0.36470335721969604</v>
      </c>
      <c r="Q56" s="422">
        <v>0.50389683246612549</v>
      </c>
      <c r="R56" s="422">
        <v>0.38238194584846497</v>
      </c>
      <c r="S56" s="422">
        <v>0.2701869010925293</v>
      </c>
      <c r="T56" s="422">
        <v>0.24202048778533936</v>
      </c>
      <c r="U56" s="422">
        <v>0.30583181977272034</v>
      </c>
      <c r="V56" s="422">
        <v>0.42874276638031006</v>
      </c>
      <c r="W56" s="422">
        <v>0.3682408332824707</v>
      </c>
      <c r="X56" s="422">
        <v>0.24517486989498138</v>
      </c>
      <c r="Y56" s="422">
        <v>0.40936082601547241</v>
      </c>
      <c r="Z56" s="422">
        <v>0.28662571310997009</v>
      </c>
      <c r="AA56" s="422">
        <v>0.24508363008499146</v>
      </c>
      <c r="AB56" s="422">
        <v>0.36351531744003296</v>
      </c>
      <c r="AC56" s="422">
        <v>0.26675727963447571</v>
      </c>
      <c r="AD56" s="422">
        <v>0.2006334513425827</v>
      </c>
      <c r="AE56" s="65">
        <f>'User Add-in Location'!B60</f>
        <v>0</v>
      </c>
      <c r="AF56" s="65">
        <f>'User Add-in Location'!C60</f>
        <v>0</v>
      </c>
      <c r="AG56" s="422">
        <v>0.25800000000000001</v>
      </c>
      <c r="AH56" s="422">
        <v>0.26400000000000001</v>
      </c>
      <c r="AI56" s="422">
        <v>0.27600000000000002</v>
      </c>
      <c r="AJ56" s="422">
        <v>0.47499999999999998</v>
      </c>
      <c r="AK56" s="422">
        <v>0.42</v>
      </c>
      <c r="AL56" s="422">
        <v>0.30599999999999999</v>
      </c>
      <c r="AM56" s="422">
        <v>0.27100000000000002</v>
      </c>
      <c r="AN56" s="422">
        <v>0.185</v>
      </c>
      <c r="AO56" s="422">
        <v>0.26800000000000002</v>
      </c>
      <c r="AP56" s="422">
        <v>0.158</v>
      </c>
      <c r="AQ56" s="422">
        <v>0.38700000000000001</v>
      </c>
      <c r="AR56" s="422">
        <v>0.217</v>
      </c>
      <c r="AS56" s="422">
        <v>0.30199999999999999</v>
      </c>
      <c r="AT56" s="422">
        <v>0.31</v>
      </c>
      <c r="AU56" s="422">
        <v>0.313</v>
      </c>
      <c r="AV56" s="422">
        <v>0.22800000000000001</v>
      </c>
      <c r="AW56" s="422">
        <v>0.20899999999999999</v>
      </c>
      <c r="AX56" s="422">
        <v>0.313</v>
      </c>
      <c r="AY56" s="422">
        <v>0.16</v>
      </c>
      <c r="AZ56" s="422">
        <v>0.23200000000000001</v>
      </c>
      <c r="BA56" s="422">
        <v>0.17699999999999999</v>
      </c>
      <c r="BB56" s="422">
        <v>0.46200000000000002</v>
      </c>
      <c r="BC56" s="422">
        <v>6.5000000000000002E-2</v>
      </c>
      <c r="BD56" s="422">
        <v>0.27100000000000002</v>
      </c>
      <c r="BE56" s="422">
        <v>0.19500000000000001</v>
      </c>
    </row>
    <row r="57" spans="3:57" ht="15" x14ac:dyDescent="0.2">
      <c r="C57" s="6" t="s">
        <v>114</v>
      </c>
      <c r="D57" s="424">
        <v>0.13383303582668304</v>
      </c>
      <c r="E57" s="422">
        <v>0.15009030699729919</v>
      </c>
      <c r="F57" s="422">
        <v>0.14707055687904358</v>
      </c>
      <c r="G57" s="422">
        <v>0.20257328450679779</v>
      </c>
      <c r="H57" s="422">
        <v>0.19753266870975494</v>
      </c>
      <c r="I57" s="422">
        <v>0.33065205812454224</v>
      </c>
      <c r="J57" s="422">
        <v>0.20116519927978516</v>
      </c>
      <c r="K57" s="422">
        <v>0.39228817820549011</v>
      </c>
      <c r="L57" s="422">
        <v>0.14347924292087555</v>
      </c>
      <c r="M57" s="422">
        <v>9.5506131649017334E-2</v>
      </c>
      <c r="N57" s="422">
        <v>0.22085162997245789</v>
      </c>
      <c r="O57" s="422">
        <v>0.14957243204116821</v>
      </c>
      <c r="P57" s="422">
        <v>0.1952044665813446</v>
      </c>
      <c r="Q57" s="422">
        <v>0.14429479837417603</v>
      </c>
      <c r="R57" s="422">
        <v>0.2131534218788147</v>
      </c>
      <c r="S57" s="422">
        <v>0.16391342878341675</v>
      </c>
      <c r="T57" s="422">
        <v>0.2662663459777832</v>
      </c>
      <c r="U57" s="422">
        <v>0.14395907521247864</v>
      </c>
      <c r="V57" s="422">
        <v>0.23087531328201294</v>
      </c>
      <c r="W57" s="422">
        <v>9.4611369073390961E-2</v>
      </c>
      <c r="X57" s="422">
        <v>0.12728747725486755</v>
      </c>
      <c r="Y57" s="422">
        <v>0.25049674510955811</v>
      </c>
      <c r="Z57" s="422">
        <v>0.20748674869537354</v>
      </c>
      <c r="AA57" s="422">
        <v>0.18858632445335388</v>
      </c>
      <c r="AB57" s="422">
        <v>0.2901008129119873</v>
      </c>
      <c r="AC57" s="422">
        <v>0.1536700427532196</v>
      </c>
      <c r="AD57" s="422">
        <v>0.2437688410282135</v>
      </c>
      <c r="AE57" s="65">
        <f>'User Add-in Location'!B61</f>
        <v>0</v>
      </c>
      <c r="AF57" s="65">
        <f>'User Add-in Location'!C61</f>
        <v>0</v>
      </c>
      <c r="AG57" s="422">
        <v>0.214</v>
      </c>
      <c r="AH57" s="422">
        <v>0.20499999999999999</v>
      </c>
      <c r="AI57" s="422">
        <v>0.14799999999999999</v>
      </c>
      <c r="AJ57" s="422">
        <v>0.36099999999999999</v>
      </c>
      <c r="AK57" s="422">
        <v>0.217</v>
      </c>
      <c r="AL57" s="422">
        <v>0.35799999999999998</v>
      </c>
      <c r="AM57" s="422">
        <v>0.09</v>
      </c>
      <c r="AN57" s="422">
        <v>0.28399999999999997</v>
      </c>
      <c r="AO57" s="422">
        <v>0.20799999999999999</v>
      </c>
      <c r="AP57" s="422">
        <v>0.34200000000000003</v>
      </c>
      <c r="AQ57" s="422">
        <v>0.155</v>
      </c>
      <c r="AR57" s="422">
        <v>0.215</v>
      </c>
      <c r="AS57" s="422">
        <v>0.19700000000000001</v>
      </c>
      <c r="AT57" s="422">
        <v>0.12</v>
      </c>
      <c r="AU57" s="422">
        <v>0.16</v>
      </c>
      <c r="AV57" s="422">
        <v>0.13700000000000001</v>
      </c>
      <c r="AW57" s="422">
        <v>0.29599999999999999</v>
      </c>
      <c r="AX57" s="422">
        <v>0.253</v>
      </c>
      <c r="AY57" s="422">
        <v>0.216</v>
      </c>
      <c r="AZ57" s="422">
        <v>0.13100000000000001</v>
      </c>
      <c r="BA57" s="422">
        <v>0.222</v>
      </c>
      <c r="BB57" s="422">
        <v>0.115</v>
      </c>
      <c r="BC57" s="422">
        <v>0.16700000000000001</v>
      </c>
      <c r="BD57" s="422">
        <v>0.17899999999999999</v>
      </c>
      <c r="BE57" s="422">
        <v>0.186</v>
      </c>
    </row>
    <row r="58" spans="3:57" ht="15" x14ac:dyDescent="0.2">
      <c r="C58" s="6" t="s">
        <v>45</v>
      </c>
      <c r="D58" s="424">
        <v>0.29887735843658447</v>
      </c>
      <c r="E58" s="422">
        <v>0.38731285929679871</v>
      </c>
      <c r="F58" s="422">
        <v>0.27832630276679993</v>
      </c>
      <c r="G58" s="422">
        <v>0.25795885920524597</v>
      </c>
      <c r="H58" s="422">
        <v>0.31438863277435303</v>
      </c>
      <c r="I58" s="422">
        <v>0.30604159832000732</v>
      </c>
      <c r="J58" s="422">
        <v>0.35746568441390991</v>
      </c>
      <c r="K58" s="422">
        <v>0.31822109222412109</v>
      </c>
      <c r="L58" s="422">
        <v>0.3712247908115387</v>
      </c>
      <c r="M58" s="422">
        <v>0.2458796352148056</v>
      </c>
      <c r="N58" s="422">
        <v>0.26645529270172119</v>
      </c>
      <c r="O58" s="422">
        <v>0.33890807628631592</v>
      </c>
      <c r="P58" s="422">
        <v>0.25086641311645508</v>
      </c>
      <c r="Q58" s="422">
        <v>0.31914177536964417</v>
      </c>
      <c r="R58" s="422">
        <v>0.30834564566612244</v>
      </c>
      <c r="S58" s="422">
        <v>0.31963843107223511</v>
      </c>
      <c r="T58" s="422">
        <v>0.30468523502349854</v>
      </c>
      <c r="U58" s="422">
        <v>0.27313140034675598</v>
      </c>
      <c r="V58" s="422">
        <v>0.33333873748779297</v>
      </c>
      <c r="W58" s="422">
        <v>0.25475150346755981</v>
      </c>
      <c r="X58" s="422">
        <v>0.36102104187011719</v>
      </c>
      <c r="Y58" s="422">
        <v>0.34734481573104858</v>
      </c>
      <c r="Z58" s="422">
        <v>0.28968995809555054</v>
      </c>
      <c r="AA58" s="422">
        <v>0.29822328686714172</v>
      </c>
      <c r="AB58" s="422">
        <v>0.26657211780548096</v>
      </c>
      <c r="AC58" s="422">
        <v>0.30688920617103577</v>
      </c>
      <c r="AD58" s="422">
        <v>0.26475456357002258</v>
      </c>
      <c r="AE58" s="65">
        <f>'User Add-in Location'!B62</f>
        <v>0</v>
      </c>
      <c r="AF58" s="65">
        <f>'User Add-in Location'!C62</f>
        <v>0</v>
      </c>
      <c r="AG58" s="422">
        <v>0.32500000000000001</v>
      </c>
      <c r="AH58" s="422">
        <v>0.31900000000000001</v>
      </c>
      <c r="AI58" s="422">
        <v>0.33600000000000002</v>
      </c>
      <c r="AJ58" s="422">
        <v>0.36</v>
      </c>
      <c r="AK58" s="422">
        <v>0.27200000000000002</v>
      </c>
      <c r="AL58" s="422">
        <v>0.33300000000000002</v>
      </c>
      <c r="AM58" s="422">
        <v>0.26200000000000001</v>
      </c>
      <c r="AN58" s="422">
        <v>0.376</v>
      </c>
      <c r="AO58" s="422">
        <v>0.30399999999999999</v>
      </c>
      <c r="AP58" s="422">
        <v>0.314</v>
      </c>
      <c r="AQ58" s="422">
        <v>0.31</v>
      </c>
      <c r="AR58" s="422">
        <v>0.33900000000000002</v>
      </c>
      <c r="AS58" s="422">
        <v>0.29399999999999998</v>
      </c>
      <c r="AT58" s="422">
        <v>0.25900000000000001</v>
      </c>
      <c r="AU58" s="422">
        <v>0.28899999999999998</v>
      </c>
      <c r="AV58" s="422">
        <v>0.33200000000000002</v>
      </c>
      <c r="AW58" s="422">
        <v>0.33900000000000002</v>
      </c>
      <c r="AX58" s="422">
        <v>0.311</v>
      </c>
      <c r="AY58" s="422">
        <v>0.30499999999999999</v>
      </c>
      <c r="AZ58" s="422">
        <v>0.28499999999999998</v>
      </c>
      <c r="BA58" s="422">
        <v>0.3</v>
      </c>
      <c r="BB58" s="422">
        <v>0.33300000000000002</v>
      </c>
      <c r="BC58" s="422">
        <v>0.311</v>
      </c>
      <c r="BD58" s="422">
        <v>0.307</v>
      </c>
      <c r="BE58" s="422">
        <v>0.30599999999999999</v>
      </c>
    </row>
    <row r="59" spans="3:57" ht="15" x14ac:dyDescent="0.2">
      <c r="C59" s="6" t="s">
        <v>115</v>
      </c>
      <c r="D59" s="424">
        <v>0.12141793966293335</v>
      </c>
      <c r="E59" s="422">
        <v>0.10937891900539398</v>
      </c>
      <c r="F59" s="422">
        <v>0.18053582310676575</v>
      </c>
      <c r="G59" s="422">
        <v>0.12119415402412415</v>
      </c>
      <c r="H59" s="422">
        <v>0.17018918693065643</v>
      </c>
      <c r="I59" s="422">
        <v>0.16759763658046722</v>
      </c>
      <c r="J59" s="422">
        <v>0.23083196580410004</v>
      </c>
      <c r="K59" s="422">
        <v>0.11795216798782349</v>
      </c>
      <c r="L59" s="422">
        <v>0.23142236471176147</v>
      </c>
      <c r="M59" s="422">
        <v>0.16458460688591003</v>
      </c>
      <c r="N59" s="422">
        <v>0.14315502345561981</v>
      </c>
      <c r="O59" s="422">
        <v>9.9472008645534515E-2</v>
      </c>
      <c r="P59" s="422">
        <v>0.11277534067630768</v>
      </c>
      <c r="Q59" s="422">
        <v>0.15231293439865112</v>
      </c>
      <c r="R59" s="422">
        <v>0.12832170724868774</v>
      </c>
      <c r="S59" s="422">
        <v>0.1415296196937561</v>
      </c>
      <c r="T59" s="422">
        <v>0.1311449408531189</v>
      </c>
      <c r="U59" s="422">
        <v>0.11370889842510223</v>
      </c>
      <c r="V59" s="422">
        <v>6.1380598694086075E-2</v>
      </c>
      <c r="W59" s="422">
        <v>0.15788930654525757</v>
      </c>
      <c r="X59" s="422">
        <v>0.18075554072856903</v>
      </c>
      <c r="Y59" s="422">
        <v>0.21350954473018646</v>
      </c>
      <c r="Z59" s="422">
        <v>0.14570987224578857</v>
      </c>
      <c r="AA59" s="422">
        <v>0.17007237672805786</v>
      </c>
      <c r="AB59" s="422">
        <v>0.10618958622217178</v>
      </c>
      <c r="AC59" s="422">
        <v>0.1353948712348938</v>
      </c>
      <c r="AD59" s="422">
        <v>6.1702501028776169E-2</v>
      </c>
      <c r="AE59" s="65">
        <f>'User Add-in Location'!B63</f>
        <v>0</v>
      </c>
      <c r="AF59" s="65">
        <f>'User Add-in Location'!C63</f>
        <v>0</v>
      </c>
      <c r="AG59" s="422">
        <v>0.121</v>
      </c>
      <c r="AH59" s="422">
        <v>0.18099999999999999</v>
      </c>
      <c r="AI59" s="422">
        <v>0.219</v>
      </c>
      <c r="AJ59" s="422">
        <v>0.17</v>
      </c>
      <c r="AK59" s="422">
        <v>8.8999999999999996E-2</v>
      </c>
      <c r="AL59" s="422">
        <v>0.17499999999999999</v>
      </c>
      <c r="AM59" s="422">
        <v>0.128</v>
      </c>
      <c r="AN59" s="422">
        <v>0.105</v>
      </c>
      <c r="AO59" s="422">
        <v>0.13900000000000001</v>
      </c>
      <c r="AP59" s="422">
        <v>0.13800000000000001</v>
      </c>
      <c r="AQ59" s="422">
        <v>0.16400000000000001</v>
      </c>
      <c r="AR59" s="422">
        <v>0.154</v>
      </c>
      <c r="AS59" s="422">
        <v>0.193</v>
      </c>
      <c r="AT59" s="422">
        <v>0.13500000000000001</v>
      </c>
      <c r="AU59" s="422">
        <v>0.14299999999999999</v>
      </c>
      <c r="AV59" s="422">
        <v>0.13700000000000001</v>
      </c>
      <c r="AW59" s="422">
        <v>9.8000000000000004E-2</v>
      </c>
      <c r="AX59" s="422">
        <v>0.14099999999999999</v>
      </c>
      <c r="AY59" s="422">
        <v>0.13</v>
      </c>
      <c r="AZ59" s="422">
        <v>0.155</v>
      </c>
      <c r="BA59" s="422">
        <v>0.14699999999999999</v>
      </c>
      <c r="BB59" s="422">
        <v>0.152</v>
      </c>
      <c r="BC59" s="422">
        <v>0.112</v>
      </c>
      <c r="BD59" s="422">
        <v>0.16800000000000001</v>
      </c>
      <c r="BE59" s="422">
        <v>5.1999999999999998E-2</v>
      </c>
    </row>
    <row r="60" spans="3:57" ht="15" x14ac:dyDescent="0.2">
      <c r="C60" s="6" t="s">
        <v>116</v>
      </c>
      <c r="D60" s="424">
        <v>0.22857089340686798</v>
      </c>
      <c r="E60" s="422">
        <v>0.26860252022743225</v>
      </c>
      <c r="F60" s="422">
        <v>0.25054216384887695</v>
      </c>
      <c r="G60" s="422">
        <v>0.22339411079883575</v>
      </c>
      <c r="H60" s="422">
        <v>0.26940628886222839</v>
      </c>
      <c r="I60" s="422">
        <v>0.23841705918312073</v>
      </c>
      <c r="J60" s="422">
        <v>0.30066516995429993</v>
      </c>
      <c r="K60" s="422">
        <v>0.27229538559913635</v>
      </c>
      <c r="L60" s="422">
        <v>0</v>
      </c>
      <c r="M60" s="422">
        <v>0.24520599842071533</v>
      </c>
      <c r="N60" s="422">
        <v>0.23155659437179565</v>
      </c>
      <c r="O60" s="422">
        <v>0.24878846108913422</v>
      </c>
      <c r="P60" s="422">
        <v>0.22860912978649139</v>
      </c>
      <c r="Q60" s="422">
        <v>0.28470349311828613</v>
      </c>
      <c r="R60" s="422">
        <v>0.23789939284324646</v>
      </c>
      <c r="S60" s="422">
        <v>0.24674992263317108</v>
      </c>
      <c r="T60" s="422">
        <v>0.23504690825939178</v>
      </c>
      <c r="U60" s="422">
        <v>0.26390531659126282</v>
      </c>
      <c r="V60" s="422">
        <v>0.26002040505409241</v>
      </c>
      <c r="W60" s="422">
        <v>0.23564253747463226</v>
      </c>
      <c r="X60" s="422">
        <v>0.2778027355670929</v>
      </c>
      <c r="Y60" s="422">
        <v>0.3058469295501709</v>
      </c>
      <c r="Z60" s="422">
        <v>0.2780953049659729</v>
      </c>
      <c r="AA60" s="422">
        <v>0.29868057370185852</v>
      </c>
      <c r="AB60" s="422">
        <v>0.23041102290153503</v>
      </c>
      <c r="AC60" s="422">
        <v>0.26329627633094788</v>
      </c>
      <c r="AD60" s="422">
        <v>0.24119752645492554</v>
      </c>
      <c r="AE60" s="65">
        <f>'User Add-in Location'!B64</f>
        <v>0</v>
      </c>
      <c r="AF60" s="65">
        <f>'User Add-in Location'!C64</f>
        <v>0</v>
      </c>
      <c r="AG60" s="422">
        <v>0.23899999999999999</v>
      </c>
      <c r="AH60" s="422">
        <v>0.246</v>
      </c>
      <c r="AI60" s="422">
        <v>0.27100000000000002</v>
      </c>
      <c r="AJ60" s="422">
        <v>0.314</v>
      </c>
      <c r="AK60" s="422">
        <v>0.19600000000000001</v>
      </c>
      <c r="AL60" s="422">
        <v>0.28299999999999997</v>
      </c>
      <c r="AM60" s="422">
        <v>0.22700000000000001</v>
      </c>
      <c r="AN60" s="422">
        <v>0.253</v>
      </c>
      <c r="AO60" s="422">
        <v>0.26800000000000002</v>
      </c>
      <c r="AP60" s="422">
        <v>0.26700000000000002</v>
      </c>
      <c r="AQ60" s="422">
        <v>0.26100000000000001</v>
      </c>
      <c r="AR60" s="422">
        <v>0.27400000000000002</v>
      </c>
      <c r="AS60" s="422">
        <v>0.26800000000000002</v>
      </c>
      <c r="AT60" s="422">
        <v>0.25700000000000001</v>
      </c>
      <c r="AU60" s="422">
        <v>0.21</v>
      </c>
      <c r="AV60" s="422">
        <v>0.28499999999999998</v>
      </c>
      <c r="AW60" s="422">
        <v>0.26700000000000002</v>
      </c>
      <c r="AX60" s="422">
        <v>0.26400000000000001</v>
      </c>
      <c r="AY60" s="422">
        <v>0.23899999999999999</v>
      </c>
      <c r="AZ60" s="422">
        <v>0.27200000000000002</v>
      </c>
      <c r="BA60" s="422">
        <v>0.28899999999999998</v>
      </c>
      <c r="BB60" s="422">
        <v>0.26</v>
      </c>
      <c r="BC60" s="422">
        <v>0.218</v>
      </c>
      <c r="BD60" s="422">
        <v>0.28100000000000003</v>
      </c>
      <c r="BE60" s="422">
        <v>0.217</v>
      </c>
    </row>
    <row r="61" spans="3:57" ht="15" x14ac:dyDescent="0.2">
      <c r="C61" s="6" t="s">
        <v>117</v>
      </c>
      <c r="D61" s="424">
        <v>0.1224844679236412</v>
      </c>
      <c r="E61" s="422">
        <v>0.1463325172662735</v>
      </c>
      <c r="F61" s="422">
        <v>0.1503881961107254</v>
      </c>
      <c r="G61" s="422">
        <v>0.13356387615203857</v>
      </c>
      <c r="H61" s="422">
        <v>0.19695518910884857</v>
      </c>
      <c r="I61" s="422">
        <v>0.13693612813949585</v>
      </c>
      <c r="J61" s="422">
        <v>0.22152166068553925</v>
      </c>
      <c r="K61" s="422">
        <v>0.23028689622879028</v>
      </c>
      <c r="L61" s="422">
        <v>0.23828785121440887</v>
      </c>
      <c r="M61" s="422">
        <v>0.15605390071868896</v>
      </c>
      <c r="N61" s="422">
        <v>0.14117145538330078</v>
      </c>
      <c r="O61" s="422">
        <v>0.11619918048381805</v>
      </c>
      <c r="P61" s="422">
        <v>0.11316985636949539</v>
      </c>
      <c r="Q61" s="422">
        <v>0.15898142755031586</v>
      </c>
      <c r="R61" s="422">
        <v>0.13374185562133789</v>
      </c>
      <c r="S61" s="422">
        <v>0.13246311247348785</v>
      </c>
      <c r="T61" s="422">
        <v>0.13206146657466888</v>
      </c>
      <c r="U61" s="422">
        <v>0.15609352290630341</v>
      </c>
      <c r="V61" s="422">
        <v>0.15743634104728699</v>
      </c>
      <c r="W61" s="422">
        <v>0.19218486547470093</v>
      </c>
      <c r="X61" s="422">
        <v>0.13344083726406097</v>
      </c>
      <c r="Y61" s="422">
        <v>0.25277942419052124</v>
      </c>
      <c r="Z61" s="422">
        <v>0.20460909605026245</v>
      </c>
      <c r="AA61" s="422">
        <v>0.17483216524124146</v>
      </c>
      <c r="AB61" s="422">
        <v>9.4050146639347076E-2</v>
      </c>
      <c r="AC61" s="422">
        <v>0.10728654265403748</v>
      </c>
      <c r="AD61" s="422">
        <v>8.3291441202163696E-2</v>
      </c>
      <c r="AE61" s="65">
        <f>'User Add-in Location'!B65</f>
        <v>0</v>
      </c>
      <c r="AF61" s="65">
        <f>'User Add-in Location'!C65</f>
        <v>0</v>
      </c>
      <c r="AG61" s="422">
        <v>0.111</v>
      </c>
      <c r="AH61" s="422">
        <v>0.16900000000000001</v>
      </c>
      <c r="AI61" s="422">
        <v>0.38100000000000001</v>
      </c>
      <c r="AJ61" s="422">
        <v>0.26200000000000001</v>
      </c>
      <c r="AK61" s="422">
        <v>0.11600000000000001</v>
      </c>
      <c r="AL61" s="422">
        <v>0.193</v>
      </c>
      <c r="AM61" s="422">
        <v>0.157</v>
      </c>
      <c r="AN61" s="422">
        <v>0.114</v>
      </c>
      <c r="AO61" s="422">
        <v>0.19400000000000001</v>
      </c>
      <c r="AP61" s="422">
        <v>0.19400000000000001</v>
      </c>
      <c r="AQ61" s="422">
        <v>0.17599999999999999</v>
      </c>
      <c r="AR61" s="422">
        <v>0.188</v>
      </c>
      <c r="AS61" s="422">
        <v>0.23799999999999999</v>
      </c>
      <c r="AT61" s="422">
        <v>0.185</v>
      </c>
      <c r="AU61" s="422">
        <v>0.114</v>
      </c>
      <c r="AV61" s="422">
        <v>0.14199999999999999</v>
      </c>
      <c r="AW61" s="422">
        <v>0.17599999999999999</v>
      </c>
      <c r="AX61" s="422">
        <v>0.161</v>
      </c>
      <c r="AY61" s="422">
        <v>0.13600000000000001</v>
      </c>
      <c r="AZ61" s="422">
        <v>0.27500000000000002</v>
      </c>
      <c r="BA61" s="422">
        <v>0.193</v>
      </c>
      <c r="BB61" s="422">
        <v>0.19400000000000001</v>
      </c>
      <c r="BC61" s="422">
        <v>0.23</v>
      </c>
      <c r="BD61" s="422">
        <v>0.14199999999999999</v>
      </c>
      <c r="BE61" s="422">
        <v>0.113</v>
      </c>
    </row>
    <row r="62" spans="3:57" ht="15" x14ac:dyDescent="0.2">
      <c r="C62" s="6" t="s">
        <v>118</v>
      </c>
      <c r="D62" s="424">
        <v>0.22420395910739899</v>
      </c>
      <c r="E62" s="422">
        <v>0</v>
      </c>
      <c r="F62" s="422">
        <v>0.17434805631637573</v>
      </c>
      <c r="G62" s="422">
        <v>0.18022027611732483</v>
      </c>
      <c r="H62" s="422">
        <v>0.21880748867988586</v>
      </c>
      <c r="I62" s="422">
        <v>0.14553667604923248</v>
      </c>
      <c r="J62" s="422">
        <v>0.21224196255207062</v>
      </c>
      <c r="K62" s="422">
        <v>0.26271429657936096</v>
      </c>
      <c r="L62" s="422">
        <v>0.14159795641899109</v>
      </c>
      <c r="M62" s="422">
        <v>0.16420318186283112</v>
      </c>
      <c r="N62" s="422">
        <v>0.14199367165565491</v>
      </c>
      <c r="O62" s="422">
        <v>7.1117490530014038E-2</v>
      </c>
      <c r="P62" s="422">
        <v>0.18280212581157684</v>
      </c>
      <c r="Q62" s="422">
        <v>0.2226409912109375</v>
      </c>
      <c r="R62" s="422">
        <v>0.21950729191303253</v>
      </c>
      <c r="S62" s="422">
        <v>0.18800307810306549</v>
      </c>
      <c r="T62" s="422">
        <v>0.20522738993167877</v>
      </c>
      <c r="U62" s="422">
        <v>0.21593540906906128</v>
      </c>
      <c r="V62" s="422">
        <v>0.22374297678470612</v>
      </c>
      <c r="W62" s="422">
        <v>0.13140697777271271</v>
      </c>
      <c r="X62" s="422">
        <v>0.19986888766288757</v>
      </c>
      <c r="Y62" s="422">
        <v>0.18131053447723389</v>
      </c>
      <c r="Z62" s="422">
        <v>0.22550582885742188</v>
      </c>
      <c r="AA62" s="422">
        <v>0.17253698408603668</v>
      </c>
      <c r="AB62" s="422">
        <v>0.13318224251270294</v>
      </c>
      <c r="AC62" s="422">
        <v>0.20079287886619568</v>
      </c>
      <c r="AD62" s="422">
        <v>8.4557108581066132E-2</v>
      </c>
      <c r="AE62" s="65">
        <f>'User Add-in Location'!B66</f>
        <v>0</v>
      </c>
      <c r="AF62" s="65">
        <f>'User Add-in Location'!C66</f>
        <v>0</v>
      </c>
      <c r="AG62" s="422">
        <v>0.23499999999999999</v>
      </c>
      <c r="AH62" s="422">
        <v>0.21199999999999999</v>
      </c>
      <c r="AI62" s="422">
        <v>0.22600000000000001</v>
      </c>
      <c r="AJ62" s="422">
        <v>0.21299999999999999</v>
      </c>
      <c r="AK62" s="422">
        <v>0.13400000000000001</v>
      </c>
      <c r="AL62" s="422">
        <v>0.17699999999999999</v>
      </c>
      <c r="AM62" s="422">
        <v>0.129</v>
      </c>
      <c r="AN62" s="422">
        <v>0.17499999999999999</v>
      </c>
      <c r="AO62" s="422">
        <v>0.18</v>
      </c>
      <c r="AP62" s="422">
        <v>0.21299999999999999</v>
      </c>
      <c r="AQ62" s="422">
        <v>9.5000000000000001E-2</v>
      </c>
      <c r="AR62" s="422">
        <v>0.19800000000000001</v>
      </c>
      <c r="AS62" s="422">
        <v>0.111</v>
      </c>
      <c r="AT62" s="422">
        <v>0.255</v>
      </c>
      <c r="AU62" s="422">
        <v>0.155</v>
      </c>
      <c r="AV62" s="422">
        <v>0.21099999999999999</v>
      </c>
      <c r="AW62" s="422">
        <v>0.17</v>
      </c>
      <c r="AX62" s="422">
        <v>0.16900000000000001</v>
      </c>
      <c r="AY62" s="422">
        <v>0.13100000000000001</v>
      </c>
      <c r="AZ62" s="422">
        <v>0.156</v>
      </c>
      <c r="BA62" s="422">
        <v>0.16800000000000001</v>
      </c>
      <c r="BB62" s="422">
        <v>0.13900000000000001</v>
      </c>
      <c r="BC62" s="422">
        <v>0.12</v>
      </c>
      <c r="BD62" s="422">
        <v>0.22</v>
      </c>
      <c r="BE62" s="422">
        <v>0.14399999999999999</v>
      </c>
    </row>
    <row r="63" spans="3:57" ht="15" x14ac:dyDescent="0.2">
      <c r="C63" s="6" t="s">
        <v>119</v>
      </c>
      <c r="D63" s="424">
        <v>0.1874801367521286</v>
      </c>
      <c r="E63" s="422">
        <v>0.14063429832458496</v>
      </c>
      <c r="F63" s="422">
        <v>0.19784347712993622</v>
      </c>
      <c r="G63" s="422">
        <v>0.22897033393383026</v>
      </c>
      <c r="H63" s="422">
        <v>0.26693859696388245</v>
      </c>
      <c r="I63" s="422">
        <v>0.24854268133640289</v>
      </c>
      <c r="J63" s="422">
        <v>0.23382778465747833</v>
      </c>
      <c r="K63" s="422">
        <v>0.22597356140613556</v>
      </c>
      <c r="L63" s="422">
        <v>0.40799301862716675</v>
      </c>
      <c r="M63" s="422">
        <v>0.18348942697048187</v>
      </c>
      <c r="N63" s="422">
        <v>0.21699698269367218</v>
      </c>
      <c r="O63" s="422">
        <v>0.176984503865242</v>
      </c>
      <c r="P63" s="422">
        <v>0.21687650680541992</v>
      </c>
      <c r="Q63" s="422">
        <v>0.26058167219161987</v>
      </c>
      <c r="R63" s="422">
        <v>0.21917217969894409</v>
      </c>
      <c r="S63" s="422">
        <v>0.21783080697059631</v>
      </c>
      <c r="T63" s="422">
        <v>0.21201843023300171</v>
      </c>
      <c r="U63" s="422">
        <v>0.2018236368894577</v>
      </c>
      <c r="V63" s="422">
        <v>0.20148399472236633</v>
      </c>
      <c r="W63" s="422">
        <v>0.20032788813114166</v>
      </c>
      <c r="X63" s="422">
        <v>0.20874010026454926</v>
      </c>
      <c r="Y63" s="422">
        <v>0.24061532318592072</v>
      </c>
      <c r="Z63" s="422">
        <v>0.21784885227680206</v>
      </c>
      <c r="AA63" s="422">
        <v>0.21906717121601105</v>
      </c>
      <c r="AB63" s="422">
        <v>0.18341492116451263</v>
      </c>
      <c r="AC63" s="422">
        <v>0.21896794438362122</v>
      </c>
      <c r="AD63" s="422">
        <v>0.21107512712478638</v>
      </c>
      <c r="AE63" s="65">
        <f>'User Add-in Location'!B67</f>
        <v>0</v>
      </c>
      <c r="AF63" s="65">
        <f>'User Add-in Location'!C67</f>
        <v>0</v>
      </c>
      <c r="AG63" s="422">
        <v>0.27900000000000003</v>
      </c>
      <c r="AH63" s="422">
        <v>0</v>
      </c>
      <c r="AI63" s="422">
        <v>0.20499999999999999</v>
      </c>
      <c r="AJ63" s="422">
        <v>0.26300000000000001</v>
      </c>
      <c r="AK63" s="422">
        <v>0.19700000000000001</v>
      </c>
      <c r="AL63" s="422">
        <v>0.26200000000000001</v>
      </c>
      <c r="AM63" s="422">
        <v>0.20499999999999999</v>
      </c>
      <c r="AN63" s="422">
        <v>0.25900000000000001</v>
      </c>
      <c r="AO63" s="422">
        <v>0.216</v>
      </c>
      <c r="AP63" s="422">
        <v>0.27700000000000002</v>
      </c>
      <c r="AQ63" s="422">
        <v>0.21</v>
      </c>
      <c r="AR63" s="422">
        <v>0.27100000000000002</v>
      </c>
      <c r="AS63" s="422">
        <v>0.217</v>
      </c>
      <c r="AT63" s="422">
        <v>0.17699999999999999</v>
      </c>
      <c r="AU63" s="422">
        <v>0.20799999999999999</v>
      </c>
      <c r="AV63" s="422">
        <v>0.23</v>
      </c>
      <c r="AW63" s="422">
        <v>0.28000000000000003</v>
      </c>
      <c r="AX63" s="422">
        <v>0.23599999999999999</v>
      </c>
      <c r="AY63" s="422">
        <v>0.255</v>
      </c>
      <c r="AZ63" s="422">
        <v>0.214</v>
      </c>
      <c r="BA63" s="422">
        <v>0.23799999999999999</v>
      </c>
      <c r="BB63" s="422">
        <v>0.22900000000000001</v>
      </c>
      <c r="BC63" s="422">
        <v>0.215</v>
      </c>
      <c r="BD63" s="422">
        <v>0.23</v>
      </c>
      <c r="BE63" s="422">
        <v>0.20599999999999999</v>
      </c>
    </row>
    <row r="64" spans="3:57" ht="15" x14ac:dyDescent="0.2">
      <c r="C64" s="6" t="s">
        <v>46</v>
      </c>
      <c r="D64" s="424">
        <v>0.3224702775478363</v>
      </c>
      <c r="E64" s="422">
        <v>0.26406127214431763</v>
      </c>
      <c r="F64" s="422">
        <v>0.34569883346557617</v>
      </c>
      <c r="G64" s="422">
        <v>0.2906990647315979</v>
      </c>
      <c r="H64" s="422">
        <v>0.33129799365997314</v>
      </c>
      <c r="I64" s="422">
        <v>0.38002398610115051</v>
      </c>
      <c r="J64" s="422">
        <v>0.36164253950119019</v>
      </c>
      <c r="K64" s="422">
        <v>0.37827348709106445</v>
      </c>
      <c r="L64" s="422">
        <v>0.45635443925857544</v>
      </c>
      <c r="M64" s="422">
        <v>0.32845714688301086</v>
      </c>
      <c r="N64" s="422">
        <v>0.34146007895469666</v>
      </c>
      <c r="O64" s="422">
        <v>0.30526614189147949</v>
      </c>
      <c r="P64" s="422">
        <v>0.31574463844299316</v>
      </c>
      <c r="Q64" s="422">
        <v>0.36682388186454773</v>
      </c>
      <c r="R64" s="422">
        <v>0.32941713929176331</v>
      </c>
      <c r="S64" s="422">
        <v>0.34679678082466125</v>
      </c>
      <c r="T64" s="422">
        <v>0.33372014760971069</v>
      </c>
      <c r="U64" s="422">
        <v>0.29570505023002625</v>
      </c>
      <c r="V64" s="422">
        <v>0.3241221010684967</v>
      </c>
      <c r="W64" s="422">
        <v>0.31389516592025757</v>
      </c>
      <c r="X64" s="422">
        <v>0.35238823294639587</v>
      </c>
      <c r="Y64" s="422">
        <v>0.41025626659393311</v>
      </c>
      <c r="Z64" s="422">
        <v>0.34875506162643433</v>
      </c>
      <c r="AA64" s="422">
        <v>0.39022019505500793</v>
      </c>
      <c r="AB64" s="422">
        <v>0.2890285849571228</v>
      </c>
      <c r="AC64" s="422">
        <v>0.34349259734153748</v>
      </c>
      <c r="AD64" s="422">
        <v>0.31589311361312866</v>
      </c>
      <c r="AE64" s="65">
        <f>'User Add-in Location'!B68</f>
        <v>0</v>
      </c>
      <c r="AF64" s="65">
        <f>'User Add-in Location'!C68</f>
        <v>0</v>
      </c>
      <c r="AG64" s="422">
        <v>0.32800000000000001</v>
      </c>
      <c r="AH64" s="422">
        <v>0.33900000000000002</v>
      </c>
      <c r="AI64" s="422">
        <v>0.40899999999999997</v>
      </c>
      <c r="AJ64" s="422">
        <v>0.373</v>
      </c>
      <c r="AK64" s="422">
        <v>0.27700000000000002</v>
      </c>
      <c r="AL64" s="422">
        <v>0.35599999999999998</v>
      </c>
      <c r="AM64" s="422">
        <v>0.34100000000000003</v>
      </c>
      <c r="AN64" s="422">
        <v>0.34899999999999998</v>
      </c>
      <c r="AO64" s="422">
        <v>0.33900000000000002</v>
      </c>
      <c r="AP64" s="422">
        <v>0.307</v>
      </c>
      <c r="AQ64" s="422">
        <v>0.34499999999999997</v>
      </c>
      <c r="AR64" s="422">
        <v>0.35899999999999999</v>
      </c>
      <c r="AS64" s="422">
        <v>0.35199999999999998</v>
      </c>
      <c r="AT64" s="422">
        <v>0.308</v>
      </c>
      <c r="AU64" s="422">
        <v>0.32500000000000001</v>
      </c>
      <c r="AV64" s="422">
        <v>0.32700000000000001</v>
      </c>
      <c r="AW64" s="422">
        <v>0.35499999999999998</v>
      </c>
      <c r="AX64" s="422">
        <v>0.34599999999999997</v>
      </c>
      <c r="AY64" s="422">
        <v>0.33800000000000002</v>
      </c>
      <c r="AZ64" s="422">
        <v>0.314</v>
      </c>
      <c r="BA64" s="422">
        <v>0.35899999999999999</v>
      </c>
      <c r="BB64" s="422">
        <v>0.33900000000000002</v>
      </c>
      <c r="BC64" s="422">
        <v>0.3</v>
      </c>
      <c r="BD64" s="422">
        <v>0.34499999999999997</v>
      </c>
      <c r="BE64" s="422">
        <v>0.315</v>
      </c>
    </row>
    <row r="65" spans="3:57" ht="15" x14ac:dyDescent="0.2">
      <c r="C65" s="6" t="s">
        <v>47</v>
      </c>
      <c r="D65" s="424">
        <v>0.37944304943084717</v>
      </c>
      <c r="E65" s="422">
        <v>0.46526563167572021</v>
      </c>
      <c r="F65" s="422">
        <v>0.40752050280570984</v>
      </c>
      <c r="G65" s="422">
        <v>0.39769983291625977</v>
      </c>
      <c r="H65" s="422">
        <v>0.41805332899093628</v>
      </c>
      <c r="I65" s="422">
        <v>0.41608908772468567</v>
      </c>
      <c r="J65" s="422">
        <v>0.46118521690368652</v>
      </c>
      <c r="K65" s="422">
        <v>0.4470197856426239</v>
      </c>
      <c r="L65" s="422">
        <v>0.45631298422813416</v>
      </c>
      <c r="M65" s="422">
        <v>0.40913689136505127</v>
      </c>
      <c r="N65" s="422">
        <v>0.40394529700279236</v>
      </c>
      <c r="O65" s="422">
        <v>0.38391238451004028</v>
      </c>
      <c r="P65" s="422">
        <v>0.41140064597129822</v>
      </c>
      <c r="Q65" s="422">
        <v>0.41250461339950562</v>
      </c>
      <c r="R65" s="422">
        <v>0.38771769404411316</v>
      </c>
      <c r="S65" s="422">
        <v>0.40387466549873352</v>
      </c>
      <c r="T65" s="422">
        <v>0.37072217464447021</v>
      </c>
      <c r="U65" s="422">
        <v>0.42007178068161011</v>
      </c>
      <c r="V65" s="422">
        <v>0.39543461799621582</v>
      </c>
      <c r="W65" s="422">
        <v>0.39584654569625854</v>
      </c>
      <c r="X65" s="422">
        <v>0.42065641283988953</v>
      </c>
      <c r="Y65" s="422">
        <v>0.47962033748626709</v>
      </c>
      <c r="Z65" s="422">
        <v>0.38560748100280762</v>
      </c>
      <c r="AA65" s="422">
        <v>0.39991405606269836</v>
      </c>
      <c r="AB65" s="422">
        <v>0.38243976235389709</v>
      </c>
      <c r="AC65" s="422">
        <v>0.40752106904983521</v>
      </c>
      <c r="AD65" s="422">
        <v>0.46421024203300476</v>
      </c>
      <c r="AE65" s="65">
        <f>'User Add-in Location'!B69</f>
        <v>0</v>
      </c>
      <c r="AF65" s="65">
        <f>'User Add-in Location'!C69</f>
        <v>0</v>
      </c>
      <c r="AG65" s="422">
        <v>0.38</v>
      </c>
      <c r="AH65" s="422">
        <v>0.23899999999999999</v>
      </c>
      <c r="AI65" s="422">
        <v>0.497</v>
      </c>
      <c r="AJ65" s="422">
        <v>0.46</v>
      </c>
      <c r="AK65" s="422">
        <v>0.40600000000000003</v>
      </c>
      <c r="AL65" s="422">
        <v>0.44900000000000001</v>
      </c>
      <c r="AM65" s="422">
        <v>0.42599999999999999</v>
      </c>
      <c r="AN65" s="422">
        <v>0.41699999999999998</v>
      </c>
      <c r="AO65" s="422">
        <v>0.39500000000000002</v>
      </c>
      <c r="AP65" s="422">
        <v>0.43099999999999999</v>
      </c>
      <c r="AQ65" s="422">
        <v>0.46400000000000002</v>
      </c>
      <c r="AR65" s="422">
        <v>0.434</v>
      </c>
      <c r="AS65" s="422">
        <v>0.443</v>
      </c>
      <c r="AT65" s="422">
        <v>0.39100000000000001</v>
      </c>
      <c r="AU65" s="422">
        <v>0.4</v>
      </c>
      <c r="AV65" s="422">
        <v>0.42899999999999999</v>
      </c>
      <c r="AW65" s="422">
        <v>0.40699999999999997</v>
      </c>
      <c r="AX65" s="422">
        <v>0.41599999999999998</v>
      </c>
      <c r="AY65" s="422">
        <v>0.42199999999999999</v>
      </c>
      <c r="AZ65" s="422">
        <v>0.434</v>
      </c>
      <c r="BA65" s="422">
        <v>0.39700000000000002</v>
      </c>
      <c r="BB65" s="422">
        <v>0.40400000000000003</v>
      </c>
      <c r="BC65" s="422">
        <v>0.39200000000000002</v>
      </c>
      <c r="BD65" s="422">
        <v>0.38900000000000001</v>
      </c>
      <c r="BE65" s="422">
        <v>0.4</v>
      </c>
    </row>
    <row r="66" spans="3:57" ht="15" x14ac:dyDescent="0.2">
      <c r="C66" s="6" t="s">
        <v>120</v>
      </c>
      <c r="D66" s="424">
        <v>0.2322181910276413</v>
      </c>
      <c r="E66" s="422">
        <v>0.22575655579566956</v>
      </c>
      <c r="F66" s="422">
        <v>0.23608078062534332</v>
      </c>
      <c r="G66" s="422">
        <v>0.19704622030258179</v>
      </c>
      <c r="H66" s="422">
        <v>0.24990385770797729</v>
      </c>
      <c r="I66" s="422">
        <v>0.22576451301574707</v>
      </c>
      <c r="J66" s="422">
        <v>0.32256314158439636</v>
      </c>
      <c r="K66" s="422">
        <v>0.21032735705375671</v>
      </c>
      <c r="L66" s="422">
        <v>0.30168464779853821</v>
      </c>
      <c r="M66" s="422">
        <v>0.21979019045829773</v>
      </c>
      <c r="N66" s="422">
        <v>0.22719098627567291</v>
      </c>
      <c r="O66" s="422">
        <v>0.20921501517295837</v>
      </c>
      <c r="P66" s="422">
        <v>0.17657671868801117</v>
      </c>
      <c r="Q66" s="422">
        <v>0.25487881898880005</v>
      </c>
      <c r="R66" s="422">
        <v>0.20100900530815125</v>
      </c>
      <c r="S66" s="422">
        <v>0.23126329481601715</v>
      </c>
      <c r="T66" s="422">
        <v>0.22884531319141388</v>
      </c>
      <c r="U66" s="422">
        <v>0.23255693912506104</v>
      </c>
      <c r="V66" s="422">
        <v>0.21932804584503174</v>
      </c>
      <c r="W66" s="422">
        <v>0.2095508873462677</v>
      </c>
      <c r="X66" s="422">
        <v>0.22995549440383911</v>
      </c>
      <c r="Y66" s="422">
        <v>0.33427801728248596</v>
      </c>
      <c r="Z66" s="422">
        <v>0.2235332727432251</v>
      </c>
      <c r="AA66" s="422">
        <v>0.29283174872398376</v>
      </c>
      <c r="AB66" s="422">
        <v>0.20007571578025818</v>
      </c>
      <c r="AC66" s="422">
        <v>0.22566471993923187</v>
      </c>
      <c r="AD66" s="422">
        <v>0.19251000881195068</v>
      </c>
      <c r="AE66" s="65">
        <f>'User Add-in Location'!B70</f>
        <v>0</v>
      </c>
      <c r="AF66" s="65">
        <f>'User Add-in Location'!C70</f>
        <v>0</v>
      </c>
      <c r="AG66" s="422">
        <v>0.219</v>
      </c>
      <c r="AH66" s="422">
        <v>0</v>
      </c>
      <c r="AI66" s="422">
        <v>0.255</v>
      </c>
      <c r="AJ66" s="422">
        <v>0.254</v>
      </c>
      <c r="AK66" s="422">
        <v>0.16</v>
      </c>
      <c r="AL66" s="422">
        <v>0.35499999999999998</v>
      </c>
      <c r="AM66" s="422">
        <v>0.29099999999999998</v>
      </c>
      <c r="AN66" s="422">
        <v>0.23899999999999999</v>
      </c>
      <c r="AO66" s="422">
        <v>0.222</v>
      </c>
      <c r="AP66" s="422">
        <v>0.218</v>
      </c>
      <c r="AQ66" s="422">
        <v>0.193</v>
      </c>
      <c r="AR66" s="422">
        <v>0.254</v>
      </c>
      <c r="AS66" s="422">
        <v>0.26800000000000002</v>
      </c>
      <c r="AT66" s="422">
        <v>0.25600000000000001</v>
      </c>
      <c r="AU66" s="422">
        <v>0.219</v>
      </c>
      <c r="AV66" s="422">
        <v>0.25700000000000001</v>
      </c>
      <c r="AW66" s="422">
        <v>0.25900000000000001</v>
      </c>
      <c r="AX66" s="422">
        <v>0.25700000000000001</v>
      </c>
      <c r="AY66" s="422">
        <v>0.184</v>
      </c>
      <c r="AZ66" s="422">
        <v>0.21299999999999999</v>
      </c>
      <c r="BA66" s="422">
        <v>0.22700000000000001</v>
      </c>
      <c r="BB66" s="422">
        <v>0.20899999999999999</v>
      </c>
      <c r="BC66" s="422">
        <v>0.20499999999999999</v>
      </c>
      <c r="BD66" s="422">
        <v>0.21</v>
      </c>
      <c r="BE66" s="422">
        <v>0.18</v>
      </c>
    </row>
    <row r="67" spans="3:57" ht="15" x14ac:dyDescent="0.2">
      <c r="C67" s="6" t="s">
        <v>121</v>
      </c>
      <c r="D67" s="424">
        <v>0.48457735776901245</v>
      </c>
      <c r="E67" s="422">
        <v>0.53140950202941895</v>
      </c>
      <c r="F67" s="422">
        <v>0.50042271614074707</v>
      </c>
      <c r="G67" s="422">
        <v>0.44019806385040283</v>
      </c>
      <c r="H67" s="422">
        <v>0.54672825336456299</v>
      </c>
      <c r="I67" s="422">
        <v>0.52916699647903442</v>
      </c>
      <c r="J67" s="422">
        <v>0.5375397801399231</v>
      </c>
      <c r="K67" s="422">
        <v>0.52072644233703613</v>
      </c>
      <c r="L67" s="422">
        <v>0.59385061264038086</v>
      </c>
      <c r="M67" s="422">
        <v>0.50060200691223145</v>
      </c>
      <c r="N67" s="422">
        <v>0.52079415321350098</v>
      </c>
      <c r="O67" s="422">
        <v>0.46675455570220947</v>
      </c>
      <c r="P67" s="422">
        <v>0.42362824082374573</v>
      </c>
      <c r="Q67" s="422">
        <v>0.55443489551544189</v>
      </c>
      <c r="R67" s="422">
        <v>0.40206480026245117</v>
      </c>
      <c r="S67" s="422">
        <v>0.4488164484500885</v>
      </c>
      <c r="T67" s="422">
        <v>0.47570061683654785</v>
      </c>
      <c r="U67" s="422">
        <v>0.46718162298202515</v>
      </c>
      <c r="V67" s="422">
        <v>0.51445901393890381</v>
      </c>
      <c r="W67" s="422">
        <v>0.44743168354034424</v>
      </c>
      <c r="X67" s="422">
        <v>0.51174962520599365</v>
      </c>
      <c r="Y67" s="422">
        <v>0.54390037059783936</v>
      </c>
      <c r="Z67" s="422">
        <v>0.51481425762176514</v>
      </c>
      <c r="AA67" s="422">
        <v>0.51240211725234985</v>
      </c>
      <c r="AB67" s="422">
        <v>0.42664092779159546</v>
      </c>
      <c r="AC67" s="422">
        <v>0.48356983065605164</v>
      </c>
      <c r="AD67" s="422">
        <v>0.45594486594200134</v>
      </c>
      <c r="AE67" s="65">
        <f>'User Add-in Location'!B71</f>
        <v>0</v>
      </c>
      <c r="AF67" s="65">
        <f>'User Add-in Location'!C71</f>
        <v>0</v>
      </c>
      <c r="AG67" s="422">
        <v>0.443</v>
      </c>
      <c r="AH67" s="422">
        <v>0.52800000000000002</v>
      </c>
      <c r="AI67" s="422">
        <v>0.49099999999999999</v>
      </c>
      <c r="AJ67" s="422">
        <v>0.55700000000000005</v>
      </c>
      <c r="AK67" s="422">
        <v>0.42699999999999999</v>
      </c>
      <c r="AL67" s="422">
        <v>0.55400000000000005</v>
      </c>
      <c r="AM67" s="422">
        <v>0.44600000000000001</v>
      </c>
      <c r="AN67" s="422">
        <v>0.50600000000000001</v>
      </c>
      <c r="AO67" s="422">
        <v>0.48899999999999999</v>
      </c>
      <c r="AP67" s="422">
        <v>0.47799999999999998</v>
      </c>
      <c r="AQ67" s="422">
        <v>0.42299999999999999</v>
      </c>
      <c r="AR67" s="422">
        <v>0.51</v>
      </c>
      <c r="AS67" s="422">
        <v>0.47099999999999997</v>
      </c>
      <c r="AT67" s="422">
        <v>0.47599999999999998</v>
      </c>
      <c r="AU67" s="422">
        <v>0.40899999999999997</v>
      </c>
      <c r="AV67" s="422">
        <v>0.505</v>
      </c>
      <c r="AW67" s="422">
        <v>0.54800000000000004</v>
      </c>
      <c r="AX67" s="422">
        <v>0.52100000000000002</v>
      </c>
      <c r="AY67" s="422">
        <v>0.46800000000000003</v>
      </c>
      <c r="AZ67" s="422">
        <v>0.44800000000000001</v>
      </c>
      <c r="BA67" s="422">
        <v>0.56399999999999995</v>
      </c>
      <c r="BB67" s="422">
        <v>0.48499999999999999</v>
      </c>
      <c r="BC67" s="422">
        <v>0.44500000000000001</v>
      </c>
      <c r="BD67" s="422">
        <v>0.46300000000000002</v>
      </c>
      <c r="BE67" s="422">
        <v>0.46800000000000003</v>
      </c>
    </row>
    <row r="68" spans="3:57" ht="15" x14ac:dyDescent="0.2">
      <c r="C68" s="6" t="s">
        <v>122</v>
      </c>
      <c r="D68" s="424">
        <v>0.34884911775588989</v>
      </c>
      <c r="E68" s="422">
        <v>0.37580659985542297</v>
      </c>
      <c r="F68" s="422">
        <v>0.36924928426742554</v>
      </c>
      <c r="G68" s="422">
        <v>0.3238660991191864</v>
      </c>
      <c r="H68" s="422">
        <v>0.39246702194213867</v>
      </c>
      <c r="I68" s="422">
        <v>0.37408500909805298</v>
      </c>
      <c r="J68" s="422">
        <v>0.41532045602798462</v>
      </c>
      <c r="K68" s="422">
        <v>0.42001637816429138</v>
      </c>
      <c r="L68" s="422">
        <v>0.51547634601593018</v>
      </c>
      <c r="M68" s="422">
        <v>0.36311072111129761</v>
      </c>
      <c r="N68" s="422">
        <v>0.34852632880210876</v>
      </c>
      <c r="O68" s="422">
        <v>0.3729102611541748</v>
      </c>
      <c r="P68" s="422">
        <v>0.34283560514450073</v>
      </c>
      <c r="Q68" s="422">
        <v>0.39119225740432739</v>
      </c>
      <c r="R68" s="422">
        <v>0.36346358060836792</v>
      </c>
      <c r="S68" s="422">
        <v>0.34891137480735779</v>
      </c>
      <c r="T68" s="422">
        <v>0.34938055276870728</v>
      </c>
      <c r="U68" s="422">
        <v>0.3651278018951416</v>
      </c>
      <c r="V68" s="422">
        <v>0.35610795021057129</v>
      </c>
      <c r="W68" s="422">
        <v>0.36709079146385193</v>
      </c>
      <c r="X68" s="422">
        <v>0.38978970050811768</v>
      </c>
      <c r="Y68" s="422">
        <v>0.44276914000511169</v>
      </c>
      <c r="Z68" s="422">
        <v>0.37963777780532837</v>
      </c>
      <c r="AA68" s="422">
        <v>0.39642995595932007</v>
      </c>
      <c r="AB68" s="422">
        <v>0.31934157013893127</v>
      </c>
      <c r="AC68" s="422">
        <v>0.36273297667503357</v>
      </c>
      <c r="AD68" s="422">
        <v>0.34770816564559937</v>
      </c>
      <c r="AE68" s="65">
        <f>'User Add-in Location'!B72</f>
        <v>0</v>
      </c>
      <c r="AF68" s="65">
        <f>'User Add-in Location'!C72</f>
        <v>0</v>
      </c>
      <c r="AG68" s="422">
        <v>0.36399999999999999</v>
      </c>
      <c r="AH68" s="422">
        <v>0.371</v>
      </c>
      <c r="AI68" s="422">
        <v>0.40899999999999997</v>
      </c>
      <c r="AJ68" s="422">
        <v>0.42199999999999999</v>
      </c>
      <c r="AK68" s="422">
        <v>0.30399999999999999</v>
      </c>
      <c r="AL68" s="422">
        <v>0.41599999999999998</v>
      </c>
      <c r="AM68" s="422">
        <v>0.36299999999999999</v>
      </c>
      <c r="AN68" s="422">
        <v>0.36199999999999999</v>
      </c>
      <c r="AO68" s="422">
        <v>0.38600000000000001</v>
      </c>
      <c r="AP68" s="422">
        <v>0.34300000000000003</v>
      </c>
      <c r="AQ68" s="422">
        <v>0.38600000000000001</v>
      </c>
      <c r="AR68" s="422">
        <v>0.42</v>
      </c>
      <c r="AS68" s="422">
        <v>0.39500000000000002</v>
      </c>
      <c r="AT68" s="422">
        <v>0.33200000000000002</v>
      </c>
      <c r="AU68" s="422">
        <v>0.35899999999999999</v>
      </c>
      <c r="AV68" s="422">
        <v>0.40899999999999997</v>
      </c>
      <c r="AW68" s="422">
        <v>0.374</v>
      </c>
      <c r="AX68" s="422">
        <v>0.38500000000000001</v>
      </c>
      <c r="AY68" s="422">
        <v>0.34499999999999997</v>
      </c>
      <c r="AZ68" s="422">
        <v>0.36899999999999999</v>
      </c>
      <c r="BA68" s="422">
        <v>0.39900000000000002</v>
      </c>
      <c r="BB68" s="422">
        <v>0.36</v>
      </c>
      <c r="BC68" s="422">
        <v>0.36699999999999999</v>
      </c>
      <c r="BD68" s="422">
        <v>0.36899999999999999</v>
      </c>
      <c r="BE68" s="422">
        <v>0.32500000000000001</v>
      </c>
    </row>
    <row r="69" spans="3:57" ht="15" x14ac:dyDescent="0.2">
      <c r="C69" s="6" t="s">
        <v>48</v>
      </c>
      <c r="D69" s="424">
        <v>0.65951740741729736</v>
      </c>
      <c r="E69" s="422">
        <v>0.84008699655532837</v>
      </c>
      <c r="F69" s="422">
        <v>0.66445237398147583</v>
      </c>
      <c r="G69" s="422">
        <v>0.76184660196304321</v>
      </c>
      <c r="H69" s="422">
        <v>0.74246829748153687</v>
      </c>
      <c r="I69" s="422">
        <v>0.77465736865997314</v>
      </c>
      <c r="J69" s="422">
        <v>0.6432267427444458</v>
      </c>
      <c r="K69" s="422">
        <v>0.73890697956085205</v>
      </c>
      <c r="L69" s="422">
        <v>0.74078977108001709</v>
      </c>
      <c r="M69" s="422">
        <v>0.73332470655441284</v>
      </c>
      <c r="N69" s="422">
        <v>0.80894267559051514</v>
      </c>
      <c r="O69" s="422">
        <v>0.77255445718765259</v>
      </c>
      <c r="P69" s="422">
        <v>0.73272198438644409</v>
      </c>
      <c r="Q69" s="422">
        <v>0.83481884002685547</v>
      </c>
      <c r="R69" s="422">
        <v>0.79214948415756226</v>
      </c>
      <c r="S69" s="422">
        <v>0.76589369773864746</v>
      </c>
      <c r="T69" s="422">
        <v>0.77444332838058472</v>
      </c>
      <c r="U69" s="422">
        <v>0.76782339811325073</v>
      </c>
      <c r="V69" s="422">
        <v>0.76607662439346313</v>
      </c>
      <c r="W69" s="422">
        <v>0.77143138647079468</v>
      </c>
      <c r="X69" s="422">
        <v>0.66403418779373169</v>
      </c>
      <c r="Y69" s="422">
        <v>0.64978581666946411</v>
      </c>
      <c r="Z69" s="422">
        <v>0.78698962926864624</v>
      </c>
      <c r="AA69" s="422">
        <v>0.72022783756256104</v>
      </c>
      <c r="AB69" s="422">
        <v>0.75427591800689697</v>
      </c>
      <c r="AC69" s="422">
        <v>0.77256596088409424</v>
      </c>
      <c r="AD69" s="422">
        <v>0.74814766645431519</v>
      </c>
      <c r="AE69" s="65">
        <f>'User Add-in Location'!B73</f>
        <v>0</v>
      </c>
      <c r="AF69" s="65">
        <f>'User Add-in Location'!C73</f>
        <v>0</v>
      </c>
      <c r="AG69" s="422">
        <v>0.80900000000000005</v>
      </c>
      <c r="AH69" s="422">
        <v>0.69899999999999995</v>
      </c>
      <c r="AI69" s="422">
        <v>0.63800000000000001</v>
      </c>
      <c r="AJ69" s="422">
        <v>0.82499999999999996</v>
      </c>
      <c r="AK69" s="422">
        <v>0.51</v>
      </c>
      <c r="AL69" s="422">
        <v>0.75800000000000001</v>
      </c>
      <c r="AM69" s="422">
        <v>0.80200000000000005</v>
      </c>
      <c r="AN69" s="422">
        <v>0.72</v>
      </c>
      <c r="AO69" s="422">
        <v>0.75700000000000001</v>
      </c>
      <c r="AP69" s="422">
        <v>0.64400000000000002</v>
      </c>
      <c r="AQ69" s="422">
        <v>0.74299999999999999</v>
      </c>
      <c r="AR69" s="422">
        <v>0.76300000000000001</v>
      </c>
      <c r="AS69" s="422">
        <v>0.67800000000000005</v>
      </c>
      <c r="AT69" s="422">
        <v>0.76</v>
      </c>
      <c r="AU69" s="422">
        <v>0.68500000000000005</v>
      </c>
      <c r="AV69" s="422">
        <v>0.73</v>
      </c>
      <c r="AW69" s="422">
        <v>0.753</v>
      </c>
      <c r="AX69" s="422">
        <v>0.73899999999999999</v>
      </c>
      <c r="AY69" s="422">
        <v>0.73699999999999999</v>
      </c>
      <c r="AZ69" s="422">
        <v>0.81299999999999994</v>
      </c>
      <c r="BA69" s="422">
        <v>0.68200000000000005</v>
      </c>
      <c r="BB69" s="422">
        <v>0.67500000000000004</v>
      </c>
      <c r="BC69" s="422">
        <v>0.69799999999999995</v>
      </c>
      <c r="BD69" s="422">
        <v>0.73699999999999999</v>
      </c>
      <c r="BE69" s="422">
        <v>0.77</v>
      </c>
    </row>
    <row r="70" spans="3:57" ht="15" x14ac:dyDescent="0.2">
      <c r="C70" s="5"/>
      <c r="D70" s="424"/>
      <c r="E70" s="422"/>
      <c r="F70" s="422"/>
      <c r="G70" s="422"/>
      <c r="H70" s="422"/>
      <c r="I70" s="422"/>
      <c r="J70" s="422"/>
      <c r="K70" s="422"/>
      <c r="L70" s="422"/>
      <c r="M70" s="422"/>
      <c r="N70" s="422"/>
      <c r="O70" s="422"/>
      <c r="P70" s="422"/>
      <c r="Q70" s="422"/>
      <c r="R70" s="422"/>
      <c r="S70" s="422"/>
      <c r="T70" s="422"/>
      <c r="U70" s="422"/>
      <c r="V70" s="422"/>
      <c r="W70" s="422"/>
      <c r="X70" s="422"/>
      <c r="Y70" s="422"/>
      <c r="Z70" s="422"/>
      <c r="AA70" s="422"/>
      <c r="AB70" s="422"/>
      <c r="AC70" s="422"/>
      <c r="AD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c r="BD70" s="422"/>
      <c r="BE70" s="422"/>
    </row>
    <row r="71" spans="3:57" ht="13.5" customHeight="1" x14ac:dyDescent="0.2">
      <c r="C71" s="17" t="s">
        <v>199</v>
      </c>
      <c r="D71" s="424"/>
      <c r="E71" s="422"/>
      <c r="F71" s="422"/>
      <c r="G71" s="422"/>
      <c r="H71" s="422"/>
      <c r="I71" s="422"/>
      <c r="J71" s="422"/>
      <c r="K71" s="422"/>
      <c r="L71" s="422"/>
      <c r="M71" s="422"/>
      <c r="N71" s="422"/>
      <c r="O71" s="422"/>
      <c r="P71" s="422"/>
      <c r="Q71" s="422"/>
      <c r="R71" s="422"/>
      <c r="S71" s="422"/>
      <c r="T71" s="422"/>
      <c r="U71" s="422"/>
      <c r="V71" s="422"/>
      <c r="W71" s="422"/>
      <c r="X71" s="422"/>
      <c r="Y71" s="422"/>
      <c r="Z71" s="422"/>
      <c r="AA71" s="422"/>
      <c r="AB71" s="422"/>
      <c r="AC71" s="422"/>
      <c r="AD71" s="422"/>
      <c r="AG71" s="422"/>
      <c r="AH71" s="422"/>
      <c r="AI71" s="422"/>
      <c r="AJ71" s="422"/>
      <c r="AK71" s="422"/>
      <c r="AL71" s="422"/>
      <c r="AM71" s="422"/>
      <c r="AN71" s="422"/>
      <c r="AO71" s="422"/>
      <c r="AP71" s="422"/>
      <c r="AQ71" s="422"/>
      <c r="AR71" s="422"/>
      <c r="AS71" s="422"/>
      <c r="AT71" s="422"/>
      <c r="AU71" s="422"/>
      <c r="AV71" s="422"/>
      <c r="AW71" s="422"/>
      <c r="AX71" s="422"/>
      <c r="AY71" s="422"/>
      <c r="AZ71" s="422"/>
      <c r="BA71" s="422"/>
      <c r="BB71" s="422"/>
      <c r="BC71" s="422"/>
      <c r="BD71" s="422"/>
      <c r="BE71" s="422"/>
    </row>
    <row r="72" spans="3:57" ht="12.75" customHeight="1" x14ac:dyDescent="0.2">
      <c r="C72" s="125" t="s">
        <v>205</v>
      </c>
      <c r="D72" s="424" t="s">
        <v>50</v>
      </c>
      <c r="E72" s="422" t="s">
        <v>51</v>
      </c>
      <c r="F72" s="422" t="s">
        <v>52</v>
      </c>
      <c r="G72" s="422" t="s">
        <v>53</v>
      </c>
      <c r="H72" s="422" t="s">
        <v>54</v>
      </c>
      <c r="I72" s="422" t="s">
        <v>55</v>
      </c>
      <c r="J72" s="422" t="s">
        <v>56</v>
      </c>
      <c r="K72" s="422" t="s">
        <v>57</v>
      </c>
      <c r="L72" s="422" t="s">
        <v>58</v>
      </c>
      <c r="M72" s="422" t="s">
        <v>59</v>
      </c>
      <c r="N72" s="422" t="s">
        <v>60</v>
      </c>
      <c r="O72" s="422" t="s">
        <v>61</v>
      </c>
      <c r="P72" s="422" t="s">
        <v>62</v>
      </c>
      <c r="Q72" s="422" t="s">
        <v>63</v>
      </c>
      <c r="R72" s="422" t="s">
        <v>64</v>
      </c>
      <c r="S72" s="422" t="s">
        <v>65</v>
      </c>
      <c r="T72" s="422" t="s">
        <v>66</v>
      </c>
      <c r="U72" s="422" t="s">
        <v>67</v>
      </c>
      <c r="V72" s="422" t="s">
        <v>68</v>
      </c>
      <c r="W72" s="422" t="s">
        <v>69</v>
      </c>
      <c r="X72" s="422" t="s">
        <v>70</v>
      </c>
      <c r="Y72" s="422" t="s">
        <v>71</v>
      </c>
      <c r="Z72" s="422" t="s">
        <v>72</v>
      </c>
      <c r="AA72" s="422" t="s">
        <v>73</v>
      </c>
      <c r="AB72" s="422" t="s">
        <v>74</v>
      </c>
      <c r="AC72" s="422" t="s">
        <v>75</v>
      </c>
      <c r="AD72" s="422" t="s">
        <v>76</v>
      </c>
      <c r="AE72" s="65" t="s">
        <v>233</v>
      </c>
      <c r="AF72" s="65" t="s">
        <v>232</v>
      </c>
      <c r="AG72" s="422" t="s">
        <v>77</v>
      </c>
      <c r="AH72" s="422" t="s">
        <v>78</v>
      </c>
      <c r="AI72" s="422" t="s">
        <v>79</v>
      </c>
      <c r="AJ72" s="422" t="s">
        <v>80</v>
      </c>
      <c r="AK72" s="422" t="s">
        <v>81</v>
      </c>
      <c r="AL72" s="422" t="s">
        <v>82</v>
      </c>
      <c r="AM72" s="422" t="s">
        <v>83</v>
      </c>
      <c r="AN72" s="422" t="s">
        <v>84</v>
      </c>
      <c r="AO72" s="422" t="s">
        <v>85</v>
      </c>
      <c r="AP72" s="422" t="s">
        <v>86</v>
      </c>
      <c r="AQ72" s="422" t="s">
        <v>87</v>
      </c>
      <c r="AR72" s="422" t="s">
        <v>88</v>
      </c>
      <c r="AS72" s="422" t="s">
        <v>89</v>
      </c>
      <c r="AT72" s="422" t="s">
        <v>90</v>
      </c>
      <c r="AU72" s="422" t="s">
        <v>91</v>
      </c>
      <c r="AV72" s="422" t="s">
        <v>92</v>
      </c>
      <c r="AW72" s="422" t="s">
        <v>93</v>
      </c>
      <c r="AX72" s="422" t="s">
        <v>394</v>
      </c>
      <c r="AY72" s="422" t="s">
        <v>94</v>
      </c>
      <c r="AZ72" s="422" t="s">
        <v>95</v>
      </c>
      <c r="BA72" s="422" t="s">
        <v>96</v>
      </c>
      <c r="BB72" s="422" t="s">
        <v>97</v>
      </c>
      <c r="BC72" s="422" t="s">
        <v>98</v>
      </c>
      <c r="BD72" s="422" t="s">
        <v>99</v>
      </c>
      <c r="BE72" s="422" t="s">
        <v>49</v>
      </c>
    </row>
    <row r="73" spans="3:57" ht="15" x14ac:dyDescent="0.2">
      <c r="C73" s="6" t="s">
        <v>44</v>
      </c>
      <c r="D73" s="424">
        <v>7.1475125849246979E-2</v>
      </c>
      <c r="E73" s="422">
        <v>2.9256105422973633E-2</v>
      </c>
      <c r="F73" s="422">
        <v>5.9685982763767242E-2</v>
      </c>
      <c r="G73" s="422">
        <v>0.10290594398975372</v>
      </c>
      <c r="H73" s="422">
        <v>5.9046462178230286E-2</v>
      </c>
      <c r="I73" s="422">
        <v>0.10989853739738464</v>
      </c>
      <c r="J73" s="422">
        <v>3.6577768623828888E-2</v>
      </c>
      <c r="K73" s="422">
        <v>7.3237016797065735E-2</v>
      </c>
      <c r="L73" s="422">
        <v>5.4880071431398392E-2</v>
      </c>
      <c r="M73" s="422">
        <v>4.7513276338577271E-2</v>
      </c>
      <c r="N73" s="422">
        <v>9.3869201838970184E-2</v>
      </c>
      <c r="O73" s="422">
        <v>4.5586034655570984E-2</v>
      </c>
      <c r="P73" s="422">
        <v>0.1140865758061409</v>
      </c>
      <c r="Q73" s="422">
        <v>0.10706116259098053</v>
      </c>
      <c r="R73" s="422">
        <v>6.0020998120307922E-2</v>
      </c>
      <c r="S73" s="422">
        <v>9.551490843296051E-2</v>
      </c>
      <c r="T73" s="422">
        <v>0.11804729700088501</v>
      </c>
      <c r="U73" s="422">
        <v>5.2609808743000031E-2</v>
      </c>
      <c r="V73" s="422">
        <v>4.3605498969554901E-2</v>
      </c>
      <c r="W73" s="422">
        <v>5.9952333569526672E-2</v>
      </c>
      <c r="X73" s="422">
        <v>5.4205253720283508E-2</v>
      </c>
      <c r="Y73" s="422">
        <v>3.4785941243171692E-2</v>
      </c>
      <c r="Z73" s="422">
        <v>5.7785026729106903E-2</v>
      </c>
      <c r="AA73" s="422">
        <v>0.10003787279129028</v>
      </c>
      <c r="AB73" s="422">
        <v>7.790866494178772E-2</v>
      </c>
      <c r="AC73" s="422">
        <v>7.1644321084022522E-2</v>
      </c>
      <c r="AD73" s="422">
        <v>7.9692885279655457E-2</v>
      </c>
      <c r="AE73" s="65">
        <f>'User Add-in Location'!B77</f>
        <v>0</v>
      </c>
      <c r="AF73" s="65">
        <f>'User Add-in Location'!C77</f>
        <v>0</v>
      </c>
      <c r="AG73" s="422">
        <v>0.124</v>
      </c>
      <c r="AH73" s="422">
        <v>0.03</v>
      </c>
      <c r="AI73" s="422">
        <v>4.7E-2</v>
      </c>
      <c r="AJ73" s="422">
        <v>3.2000000000000001E-2</v>
      </c>
      <c r="AK73" s="422">
        <v>8.4000000000000005E-2</v>
      </c>
      <c r="AL73" s="422">
        <v>6.7000000000000004E-2</v>
      </c>
      <c r="AM73" s="422">
        <v>6.5000000000000002E-2</v>
      </c>
      <c r="AN73" s="422">
        <v>0.08</v>
      </c>
      <c r="AO73" s="422">
        <v>6.2E-2</v>
      </c>
      <c r="AP73" s="422">
        <v>6.3E-2</v>
      </c>
      <c r="AQ73" s="422">
        <v>7.3999999999999996E-2</v>
      </c>
      <c r="AR73" s="422">
        <v>6.5000000000000002E-2</v>
      </c>
      <c r="AS73" s="422">
        <v>3.1E-2</v>
      </c>
      <c r="AT73" s="422">
        <v>4.7E-2</v>
      </c>
      <c r="AU73" s="422">
        <v>0.126</v>
      </c>
      <c r="AV73" s="422">
        <v>5.5E-2</v>
      </c>
      <c r="AW73" s="422">
        <v>8.2000000000000003E-2</v>
      </c>
      <c r="AX73" s="422">
        <v>0.16600000000000001</v>
      </c>
      <c r="AY73" s="422">
        <v>5.6000000000000001E-2</v>
      </c>
      <c r="AZ73" s="422">
        <v>7.8E-2</v>
      </c>
      <c r="BA73" s="422">
        <v>5.3999999999999999E-2</v>
      </c>
      <c r="BB73" s="422">
        <v>5.7000000000000002E-2</v>
      </c>
      <c r="BC73" s="422">
        <v>3.1E-2</v>
      </c>
      <c r="BD73" s="422">
        <v>0.10299999999999999</v>
      </c>
      <c r="BE73" s="422">
        <v>4.2999999999999997E-2</v>
      </c>
    </row>
    <row r="74" spans="3:57" ht="15" x14ac:dyDescent="0.2">
      <c r="C74" s="6" t="s">
        <v>114</v>
      </c>
      <c r="D74" s="424">
        <v>6.8435132503509521E-2</v>
      </c>
      <c r="E74" s="422">
        <v>2.8919186443090439E-2</v>
      </c>
      <c r="F74" s="422">
        <v>9.4760596752166748E-2</v>
      </c>
      <c r="G74" s="422">
        <v>7.5667232275009155E-2</v>
      </c>
      <c r="H74" s="422">
        <v>7.5320951640605927E-2</v>
      </c>
      <c r="I74" s="422">
        <v>0.10453084111213684</v>
      </c>
      <c r="J74" s="422">
        <v>0.11509822309017181</v>
      </c>
      <c r="K74" s="422">
        <v>9.8009772598743439E-2</v>
      </c>
      <c r="L74" s="422">
        <v>0.11222494393587112</v>
      </c>
      <c r="M74" s="422">
        <v>0.13341248035430908</v>
      </c>
      <c r="N74" s="422">
        <v>8.9229747653007507E-2</v>
      </c>
      <c r="O74" s="422">
        <v>9.0254127979278564E-2</v>
      </c>
      <c r="P74" s="422">
        <v>8.3986923098564148E-2</v>
      </c>
      <c r="Q74" s="422">
        <v>0.11576959490776062</v>
      </c>
      <c r="R74" s="422">
        <v>8.6441926658153534E-2</v>
      </c>
      <c r="S74" s="422">
        <v>7.9151064157485962E-2</v>
      </c>
      <c r="T74" s="422">
        <v>0.15168082714080811</v>
      </c>
      <c r="U74" s="422">
        <v>7.8394785523414612E-2</v>
      </c>
      <c r="V74" s="422">
        <v>6.3943371176719666E-2</v>
      </c>
      <c r="W74" s="422">
        <v>0.12410250306129456</v>
      </c>
      <c r="X74" s="422">
        <v>0.13044579327106476</v>
      </c>
      <c r="Y74" s="422">
        <v>0.15937015414237976</v>
      </c>
      <c r="Z74" s="422">
        <v>0.12461639195680618</v>
      </c>
      <c r="AA74" s="422">
        <v>9.5216765999794006E-2</v>
      </c>
      <c r="AB74" s="422">
        <v>7.7338047325611115E-2</v>
      </c>
      <c r="AC74" s="422">
        <v>9.7779318690299988E-2</v>
      </c>
      <c r="AD74" s="422">
        <v>9.7569778561592102E-2</v>
      </c>
      <c r="AE74" s="65">
        <f>'User Add-in Location'!B78</f>
        <v>0</v>
      </c>
      <c r="AF74" s="65">
        <f>'User Add-in Location'!C78</f>
        <v>0</v>
      </c>
      <c r="AG74" s="422">
        <v>8.6999999999999994E-2</v>
      </c>
      <c r="AH74" s="422">
        <v>6.0999999999999999E-2</v>
      </c>
      <c r="AI74" s="422">
        <v>0.105</v>
      </c>
      <c r="AJ74" s="422">
        <v>0.13200000000000001</v>
      </c>
      <c r="AK74" s="422">
        <v>8.1000000000000003E-2</v>
      </c>
      <c r="AL74" s="422">
        <v>0.14199999999999999</v>
      </c>
      <c r="AM74" s="422">
        <v>8.3000000000000004E-2</v>
      </c>
      <c r="AN74" s="422">
        <v>7.0999999999999994E-2</v>
      </c>
      <c r="AO74" s="422">
        <v>0.111</v>
      </c>
      <c r="AP74" s="422">
        <v>0.13200000000000001</v>
      </c>
      <c r="AQ74" s="422">
        <v>0.114</v>
      </c>
      <c r="AR74" s="422">
        <v>0.09</v>
      </c>
      <c r="AS74" s="422">
        <v>0.111</v>
      </c>
      <c r="AT74" s="422">
        <v>8.2000000000000003E-2</v>
      </c>
      <c r="AU74" s="422">
        <v>9.1999999999999998E-2</v>
      </c>
      <c r="AV74" s="422">
        <v>9.4E-2</v>
      </c>
      <c r="AW74" s="422">
        <v>9.0999999999999998E-2</v>
      </c>
      <c r="AX74" s="422">
        <v>0.14199999999999999</v>
      </c>
      <c r="AY74" s="422">
        <v>9.4E-2</v>
      </c>
      <c r="AZ74" s="422">
        <v>7.1999999999999995E-2</v>
      </c>
      <c r="BA74" s="422">
        <v>0.1</v>
      </c>
      <c r="BB74" s="422">
        <v>0.107</v>
      </c>
      <c r="BC74" s="422">
        <v>8.5999999999999993E-2</v>
      </c>
      <c r="BD74" s="422">
        <v>7.3999999999999996E-2</v>
      </c>
      <c r="BE74" s="422">
        <v>5.8000000000000003E-2</v>
      </c>
    </row>
    <row r="75" spans="3:57" ht="15" x14ac:dyDescent="0.2">
      <c r="C75" s="6" t="s">
        <v>45</v>
      </c>
      <c r="D75" s="424">
        <v>0.12155184149742126</v>
      </c>
      <c r="E75" s="422">
        <v>9.3869648873806E-2</v>
      </c>
      <c r="F75" s="422">
        <v>0.13714815676212311</v>
      </c>
      <c r="G75" s="422">
        <v>0.12220568954944611</v>
      </c>
      <c r="H75" s="422">
        <v>0.17574077844619751</v>
      </c>
      <c r="I75" s="422">
        <v>0.16414204239845276</v>
      </c>
      <c r="J75" s="422">
        <v>0.15497986972332001</v>
      </c>
      <c r="K75" s="422">
        <v>0.13608837127685547</v>
      </c>
      <c r="L75" s="422">
        <v>8.731483668088913E-2</v>
      </c>
      <c r="M75" s="422">
        <v>0.15383884310722351</v>
      </c>
      <c r="N75" s="422">
        <v>0.15120598673820496</v>
      </c>
      <c r="O75" s="422">
        <v>9.7113050520420074E-2</v>
      </c>
      <c r="P75" s="422">
        <v>0.13584995269775391</v>
      </c>
      <c r="Q75" s="422">
        <v>0.14951097965240479</v>
      </c>
      <c r="R75" s="422">
        <v>0.12412342429161072</v>
      </c>
      <c r="S75" s="422">
        <v>0.11916922777891159</v>
      </c>
      <c r="T75" s="422">
        <v>0.13089054822921753</v>
      </c>
      <c r="U75" s="422">
        <v>0.11853006482124329</v>
      </c>
      <c r="V75" s="422">
        <v>0.10615894198417664</v>
      </c>
      <c r="W75" s="422">
        <v>0.14712733030319214</v>
      </c>
      <c r="X75" s="422">
        <v>0.12162084877490997</v>
      </c>
      <c r="Y75" s="422">
        <v>0.16212105751037598</v>
      </c>
      <c r="Z75" s="422">
        <v>0.14914636313915253</v>
      </c>
      <c r="AA75" s="422">
        <v>0.15415588021278381</v>
      </c>
      <c r="AB75" s="422">
        <v>0.10449788719415665</v>
      </c>
      <c r="AC75" s="422">
        <v>0.14591744542121887</v>
      </c>
      <c r="AD75" s="422">
        <v>0.12755966186523438</v>
      </c>
      <c r="AE75" s="65">
        <f>'User Add-in Location'!B79</f>
        <v>0</v>
      </c>
      <c r="AF75" s="65">
        <f>'User Add-in Location'!C79</f>
        <v>0</v>
      </c>
      <c r="AG75" s="422">
        <v>0.122</v>
      </c>
      <c r="AH75" s="422">
        <v>5.3999999999999999E-2</v>
      </c>
      <c r="AI75" s="422">
        <v>0.17299999999999999</v>
      </c>
      <c r="AJ75" s="422">
        <v>0.14899999999999999</v>
      </c>
      <c r="AK75" s="422">
        <v>0.107</v>
      </c>
      <c r="AL75" s="422">
        <v>0.13900000000000001</v>
      </c>
      <c r="AM75" s="422">
        <v>0.153</v>
      </c>
      <c r="AN75" s="422">
        <v>0.11700000000000001</v>
      </c>
      <c r="AO75" s="422">
        <v>0.155</v>
      </c>
      <c r="AP75" s="422">
        <v>0.14099999999999999</v>
      </c>
      <c r="AQ75" s="422">
        <v>0.14000000000000001</v>
      </c>
      <c r="AR75" s="422">
        <v>0.161</v>
      </c>
      <c r="AS75" s="422">
        <v>0.126</v>
      </c>
      <c r="AT75" s="422">
        <v>0.122</v>
      </c>
      <c r="AU75" s="422">
        <v>0.127</v>
      </c>
      <c r="AV75" s="422">
        <v>0.158</v>
      </c>
      <c r="AW75" s="422">
        <v>0.159</v>
      </c>
      <c r="AX75" s="422">
        <v>0.25900000000000001</v>
      </c>
      <c r="AY75" s="422">
        <v>0.14699999999999999</v>
      </c>
      <c r="AZ75" s="422">
        <v>0.13900000000000001</v>
      </c>
      <c r="BA75" s="422">
        <v>0.13400000000000001</v>
      </c>
      <c r="BB75" s="422">
        <v>0.13300000000000001</v>
      </c>
      <c r="BC75" s="422">
        <v>9.1999999999999998E-2</v>
      </c>
      <c r="BD75" s="422">
        <v>0.14000000000000001</v>
      </c>
      <c r="BE75" s="422">
        <v>7.9000000000000001E-2</v>
      </c>
    </row>
    <row r="76" spans="3:57" ht="15" x14ac:dyDescent="0.2">
      <c r="C76" s="6" t="s">
        <v>115</v>
      </c>
      <c r="D76" s="424">
        <v>8.8650085031986237E-2</v>
      </c>
      <c r="E76" s="422">
        <v>9.4196833670139313E-2</v>
      </c>
      <c r="F76" s="422">
        <v>0.10553905367851257</v>
      </c>
      <c r="G76" s="422">
        <v>9.8887175321578979E-2</v>
      </c>
      <c r="H76" s="422">
        <v>0.15556126832962036</v>
      </c>
      <c r="I76" s="422">
        <v>0.14359860122203827</v>
      </c>
      <c r="J76" s="422">
        <v>9.5079600811004639E-2</v>
      </c>
      <c r="K76" s="422">
        <v>9.3742504715919495E-2</v>
      </c>
      <c r="L76" s="422">
        <v>6.1569318175315857E-2</v>
      </c>
      <c r="M76" s="422">
        <v>0.114292211830616</v>
      </c>
      <c r="N76" s="422">
        <v>0.10924142599105835</v>
      </c>
      <c r="O76" s="422">
        <v>0.10245998203754425</v>
      </c>
      <c r="P76" s="422">
        <v>0.11180654168128967</v>
      </c>
      <c r="Q76" s="422">
        <v>0.12775731086730957</v>
      </c>
      <c r="R76" s="422">
        <v>8.6024090647697449E-2</v>
      </c>
      <c r="S76" s="422">
        <v>9.7358763217926025E-2</v>
      </c>
      <c r="T76" s="422">
        <v>0.12365885078907013</v>
      </c>
      <c r="U76" s="422">
        <v>8.3864584565162659E-2</v>
      </c>
      <c r="V76" s="422">
        <v>9.6944011747837067E-2</v>
      </c>
      <c r="W76" s="422">
        <v>9.6773058176040649E-2</v>
      </c>
      <c r="X76" s="422">
        <v>7.9777412116527557E-2</v>
      </c>
      <c r="Y76" s="422">
        <v>0.10921596735715866</v>
      </c>
      <c r="Z76" s="422">
        <v>0.10713927447795868</v>
      </c>
      <c r="AA76" s="422">
        <v>0.1340128630399704</v>
      </c>
      <c r="AB76" s="422">
        <v>8.8676288723945618E-2</v>
      </c>
      <c r="AC76" s="422">
        <v>0.10335975140333176</v>
      </c>
      <c r="AD76" s="422">
        <v>0.10407392680644989</v>
      </c>
      <c r="AE76" s="65">
        <f>'User Add-in Location'!B80</f>
        <v>0</v>
      </c>
      <c r="AF76" s="65">
        <f>'User Add-in Location'!C80</f>
        <v>0</v>
      </c>
      <c r="AG76" s="422">
        <v>0.106</v>
      </c>
      <c r="AH76" s="422">
        <v>6.4000000000000001E-2</v>
      </c>
      <c r="AI76" s="422">
        <v>9.2999999999999999E-2</v>
      </c>
      <c r="AJ76" s="422">
        <v>0.114</v>
      </c>
      <c r="AK76" s="422">
        <v>0.11</v>
      </c>
      <c r="AL76" s="422">
        <v>0.111</v>
      </c>
      <c r="AM76" s="422">
        <v>9.4E-2</v>
      </c>
      <c r="AN76" s="422">
        <v>0.11899999999999999</v>
      </c>
      <c r="AO76" s="422">
        <v>0.114</v>
      </c>
      <c r="AP76" s="422">
        <v>0.13300000000000001</v>
      </c>
      <c r="AQ76" s="422">
        <v>0.111</v>
      </c>
      <c r="AR76" s="422">
        <v>0.125</v>
      </c>
      <c r="AS76" s="422">
        <v>8.8999999999999996E-2</v>
      </c>
      <c r="AT76" s="422">
        <v>7.8E-2</v>
      </c>
      <c r="AU76" s="422">
        <v>0.10299999999999999</v>
      </c>
      <c r="AV76" s="422">
        <v>0.1</v>
      </c>
      <c r="AW76" s="422">
        <v>0.16700000000000001</v>
      </c>
      <c r="AX76" s="422">
        <v>0.27300000000000002</v>
      </c>
      <c r="AY76" s="422">
        <v>0.121</v>
      </c>
      <c r="AZ76" s="422">
        <v>9.7000000000000003E-2</v>
      </c>
      <c r="BA76" s="422">
        <v>8.5000000000000006E-2</v>
      </c>
      <c r="BB76" s="422">
        <v>0.11</v>
      </c>
      <c r="BC76" s="422">
        <v>7.4999999999999997E-2</v>
      </c>
      <c r="BD76" s="422">
        <v>0.111</v>
      </c>
      <c r="BE76" s="422">
        <v>0.09</v>
      </c>
    </row>
    <row r="77" spans="3:57" ht="15" x14ac:dyDescent="0.2">
      <c r="C77" s="6" t="s">
        <v>116</v>
      </c>
      <c r="D77" s="424">
        <v>7.7903188765048981E-2</v>
      </c>
      <c r="E77" s="422">
        <v>7.9276613891124725E-2</v>
      </c>
      <c r="F77" s="422">
        <v>0.10682260990142822</v>
      </c>
      <c r="G77" s="422">
        <v>6.9658324122428894E-2</v>
      </c>
      <c r="H77" s="422">
        <v>0.15849040448665619</v>
      </c>
      <c r="I77" s="422">
        <v>0.12005691230297089</v>
      </c>
      <c r="J77" s="422">
        <v>0.10252566635608673</v>
      </c>
      <c r="K77" s="422">
        <v>8.2358211278915405E-2</v>
      </c>
      <c r="L77" s="422">
        <v>0</v>
      </c>
      <c r="M77" s="422">
        <v>0.11235198378562927</v>
      </c>
      <c r="N77" s="422">
        <v>0.1009477898478508</v>
      </c>
      <c r="O77" s="422">
        <v>8.67934450507164E-2</v>
      </c>
      <c r="P77" s="422">
        <v>8.4558106958866119E-2</v>
      </c>
      <c r="Q77" s="422">
        <v>0.11974798142910004</v>
      </c>
      <c r="R77" s="422">
        <v>8.3313815295696259E-2</v>
      </c>
      <c r="S77" s="422">
        <v>7.9005330801010132E-2</v>
      </c>
      <c r="T77" s="422">
        <v>8.5858084261417389E-2</v>
      </c>
      <c r="U77" s="422">
        <v>7.4793800711631775E-2</v>
      </c>
      <c r="V77" s="422">
        <v>6.9478981196880341E-2</v>
      </c>
      <c r="W77" s="422">
        <v>8.4860518574714661E-2</v>
      </c>
      <c r="X77" s="422">
        <v>8.8795319199562073E-2</v>
      </c>
      <c r="Y77" s="422">
        <v>0.1158885657787323</v>
      </c>
      <c r="Z77" s="422">
        <v>0.10559935867786407</v>
      </c>
      <c r="AA77" s="422">
        <v>0.1238543689250946</v>
      </c>
      <c r="AB77" s="422">
        <v>6.537078320980072E-2</v>
      </c>
      <c r="AC77" s="422">
        <v>9.3535766005516052E-2</v>
      </c>
      <c r="AD77" s="422">
        <v>7.6311282813549042E-2</v>
      </c>
      <c r="AE77" s="65">
        <f>'User Add-in Location'!B81</f>
        <v>0</v>
      </c>
      <c r="AF77" s="65">
        <f>'User Add-in Location'!C81</f>
        <v>0</v>
      </c>
      <c r="AG77" s="422">
        <v>0.08</v>
      </c>
      <c r="AH77" s="422">
        <v>6.3E-2</v>
      </c>
      <c r="AI77" s="422">
        <v>9.4E-2</v>
      </c>
      <c r="AJ77" s="422">
        <v>0.111</v>
      </c>
      <c r="AK77" s="422">
        <v>7.2999999999999995E-2</v>
      </c>
      <c r="AL77" s="422">
        <v>0.112</v>
      </c>
      <c r="AM77" s="422">
        <v>0.104</v>
      </c>
      <c r="AN77" s="422">
        <v>8.1000000000000003E-2</v>
      </c>
      <c r="AO77" s="422">
        <v>0.108</v>
      </c>
      <c r="AP77" s="422">
        <v>8.3000000000000004E-2</v>
      </c>
      <c r="AQ77" s="422">
        <v>9.9000000000000005E-2</v>
      </c>
      <c r="AR77" s="422">
        <v>0.11899999999999999</v>
      </c>
      <c r="AS77" s="422">
        <v>0.10100000000000001</v>
      </c>
      <c r="AT77" s="422">
        <v>7.2999999999999995E-2</v>
      </c>
      <c r="AU77" s="422">
        <v>7.3999999999999996E-2</v>
      </c>
      <c r="AV77" s="422">
        <v>9.6000000000000002E-2</v>
      </c>
      <c r="AW77" s="422">
        <v>0.13200000000000001</v>
      </c>
      <c r="AX77" s="422">
        <v>0.25800000000000001</v>
      </c>
      <c r="AY77" s="422">
        <v>0.115</v>
      </c>
      <c r="AZ77" s="422">
        <v>7.8E-2</v>
      </c>
      <c r="BA77" s="422">
        <v>8.5000000000000006E-2</v>
      </c>
      <c r="BB77" s="422">
        <v>0.105</v>
      </c>
      <c r="BC77" s="422">
        <v>6.5000000000000002E-2</v>
      </c>
      <c r="BD77" s="422">
        <v>9.9000000000000005E-2</v>
      </c>
      <c r="BE77" s="422">
        <v>5.5E-2</v>
      </c>
    </row>
    <row r="78" spans="3:57" ht="15" x14ac:dyDescent="0.2">
      <c r="C78" s="6" t="s">
        <v>117</v>
      </c>
      <c r="D78" s="424">
        <v>9.1563522815704346E-2</v>
      </c>
      <c r="E78" s="422">
        <v>7.9801343381404877E-2</v>
      </c>
      <c r="F78" s="422">
        <v>0.10321354120969772</v>
      </c>
      <c r="G78" s="422">
        <v>8.6965121328830719E-2</v>
      </c>
      <c r="H78" s="422">
        <v>0.15607982873916626</v>
      </c>
      <c r="I78" s="422">
        <v>0.14072944223880768</v>
      </c>
      <c r="J78" s="422">
        <v>0.11067423969507217</v>
      </c>
      <c r="K78" s="422">
        <v>8.1310831010341644E-2</v>
      </c>
      <c r="L78" s="422">
        <v>9.6530504524707794E-2</v>
      </c>
      <c r="M78" s="422">
        <v>0.12643055617809296</v>
      </c>
      <c r="N78" s="422">
        <v>0.10826064646244049</v>
      </c>
      <c r="O78" s="422">
        <v>0.10664207488298416</v>
      </c>
      <c r="P78" s="422">
        <v>9.5895290374755859E-2</v>
      </c>
      <c r="Q78" s="422">
        <v>0.11868971586227417</v>
      </c>
      <c r="R78" s="422">
        <v>9.5345579087734222E-2</v>
      </c>
      <c r="S78" s="422">
        <v>8.0984979867935181E-2</v>
      </c>
      <c r="T78" s="422">
        <v>0.10293855518102646</v>
      </c>
      <c r="U78" s="422">
        <v>8.6717233061790466E-2</v>
      </c>
      <c r="V78" s="422">
        <v>8.1272155046463013E-2</v>
      </c>
      <c r="W78" s="422">
        <v>9.3245342373847961E-2</v>
      </c>
      <c r="X78" s="422">
        <v>0.10539355874061584</v>
      </c>
      <c r="Y78" s="422">
        <v>0.12495527416467667</v>
      </c>
      <c r="Z78" s="422">
        <v>0.10982595384120941</v>
      </c>
      <c r="AA78" s="422">
        <v>0.14555691182613373</v>
      </c>
      <c r="AB78" s="422">
        <v>7.3171183466911316E-2</v>
      </c>
      <c r="AC78" s="422">
        <v>0.12028893083333969</v>
      </c>
      <c r="AD78" s="422">
        <v>9.5842510461807251E-2</v>
      </c>
      <c r="AE78" s="65">
        <f>'User Add-in Location'!B82</f>
        <v>0</v>
      </c>
      <c r="AF78" s="65">
        <f>'User Add-in Location'!C82</f>
        <v>0</v>
      </c>
      <c r="AG78" s="422">
        <v>8.5999999999999993E-2</v>
      </c>
      <c r="AH78" s="422">
        <v>7.0000000000000007E-2</v>
      </c>
      <c r="AI78" s="422">
        <v>0.08</v>
      </c>
      <c r="AJ78" s="422">
        <v>0.112</v>
      </c>
      <c r="AK78" s="422">
        <v>7.8E-2</v>
      </c>
      <c r="AL78" s="422">
        <v>0.115</v>
      </c>
      <c r="AM78" s="422">
        <v>9.7000000000000003E-2</v>
      </c>
      <c r="AN78" s="422">
        <v>9.6000000000000002E-2</v>
      </c>
      <c r="AO78" s="422">
        <v>0.11600000000000001</v>
      </c>
      <c r="AP78" s="422">
        <v>8.6999999999999994E-2</v>
      </c>
      <c r="AQ78" s="422">
        <v>0.11</v>
      </c>
      <c r="AR78" s="422">
        <v>0.123</v>
      </c>
      <c r="AS78" s="422">
        <v>8.7999999999999995E-2</v>
      </c>
      <c r="AT78" s="422">
        <v>7.9000000000000001E-2</v>
      </c>
      <c r="AU78" s="422">
        <v>9.0999999999999998E-2</v>
      </c>
      <c r="AV78" s="422">
        <v>0.107</v>
      </c>
      <c r="AW78" s="422">
        <v>0.13400000000000001</v>
      </c>
      <c r="AX78" s="422">
        <v>0.27500000000000002</v>
      </c>
      <c r="AY78" s="422">
        <v>0.11799999999999999</v>
      </c>
      <c r="AZ78" s="422">
        <v>7.1999999999999995E-2</v>
      </c>
      <c r="BA78" s="422">
        <v>9.5000000000000001E-2</v>
      </c>
      <c r="BB78" s="422">
        <v>0.11600000000000001</v>
      </c>
      <c r="BC78" s="422">
        <v>6.2E-2</v>
      </c>
      <c r="BD78" s="422">
        <v>0.112</v>
      </c>
      <c r="BE78" s="422">
        <v>7.0999999999999994E-2</v>
      </c>
    </row>
    <row r="79" spans="3:57" ht="15" x14ac:dyDescent="0.2">
      <c r="C79" s="6" t="s">
        <v>118</v>
      </c>
      <c r="D79" s="424">
        <v>0.10079137980937958</v>
      </c>
      <c r="E79" s="422">
        <v>0</v>
      </c>
      <c r="F79" s="422">
        <v>0.14319026470184326</v>
      </c>
      <c r="G79" s="422">
        <v>9.5496527850627899E-2</v>
      </c>
      <c r="H79" s="422">
        <v>0.18668937683105469</v>
      </c>
      <c r="I79" s="422">
        <v>0.15501230955123901</v>
      </c>
      <c r="J79" s="422">
        <v>0.13150760531425476</v>
      </c>
      <c r="K79" s="422">
        <v>9.7824215888977051E-2</v>
      </c>
      <c r="L79" s="422">
        <v>6.0731519013643265E-2</v>
      </c>
      <c r="M79" s="422">
        <v>0.14623446762561798</v>
      </c>
      <c r="N79" s="422">
        <v>0.12767399847507477</v>
      </c>
      <c r="O79" s="422">
        <v>0.10051543265581131</v>
      </c>
      <c r="P79" s="422">
        <v>0.1131548210978508</v>
      </c>
      <c r="Q79" s="422">
        <v>0.13667087256908417</v>
      </c>
      <c r="R79" s="422">
        <v>9.1000139713287354E-2</v>
      </c>
      <c r="S79" s="422">
        <v>9.5797903835773468E-2</v>
      </c>
      <c r="T79" s="422">
        <v>9.469711035490036E-2</v>
      </c>
      <c r="U79" s="422">
        <v>9.9468186497688293E-2</v>
      </c>
      <c r="V79" s="422">
        <v>8.2757167518138885E-2</v>
      </c>
      <c r="W79" s="422">
        <v>9.999578446149826E-2</v>
      </c>
      <c r="X79" s="422">
        <v>0.11426862329244614</v>
      </c>
      <c r="Y79" s="422">
        <v>0.16792561113834381</v>
      </c>
      <c r="Z79" s="422">
        <v>0.13457515835762024</v>
      </c>
      <c r="AA79" s="422">
        <v>0.17274360358715057</v>
      </c>
      <c r="AB79" s="422">
        <v>8.7973669171333313E-2</v>
      </c>
      <c r="AC79" s="422">
        <v>9.402158111333847E-2</v>
      </c>
      <c r="AD79" s="422">
        <v>0.11030490696430206</v>
      </c>
      <c r="AE79" s="65">
        <f>'User Add-in Location'!B83</f>
        <v>0</v>
      </c>
      <c r="AF79" s="65">
        <f>'User Add-in Location'!C83</f>
        <v>0</v>
      </c>
      <c r="AG79" s="422">
        <v>9.9000000000000005E-2</v>
      </c>
      <c r="AH79" s="422">
        <v>5.8000000000000003E-2</v>
      </c>
      <c r="AI79" s="422">
        <v>0.13200000000000001</v>
      </c>
      <c r="AJ79" s="422">
        <v>0.14499999999999999</v>
      </c>
      <c r="AK79" s="422">
        <v>7.0999999999999994E-2</v>
      </c>
      <c r="AL79" s="422">
        <v>0.155</v>
      </c>
      <c r="AM79" s="422">
        <v>0.124</v>
      </c>
      <c r="AN79" s="422">
        <v>0.121</v>
      </c>
      <c r="AO79" s="422">
        <v>0.13300000000000001</v>
      </c>
      <c r="AP79" s="422">
        <v>0.108</v>
      </c>
      <c r="AQ79" s="422">
        <v>6.3E-2</v>
      </c>
      <c r="AR79" s="422">
        <v>0.13500000000000001</v>
      </c>
      <c r="AS79" s="422">
        <v>0.13</v>
      </c>
      <c r="AT79" s="422">
        <v>8.1000000000000003E-2</v>
      </c>
      <c r="AU79" s="422">
        <v>0.107</v>
      </c>
      <c r="AV79" s="422">
        <v>0.111</v>
      </c>
      <c r="AW79" s="422">
        <v>0.152</v>
      </c>
      <c r="AX79" s="422">
        <v>0.24</v>
      </c>
      <c r="AY79" s="422">
        <v>0.14599999999999999</v>
      </c>
      <c r="AZ79" s="422">
        <v>0.13</v>
      </c>
      <c r="BA79" s="422">
        <v>0.126</v>
      </c>
      <c r="BB79" s="422">
        <v>0.128</v>
      </c>
      <c r="BC79" s="422">
        <v>0.09</v>
      </c>
      <c r="BD79" s="422">
        <v>0.125</v>
      </c>
      <c r="BE79" s="422">
        <v>8.1000000000000003E-2</v>
      </c>
    </row>
    <row r="80" spans="3:57" ht="15" x14ac:dyDescent="0.2">
      <c r="C80" s="6" t="s">
        <v>119</v>
      </c>
      <c r="D80" s="424">
        <v>0.12827518582344055</v>
      </c>
      <c r="E80" s="422">
        <v>8.2434341311454773E-2</v>
      </c>
      <c r="F80" s="422">
        <v>0.13471275568008423</v>
      </c>
      <c r="G80" s="422">
        <v>0.12086257338523865</v>
      </c>
      <c r="H80" s="422">
        <v>0.16031894087791443</v>
      </c>
      <c r="I80" s="422">
        <v>0.16642020642757416</v>
      </c>
      <c r="J80" s="422">
        <v>0.13360138237476349</v>
      </c>
      <c r="K80" s="422">
        <v>0.12985116243362427</v>
      </c>
      <c r="L80" s="422">
        <v>0.11569172143936157</v>
      </c>
      <c r="M80" s="422">
        <v>0.13988804817199707</v>
      </c>
      <c r="N80" s="422">
        <v>0.14058580994606018</v>
      </c>
      <c r="O80" s="422">
        <v>0.10918384790420532</v>
      </c>
      <c r="P80" s="422">
        <v>0.11965075880289078</v>
      </c>
      <c r="Q80" s="422">
        <v>0.16447374224662781</v>
      </c>
      <c r="R80" s="422">
        <v>0.12558209896087646</v>
      </c>
      <c r="S80" s="422">
        <v>0.11648903787136078</v>
      </c>
      <c r="T80" s="422">
        <v>0.12519086897373199</v>
      </c>
      <c r="U80" s="422">
        <v>0.12026705592870712</v>
      </c>
      <c r="V80" s="422">
        <v>0.13244558870792389</v>
      </c>
      <c r="W80" s="422">
        <v>0.11396555602550507</v>
      </c>
      <c r="X80" s="422">
        <v>0.12549519538879395</v>
      </c>
      <c r="Y80" s="422">
        <v>0.15439207851886749</v>
      </c>
      <c r="Z80" s="422">
        <v>0.14049398899078369</v>
      </c>
      <c r="AA80" s="422">
        <v>0.1698901355266571</v>
      </c>
      <c r="AB80" s="422">
        <v>0.11384116113185883</v>
      </c>
      <c r="AC80" s="422">
        <v>0.13443396985530853</v>
      </c>
      <c r="AD80" s="422">
        <v>0.12761697173118591</v>
      </c>
      <c r="AE80" s="65">
        <f>'User Add-in Location'!B84</f>
        <v>0</v>
      </c>
      <c r="AF80" s="65">
        <f>'User Add-in Location'!C84</f>
        <v>0</v>
      </c>
      <c r="AG80" s="422">
        <v>9.2999999999999999E-2</v>
      </c>
      <c r="AH80" s="422">
        <v>0</v>
      </c>
      <c r="AI80" s="422">
        <v>0.126</v>
      </c>
      <c r="AJ80" s="422">
        <v>0.13600000000000001</v>
      </c>
      <c r="AK80" s="422">
        <v>0.115</v>
      </c>
      <c r="AL80" s="422">
        <v>0.16600000000000001</v>
      </c>
      <c r="AM80" s="422">
        <v>0.126</v>
      </c>
      <c r="AN80" s="422">
        <v>0.13900000000000001</v>
      </c>
      <c r="AO80" s="422">
        <v>0.13200000000000001</v>
      </c>
      <c r="AP80" s="422">
        <v>0.154</v>
      </c>
      <c r="AQ80" s="422">
        <v>0.121</v>
      </c>
      <c r="AR80" s="422">
        <v>0.154</v>
      </c>
      <c r="AS80" s="422">
        <v>0.121</v>
      </c>
      <c r="AT80" s="422">
        <v>0.112</v>
      </c>
      <c r="AU80" s="422">
        <v>0.122</v>
      </c>
      <c r="AV80" s="422">
        <v>0.14899999999999999</v>
      </c>
      <c r="AW80" s="422">
        <v>0.17699999999999999</v>
      </c>
      <c r="AX80" s="422">
        <v>0.245</v>
      </c>
      <c r="AY80" s="422">
        <v>0.156</v>
      </c>
      <c r="AZ80" s="422">
        <v>0.13200000000000001</v>
      </c>
      <c r="BA80" s="422">
        <v>0.13</v>
      </c>
      <c r="BB80" s="422">
        <v>0.126</v>
      </c>
      <c r="BC80" s="422">
        <v>0.12</v>
      </c>
      <c r="BD80" s="422">
        <v>0.129</v>
      </c>
      <c r="BE80" s="422">
        <v>0.10199999999999999</v>
      </c>
    </row>
    <row r="81" spans="3:57" ht="15" x14ac:dyDescent="0.2">
      <c r="C81" s="6" t="s">
        <v>46</v>
      </c>
      <c r="D81" s="424">
        <v>0.11166476458311081</v>
      </c>
      <c r="E81" s="422">
        <v>0.10028589516878128</v>
      </c>
      <c r="F81" s="422">
        <v>0.1399729996919632</v>
      </c>
      <c r="G81" s="422">
        <v>9.2180497944355011E-2</v>
      </c>
      <c r="H81" s="422">
        <v>0.14982107281684875</v>
      </c>
      <c r="I81" s="422">
        <v>0.15098834037780762</v>
      </c>
      <c r="J81" s="422">
        <v>0.13124832510948181</v>
      </c>
      <c r="K81" s="422">
        <v>0.11739148199558258</v>
      </c>
      <c r="L81" s="422">
        <v>0.12332293391227722</v>
      </c>
      <c r="M81" s="422">
        <v>0.14211134612560272</v>
      </c>
      <c r="N81" s="422">
        <v>0.1264350563287735</v>
      </c>
      <c r="O81" s="422">
        <v>0.13368478417396545</v>
      </c>
      <c r="P81" s="422">
        <v>0.11949293315410614</v>
      </c>
      <c r="Q81" s="422">
        <v>0.14436843991279602</v>
      </c>
      <c r="R81" s="422">
        <v>0.11323650181293488</v>
      </c>
      <c r="S81" s="422">
        <v>0.11388175189495087</v>
      </c>
      <c r="T81" s="422">
        <v>0.1148410364985466</v>
      </c>
      <c r="U81" s="422">
        <v>0.1054169237613678</v>
      </c>
      <c r="V81" s="422">
        <v>0.10283297300338745</v>
      </c>
      <c r="W81" s="422">
        <v>0.12648563086986542</v>
      </c>
      <c r="X81" s="422">
        <v>0.12776303291320801</v>
      </c>
      <c r="Y81" s="422">
        <v>0.16123943030834198</v>
      </c>
      <c r="Z81" s="422">
        <v>0.12642979621887207</v>
      </c>
      <c r="AA81" s="422">
        <v>0.15456253290176392</v>
      </c>
      <c r="AB81" s="422">
        <v>9.4344809651374817E-2</v>
      </c>
      <c r="AC81" s="422">
        <v>0.13762500882148743</v>
      </c>
      <c r="AD81" s="422">
        <v>0.11149919033050537</v>
      </c>
      <c r="AE81" s="65">
        <f>'User Add-in Location'!B85</f>
        <v>0</v>
      </c>
      <c r="AF81" s="65">
        <f>'User Add-in Location'!C85</f>
        <v>0</v>
      </c>
      <c r="AG81" s="422">
        <v>0.127</v>
      </c>
      <c r="AH81" s="422">
        <v>9.9000000000000005E-2</v>
      </c>
      <c r="AI81" s="422">
        <v>0.14099999999999999</v>
      </c>
      <c r="AJ81" s="422">
        <v>0.13600000000000001</v>
      </c>
      <c r="AK81" s="422">
        <v>0.104</v>
      </c>
      <c r="AL81" s="422">
        <v>0.14399999999999999</v>
      </c>
      <c r="AM81" s="422">
        <v>0.13800000000000001</v>
      </c>
      <c r="AN81" s="422">
        <v>0.106</v>
      </c>
      <c r="AO81" s="422">
        <v>0.13900000000000001</v>
      </c>
      <c r="AP81" s="422">
        <v>0.115</v>
      </c>
      <c r="AQ81" s="422">
        <v>0.13200000000000001</v>
      </c>
      <c r="AR81" s="422">
        <v>0.14199999999999999</v>
      </c>
      <c r="AS81" s="422">
        <v>0.14599999999999999</v>
      </c>
      <c r="AT81" s="422">
        <v>0.108</v>
      </c>
      <c r="AU81" s="422">
        <v>0.113</v>
      </c>
      <c r="AV81" s="422">
        <v>0.13800000000000001</v>
      </c>
      <c r="AW81" s="422">
        <v>0.128</v>
      </c>
      <c r="AX81" s="422">
        <v>0.182</v>
      </c>
      <c r="AY81" s="422">
        <v>0.14499999999999999</v>
      </c>
      <c r="AZ81" s="422">
        <v>0.13</v>
      </c>
      <c r="BA81" s="422">
        <v>0.13</v>
      </c>
      <c r="BB81" s="422">
        <v>0.121</v>
      </c>
      <c r="BC81" s="422">
        <v>9.7000000000000003E-2</v>
      </c>
      <c r="BD81" s="422">
        <v>0.13300000000000001</v>
      </c>
      <c r="BE81" s="422">
        <v>7.3999999999999996E-2</v>
      </c>
    </row>
    <row r="82" spans="3:57" ht="15" x14ac:dyDescent="0.2">
      <c r="C82" s="6" t="s">
        <v>47</v>
      </c>
      <c r="D82" s="424">
        <v>9.3119144439697266E-2</v>
      </c>
      <c r="E82" s="422">
        <v>9.5111101865768433E-2</v>
      </c>
      <c r="F82" s="422">
        <v>0.1189127117395401</v>
      </c>
      <c r="G82" s="422">
        <v>9.2304140329360962E-2</v>
      </c>
      <c r="H82" s="422">
        <v>0.12177841365337372</v>
      </c>
      <c r="I82" s="422">
        <v>0.13820217549800873</v>
      </c>
      <c r="J82" s="422">
        <v>0.13346719741821289</v>
      </c>
      <c r="K82" s="422">
        <v>0.12489917874336243</v>
      </c>
      <c r="L82" s="422">
        <v>0.12007161974906921</v>
      </c>
      <c r="M82" s="422">
        <v>0.13023604452610016</v>
      </c>
      <c r="N82" s="422">
        <v>0.12387368828058243</v>
      </c>
      <c r="O82" s="422">
        <v>9.1361813247203827E-2</v>
      </c>
      <c r="P82" s="422">
        <v>0.1008361428976059</v>
      </c>
      <c r="Q82" s="422">
        <v>0.14068745076656342</v>
      </c>
      <c r="R82" s="422">
        <v>0.10353030264377594</v>
      </c>
      <c r="S82" s="422">
        <v>0.11211446672677994</v>
      </c>
      <c r="T82" s="422">
        <v>0.10555128753185272</v>
      </c>
      <c r="U82" s="422">
        <v>0.10707594454288483</v>
      </c>
      <c r="V82" s="422">
        <v>8.9543245732784271E-2</v>
      </c>
      <c r="W82" s="422">
        <v>0.11388467252254486</v>
      </c>
      <c r="X82" s="422">
        <v>0.11576870083808899</v>
      </c>
      <c r="Y82" s="422">
        <v>0.16142274439334869</v>
      </c>
      <c r="Z82" s="422">
        <v>0.11310205608606339</v>
      </c>
      <c r="AA82" s="422">
        <v>0.14721772074699402</v>
      </c>
      <c r="AB82" s="422">
        <v>8.1887990236282349E-2</v>
      </c>
      <c r="AC82" s="422">
        <v>0.1285540908575058</v>
      </c>
      <c r="AD82" s="422">
        <v>0.1087879091501236</v>
      </c>
      <c r="AE82" s="65">
        <f>'User Add-in Location'!B86</f>
        <v>0</v>
      </c>
      <c r="AF82" s="65">
        <f>'User Add-in Location'!C86</f>
        <v>0</v>
      </c>
      <c r="AG82" s="422">
        <v>0.12</v>
      </c>
      <c r="AH82" s="422">
        <v>8.1000000000000003E-2</v>
      </c>
      <c r="AI82" s="422">
        <v>0.13300000000000001</v>
      </c>
      <c r="AJ82" s="422">
        <v>0.127</v>
      </c>
      <c r="AK82" s="422">
        <v>8.2000000000000003E-2</v>
      </c>
      <c r="AL82" s="422">
        <v>0.13600000000000001</v>
      </c>
      <c r="AM82" s="422">
        <v>0.13500000000000001</v>
      </c>
      <c r="AN82" s="422">
        <v>0.105</v>
      </c>
      <c r="AO82" s="422">
        <v>0.125</v>
      </c>
      <c r="AP82" s="422">
        <v>0.106</v>
      </c>
      <c r="AQ82" s="422">
        <v>0.129</v>
      </c>
      <c r="AR82" s="422">
        <v>0.14699999999999999</v>
      </c>
      <c r="AS82" s="422">
        <v>0.13</v>
      </c>
      <c r="AT82" s="422">
        <v>0.1</v>
      </c>
      <c r="AU82" s="422">
        <v>0.105</v>
      </c>
      <c r="AV82" s="422">
        <v>0.122</v>
      </c>
      <c r="AW82" s="422">
        <v>0.122</v>
      </c>
      <c r="AX82" s="422">
        <v>0.16900000000000001</v>
      </c>
      <c r="AY82" s="422">
        <v>0.123</v>
      </c>
      <c r="AZ82" s="422">
        <v>0.106</v>
      </c>
      <c r="BA82" s="422">
        <v>0.121</v>
      </c>
      <c r="BB82" s="422">
        <v>9.1999999999999998E-2</v>
      </c>
      <c r="BC82" s="422">
        <v>8.5999999999999993E-2</v>
      </c>
      <c r="BD82" s="422">
        <v>0.122</v>
      </c>
      <c r="BE82" s="422">
        <v>7.3999999999999996E-2</v>
      </c>
    </row>
    <row r="83" spans="3:57" ht="15" x14ac:dyDescent="0.2">
      <c r="C83" s="6" t="s">
        <v>120</v>
      </c>
      <c r="D83" s="424">
        <v>0.1212228536605835</v>
      </c>
      <c r="E83" s="422">
        <v>8.7370581924915314E-2</v>
      </c>
      <c r="F83" s="422">
        <v>0.16134850680828094</v>
      </c>
      <c r="G83" s="422">
        <v>0.1030617356300354</v>
      </c>
      <c r="H83" s="422">
        <v>0.13312092423439026</v>
      </c>
      <c r="I83" s="422">
        <v>0.17303526401519775</v>
      </c>
      <c r="J83" s="422">
        <v>0.14823374152183533</v>
      </c>
      <c r="K83" s="422">
        <v>7.8486517071723938E-2</v>
      </c>
      <c r="L83" s="422">
        <v>9.4597257673740387E-2</v>
      </c>
      <c r="M83" s="422">
        <v>0.17084799706935883</v>
      </c>
      <c r="N83" s="422">
        <v>0.12836536765098572</v>
      </c>
      <c r="O83" s="422">
        <v>9.5793403685092926E-2</v>
      </c>
      <c r="P83" s="422">
        <v>0.13083672523498535</v>
      </c>
      <c r="Q83" s="422">
        <v>0.14385113120079041</v>
      </c>
      <c r="R83" s="422">
        <v>0.10545159876346588</v>
      </c>
      <c r="S83" s="422">
        <v>0.11123842000961304</v>
      </c>
      <c r="T83" s="422">
        <v>0.12853929400444031</v>
      </c>
      <c r="U83" s="422">
        <v>0.11624178290367126</v>
      </c>
      <c r="V83" s="422">
        <v>0.11114140599966049</v>
      </c>
      <c r="W83" s="422">
        <v>0.11467360705137253</v>
      </c>
      <c r="X83" s="422">
        <v>0.1146174743771553</v>
      </c>
      <c r="Y83" s="422">
        <v>0.15253040194511414</v>
      </c>
      <c r="Z83" s="422">
        <v>0.13255152106285095</v>
      </c>
      <c r="AA83" s="422">
        <v>0.16770584881305695</v>
      </c>
      <c r="AB83" s="422">
        <v>0.10396099090576172</v>
      </c>
      <c r="AC83" s="422">
        <v>0.13008168339729309</v>
      </c>
      <c r="AD83" s="422">
        <v>0.10930600017309189</v>
      </c>
      <c r="AE83" s="65">
        <f>'User Add-in Location'!B87</f>
        <v>0</v>
      </c>
      <c r="AF83" s="65">
        <f>'User Add-in Location'!C87</f>
        <v>0</v>
      </c>
      <c r="AG83" s="422">
        <v>0.126</v>
      </c>
      <c r="AH83" s="422">
        <v>0</v>
      </c>
      <c r="AI83" s="422">
        <v>0.13400000000000001</v>
      </c>
      <c r="AJ83" s="422">
        <v>0.14699999999999999</v>
      </c>
      <c r="AK83" s="422">
        <v>8.3000000000000004E-2</v>
      </c>
      <c r="AL83" s="422">
        <v>0.107</v>
      </c>
      <c r="AM83" s="422">
        <v>0.11700000000000001</v>
      </c>
      <c r="AN83" s="422">
        <v>0.11799999999999999</v>
      </c>
      <c r="AO83" s="422">
        <v>0.122</v>
      </c>
      <c r="AP83" s="422">
        <v>0.13600000000000001</v>
      </c>
      <c r="AQ83" s="422">
        <v>0.11899999999999999</v>
      </c>
      <c r="AR83" s="422">
        <v>0.151</v>
      </c>
      <c r="AS83" s="422">
        <v>0.13400000000000001</v>
      </c>
      <c r="AT83" s="422">
        <v>0.123</v>
      </c>
      <c r="AU83" s="422">
        <v>8.6999999999999994E-2</v>
      </c>
      <c r="AV83" s="422">
        <v>0.13600000000000001</v>
      </c>
      <c r="AW83" s="422">
        <v>0.17899999999999999</v>
      </c>
      <c r="AX83" s="422">
        <v>0.17799999999999999</v>
      </c>
      <c r="AY83" s="422">
        <v>0.14000000000000001</v>
      </c>
      <c r="AZ83" s="422">
        <v>0.11</v>
      </c>
      <c r="BA83" s="422">
        <v>0.11700000000000001</v>
      </c>
      <c r="BB83" s="422">
        <v>0.112</v>
      </c>
      <c r="BC83" s="422">
        <v>8.5000000000000006E-2</v>
      </c>
      <c r="BD83" s="422">
        <v>0.124</v>
      </c>
      <c r="BE83" s="422">
        <v>9.1999999999999998E-2</v>
      </c>
    </row>
    <row r="84" spans="3:57" ht="15" x14ac:dyDescent="0.2">
      <c r="C84" s="6" t="s">
        <v>121</v>
      </c>
      <c r="D84" s="424">
        <v>0.13294753432273865</v>
      </c>
      <c r="E84" s="422">
        <v>0.11684668064117432</v>
      </c>
      <c r="F84" s="422">
        <v>0.16460400819778442</v>
      </c>
      <c r="G84" s="422">
        <v>0.12205473333597183</v>
      </c>
      <c r="H84" s="422">
        <v>0.16490788757801056</v>
      </c>
      <c r="I84" s="422">
        <v>0.17533794045448303</v>
      </c>
      <c r="J84" s="422">
        <v>0.17225322127342224</v>
      </c>
      <c r="K84" s="422">
        <v>0.13065977394580841</v>
      </c>
      <c r="L84" s="422">
        <v>0.10560835897922516</v>
      </c>
      <c r="M84" s="422">
        <v>0.16435229778289795</v>
      </c>
      <c r="N84" s="422">
        <v>0.14623983204364777</v>
      </c>
      <c r="O84" s="422">
        <v>0.12569120526313782</v>
      </c>
      <c r="P84" s="422">
        <v>0.13589277863502502</v>
      </c>
      <c r="Q84" s="422">
        <v>0.15474283695220947</v>
      </c>
      <c r="R84" s="422">
        <v>0.11497385799884796</v>
      </c>
      <c r="S84" s="422">
        <v>0.12907625734806061</v>
      </c>
      <c r="T84" s="422">
        <v>0.14362156391143799</v>
      </c>
      <c r="U84" s="422">
        <v>0.12865158915519714</v>
      </c>
      <c r="V84" s="422">
        <v>0.11516796797513962</v>
      </c>
      <c r="W84" s="422">
        <v>0.15263557434082031</v>
      </c>
      <c r="X84" s="422">
        <v>0.14916887879371643</v>
      </c>
      <c r="Y84" s="422">
        <v>0.18570937216281891</v>
      </c>
      <c r="Z84" s="422">
        <v>0.16055971384048462</v>
      </c>
      <c r="AA84" s="422">
        <v>0.17605225741863251</v>
      </c>
      <c r="AB84" s="422">
        <v>0.10979850590229034</v>
      </c>
      <c r="AC84" s="422">
        <v>0.14981094002723694</v>
      </c>
      <c r="AD84" s="422">
        <v>0.12853869795799255</v>
      </c>
      <c r="AE84" s="65">
        <f>'User Add-in Location'!B88</f>
        <v>0</v>
      </c>
      <c r="AF84" s="65">
        <f>'User Add-in Location'!C88</f>
        <v>0</v>
      </c>
      <c r="AG84" s="422">
        <v>0.13800000000000001</v>
      </c>
      <c r="AH84" s="422">
        <v>0.108</v>
      </c>
      <c r="AI84" s="422">
        <v>0.16500000000000001</v>
      </c>
      <c r="AJ84" s="422">
        <v>0.159</v>
      </c>
      <c r="AK84" s="422">
        <v>0.11700000000000001</v>
      </c>
      <c r="AL84" s="422">
        <v>0.152</v>
      </c>
      <c r="AM84" s="422">
        <v>0.153</v>
      </c>
      <c r="AN84" s="422">
        <v>0.121</v>
      </c>
      <c r="AO84" s="422">
        <v>0.161</v>
      </c>
      <c r="AP84" s="422">
        <v>0.13200000000000001</v>
      </c>
      <c r="AQ84" s="422">
        <v>0.126</v>
      </c>
      <c r="AR84" s="422">
        <v>0.16500000000000001</v>
      </c>
      <c r="AS84" s="422">
        <v>0.17299999999999999</v>
      </c>
      <c r="AT84" s="422">
        <v>0.13500000000000001</v>
      </c>
      <c r="AU84" s="422">
        <v>0.13500000000000001</v>
      </c>
      <c r="AV84" s="422">
        <v>0.15</v>
      </c>
      <c r="AW84" s="422">
        <v>0.151</v>
      </c>
      <c r="AX84" s="422">
        <v>0.20399999999999999</v>
      </c>
      <c r="AY84" s="422">
        <v>0.17299999999999999</v>
      </c>
      <c r="AZ84" s="422">
        <v>0.15</v>
      </c>
      <c r="BA84" s="422">
        <v>0.13600000000000001</v>
      </c>
      <c r="BB84" s="422">
        <v>0.14499999999999999</v>
      </c>
      <c r="BC84" s="422">
        <v>0.11</v>
      </c>
      <c r="BD84" s="422">
        <v>0.14899999999999999</v>
      </c>
      <c r="BE84" s="422">
        <v>9.0999999999999998E-2</v>
      </c>
    </row>
    <row r="85" spans="3:57" ht="15" x14ac:dyDescent="0.2">
      <c r="C85" s="6" t="s">
        <v>122</v>
      </c>
      <c r="D85" s="424">
        <v>0.104117751121521</v>
      </c>
      <c r="E85" s="422">
        <v>9.8827287554740906E-2</v>
      </c>
      <c r="F85" s="422">
        <v>0.13996531069278717</v>
      </c>
      <c r="G85" s="422">
        <v>9.0614117681980133E-2</v>
      </c>
      <c r="H85" s="422">
        <v>0.14683559536933899</v>
      </c>
      <c r="I85" s="422">
        <v>0.14268884062767029</v>
      </c>
      <c r="J85" s="422">
        <v>0.13705037534236908</v>
      </c>
      <c r="K85" s="422">
        <v>0.11443687975406647</v>
      </c>
      <c r="L85" s="422">
        <v>0.11486014723777771</v>
      </c>
      <c r="M85" s="422">
        <v>0.14281739294528961</v>
      </c>
      <c r="N85" s="422">
        <v>0.13639524579048157</v>
      </c>
      <c r="O85" s="422">
        <v>0.10503537207841873</v>
      </c>
      <c r="P85" s="422">
        <v>0.11203065514564514</v>
      </c>
      <c r="Q85" s="422">
        <v>0.14681880176067352</v>
      </c>
      <c r="R85" s="422">
        <v>0.10567130893468857</v>
      </c>
      <c r="S85" s="422">
        <v>0.10642609000205994</v>
      </c>
      <c r="T85" s="422">
        <v>0.11278153955936432</v>
      </c>
      <c r="U85" s="422">
        <v>0.10687348246574402</v>
      </c>
      <c r="V85" s="422">
        <v>9.8583467304706573E-2</v>
      </c>
      <c r="W85" s="422">
        <v>0.12001891434192657</v>
      </c>
      <c r="X85" s="422">
        <v>0.12207952886819839</v>
      </c>
      <c r="Y85" s="422">
        <v>0.15742072463035583</v>
      </c>
      <c r="Z85" s="422">
        <v>0.12826637923717499</v>
      </c>
      <c r="AA85" s="422">
        <v>0.14842784404754639</v>
      </c>
      <c r="AB85" s="422">
        <v>9.162449836730957E-2</v>
      </c>
      <c r="AC85" s="422">
        <v>0.13235506415367126</v>
      </c>
      <c r="AD85" s="422">
        <v>0.10844896733760834</v>
      </c>
      <c r="AE85" s="65">
        <f>'User Add-in Location'!B89</f>
        <v>0</v>
      </c>
      <c r="AF85" s="65">
        <f>'User Add-in Location'!C89</f>
        <v>0</v>
      </c>
      <c r="AG85" s="422">
        <v>0.11899999999999999</v>
      </c>
      <c r="AH85" s="422">
        <v>8.1000000000000003E-2</v>
      </c>
      <c r="AI85" s="422">
        <v>0.127</v>
      </c>
      <c r="AJ85" s="422">
        <v>0.13700000000000001</v>
      </c>
      <c r="AK85" s="422">
        <v>0.1</v>
      </c>
      <c r="AL85" s="422">
        <v>0.14399999999999999</v>
      </c>
      <c r="AM85" s="422">
        <v>0.13400000000000001</v>
      </c>
      <c r="AN85" s="422">
        <v>0.10100000000000001</v>
      </c>
      <c r="AO85" s="422">
        <v>0.13100000000000001</v>
      </c>
      <c r="AP85" s="422">
        <v>0.112</v>
      </c>
      <c r="AQ85" s="422">
        <v>0.124</v>
      </c>
      <c r="AR85" s="422">
        <v>0.13700000000000001</v>
      </c>
      <c r="AS85" s="422">
        <v>0.13500000000000001</v>
      </c>
      <c r="AT85" s="422">
        <v>0.111</v>
      </c>
      <c r="AU85" s="422">
        <v>0.107</v>
      </c>
      <c r="AV85" s="422">
        <v>0.13</v>
      </c>
      <c r="AW85" s="422">
        <v>0.14000000000000001</v>
      </c>
      <c r="AX85" s="422">
        <v>0.19</v>
      </c>
      <c r="AY85" s="422">
        <v>0.13600000000000001</v>
      </c>
      <c r="AZ85" s="422">
        <v>0.11600000000000001</v>
      </c>
      <c r="BA85" s="422">
        <v>0.12</v>
      </c>
      <c r="BB85" s="422">
        <v>0.11700000000000001</v>
      </c>
      <c r="BC85" s="422">
        <v>8.8999999999999996E-2</v>
      </c>
      <c r="BD85" s="422">
        <v>0.11799999999999999</v>
      </c>
      <c r="BE85" s="422">
        <v>7.3999999999999996E-2</v>
      </c>
    </row>
    <row r="86" spans="3:57" ht="15" x14ac:dyDescent="0.2">
      <c r="C86" s="6" t="s">
        <v>48</v>
      </c>
      <c r="D86" s="424">
        <v>3.0096344649791718E-2</v>
      </c>
      <c r="E86" s="422">
        <v>1.3247617520391941E-2</v>
      </c>
      <c r="F86" s="422">
        <v>4.9050662666559219E-2</v>
      </c>
      <c r="G86" s="422">
        <v>2.4140562862157822E-2</v>
      </c>
      <c r="H86" s="422">
        <v>3.6047250032424927E-2</v>
      </c>
      <c r="I86" s="422">
        <v>2.4891838431358337E-2</v>
      </c>
      <c r="J86" s="422">
        <v>6.2673158943653107E-2</v>
      </c>
      <c r="K86" s="422">
        <v>6.703048013150692E-3</v>
      </c>
      <c r="L86" s="422">
        <v>3.579186275601387E-3</v>
      </c>
      <c r="M86" s="422">
        <v>2.7407893911004066E-2</v>
      </c>
      <c r="N86" s="422">
        <v>5.3729335777461529E-3</v>
      </c>
      <c r="O86" s="422">
        <v>1.7382422462105751E-2</v>
      </c>
      <c r="P86" s="422">
        <v>3.3285051584243774E-2</v>
      </c>
      <c r="Q86" s="422">
        <v>1.6908090561628342E-2</v>
      </c>
      <c r="R86" s="422">
        <v>1.7933908849954605E-2</v>
      </c>
      <c r="S86" s="422">
        <v>2.5150233879685402E-2</v>
      </c>
      <c r="T86" s="422">
        <v>2.9020193964242935E-2</v>
      </c>
      <c r="U86" s="422">
        <v>2.6450889185070992E-2</v>
      </c>
      <c r="V86" s="422">
        <v>3.8226228207349777E-2</v>
      </c>
      <c r="W86" s="422">
        <v>2.9472479596734047E-2</v>
      </c>
      <c r="X86" s="422">
        <v>8.7959356606006622E-3</v>
      </c>
      <c r="Y86" s="422">
        <v>1.4215687289834023E-2</v>
      </c>
      <c r="Z86" s="422">
        <v>2.3091617971658707E-2</v>
      </c>
      <c r="AA86" s="422">
        <v>5.3328033536672592E-2</v>
      </c>
      <c r="AB86" s="422">
        <v>1.9650779664516449E-2</v>
      </c>
      <c r="AC86" s="422">
        <v>2.8532272204756737E-2</v>
      </c>
      <c r="AD86" s="422">
        <v>2.9148992151021957E-2</v>
      </c>
      <c r="AE86" s="65">
        <f>'User Add-in Location'!B90</f>
        <v>0</v>
      </c>
      <c r="AF86" s="65">
        <f>'User Add-in Location'!C90</f>
        <v>0</v>
      </c>
      <c r="AG86" s="422">
        <v>2.5999999999999999E-2</v>
      </c>
      <c r="AH86" s="422">
        <v>4.8000000000000001E-2</v>
      </c>
      <c r="AI86" s="422">
        <v>2.1999999999999999E-2</v>
      </c>
      <c r="AJ86" s="422">
        <v>0.02</v>
      </c>
      <c r="AK86" s="422">
        <v>3.1E-2</v>
      </c>
      <c r="AL86" s="422">
        <v>0.04</v>
      </c>
      <c r="AM86" s="422">
        <v>1.6E-2</v>
      </c>
      <c r="AN86" s="422">
        <v>7.2999999999999995E-2</v>
      </c>
      <c r="AO86" s="422">
        <v>2.1999999999999999E-2</v>
      </c>
      <c r="AP86" s="422">
        <v>6.7000000000000004E-2</v>
      </c>
      <c r="AQ86" s="422">
        <v>3.4000000000000002E-2</v>
      </c>
      <c r="AR86" s="422">
        <v>3.4000000000000002E-2</v>
      </c>
      <c r="AS86" s="422">
        <v>1.4E-2</v>
      </c>
      <c r="AT86" s="422">
        <v>2.5999999999999999E-2</v>
      </c>
      <c r="AU86" s="422">
        <v>6.6000000000000003E-2</v>
      </c>
      <c r="AV86" s="422">
        <v>4.2000000000000003E-2</v>
      </c>
      <c r="AW86" s="422">
        <v>3.1E-2</v>
      </c>
      <c r="AX86" s="422">
        <v>4.2999999999999997E-2</v>
      </c>
      <c r="AY86" s="422">
        <v>2.1000000000000001E-2</v>
      </c>
      <c r="AZ86" s="422">
        <v>1.2999999999999999E-2</v>
      </c>
      <c r="BA86" s="422">
        <v>2.4E-2</v>
      </c>
      <c r="BB86" s="422">
        <v>5.0999999999999997E-2</v>
      </c>
      <c r="BC86" s="422">
        <v>2.5999999999999999E-2</v>
      </c>
      <c r="BD86" s="422">
        <v>3.5999999999999997E-2</v>
      </c>
      <c r="BE86" s="422">
        <v>2.3E-2</v>
      </c>
    </row>
    <row r="87" spans="3:57" ht="15" x14ac:dyDescent="0.2">
      <c r="C87" s="5"/>
      <c r="D87" s="424"/>
      <c r="E87" s="422"/>
      <c r="F87" s="422"/>
      <c r="G87" s="422"/>
      <c r="H87" s="422"/>
      <c r="I87" s="422"/>
      <c r="J87" s="422"/>
      <c r="K87" s="422"/>
      <c r="L87" s="422"/>
      <c r="M87" s="422"/>
      <c r="N87" s="422"/>
      <c r="O87" s="422"/>
      <c r="P87" s="422"/>
      <c r="Q87" s="422"/>
      <c r="R87" s="422"/>
      <c r="S87" s="422"/>
      <c r="T87" s="422"/>
      <c r="U87" s="422"/>
      <c r="V87" s="422"/>
      <c r="W87" s="422"/>
      <c r="X87" s="422"/>
      <c r="Y87" s="422"/>
      <c r="Z87" s="422"/>
      <c r="AA87" s="422"/>
      <c r="AB87" s="422"/>
      <c r="AC87" s="422"/>
      <c r="AD87" s="422"/>
      <c r="AG87" s="422"/>
      <c r="AH87" s="422"/>
      <c r="AI87" s="422"/>
      <c r="AJ87" s="422"/>
      <c r="AK87" s="422"/>
      <c r="AL87" s="422"/>
      <c r="AM87" s="422"/>
      <c r="AN87" s="422"/>
      <c r="AO87" s="422"/>
      <c r="AP87" s="422"/>
      <c r="AQ87" s="422"/>
      <c r="AR87" s="422"/>
      <c r="AS87" s="422"/>
      <c r="AT87" s="422"/>
      <c r="AU87" s="422"/>
      <c r="AV87" s="422"/>
      <c r="AW87" s="422"/>
      <c r="AX87" s="422"/>
      <c r="AY87" s="422"/>
      <c r="AZ87" s="422"/>
      <c r="BA87" s="422"/>
      <c r="BB87" s="422"/>
      <c r="BC87" s="422"/>
      <c r="BD87" s="422"/>
      <c r="BE87" s="422"/>
    </row>
    <row r="88" spans="3:57" ht="14.25" customHeight="1" x14ac:dyDescent="0.2">
      <c r="C88" s="17" t="s">
        <v>199</v>
      </c>
      <c r="D88" s="424"/>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22"/>
      <c r="BC88" s="422"/>
      <c r="BD88" s="422"/>
      <c r="BE88" s="422"/>
    </row>
    <row r="89" spans="3:57" ht="25.5" customHeight="1" x14ac:dyDescent="0.2">
      <c r="C89" s="125" t="s">
        <v>206</v>
      </c>
      <c r="D89" s="424" t="s">
        <v>50</v>
      </c>
      <c r="E89" s="422" t="s">
        <v>51</v>
      </c>
      <c r="F89" s="422" t="s">
        <v>52</v>
      </c>
      <c r="G89" s="422" t="s">
        <v>53</v>
      </c>
      <c r="H89" s="422" t="s">
        <v>54</v>
      </c>
      <c r="I89" s="422" t="s">
        <v>55</v>
      </c>
      <c r="J89" s="422" t="s">
        <v>56</v>
      </c>
      <c r="K89" s="422" t="s">
        <v>57</v>
      </c>
      <c r="L89" s="422" t="s">
        <v>58</v>
      </c>
      <c r="M89" s="422" t="s">
        <v>59</v>
      </c>
      <c r="N89" s="422" t="s">
        <v>60</v>
      </c>
      <c r="O89" s="422" t="s">
        <v>61</v>
      </c>
      <c r="P89" s="422" t="s">
        <v>62</v>
      </c>
      <c r="Q89" s="422" t="s">
        <v>63</v>
      </c>
      <c r="R89" s="422" t="s">
        <v>64</v>
      </c>
      <c r="S89" s="422" t="s">
        <v>65</v>
      </c>
      <c r="T89" s="422" t="s">
        <v>66</v>
      </c>
      <c r="U89" s="422" t="s">
        <v>67</v>
      </c>
      <c r="V89" s="422" t="s">
        <v>68</v>
      </c>
      <c r="W89" s="422" t="s">
        <v>69</v>
      </c>
      <c r="X89" s="422" t="s">
        <v>70</v>
      </c>
      <c r="Y89" s="422" t="s">
        <v>71</v>
      </c>
      <c r="Z89" s="422" t="s">
        <v>72</v>
      </c>
      <c r="AA89" s="422" t="s">
        <v>73</v>
      </c>
      <c r="AB89" s="422" t="s">
        <v>74</v>
      </c>
      <c r="AC89" s="422" t="s">
        <v>75</v>
      </c>
      <c r="AD89" s="422" t="s">
        <v>76</v>
      </c>
      <c r="AE89" s="65" t="s">
        <v>233</v>
      </c>
      <c r="AF89" s="65" t="s">
        <v>232</v>
      </c>
      <c r="AG89" s="422" t="s">
        <v>77</v>
      </c>
      <c r="AH89" s="422" t="s">
        <v>78</v>
      </c>
      <c r="AI89" s="422" t="s">
        <v>79</v>
      </c>
      <c r="AJ89" s="422" t="s">
        <v>80</v>
      </c>
      <c r="AK89" s="422" t="s">
        <v>81</v>
      </c>
      <c r="AL89" s="422" t="s">
        <v>82</v>
      </c>
      <c r="AM89" s="422" t="s">
        <v>83</v>
      </c>
      <c r="AN89" s="422" t="s">
        <v>84</v>
      </c>
      <c r="AO89" s="422" t="s">
        <v>85</v>
      </c>
      <c r="AP89" s="422" t="s">
        <v>86</v>
      </c>
      <c r="AQ89" s="422" t="s">
        <v>87</v>
      </c>
      <c r="AR89" s="422" t="s">
        <v>88</v>
      </c>
      <c r="AS89" s="422" t="s">
        <v>89</v>
      </c>
      <c r="AT89" s="422" t="s">
        <v>90</v>
      </c>
      <c r="AU89" s="422" t="s">
        <v>91</v>
      </c>
      <c r="AV89" s="422" t="s">
        <v>92</v>
      </c>
      <c r="AW89" s="422" t="s">
        <v>93</v>
      </c>
      <c r="AX89" s="422" t="s">
        <v>394</v>
      </c>
      <c r="AY89" s="422" t="s">
        <v>94</v>
      </c>
      <c r="AZ89" s="422" t="s">
        <v>95</v>
      </c>
      <c r="BA89" s="422" t="s">
        <v>96</v>
      </c>
      <c r="BB89" s="422" t="s">
        <v>97</v>
      </c>
      <c r="BC89" s="422" t="s">
        <v>98</v>
      </c>
      <c r="BD89" s="422" t="s">
        <v>99</v>
      </c>
      <c r="BE89" s="422" t="s">
        <v>49</v>
      </c>
    </row>
    <row r="90" spans="3:57" ht="15" x14ac:dyDescent="0.2">
      <c r="C90" s="6" t="s">
        <v>44</v>
      </c>
      <c r="D90" s="424">
        <v>8.3892978727817535E-2</v>
      </c>
      <c r="E90" s="422">
        <v>9.62686687707901E-2</v>
      </c>
      <c r="F90" s="422">
        <v>0.10661719739437103</v>
      </c>
      <c r="G90" s="422">
        <v>7.6751045882701874E-2</v>
      </c>
      <c r="H90" s="422">
        <v>0.15616044402122498</v>
      </c>
      <c r="I90" s="422">
        <v>9.8296791315078735E-2</v>
      </c>
      <c r="J90" s="422">
        <v>9.0038023889064789E-2</v>
      </c>
      <c r="K90" s="422">
        <v>6.4138822257518768E-2</v>
      </c>
      <c r="L90" s="422">
        <v>4.4611047953367233E-2</v>
      </c>
      <c r="M90" s="422">
        <v>0.13741646707057953</v>
      </c>
      <c r="N90" s="422">
        <v>0.14855280518531799</v>
      </c>
      <c r="O90" s="422">
        <v>0.12125083059072495</v>
      </c>
      <c r="P90" s="422">
        <v>0.10600273311138153</v>
      </c>
      <c r="Q90" s="422">
        <v>0.1958870142698288</v>
      </c>
      <c r="R90" s="422">
        <v>0.10601475089788437</v>
      </c>
      <c r="S90" s="422">
        <v>7.924063503742218E-2</v>
      </c>
      <c r="T90" s="422">
        <v>8.1539712846279144E-2</v>
      </c>
      <c r="U90" s="422">
        <v>8.3630830049514771E-2</v>
      </c>
      <c r="V90" s="422">
        <v>9.5777988433837891E-2</v>
      </c>
      <c r="W90" s="422">
        <v>0.11782822012901306</v>
      </c>
      <c r="X90" s="422">
        <v>8.0300197005271912E-2</v>
      </c>
      <c r="Y90" s="422">
        <v>0.14542645215988159</v>
      </c>
      <c r="Z90" s="422">
        <v>0.10039496421813965</v>
      </c>
      <c r="AA90" s="422">
        <v>0.11544457823038101</v>
      </c>
      <c r="AB90" s="422">
        <v>8.2040153443813324E-2</v>
      </c>
      <c r="AC90" s="422">
        <v>9.7378179430961609E-2</v>
      </c>
      <c r="AD90" s="422">
        <v>6.0367252677679062E-2</v>
      </c>
      <c r="AE90" s="65">
        <f>'User Add-in Location'!B94</f>
        <v>0</v>
      </c>
      <c r="AF90" s="65">
        <f>'User Add-in Location'!C94</f>
        <v>0</v>
      </c>
      <c r="AG90" s="422">
        <v>8.7999999999999995E-2</v>
      </c>
      <c r="AH90" s="422">
        <v>5.0999999999999997E-2</v>
      </c>
      <c r="AI90" s="422">
        <v>0.1</v>
      </c>
      <c r="AJ90" s="422">
        <v>0.159</v>
      </c>
      <c r="AK90" s="422">
        <v>9.4E-2</v>
      </c>
      <c r="AL90" s="422">
        <v>0.104</v>
      </c>
      <c r="AM90" s="422">
        <v>9.9000000000000005E-2</v>
      </c>
      <c r="AN90" s="422">
        <v>4.9000000000000002E-2</v>
      </c>
      <c r="AO90" s="422">
        <v>0.10100000000000001</v>
      </c>
      <c r="AP90" s="422">
        <v>0.05</v>
      </c>
      <c r="AQ90" s="422">
        <v>0.13</v>
      </c>
      <c r="AR90" s="422">
        <v>9.0999999999999998E-2</v>
      </c>
      <c r="AS90" s="422">
        <v>0.10100000000000001</v>
      </c>
      <c r="AT90" s="422">
        <v>8.3000000000000004E-2</v>
      </c>
      <c r="AU90" s="422">
        <v>9.2999999999999999E-2</v>
      </c>
      <c r="AV90" s="422">
        <v>8.5999999999999993E-2</v>
      </c>
      <c r="AW90" s="422">
        <v>8.1000000000000003E-2</v>
      </c>
      <c r="AX90" s="422">
        <v>0.222</v>
      </c>
      <c r="AY90" s="422">
        <v>6.0999999999999999E-2</v>
      </c>
      <c r="AZ90" s="422">
        <v>7.6999999999999999E-2</v>
      </c>
      <c r="BA90" s="422">
        <v>6.4000000000000001E-2</v>
      </c>
      <c r="BB90" s="422">
        <v>0.13400000000000001</v>
      </c>
      <c r="BC90" s="422">
        <v>0.02</v>
      </c>
      <c r="BD90" s="422">
        <v>0.10199999999999999</v>
      </c>
      <c r="BE90" s="422">
        <v>0.03</v>
      </c>
    </row>
    <row r="91" spans="3:57" ht="15" x14ac:dyDescent="0.2">
      <c r="C91" s="6" t="s">
        <v>114</v>
      </c>
      <c r="D91" s="424">
        <v>4.4755861163139343E-2</v>
      </c>
      <c r="E91" s="422">
        <v>3.50041463971138E-2</v>
      </c>
      <c r="F91" s="422">
        <v>7.8195624053478241E-2</v>
      </c>
      <c r="G91" s="422">
        <v>5.7996105402708054E-2</v>
      </c>
      <c r="H91" s="422">
        <v>8.6955055594444275E-2</v>
      </c>
      <c r="I91" s="422">
        <v>0.13710924983024597</v>
      </c>
      <c r="J91" s="422">
        <v>9.3757420778274536E-2</v>
      </c>
      <c r="K91" s="422">
        <v>0.1298501193523407</v>
      </c>
      <c r="L91" s="422">
        <v>4.0428776293992996E-2</v>
      </c>
      <c r="M91" s="422">
        <v>7.2773553431034088E-2</v>
      </c>
      <c r="N91" s="422">
        <v>9.2639632523059845E-2</v>
      </c>
      <c r="O91" s="422">
        <v>5.6360609829425812E-2</v>
      </c>
      <c r="P91" s="422">
        <v>6.1931557953357697E-2</v>
      </c>
      <c r="Q91" s="422">
        <v>8.5046350955963135E-2</v>
      </c>
      <c r="R91" s="422">
        <v>7.2052724659442902E-2</v>
      </c>
      <c r="S91" s="422">
        <v>5.3391110152006149E-2</v>
      </c>
      <c r="T91" s="422">
        <v>9.5279909670352936E-2</v>
      </c>
      <c r="U91" s="422">
        <v>5.1262006163597107E-2</v>
      </c>
      <c r="V91" s="422">
        <v>6.1023060232400894E-2</v>
      </c>
      <c r="W91" s="422">
        <v>6.022363156080246E-2</v>
      </c>
      <c r="X91" s="422">
        <v>6.9353707134723663E-2</v>
      </c>
      <c r="Y91" s="422">
        <v>0.1349848210811615</v>
      </c>
      <c r="Z91" s="422">
        <v>9.6948757767677307E-2</v>
      </c>
      <c r="AA91" s="422">
        <v>9.5228970050811768E-2</v>
      </c>
      <c r="AB91" s="422">
        <v>6.8318605422973633E-2</v>
      </c>
      <c r="AC91" s="422">
        <v>7.2678081691265106E-2</v>
      </c>
      <c r="AD91" s="422">
        <v>7.3473773896694183E-2</v>
      </c>
      <c r="AE91" s="65">
        <f>'User Add-in Location'!B95</f>
        <v>0</v>
      </c>
      <c r="AF91" s="65">
        <f>'User Add-in Location'!C95</f>
        <v>0</v>
      </c>
      <c r="AG91" s="422">
        <v>7.0000000000000007E-2</v>
      </c>
      <c r="AH91" s="422">
        <v>4.7E-2</v>
      </c>
      <c r="AI91" s="422">
        <v>7.8E-2</v>
      </c>
      <c r="AJ91" s="422">
        <v>0.154</v>
      </c>
      <c r="AK91" s="422">
        <v>5.6000000000000001E-2</v>
      </c>
      <c r="AL91" s="422">
        <v>0.14000000000000001</v>
      </c>
      <c r="AM91" s="422">
        <v>5.0999999999999997E-2</v>
      </c>
      <c r="AN91" s="422">
        <v>6.5000000000000002E-2</v>
      </c>
      <c r="AO91" s="422">
        <v>9.8000000000000004E-2</v>
      </c>
      <c r="AP91" s="422">
        <v>0.107</v>
      </c>
      <c r="AQ91" s="422">
        <v>7.5999999999999998E-2</v>
      </c>
      <c r="AR91" s="422">
        <v>9.8000000000000004E-2</v>
      </c>
      <c r="AS91" s="422">
        <v>9.4E-2</v>
      </c>
      <c r="AT91" s="422">
        <v>4.7E-2</v>
      </c>
      <c r="AU91" s="422">
        <v>5.3999999999999999E-2</v>
      </c>
      <c r="AV91" s="422">
        <v>7.0000000000000007E-2</v>
      </c>
      <c r="AW91" s="422">
        <v>0.109</v>
      </c>
      <c r="AX91" s="422">
        <v>0.185</v>
      </c>
      <c r="AY91" s="422">
        <v>8.7999999999999995E-2</v>
      </c>
      <c r="AZ91" s="422">
        <v>0.05</v>
      </c>
      <c r="BA91" s="422">
        <v>8.8999999999999996E-2</v>
      </c>
      <c r="BB91" s="422">
        <v>5.7000000000000002E-2</v>
      </c>
      <c r="BC91" s="422">
        <v>5.0999999999999997E-2</v>
      </c>
      <c r="BD91" s="422">
        <v>6.9000000000000006E-2</v>
      </c>
      <c r="BE91" s="422">
        <v>3.1E-2</v>
      </c>
    </row>
    <row r="92" spans="3:57" ht="15" x14ac:dyDescent="0.2">
      <c r="C92" s="6" t="s">
        <v>45</v>
      </c>
      <c r="D92" s="424">
        <v>9.2784799635410309E-2</v>
      </c>
      <c r="E92" s="422">
        <v>9.4850577414035797E-2</v>
      </c>
      <c r="F92" s="422">
        <v>0.13427571952342987</v>
      </c>
      <c r="G92" s="422">
        <v>7.9268254339694977E-2</v>
      </c>
      <c r="H92" s="422">
        <v>0.15672792494297028</v>
      </c>
      <c r="I92" s="422">
        <v>0.14918476343154907</v>
      </c>
      <c r="J92" s="422">
        <v>0.15283538401126862</v>
      </c>
      <c r="K92" s="422">
        <v>0.11497493088245392</v>
      </c>
      <c r="L92" s="422">
        <v>5.0399500876665115E-2</v>
      </c>
      <c r="M92" s="422">
        <v>0.12760995328426361</v>
      </c>
      <c r="N92" s="422">
        <v>0.12497276067733765</v>
      </c>
      <c r="O92" s="422">
        <v>0.10240647941827774</v>
      </c>
      <c r="P92" s="422">
        <v>8.5760995745658875E-2</v>
      </c>
      <c r="Q92" s="422">
        <v>0.15348105132579803</v>
      </c>
      <c r="R92" s="422">
        <v>0.10415621101856232</v>
      </c>
      <c r="S92" s="422">
        <v>9.6112310886383057E-2</v>
      </c>
      <c r="T92" s="422">
        <v>0.1001310721039772</v>
      </c>
      <c r="U92" s="422">
        <v>9.0441331267356873E-2</v>
      </c>
      <c r="V92" s="422">
        <v>9.109111875295639E-2</v>
      </c>
      <c r="W92" s="422">
        <v>0.11062056571245193</v>
      </c>
      <c r="X92" s="422">
        <v>0.12998422980308533</v>
      </c>
      <c r="Y92" s="422">
        <v>0.16709764301776886</v>
      </c>
      <c r="Z92" s="422">
        <v>0.1282079815864563</v>
      </c>
      <c r="AA92" s="422">
        <v>0.15181812644004822</v>
      </c>
      <c r="AB92" s="422">
        <v>6.9012656807899475E-2</v>
      </c>
      <c r="AC92" s="422">
        <v>0.13086193799972534</v>
      </c>
      <c r="AD92" s="422">
        <v>8.4445223212242126E-2</v>
      </c>
      <c r="AE92" s="65">
        <f>'User Add-in Location'!B96</f>
        <v>0</v>
      </c>
      <c r="AF92" s="65">
        <f>'User Add-in Location'!C96</f>
        <v>0</v>
      </c>
      <c r="AG92" s="422">
        <v>0.105</v>
      </c>
      <c r="AH92" s="422">
        <v>6.6000000000000003E-2</v>
      </c>
      <c r="AI92" s="422">
        <v>0.157</v>
      </c>
      <c r="AJ92" s="422">
        <v>0.16</v>
      </c>
      <c r="AK92" s="422">
        <v>7.0999999999999994E-2</v>
      </c>
      <c r="AL92" s="422">
        <v>0.13</v>
      </c>
      <c r="AM92" s="422">
        <v>0.123</v>
      </c>
      <c r="AN92" s="422">
        <v>0.09</v>
      </c>
      <c r="AO92" s="422">
        <v>0.14199999999999999</v>
      </c>
      <c r="AP92" s="422">
        <v>0.10299999999999999</v>
      </c>
      <c r="AQ92" s="422">
        <v>0.127</v>
      </c>
      <c r="AR92" s="422">
        <v>0.16200000000000001</v>
      </c>
      <c r="AS92" s="422">
        <v>0.127</v>
      </c>
      <c r="AT92" s="422">
        <v>8.7999999999999995E-2</v>
      </c>
      <c r="AU92" s="422">
        <v>8.8999999999999996E-2</v>
      </c>
      <c r="AV92" s="422">
        <v>0.14899999999999999</v>
      </c>
      <c r="AW92" s="422">
        <v>0.14000000000000001</v>
      </c>
      <c r="AX92" s="422">
        <v>0.26800000000000002</v>
      </c>
      <c r="AY92" s="422">
        <v>0.128</v>
      </c>
      <c r="AZ92" s="422">
        <v>0.105</v>
      </c>
      <c r="BA92" s="422">
        <v>0.12</v>
      </c>
      <c r="BB92" s="422">
        <v>0.12</v>
      </c>
      <c r="BC92" s="422">
        <v>8.2000000000000003E-2</v>
      </c>
      <c r="BD92" s="422">
        <v>0.122</v>
      </c>
      <c r="BE92" s="422">
        <v>4.9000000000000002E-2</v>
      </c>
    </row>
    <row r="93" spans="3:57" ht="15" x14ac:dyDescent="0.2">
      <c r="C93" s="6" t="s">
        <v>115</v>
      </c>
      <c r="D93" s="424">
        <v>4.6516589820384979E-2</v>
      </c>
      <c r="E93" s="422">
        <v>3.9900500327348709E-2</v>
      </c>
      <c r="F93" s="422">
        <v>9.2621862888336182E-2</v>
      </c>
      <c r="G93" s="422">
        <v>4.6010673046112061E-2</v>
      </c>
      <c r="H93" s="422">
        <v>0.10477171093225479</v>
      </c>
      <c r="I93" s="422">
        <v>9.9144786596298218E-2</v>
      </c>
      <c r="J93" s="422">
        <v>9.8769955337047577E-2</v>
      </c>
      <c r="K93" s="422">
        <v>5.3028371185064316E-2</v>
      </c>
      <c r="L93" s="422">
        <v>3.0698131769895554E-2</v>
      </c>
      <c r="M93" s="422">
        <v>8.9334174990653992E-2</v>
      </c>
      <c r="N93" s="422">
        <v>7.588813453912735E-2</v>
      </c>
      <c r="O93" s="422">
        <v>4.7534074634313583E-2</v>
      </c>
      <c r="P93" s="422">
        <v>4.9845762550830841E-2</v>
      </c>
      <c r="Q93" s="422">
        <v>9.2129886150360107E-2</v>
      </c>
      <c r="R93" s="422">
        <v>5.1708217710256577E-2</v>
      </c>
      <c r="S93" s="422">
        <v>5.2446924149990082E-2</v>
      </c>
      <c r="T93" s="422">
        <v>5.8692503720521927E-2</v>
      </c>
      <c r="U93" s="422">
        <v>4.5409068465232849E-2</v>
      </c>
      <c r="V93" s="422">
        <v>3.2981563359498978E-2</v>
      </c>
      <c r="W93" s="422">
        <v>7.0134282112121582E-2</v>
      </c>
      <c r="X93" s="422">
        <v>7.046934962272644E-2</v>
      </c>
      <c r="Y93" s="422">
        <v>0.10544927418231964</v>
      </c>
      <c r="Z93" s="422">
        <v>7.3988087475299835E-2</v>
      </c>
      <c r="AA93" s="422">
        <v>0.1021595373749733</v>
      </c>
      <c r="AB93" s="422">
        <v>3.626222163438797E-2</v>
      </c>
      <c r="AC93" s="422">
        <v>6.9123134016990662E-2</v>
      </c>
      <c r="AD93" s="422">
        <v>3.5684484988451004E-2</v>
      </c>
      <c r="AE93" s="65">
        <f>'User Add-in Location'!B97</f>
        <v>0</v>
      </c>
      <c r="AF93" s="65">
        <f>'User Add-in Location'!C97</f>
        <v>0</v>
      </c>
      <c r="AG93" s="422">
        <v>5.2999999999999999E-2</v>
      </c>
      <c r="AH93" s="422">
        <v>4.2999999999999997E-2</v>
      </c>
      <c r="AI93" s="422">
        <v>9.7000000000000003E-2</v>
      </c>
      <c r="AJ93" s="422">
        <v>8.8999999999999996E-2</v>
      </c>
      <c r="AK93" s="422">
        <v>3.6999999999999998E-2</v>
      </c>
      <c r="AL93" s="422">
        <v>7.8E-2</v>
      </c>
      <c r="AM93" s="422">
        <v>6.6000000000000003E-2</v>
      </c>
      <c r="AN93" s="422">
        <v>4.1000000000000002E-2</v>
      </c>
      <c r="AO93" s="422">
        <v>7.8E-2</v>
      </c>
      <c r="AP93" s="422">
        <v>6.2E-2</v>
      </c>
      <c r="AQ93" s="422">
        <v>7.8E-2</v>
      </c>
      <c r="AR93" s="422">
        <v>9.0999999999999998E-2</v>
      </c>
      <c r="AS93" s="422">
        <v>8.5999999999999993E-2</v>
      </c>
      <c r="AT93" s="422">
        <v>0.05</v>
      </c>
      <c r="AU93" s="422">
        <v>5.2999999999999999E-2</v>
      </c>
      <c r="AV93" s="422">
        <v>7.2999999999999995E-2</v>
      </c>
      <c r="AW93" s="422">
        <v>7.4999999999999997E-2</v>
      </c>
      <c r="AX93" s="422">
        <v>0.19500000000000001</v>
      </c>
      <c r="AY93" s="422">
        <v>7.1999999999999995E-2</v>
      </c>
      <c r="AZ93" s="422">
        <v>6.2E-2</v>
      </c>
      <c r="BA93" s="422">
        <v>6.4000000000000001E-2</v>
      </c>
      <c r="BB93" s="422">
        <v>6.8000000000000005E-2</v>
      </c>
      <c r="BC93" s="422">
        <v>3.7999999999999999E-2</v>
      </c>
      <c r="BD93" s="422">
        <v>7.6999999999999999E-2</v>
      </c>
      <c r="BE93" s="422">
        <v>1.7999999999999999E-2</v>
      </c>
    </row>
    <row r="94" spans="3:57" ht="15" x14ac:dyDescent="0.2">
      <c r="C94" s="6" t="s">
        <v>116</v>
      </c>
      <c r="D94" s="424">
        <v>6.7896567285060883E-2</v>
      </c>
      <c r="E94" s="422">
        <v>6.8550817668437958E-2</v>
      </c>
      <c r="F94" s="422">
        <v>0.11569300293922424</v>
      </c>
      <c r="G94" s="422">
        <v>6.1295654624700546E-2</v>
      </c>
      <c r="H94" s="422">
        <v>0.13778650760650635</v>
      </c>
      <c r="I94" s="422">
        <v>0.11446092277765274</v>
      </c>
      <c r="J94" s="422">
        <v>0.1222875714302063</v>
      </c>
      <c r="K94" s="422">
        <v>8.8442690670490265E-2</v>
      </c>
      <c r="L94" s="422">
        <v>0</v>
      </c>
      <c r="M94" s="422">
        <v>0.11463059484958649</v>
      </c>
      <c r="N94" s="422">
        <v>0.10013797879219055</v>
      </c>
      <c r="O94" s="422">
        <v>7.905106246471405E-2</v>
      </c>
      <c r="P94" s="422">
        <v>6.9521725177764893E-2</v>
      </c>
      <c r="Q94" s="422">
        <v>0.13326191902160645</v>
      </c>
      <c r="R94" s="422">
        <v>7.7486306428909302E-2</v>
      </c>
      <c r="S94" s="422">
        <v>7.1745075285434723E-2</v>
      </c>
      <c r="T94" s="422">
        <v>7.4250966310501099E-2</v>
      </c>
      <c r="U94" s="422">
        <v>7.7844396233558655E-2</v>
      </c>
      <c r="V94" s="422">
        <v>6.8947523832321167E-2</v>
      </c>
      <c r="W94" s="422">
        <v>8.8256746530532837E-2</v>
      </c>
      <c r="X94" s="422">
        <v>9.9115386605262756E-2</v>
      </c>
      <c r="Y94" s="422">
        <v>0.13775575160980225</v>
      </c>
      <c r="Z94" s="422">
        <v>0.11227146536111832</v>
      </c>
      <c r="AA94" s="422">
        <v>0.14200146496295929</v>
      </c>
      <c r="AB94" s="422">
        <v>5.5036850273609161E-2</v>
      </c>
      <c r="AC94" s="422">
        <v>0.10334532707929611</v>
      </c>
      <c r="AD94" s="422">
        <v>6.8319648504257202E-2</v>
      </c>
      <c r="AE94" s="65">
        <f>'User Add-in Location'!B98</f>
        <v>0</v>
      </c>
      <c r="AF94" s="65">
        <f>'User Add-in Location'!C98</f>
        <v>0</v>
      </c>
      <c r="AG94" s="422">
        <v>7.4999999999999997E-2</v>
      </c>
      <c r="AH94" s="422">
        <v>5.5E-2</v>
      </c>
      <c r="AI94" s="422">
        <v>0.114</v>
      </c>
      <c r="AJ94" s="422">
        <v>0.13400000000000001</v>
      </c>
      <c r="AK94" s="422">
        <v>5.0999999999999997E-2</v>
      </c>
      <c r="AL94" s="422">
        <v>0.108</v>
      </c>
      <c r="AM94" s="422">
        <v>9.8000000000000004E-2</v>
      </c>
      <c r="AN94" s="422">
        <v>6.0999999999999999E-2</v>
      </c>
      <c r="AO94" s="422">
        <v>0.11700000000000001</v>
      </c>
      <c r="AP94" s="422">
        <v>0.08</v>
      </c>
      <c r="AQ94" s="422">
        <v>0.10199999999999999</v>
      </c>
      <c r="AR94" s="422">
        <v>0.128</v>
      </c>
      <c r="AS94" s="422">
        <v>0.112</v>
      </c>
      <c r="AT94" s="422">
        <v>7.6999999999999999E-2</v>
      </c>
      <c r="AU94" s="422">
        <v>6.2E-2</v>
      </c>
      <c r="AV94" s="422">
        <v>0.11700000000000001</v>
      </c>
      <c r="AW94" s="422">
        <v>0.113</v>
      </c>
      <c r="AX94" s="422">
        <v>0.246</v>
      </c>
      <c r="AY94" s="422">
        <v>0.10100000000000001</v>
      </c>
      <c r="AZ94" s="422">
        <v>8.6999999999999994E-2</v>
      </c>
      <c r="BA94" s="422">
        <v>0.104</v>
      </c>
      <c r="BB94" s="422">
        <v>9.5000000000000001E-2</v>
      </c>
      <c r="BC94" s="422">
        <v>5.7000000000000002E-2</v>
      </c>
      <c r="BD94" s="422">
        <v>0.104</v>
      </c>
      <c r="BE94" s="422">
        <v>3.5000000000000003E-2</v>
      </c>
    </row>
    <row r="95" spans="3:57" ht="15" x14ac:dyDescent="0.2">
      <c r="C95" s="6" t="s">
        <v>117</v>
      </c>
      <c r="D95" s="424">
        <v>4.7418523579835892E-2</v>
      </c>
      <c r="E95" s="422">
        <v>4.4291868805885315E-2</v>
      </c>
      <c r="F95" s="422">
        <v>8.2100264728069305E-2</v>
      </c>
      <c r="G95" s="422">
        <v>4.6125687658786774E-2</v>
      </c>
      <c r="H95" s="422">
        <v>0.11371129751205444</v>
      </c>
      <c r="I95" s="422">
        <v>8.8648810982704163E-2</v>
      </c>
      <c r="J95" s="422">
        <v>0.1008140817284584</v>
      </c>
      <c r="K95" s="422">
        <v>7.7703632414340973E-2</v>
      </c>
      <c r="L95" s="422">
        <v>3.2205134630203247E-2</v>
      </c>
      <c r="M95" s="422">
        <v>9.0524405241012573E-2</v>
      </c>
      <c r="N95" s="422">
        <v>7.5071796774864197E-2</v>
      </c>
      <c r="O95" s="422">
        <v>5.2506759762763977E-2</v>
      </c>
      <c r="P95" s="422">
        <v>4.6410400420427322E-2</v>
      </c>
      <c r="Q95" s="422">
        <v>9.1520197689533234E-2</v>
      </c>
      <c r="R95" s="422">
        <v>5.5282894521951675E-2</v>
      </c>
      <c r="S95" s="422">
        <v>4.7006674110889435E-2</v>
      </c>
      <c r="T95" s="422">
        <v>5.4363980889320374E-2</v>
      </c>
      <c r="U95" s="422">
        <v>5.5737897753715515E-2</v>
      </c>
      <c r="V95" s="422">
        <v>4.9893148243427277E-2</v>
      </c>
      <c r="W95" s="422">
        <v>7.8602440655231476E-2</v>
      </c>
      <c r="X95" s="422">
        <v>6.4608655869960785E-2</v>
      </c>
      <c r="Y95" s="422">
        <v>0.12338709831237793</v>
      </c>
      <c r="Z95" s="422">
        <v>9.2017874121665955E-2</v>
      </c>
      <c r="AA95" s="422">
        <v>0.1076713502407074</v>
      </c>
      <c r="AB95" s="422">
        <v>3.1118249520659447E-2</v>
      </c>
      <c r="AC95" s="422">
        <v>6.5907254815101624E-2</v>
      </c>
      <c r="AD95" s="422">
        <v>3.8552518934011459E-2</v>
      </c>
      <c r="AE95" s="65">
        <f>'User Add-in Location'!B99</f>
        <v>0</v>
      </c>
      <c r="AF95" s="65">
        <f>'User Add-in Location'!C99</f>
        <v>0</v>
      </c>
      <c r="AG95" s="422">
        <v>4.7E-2</v>
      </c>
      <c r="AH95" s="422">
        <v>4.2000000000000003E-2</v>
      </c>
      <c r="AI95" s="422">
        <v>0.14399999999999999</v>
      </c>
      <c r="AJ95" s="422">
        <v>0.11899999999999999</v>
      </c>
      <c r="AK95" s="422">
        <v>3.6999999999999998E-2</v>
      </c>
      <c r="AL95" s="422">
        <v>8.4000000000000005E-2</v>
      </c>
      <c r="AM95" s="422">
        <v>7.5999999999999998E-2</v>
      </c>
      <c r="AN95" s="422">
        <v>3.7999999999999999E-2</v>
      </c>
      <c r="AO95" s="422">
        <v>9.6000000000000002E-2</v>
      </c>
      <c r="AP95" s="422">
        <v>6.4000000000000001E-2</v>
      </c>
      <c r="AQ95" s="422">
        <v>8.1000000000000003E-2</v>
      </c>
      <c r="AR95" s="422">
        <v>0.10100000000000001</v>
      </c>
      <c r="AS95" s="422">
        <v>9.9000000000000005E-2</v>
      </c>
      <c r="AT95" s="422">
        <v>6.0999999999999999E-2</v>
      </c>
      <c r="AU95" s="422">
        <v>4.3999999999999997E-2</v>
      </c>
      <c r="AV95" s="422">
        <v>7.5999999999999998E-2</v>
      </c>
      <c r="AW95" s="422">
        <v>8.7999999999999995E-2</v>
      </c>
      <c r="AX95" s="422">
        <v>0.20599999999999999</v>
      </c>
      <c r="AY95" s="422">
        <v>7.2999999999999995E-2</v>
      </c>
      <c r="AZ95" s="422">
        <v>8.5999999999999993E-2</v>
      </c>
      <c r="BA95" s="422">
        <v>0.08</v>
      </c>
      <c r="BB95" s="422">
        <v>0.08</v>
      </c>
      <c r="BC95" s="422">
        <v>5.8999999999999997E-2</v>
      </c>
      <c r="BD95" s="422">
        <v>7.0000000000000007E-2</v>
      </c>
      <c r="BE95" s="422">
        <v>2.3E-2</v>
      </c>
    </row>
    <row r="96" spans="3:57" ht="15" x14ac:dyDescent="0.2">
      <c r="C96" s="6" t="s">
        <v>118</v>
      </c>
      <c r="D96" s="424">
        <v>7.200930267572403E-2</v>
      </c>
      <c r="E96" s="422">
        <v>0</v>
      </c>
      <c r="F96" s="422">
        <v>0.10283124446868896</v>
      </c>
      <c r="G96" s="422">
        <v>5.7676307857036591E-2</v>
      </c>
      <c r="H96" s="422">
        <v>0.13064694404602051</v>
      </c>
      <c r="I96" s="422">
        <v>9.5962464809417725E-2</v>
      </c>
      <c r="J96" s="422">
        <v>0.10429424792528152</v>
      </c>
      <c r="K96" s="422">
        <v>8.9881390333175659E-2</v>
      </c>
      <c r="L96" s="422">
        <v>1.9538760185241699E-2</v>
      </c>
      <c r="M96" s="422">
        <v>9.9542848765850067E-2</v>
      </c>
      <c r="N96" s="422">
        <v>8.1188693642616272E-2</v>
      </c>
      <c r="O96" s="422">
        <v>4.0437594056129456E-2</v>
      </c>
      <c r="P96" s="422">
        <v>6.5712854266166687E-2</v>
      </c>
      <c r="Q96" s="422">
        <v>0.11845402419567108</v>
      </c>
      <c r="R96" s="422">
        <v>7.4939228594303131E-2</v>
      </c>
      <c r="S96" s="422">
        <v>6.2510795891284943E-2</v>
      </c>
      <c r="T96" s="422">
        <v>6.9424204528331757E-2</v>
      </c>
      <c r="U96" s="422">
        <v>7.2393126785755157E-2</v>
      </c>
      <c r="V96" s="422">
        <v>6.4144663512706757E-2</v>
      </c>
      <c r="W96" s="422">
        <v>6.3732437789440155E-2</v>
      </c>
      <c r="X96" s="422">
        <v>8.4992431104183197E-2</v>
      </c>
      <c r="Y96" s="422">
        <v>0.11411610990762711</v>
      </c>
      <c r="Z96" s="422">
        <v>0.10538811236619949</v>
      </c>
      <c r="AA96" s="422">
        <v>0.11605006456375122</v>
      </c>
      <c r="AB96" s="422">
        <v>4.1159048676490784E-2</v>
      </c>
      <c r="AC96" s="422">
        <v>8.5398361086845398E-2</v>
      </c>
      <c r="AD96" s="422">
        <v>4.1941165924072266E-2</v>
      </c>
      <c r="AE96" s="65">
        <f>'User Add-in Location'!B100</f>
        <v>0</v>
      </c>
      <c r="AF96" s="65">
        <f>'User Add-in Location'!C100</f>
        <v>0</v>
      </c>
      <c r="AG96" s="422">
        <v>7.9000000000000001E-2</v>
      </c>
      <c r="AH96" s="422">
        <v>4.8000000000000001E-2</v>
      </c>
      <c r="AI96" s="422">
        <v>0.111</v>
      </c>
      <c r="AJ96" s="422">
        <v>0.113</v>
      </c>
      <c r="AK96" s="422">
        <v>3.9E-2</v>
      </c>
      <c r="AL96" s="422">
        <v>9.0999999999999998E-2</v>
      </c>
      <c r="AM96" s="422">
        <v>7.4999999999999997E-2</v>
      </c>
      <c r="AN96" s="422">
        <v>5.3999999999999999E-2</v>
      </c>
      <c r="AO96" s="422">
        <v>9.7000000000000003E-2</v>
      </c>
      <c r="AP96" s="422">
        <v>7.2999999999999995E-2</v>
      </c>
      <c r="AQ96" s="422">
        <v>4.4999999999999998E-2</v>
      </c>
      <c r="AR96" s="422">
        <v>0.109</v>
      </c>
      <c r="AS96" s="422">
        <v>7.2999999999999995E-2</v>
      </c>
      <c r="AT96" s="422">
        <v>7.8E-2</v>
      </c>
      <c r="AU96" s="422">
        <v>5.7000000000000002E-2</v>
      </c>
      <c r="AV96" s="422">
        <v>9.9000000000000005E-2</v>
      </c>
      <c r="AW96" s="422">
        <v>9.1999999999999998E-2</v>
      </c>
      <c r="AX96" s="422">
        <v>0.193</v>
      </c>
      <c r="AY96" s="422">
        <v>7.9000000000000001E-2</v>
      </c>
      <c r="AZ96" s="422">
        <v>7.0999999999999994E-2</v>
      </c>
      <c r="BA96" s="422">
        <v>8.2000000000000003E-2</v>
      </c>
      <c r="BB96" s="422">
        <v>6.9000000000000006E-2</v>
      </c>
      <c r="BC96" s="422">
        <v>4.2999999999999997E-2</v>
      </c>
      <c r="BD96" s="422">
        <v>9.5000000000000001E-2</v>
      </c>
      <c r="BE96" s="422">
        <v>2.9000000000000001E-2</v>
      </c>
    </row>
    <row r="97" spans="3:57" ht="15" x14ac:dyDescent="0.2">
      <c r="C97" s="6" t="s">
        <v>119</v>
      </c>
      <c r="D97" s="424">
        <v>6.9870226085186005E-2</v>
      </c>
      <c r="E97" s="422">
        <v>4.3729815632104874E-2</v>
      </c>
      <c r="F97" s="422">
        <v>0.10764679312705994</v>
      </c>
      <c r="G97" s="422">
        <v>7.3124341666698456E-2</v>
      </c>
      <c r="H97" s="422">
        <v>0.1368924081325531</v>
      </c>
      <c r="I97" s="422">
        <v>0.13175167143344879</v>
      </c>
      <c r="J97" s="422">
        <v>0.11096601933240891</v>
      </c>
      <c r="K97" s="422">
        <v>8.9447416365146637E-2</v>
      </c>
      <c r="L97" s="422">
        <v>5.0725556910037994E-2</v>
      </c>
      <c r="M97" s="422">
        <v>0.10349979251623154</v>
      </c>
      <c r="N97" s="422">
        <v>0.10754202306270599</v>
      </c>
      <c r="O97" s="422">
        <v>6.7405954003334045E-2</v>
      </c>
      <c r="P97" s="422">
        <v>7.4683241546154022E-2</v>
      </c>
      <c r="Q97" s="422">
        <v>0.13980218768119812</v>
      </c>
      <c r="R97" s="422">
        <v>8.3159118890762329E-2</v>
      </c>
      <c r="S97" s="422">
        <v>7.3492825031280518E-2</v>
      </c>
      <c r="T97" s="422">
        <v>7.7748760581016541E-2</v>
      </c>
      <c r="U97" s="422">
        <v>7.4083134531974792E-2</v>
      </c>
      <c r="V97" s="422">
        <v>6.9502241909503937E-2</v>
      </c>
      <c r="W97" s="422">
        <v>8.6556389927864075E-2</v>
      </c>
      <c r="X97" s="422">
        <v>9.0297892689704895E-2</v>
      </c>
      <c r="Y97" s="422">
        <v>0.12925657629966736</v>
      </c>
      <c r="Z97" s="422">
        <v>0.10482442378997803</v>
      </c>
      <c r="AA97" s="422">
        <v>0.13068179786205292</v>
      </c>
      <c r="AB97" s="422">
        <v>5.531754344701767E-2</v>
      </c>
      <c r="AC97" s="422">
        <v>0.10229189693927765</v>
      </c>
      <c r="AD97" s="422">
        <v>7.2903141379356384E-2</v>
      </c>
      <c r="AE97" s="65">
        <f>'User Add-in Location'!B101</f>
        <v>0</v>
      </c>
      <c r="AF97" s="65">
        <f>'User Add-in Location'!C101</f>
        <v>0</v>
      </c>
      <c r="AG97" s="422">
        <v>8.6999999999999994E-2</v>
      </c>
      <c r="AH97" s="422">
        <v>0</v>
      </c>
      <c r="AI97" s="422">
        <v>0.10299999999999999</v>
      </c>
      <c r="AJ97" s="422">
        <v>0.126</v>
      </c>
      <c r="AK97" s="422">
        <v>5.8999999999999997E-2</v>
      </c>
      <c r="AL97" s="422">
        <v>0.11700000000000001</v>
      </c>
      <c r="AM97" s="422">
        <v>9.8000000000000004E-2</v>
      </c>
      <c r="AN97" s="422">
        <v>7.2999999999999995E-2</v>
      </c>
      <c r="AO97" s="422">
        <v>0.108</v>
      </c>
      <c r="AP97" s="422">
        <v>9.7000000000000003E-2</v>
      </c>
      <c r="AQ97" s="422">
        <v>9.4E-2</v>
      </c>
      <c r="AR97" s="422">
        <v>0.13800000000000001</v>
      </c>
      <c r="AS97" s="422">
        <v>0.10299999999999999</v>
      </c>
      <c r="AT97" s="422">
        <v>6.7000000000000004E-2</v>
      </c>
      <c r="AU97" s="422">
        <v>7.0999999999999994E-2</v>
      </c>
      <c r="AV97" s="422">
        <v>0.11600000000000001</v>
      </c>
      <c r="AW97" s="422">
        <v>0.129</v>
      </c>
      <c r="AX97" s="422">
        <v>0.22600000000000001</v>
      </c>
      <c r="AY97" s="422">
        <v>0.11700000000000001</v>
      </c>
      <c r="AZ97" s="422">
        <v>8.5999999999999993E-2</v>
      </c>
      <c r="BA97" s="422">
        <v>0.10199999999999999</v>
      </c>
      <c r="BB97" s="422">
        <v>9.1999999999999998E-2</v>
      </c>
      <c r="BC97" s="422">
        <v>6.8000000000000005E-2</v>
      </c>
      <c r="BD97" s="422">
        <v>9.9000000000000005E-2</v>
      </c>
      <c r="BE97" s="422">
        <v>3.9E-2</v>
      </c>
    </row>
    <row r="98" spans="3:57" ht="15" x14ac:dyDescent="0.2">
      <c r="C98" s="6" t="s">
        <v>46</v>
      </c>
      <c r="D98" s="424">
        <v>9.6113309264183044E-2</v>
      </c>
      <c r="E98" s="422">
        <v>7.1412771940231323E-2</v>
      </c>
      <c r="F98" s="422">
        <v>0.15717005729675293</v>
      </c>
      <c r="G98" s="422">
        <v>8.004915714263916E-2</v>
      </c>
      <c r="H98" s="422">
        <v>0.15466809272766113</v>
      </c>
      <c r="I98" s="422">
        <v>0.1693587601184845</v>
      </c>
      <c r="J98" s="422">
        <v>0.14914938807487488</v>
      </c>
      <c r="K98" s="422">
        <v>0.1242232471704483</v>
      </c>
      <c r="L98" s="422">
        <v>5.6770317256450653E-2</v>
      </c>
      <c r="M98" s="422">
        <v>0.15061250329017639</v>
      </c>
      <c r="N98" s="422">
        <v>0.14070925116539001</v>
      </c>
      <c r="O98" s="422">
        <v>0.1033623069524765</v>
      </c>
      <c r="P98" s="422">
        <v>9.6592143177986145E-2</v>
      </c>
      <c r="Q98" s="422">
        <v>0.16824810206890106</v>
      </c>
      <c r="R98" s="422">
        <v>0.10677599906921387</v>
      </c>
      <c r="S98" s="422">
        <v>0.10130161792039871</v>
      </c>
      <c r="T98" s="422">
        <v>0.10363905131816864</v>
      </c>
      <c r="U98" s="422">
        <v>9.2163905501365662E-2</v>
      </c>
      <c r="V98" s="422">
        <v>8.9036591351032257E-2</v>
      </c>
      <c r="W98" s="422">
        <v>0.12125540524721146</v>
      </c>
      <c r="X98" s="422">
        <v>0.12983763217926025</v>
      </c>
      <c r="Y98" s="422">
        <v>0.18683366477489471</v>
      </c>
      <c r="Z98" s="422">
        <v>0.13898655772209167</v>
      </c>
      <c r="AA98" s="422">
        <v>0.18301759660243988</v>
      </c>
      <c r="AB98" s="422">
        <v>7.1326516568660736E-2</v>
      </c>
      <c r="AC98" s="422">
        <v>0.13927119970321655</v>
      </c>
      <c r="AD98" s="422">
        <v>9.1974146664142609E-2</v>
      </c>
      <c r="AE98" s="65">
        <f>'User Add-in Location'!B102</f>
        <v>0</v>
      </c>
      <c r="AF98" s="65">
        <f>'User Add-in Location'!C102</f>
        <v>0</v>
      </c>
      <c r="AG98" s="422">
        <v>0.108</v>
      </c>
      <c r="AH98" s="422">
        <v>7.8E-2</v>
      </c>
      <c r="AI98" s="422">
        <v>0.17100000000000001</v>
      </c>
      <c r="AJ98" s="422">
        <v>0.161</v>
      </c>
      <c r="AK98" s="422">
        <v>7.1999999999999995E-2</v>
      </c>
      <c r="AL98" s="422">
        <v>0.13700000000000001</v>
      </c>
      <c r="AM98" s="422">
        <v>0.14199999999999999</v>
      </c>
      <c r="AN98" s="422">
        <v>8.3000000000000004E-2</v>
      </c>
      <c r="AO98" s="422">
        <v>0.14799999999999999</v>
      </c>
      <c r="AP98" s="422">
        <v>9.6000000000000002E-2</v>
      </c>
      <c r="AQ98" s="422">
        <v>0.13500000000000001</v>
      </c>
      <c r="AR98" s="422">
        <v>0.16300000000000001</v>
      </c>
      <c r="AS98" s="422">
        <v>0.151</v>
      </c>
      <c r="AT98" s="422">
        <v>9.7000000000000003E-2</v>
      </c>
      <c r="AU98" s="422">
        <v>9.4E-2</v>
      </c>
      <c r="AV98" s="422">
        <v>0.14199999999999999</v>
      </c>
      <c r="AW98" s="422">
        <v>0.13700000000000001</v>
      </c>
      <c r="AX98" s="422">
        <v>0.249</v>
      </c>
      <c r="AY98" s="422">
        <v>0.13800000000000001</v>
      </c>
      <c r="AZ98" s="422">
        <v>0.11</v>
      </c>
      <c r="BA98" s="422">
        <v>0.13600000000000001</v>
      </c>
      <c r="BB98" s="422">
        <v>0.11899999999999999</v>
      </c>
      <c r="BC98" s="422">
        <v>8.1000000000000003E-2</v>
      </c>
      <c r="BD98" s="422">
        <v>0.13100000000000001</v>
      </c>
      <c r="BE98" s="422">
        <v>4.9000000000000002E-2</v>
      </c>
    </row>
    <row r="99" spans="3:57" ht="15" x14ac:dyDescent="0.2">
      <c r="C99" s="6" t="s">
        <v>47</v>
      </c>
      <c r="D99" s="424">
        <v>0.10455426573753357</v>
      </c>
      <c r="E99" s="422">
        <v>0.10990859568119049</v>
      </c>
      <c r="F99" s="422">
        <v>0.17028030753135681</v>
      </c>
      <c r="G99" s="422">
        <v>0.10235363245010376</v>
      </c>
      <c r="H99" s="422">
        <v>0.17313344776630402</v>
      </c>
      <c r="I99" s="422">
        <v>0.17648924887180328</v>
      </c>
      <c r="J99" s="422">
        <v>0.17944620549678802</v>
      </c>
      <c r="K99" s="422">
        <v>0.14357545971870422</v>
      </c>
      <c r="L99" s="422">
        <v>5.7645343244075775E-2</v>
      </c>
      <c r="M99" s="422">
        <v>0.17265963554382324</v>
      </c>
      <c r="N99" s="422">
        <v>0.1586230993270874</v>
      </c>
      <c r="O99" s="422">
        <v>0.1118585467338562</v>
      </c>
      <c r="P99" s="422">
        <v>0.11365650594234467</v>
      </c>
      <c r="Q99" s="422">
        <v>0.18201228976249695</v>
      </c>
      <c r="R99" s="422">
        <v>0.11845048516988754</v>
      </c>
      <c r="S99" s="422">
        <v>0.11343388259410858</v>
      </c>
      <c r="T99" s="422">
        <v>0.10989685356616974</v>
      </c>
      <c r="U99" s="422">
        <v>0.12127362191677094</v>
      </c>
      <c r="V99" s="422">
        <v>0.10097016394138336</v>
      </c>
      <c r="W99" s="422">
        <v>0.14034298062324524</v>
      </c>
      <c r="X99" s="422">
        <v>0.14489711821079254</v>
      </c>
      <c r="Y99" s="422">
        <v>0.20965638756752014</v>
      </c>
      <c r="Z99" s="422">
        <v>0.14585377275943756</v>
      </c>
      <c r="AA99" s="422">
        <v>0.18376505374908447</v>
      </c>
      <c r="AB99" s="422">
        <v>8.6376287043094635E-2</v>
      </c>
      <c r="AC99" s="422">
        <v>0.15513399243354797</v>
      </c>
      <c r="AD99" s="422">
        <v>0.12331060320138931</v>
      </c>
      <c r="AE99" s="65">
        <f>'User Add-in Location'!B103</f>
        <v>0</v>
      </c>
      <c r="AF99" s="65">
        <f>'User Add-in Location'!C103</f>
        <v>0</v>
      </c>
      <c r="AG99" s="422">
        <v>0.11799999999999999</v>
      </c>
      <c r="AH99" s="422">
        <v>5.7000000000000002E-2</v>
      </c>
      <c r="AI99" s="422">
        <v>0.19500000000000001</v>
      </c>
      <c r="AJ99" s="422">
        <v>0.185</v>
      </c>
      <c r="AK99" s="422">
        <v>9.1999999999999998E-2</v>
      </c>
      <c r="AL99" s="422">
        <v>0.16</v>
      </c>
      <c r="AM99" s="422">
        <v>0.16600000000000001</v>
      </c>
      <c r="AN99" s="422">
        <v>9.6000000000000002E-2</v>
      </c>
      <c r="AO99" s="422">
        <v>0.161</v>
      </c>
      <c r="AP99" s="422">
        <v>0.122</v>
      </c>
      <c r="AQ99" s="422">
        <v>0.16700000000000001</v>
      </c>
      <c r="AR99" s="422">
        <v>0.188</v>
      </c>
      <c r="AS99" s="422">
        <v>0.17399999999999999</v>
      </c>
      <c r="AT99" s="422">
        <v>0.114</v>
      </c>
      <c r="AU99" s="422">
        <v>0.109</v>
      </c>
      <c r="AV99" s="422">
        <v>0.16800000000000001</v>
      </c>
      <c r="AW99" s="422">
        <v>0.15</v>
      </c>
      <c r="AX99" s="422">
        <v>0.27500000000000002</v>
      </c>
      <c r="AY99" s="422">
        <v>0.155</v>
      </c>
      <c r="AZ99" s="422">
        <v>0.13400000000000001</v>
      </c>
      <c r="BA99" s="422">
        <v>0.14399999999999999</v>
      </c>
      <c r="BB99" s="422">
        <v>0.129</v>
      </c>
      <c r="BC99" s="422">
        <v>9.7000000000000003E-2</v>
      </c>
      <c r="BD99" s="422">
        <v>0.14000000000000001</v>
      </c>
      <c r="BE99" s="422">
        <v>0.06</v>
      </c>
    </row>
    <row r="100" spans="3:57" ht="15" x14ac:dyDescent="0.2">
      <c r="C100" s="6" t="s">
        <v>120</v>
      </c>
      <c r="D100" s="424">
        <v>7.8206546604633331E-2</v>
      </c>
      <c r="E100" s="422">
        <v>6.1796572059392929E-2</v>
      </c>
      <c r="F100" s="422">
        <v>0.12851446866989136</v>
      </c>
      <c r="G100" s="422">
        <v>6.2698222696781158E-2</v>
      </c>
      <c r="H100" s="422">
        <v>0.1223742663860321</v>
      </c>
      <c r="I100" s="422">
        <v>0.12701913714408875</v>
      </c>
      <c r="J100" s="422">
        <v>0.14209847152233124</v>
      </c>
      <c r="K100" s="422">
        <v>7.2448059916496277E-2</v>
      </c>
      <c r="L100" s="422">
        <v>4.0503397583961487E-2</v>
      </c>
      <c r="M100" s="422">
        <v>0.124976746737957</v>
      </c>
      <c r="N100" s="422">
        <v>0.10673096030950546</v>
      </c>
      <c r="O100" s="422">
        <v>7.1465767920017242E-2</v>
      </c>
      <c r="P100" s="422">
        <v>6.8197377026081085E-2</v>
      </c>
      <c r="Q100" s="422">
        <v>0.1312154233455658</v>
      </c>
      <c r="R100" s="422">
        <v>7.3899537324905396E-2</v>
      </c>
      <c r="S100" s="422">
        <v>7.5270257890224457E-2</v>
      </c>
      <c r="T100" s="422">
        <v>8.2480072975158691E-2</v>
      </c>
      <c r="U100" s="422">
        <v>8.025369793176651E-2</v>
      </c>
      <c r="V100" s="422">
        <v>6.8600006401538849E-2</v>
      </c>
      <c r="W100" s="422">
        <v>8.9268207550048828E-2</v>
      </c>
      <c r="X100" s="422">
        <v>9.3044735491275787E-2</v>
      </c>
      <c r="Y100" s="422">
        <v>0.1594042032957077</v>
      </c>
      <c r="Z100" s="422">
        <v>0.1041128933429718</v>
      </c>
      <c r="AA100" s="422">
        <v>0.15468142926692963</v>
      </c>
      <c r="AB100" s="422">
        <v>5.6557916104793549E-2</v>
      </c>
      <c r="AC100" s="422">
        <v>0.10296107828617096</v>
      </c>
      <c r="AD100" s="422">
        <v>6.4958781003952026E-2</v>
      </c>
      <c r="AE100" s="65">
        <f>'User Add-in Location'!B104</f>
        <v>0</v>
      </c>
      <c r="AF100" s="65">
        <f>'User Add-in Location'!C104</f>
        <v>0</v>
      </c>
      <c r="AG100" s="422">
        <v>8.1000000000000003E-2</v>
      </c>
      <c r="AH100" s="422">
        <v>0</v>
      </c>
      <c r="AI100" s="422">
        <v>0.121</v>
      </c>
      <c r="AJ100" s="422">
        <v>0.126</v>
      </c>
      <c r="AK100" s="422">
        <v>4.5999999999999999E-2</v>
      </c>
      <c r="AL100" s="422">
        <v>0.126</v>
      </c>
      <c r="AM100" s="422">
        <v>0.121</v>
      </c>
      <c r="AN100" s="422">
        <v>6.5000000000000002E-2</v>
      </c>
      <c r="AO100" s="422">
        <v>0.106</v>
      </c>
      <c r="AP100" s="422">
        <v>0.08</v>
      </c>
      <c r="AQ100" s="422">
        <v>8.7999999999999995E-2</v>
      </c>
      <c r="AR100" s="422">
        <v>0.13100000000000001</v>
      </c>
      <c r="AS100" s="422">
        <v>0.122</v>
      </c>
      <c r="AT100" s="422">
        <v>8.7999999999999995E-2</v>
      </c>
      <c r="AU100" s="422">
        <v>6.6000000000000003E-2</v>
      </c>
      <c r="AV100" s="422">
        <v>0.12</v>
      </c>
      <c r="AW100" s="422">
        <v>0.124</v>
      </c>
      <c r="AX100" s="422">
        <v>0.20499999999999999</v>
      </c>
      <c r="AY100" s="422">
        <v>9.1999999999999998E-2</v>
      </c>
      <c r="AZ100" s="422">
        <v>0.08</v>
      </c>
      <c r="BA100" s="422">
        <v>9.5000000000000001E-2</v>
      </c>
      <c r="BB100" s="422">
        <v>8.3000000000000004E-2</v>
      </c>
      <c r="BC100" s="422">
        <v>5.8999999999999997E-2</v>
      </c>
      <c r="BD100" s="422">
        <v>9.1999999999999998E-2</v>
      </c>
      <c r="BE100" s="422">
        <v>3.4000000000000002E-2</v>
      </c>
    </row>
    <row r="101" spans="3:57" ht="15" x14ac:dyDescent="0.2">
      <c r="C101" s="6" t="s">
        <v>121</v>
      </c>
      <c r="D101" s="424">
        <v>0.13663017749786377</v>
      </c>
      <c r="E101" s="422">
        <v>0.12762466073036194</v>
      </c>
      <c r="F101" s="422">
        <v>0.21511486172676086</v>
      </c>
      <c r="G101" s="422">
        <v>0.11744352430105209</v>
      </c>
      <c r="H101" s="422">
        <v>0.22832545638084412</v>
      </c>
      <c r="I101" s="422">
        <v>0.22436848282814026</v>
      </c>
      <c r="J101" s="422">
        <v>0.2137267142534256</v>
      </c>
      <c r="K101" s="422">
        <v>0.16316482424736023</v>
      </c>
      <c r="L101" s="422">
        <v>7.7069252729415894E-2</v>
      </c>
      <c r="M101" s="422">
        <v>0.21273645758628845</v>
      </c>
      <c r="N101" s="422">
        <v>0.20023106038570404</v>
      </c>
      <c r="O101" s="422">
        <v>0.13930746912956238</v>
      </c>
      <c r="P101" s="422">
        <v>0.12416022270917892</v>
      </c>
      <c r="Q101" s="422">
        <v>0.23292049765586853</v>
      </c>
      <c r="R101" s="422">
        <v>0.12460972368717194</v>
      </c>
      <c r="S101" s="422">
        <v>0.12693169713020325</v>
      </c>
      <c r="T101" s="422">
        <v>0.14299222826957703</v>
      </c>
      <c r="U101" s="422">
        <v>0.13715261220932007</v>
      </c>
      <c r="V101" s="422">
        <v>0.13084115087985992</v>
      </c>
      <c r="W101" s="422">
        <v>0.16520318388938904</v>
      </c>
      <c r="X101" s="422">
        <v>0.17851395905017853</v>
      </c>
      <c r="Y101" s="422">
        <v>0.23877060413360596</v>
      </c>
      <c r="Z101" s="422">
        <v>0.1975284218788147</v>
      </c>
      <c r="AA101" s="422">
        <v>0.23120814561843872</v>
      </c>
      <c r="AB101" s="422">
        <v>9.9788494408130646E-2</v>
      </c>
      <c r="AC101" s="422">
        <v>0.18325063586235046</v>
      </c>
      <c r="AD101" s="422">
        <v>0.12577755749225616</v>
      </c>
      <c r="AE101" s="65">
        <f>'User Add-in Location'!B105</f>
        <v>0</v>
      </c>
      <c r="AF101" s="65">
        <f>'User Add-in Location'!C105</f>
        <v>0</v>
      </c>
      <c r="AG101" s="422">
        <v>0.13700000000000001</v>
      </c>
      <c r="AH101" s="422">
        <v>0.112</v>
      </c>
      <c r="AI101" s="422">
        <v>0.20399999999999999</v>
      </c>
      <c r="AJ101" s="422">
        <v>0.22600000000000001</v>
      </c>
      <c r="AK101" s="422">
        <v>0.10199999999999999</v>
      </c>
      <c r="AL101" s="422">
        <v>0.19400000000000001</v>
      </c>
      <c r="AM101" s="422">
        <v>0.17799999999999999</v>
      </c>
      <c r="AN101" s="422">
        <v>0.115</v>
      </c>
      <c r="AO101" s="422">
        <v>0.20100000000000001</v>
      </c>
      <c r="AP101" s="422">
        <v>0.13900000000000001</v>
      </c>
      <c r="AQ101" s="422">
        <v>0.155</v>
      </c>
      <c r="AR101" s="422">
        <v>0.219</v>
      </c>
      <c r="AS101" s="422">
        <v>0.19600000000000001</v>
      </c>
      <c r="AT101" s="422">
        <v>0.14199999999999999</v>
      </c>
      <c r="AU101" s="422">
        <v>0.11700000000000001</v>
      </c>
      <c r="AV101" s="422">
        <v>0.2</v>
      </c>
      <c r="AW101" s="422">
        <v>0.19800000000000001</v>
      </c>
      <c r="AX101" s="422">
        <v>0.34100000000000003</v>
      </c>
      <c r="AY101" s="422">
        <v>0.183</v>
      </c>
      <c r="AZ101" s="422">
        <v>0.14799999999999999</v>
      </c>
      <c r="BA101" s="422">
        <v>0.19400000000000001</v>
      </c>
      <c r="BB101" s="422">
        <v>0.16300000000000001</v>
      </c>
      <c r="BC101" s="422">
        <v>0.113</v>
      </c>
      <c r="BD101" s="422">
        <v>0.16800000000000001</v>
      </c>
      <c r="BE101" s="422">
        <v>7.0999999999999994E-2</v>
      </c>
    </row>
    <row r="102" spans="3:57" ht="15" x14ac:dyDescent="0.2">
      <c r="C102" s="6" t="s">
        <v>122</v>
      </c>
      <c r="D102" s="424">
        <v>0.10020158439874649</v>
      </c>
      <c r="E102" s="422">
        <v>9.3267567455768585E-2</v>
      </c>
      <c r="F102" s="422">
        <v>0.16473440825939178</v>
      </c>
      <c r="G102" s="422">
        <v>8.6621470749378204E-2</v>
      </c>
      <c r="H102" s="422">
        <v>0.1730511337518692</v>
      </c>
      <c r="I102" s="422">
        <v>0.16454513370990753</v>
      </c>
      <c r="J102" s="422">
        <v>0.1668114960193634</v>
      </c>
      <c r="K102" s="422">
        <v>0.13465327024459839</v>
      </c>
      <c r="L102" s="422">
        <v>6.5087750554084778E-2</v>
      </c>
      <c r="M102" s="422">
        <v>0.16181512176990509</v>
      </c>
      <c r="N102" s="422">
        <v>0.14570055902004242</v>
      </c>
      <c r="O102" s="422">
        <v>0.11247842758893967</v>
      </c>
      <c r="P102" s="422">
        <v>0.10093313455581665</v>
      </c>
      <c r="Q102" s="422">
        <v>0.17690357565879822</v>
      </c>
      <c r="R102" s="422">
        <v>0.11312173306941986</v>
      </c>
      <c r="S102" s="422">
        <v>0.10011539608240128</v>
      </c>
      <c r="T102" s="422">
        <v>0.10667608678340912</v>
      </c>
      <c r="U102" s="422">
        <v>0.10858170688152313</v>
      </c>
      <c r="V102" s="422">
        <v>9.4581872224807739E-2</v>
      </c>
      <c r="W102" s="422">
        <v>0.1341235339641571</v>
      </c>
      <c r="X102" s="422">
        <v>0.13820642232894897</v>
      </c>
      <c r="Y102" s="422">
        <v>0.19631309807300568</v>
      </c>
      <c r="Z102" s="422">
        <v>0.14854660630226135</v>
      </c>
      <c r="AA102" s="422">
        <v>0.18303413689136505</v>
      </c>
      <c r="AB102" s="422">
        <v>7.6456882059574127E-2</v>
      </c>
      <c r="AC102" s="422">
        <v>0.14328640699386597</v>
      </c>
      <c r="AD102" s="422">
        <v>9.8169103264808655E-2</v>
      </c>
      <c r="AE102" s="65">
        <f>'User Add-in Location'!B106</f>
        <v>0</v>
      </c>
      <c r="AF102" s="65">
        <f>'User Add-in Location'!C106</f>
        <v>0</v>
      </c>
      <c r="AG102" s="422">
        <v>0.114</v>
      </c>
      <c r="AH102" s="422">
        <v>0.08</v>
      </c>
      <c r="AI102" s="422">
        <v>0.16600000000000001</v>
      </c>
      <c r="AJ102" s="422">
        <v>0.17599999999999999</v>
      </c>
      <c r="AK102" s="422">
        <v>7.5999999999999998E-2</v>
      </c>
      <c r="AL102" s="422">
        <v>0.153</v>
      </c>
      <c r="AM102" s="422">
        <v>0.14799999999999999</v>
      </c>
      <c r="AN102" s="422">
        <v>8.5000000000000006E-2</v>
      </c>
      <c r="AO102" s="422">
        <v>0.16</v>
      </c>
      <c r="AP102" s="422">
        <v>0.104</v>
      </c>
      <c r="AQ102" s="422">
        <v>0.14399999999999999</v>
      </c>
      <c r="AR102" s="422">
        <v>0.18099999999999999</v>
      </c>
      <c r="AS102" s="422">
        <v>0.161</v>
      </c>
      <c r="AT102" s="422">
        <v>0.10299999999999999</v>
      </c>
      <c r="AU102" s="422">
        <v>0.1</v>
      </c>
      <c r="AV102" s="422">
        <v>0.16400000000000001</v>
      </c>
      <c r="AW102" s="422">
        <v>0.14599999999999999</v>
      </c>
      <c r="AX102" s="422">
        <v>0.27</v>
      </c>
      <c r="AY102" s="422">
        <v>0.13700000000000001</v>
      </c>
      <c r="AZ102" s="422">
        <v>0.121</v>
      </c>
      <c r="BA102" s="422">
        <v>0.14399999999999999</v>
      </c>
      <c r="BB102" s="422">
        <v>0.123</v>
      </c>
      <c r="BC102" s="422">
        <v>9.1999999999999998E-2</v>
      </c>
      <c r="BD102" s="422">
        <v>0.13400000000000001</v>
      </c>
      <c r="BE102" s="422">
        <v>5.0999999999999997E-2</v>
      </c>
    </row>
    <row r="103" spans="3:57" ht="15" x14ac:dyDescent="0.2">
      <c r="C103" s="6" t="s">
        <v>48</v>
      </c>
      <c r="D103" s="424">
        <v>0.15283650159835815</v>
      </c>
      <c r="E103" s="422">
        <v>0.16667214035987854</v>
      </c>
      <c r="F103" s="422">
        <v>0.2310967743396759</v>
      </c>
      <c r="G103" s="422">
        <v>0.1644311398267746</v>
      </c>
      <c r="H103" s="422">
        <v>0.25122275948524475</v>
      </c>
      <c r="I103" s="422">
        <v>0.25579068064689636</v>
      </c>
      <c r="J103" s="422">
        <v>0.21450182795524597</v>
      </c>
      <c r="K103" s="422">
        <v>0.18529145419597626</v>
      </c>
      <c r="L103" s="422">
        <v>6.9978967308998108E-2</v>
      </c>
      <c r="M103" s="422">
        <v>0.24422141909599304</v>
      </c>
      <c r="N103" s="422">
        <v>0.24546471238136292</v>
      </c>
      <c r="O103" s="422">
        <v>0.1862795352935791</v>
      </c>
      <c r="P103" s="422">
        <v>0.17007939517498016</v>
      </c>
      <c r="Q103" s="422">
        <v>0.28110933303833008</v>
      </c>
      <c r="R103" s="422">
        <v>0.19551986455917358</v>
      </c>
      <c r="S103" s="422">
        <v>0.17435047030448914</v>
      </c>
      <c r="T103" s="422">
        <v>0.18614935874938965</v>
      </c>
      <c r="U103" s="422">
        <v>0.18210659921169281</v>
      </c>
      <c r="V103" s="422">
        <v>0.16856668889522552</v>
      </c>
      <c r="W103" s="422">
        <v>0.22053593397140503</v>
      </c>
      <c r="X103" s="422">
        <v>0.18216545879840851</v>
      </c>
      <c r="Y103" s="422">
        <v>0.21674627065658569</v>
      </c>
      <c r="Z103" s="422">
        <v>0.23710443079471588</v>
      </c>
      <c r="AA103" s="422">
        <v>0.26000472903251648</v>
      </c>
      <c r="AB103" s="422">
        <v>0.14400050044059753</v>
      </c>
      <c r="AC103" s="422">
        <v>0.23208171129226685</v>
      </c>
      <c r="AD103" s="422">
        <v>0.16723074018955231</v>
      </c>
      <c r="AE103" s="65">
        <f>'User Add-in Location'!B107</f>
        <v>0</v>
      </c>
      <c r="AF103" s="65">
        <f>'User Add-in Location'!C107</f>
        <v>0</v>
      </c>
      <c r="AG103" s="422">
        <v>0.19800000000000001</v>
      </c>
      <c r="AH103" s="422">
        <v>0.13300000000000001</v>
      </c>
      <c r="AI103" s="422">
        <v>0.20599999999999999</v>
      </c>
      <c r="AJ103" s="422">
        <v>0.26800000000000002</v>
      </c>
      <c r="AK103" s="422">
        <v>0.10199999999999999</v>
      </c>
      <c r="AL103" s="422">
        <v>0.217</v>
      </c>
      <c r="AM103" s="422">
        <v>0.24299999999999999</v>
      </c>
      <c r="AN103" s="422">
        <v>0.14499999999999999</v>
      </c>
      <c r="AO103" s="422">
        <v>0.24199999999999999</v>
      </c>
      <c r="AP103" s="422">
        <v>0.16300000000000001</v>
      </c>
      <c r="AQ103" s="422">
        <v>0.219</v>
      </c>
      <c r="AR103" s="422">
        <v>0.26</v>
      </c>
      <c r="AS103" s="422">
        <v>0.21099999999999999</v>
      </c>
      <c r="AT103" s="422">
        <v>0.183</v>
      </c>
      <c r="AU103" s="422">
        <v>0.16200000000000001</v>
      </c>
      <c r="AV103" s="422">
        <v>0.23599999999999999</v>
      </c>
      <c r="AW103" s="422">
        <v>0.224</v>
      </c>
      <c r="AX103" s="422">
        <v>0.37</v>
      </c>
      <c r="AY103" s="422">
        <v>0.217</v>
      </c>
      <c r="AZ103" s="422">
        <v>0.20499999999999999</v>
      </c>
      <c r="BA103" s="422">
        <v>0.19600000000000001</v>
      </c>
      <c r="BB103" s="422">
        <v>0.188</v>
      </c>
      <c r="BC103" s="422">
        <v>0.14699999999999999</v>
      </c>
      <c r="BD103" s="422">
        <v>0.21299999999999999</v>
      </c>
      <c r="BE103" s="422">
        <v>0.10100000000000001</v>
      </c>
    </row>
    <row r="104" spans="3:57" ht="15" x14ac:dyDescent="0.2">
      <c r="C104" s="6"/>
      <c r="D104" s="424"/>
      <c r="E104" s="422"/>
      <c r="F104" s="422"/>
      <c r="G104" s="422"/>
      <c r="H104" s="422"/>
      <c r="I104" s="422"/>
      <c r="J104" s="422"/>
      <c r="K104" s="422"/>
      <c r="L104" s="422"/>
      <c r="M104" s="422"/>
      <c r="N104" s="422"/>
      <c r="O104" s="422"/>
      <c r="P104" s="422"/>
      <c r="Q104" s="422"/>
      <c r="R104" s="422"/>
      <c r="S104" s="422"/>
      <c r="T104" s="422"/>
      <c r="U104" s="422"/>
      <c r="V104" s="422"/>
      <c r="W104" s="422"/>
      <c r="X104" s="422"/>
      <c r="Y104" s="422"/>
      <c r="Z104" s="422"/>
      <c r="AA104" s="422"/>
      <c r="AB104" s="422"/>
      <c r="AC104" s="422"/>
      <c r="AD104" s="422"/>
      <c r="AG104" s="422"/>
      <c r="AH104" s="422"/>
      <c r="AI104" s="422"/>
      <c r="AJ104" s="422"/>
      <c r="AK104" s="422"/>
      <c r="AL104" s="422"/>
      <c r="AM104" s="422"/>
      <c r="AN104" s="422"/>
      <c r="AO104" s="422"/>
      <c r="AP104" s="422"/>
      <c r="AQ104" s="422"/>
      <c r="AR104" s="422"/>
      <c r="AS104" s="422"/>
      <c r="AT104" s="422"/>
      <c r="AU104" s="422"/>
      <c r="AV104" s="422"/>
      <c r="AW104" s="422"/>
      <c r="AX104" s="422"/>
      <c r="AY104" s="422"/>
      <c r="AZ104" s="422"/>
      <c r="BA104" s="422"/>
      <c r="BB104" s="422"/>
      <c r="BC104" s="422"/>
      <c r="BD104" s="422"/>
      <c r="BE104" s="422"/>
    </row>
    <row r="105" spans="3:57" ht="12" customHeight="1" x14ac:dyDescent="0.2">
      <c r="C105" s="124" t="s">
        <v>200</v>
      </c>
      <c r="D105" s="424"/>
      <c r="E105" s="422"/>
      <c r="F105" s="422"/>
      <c r="G105" s="422"/>
      <c r="H105" s="422"/>
      <c r="I105" s="422"/>
      <c r="J105" s="422"/>
      <c r="K105" s="422"/>
      <c r="L105" s="422"/>
      <c r="M105" s="422"/>
      <c r="N105" s="422"/>
      <c r="O105" s="422"/>
      <c r="P105" s="422"/>
      <c r="Q105" s="422"/>
      <c r="R105" s="422"/>
      <c r="S105" s="422"/>
      <c r="T105" s="422"/>
      <c r="U105" s="422"/>
      <c r="V105" s="422"/>
      <c r="W105" s="422"/>
      <c r="X105" s="422"/>
      <c r="Y105" s="422"/>
      <c r="Z105" s="422"/>
      <c r="AA105" s="422"/>
      <c r="AB105" s="422"/>
      <c r="AC105" s="422"/>
      <c r="AD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row>
    <row r="106" spans="3:57" ht="25.5" customHeight="1" x14ac:dyDescent="0.2">
      <c r="C106" s="125" t="s">
        <v>207</v>
      </c>
      <c r="D106" s="424" t="s">
        <v>50</v>
      </c>
      <c r="E106" s="422" t="s">
        <v>51</v>
      </c>
      <c r="F106" s="422" t="s">
        <v>52</v>
      </c>
      <c r="G106" s="422" t="s">
        <v>53</v>
      </c>
      <c r="H106" s="422" t="s">
        <v>54</v>
      </c>
      <c r="I106" s="422" t="s">
        <v>55</v>
      </c>
      <c r="J106" s="422" t="s">
        <v>56</v>
      </c>
      <c r="K106" s="422" t="s">
        <v>57</v>
      </c>
      <c r="L106" s="422" t="s">
        <v>58</v>
      </c>
      <c r="M106" s="422" t="s">
        <v>59</v>
      </c>
      <c r="N106" s="422" t="s">
        <v>60</v>
      </c>
      <c r="O106" s="422" t="s">
        <v>61</v>
      </c>
      <c r="P106" s="422" t="s">
        <v>62</v>
      </c>
      <c r="Q106" s="422" t="s">
        <v>63</v>
      </c>
      <c r="R106" s="422" t="s">
        <v>64</v>
      </c>
      <c r="S106" s="422" t="s">
        <v>65</v>
      </c>
      <c r="T106" s="422" t="s">
        <v>66</v>
      </c>
      <c r="U106" s="422" t="s">
        <v>67</v>
      </c>
      <c r="V106" s="422" t="s">
        <v>68</v>
      </c>
      <c r="W106" s="422" t="s">
        <v>69</v>
      </c>
      <c r="X106" s="422" t="s">
        <v>70</v>
      </c>
      <c r="Y106" s="422" t="s">
        <v>71</v>
      </c>
      <c r="Z106" s="422" t="s">
        <v>72</v>
      </c>
      <c r="AA106" s="422" t="s">
        <v>73</v>
      </c>
      <c r="AB106" s="422" t="s">
        <v>74</v>
      </c>
      <c r="AC106" s="422" t="s">
        <v>75</v>
      </c>
      <c r="AD106" s="422" t="s">
        <v>76</v>
      </c>
      <c r="AE106" s="65" t="s">
        <v>233</v>
      </c>
      <c r="AF106" s="65" t="s">
        <v>232</v>
      </c>
      <c r="AG106" s="422" t="s">
        <v>77</v>
      </c>
      <c r="AH106" s="422" t="s">
        <v>78</v>
      </c>
      <c r="AI106" s="422" t="s">
        <v>79</v>
      </c>
      <c r="AJ106" s="422" t="s">
        <v>80</v>
      </c>
      <c r="AK106" s="422" t="s">
        <v>81</v>
      </c>
      <c r="AL106" s="422" t="s">
        <v>82</v>
      </c>
      <c r="AM106" s="422" t="s">
        <v>83</v>
      </c>
      <c r="AN106" s="422" t="s">
        <v>84</v>
      </c>
      <c r="AO106" s="422" t="s">
        <v>85</v>
      </c>
      <c r="AP106" s="422" t="s">
        <v>86</v>
      </c>
      <c r="AQ106" s="422" t="s">
        <v>87</v>
      </c>
      <c r="AR106" s="422" t="s">
        <v>88</v>
      </c>
      <c r="AS106" s="422" t="s">
        <v>89</v>
      </c>
      <c r="AT106" s="422" t="s">
        <v>90</v>
      </c>
      <c r="AU106" s="422" t="s">
        <v>91</v>
      </c>
      <c r="AV106" s="422" t="s">
        <v>92</v>
      </c>
      <c r="AW106" s="422" t="s">
        <v>93</v>
      </c>
      <c r="AX106" s="422" t="s">
        <v>394</v>
      </c>
      <c r="AY106" s="422" t="s">
        <v>94</v>
      </c>
      <c r="AZ106" s="422" t="s">
        <v>95</v>
      </c>
      <c r="BA106" s="422" t="s">
        <v>96</v>
      </c>
      <c r="BB106" s="422" t="s">
        <v>97</v>
      </c>
      <c r="BC106" s="422" t="s">
        <v>98</v>
      </c>
      <c r="BD106" s="422" t="s">
        <v>99</v>
      </c>
      <c r="BE106" s="422" t="s">
        <v>49</v>
      </c>
    </row>
    <row r="107" spans="3:57" ht="15" x14ac:dyDescent="0.2">
      <c r="C107" s="6" t="s">
        <v>44</v>
      </c>
      <c r="D107" s="424">
        <v>1</v>
      </c>
      <c r="E107" s="422">
        <v>1</v>
      </c>
      <c r="F107" s="422">
        <v>1</v>
      </c>
      <c r="G107" s="422">
        <v>1</v>
      </c>
      <c r="H107" s="422">
        <v>1</v>
      </c>
      <c r="I107" s="422">
        <v>1</v>
      </c>
      <c r="J107" s="422">
        <v>1</v>
      </c>
      <c r="K107" s="422">
        <v>1</v>
      </c>
      <c r="L107" s="422">
        <v>1</v>
      </c>
      <c r="M107" s="422">
        <v>1</v>
      </c>
      <c r="N107" s="422">
        <v>1</v>
      </c>
      <c r="O107" s="422">
        <v>1</v>
      </c>
      <c r="P107" s="422">
        <v>1</v>
      </c>
      <c r="Q107" s="422">
        <v>1</v>
      </c>
      <c r="R107" s="422">
        <v>1</v>
      </c>
      <c r="S107" s="422">
        <v>1</v>
      </c>
      <c r="T107" s="422">
        <v>1</v>
      </c>
      <c r="U107" s="422">
        <v>1</v>
      </c>
      <c r="V107" s="422">
        <v>1</v>
      </c>
      <c r="W107" s="422">
        <v>1</v>
      </c>
      <c r="X107" s="422">
        <v>1</v>
      </c>
      <c r="Y107" s="422">
        <v>1</v>
      </c>
      <c r="Z107" s="422">
        <v>1</v>
      </c>
      <c r="AA107" s="422">
        <v>1</v>
      </c>
      <c r="AB107" s="422">
        <v>1</v>
      </c>
      <c r="AC107" s="422">
        <v>1</v>
      </c>
      <c r="AD107" s="422">
        <v>1</v>
      </c>
      <c r="AE107" s="65">
        <f>'User Add-in Location'!B111</f>
        <v>0</v>
      </c>
      <c r="AF107" s="65">
        <f>'User Add-in Location'!C111</f>
        <v>0</v>
      </c>
      <c r="AG107" s="422">
        <v>1</v>
      </c>
      <c r="AH107" s="422">
        <v>1</v>
      </c>
      <c r="AI107" s="422">
        <v>1</v>
      </c>
      <c r="AJ107" s="422">
        <v>1</v>
      </c>
      <c r="AK107" s="422">
        <v>1</v>
      </c>
      <c r="AL107" s="422">
        <v>1</v>
      </c>
      <c r="AM107" s="422">
        <v>1</v>
      </c>
      <c r="AN107" s="422">
        <v>1</v>
      </c>
      <c r="AO107" s="422">
        <v>1</v>
      </c>
      <c r="AP107" s="422">
        <v>1</v>
      </c>
      <c r="AQ107" s="422">
        <v>1</v>
      </c>
      <c r="AR107" s="422">
        <v>1</v>
      </c>
      <c r="AS107" s="422">
        <v>1</v>
      </c>
      <c r="AT107" s="422">
        <v>1</v>
      </c>
      <c r="AU107" s="422">
        <v>1</v>
      </c>
      <c r="AV107" s="422">
        <v>1</v>
      </c>
      <c r="AW107" s="422">
        <v>1</v>
      </c>
      <c r="AX107" s="422">
        <v>1</v>
      </c>
      <c r="AY107" s="422">
        <v>1</v>
      </c>
      <c r="AZ107" s="422">
        <v>1</v>
      </c>
      <c r="BA107" s="422">
        <v>1</v>
      </c>
      <c r="BB107" s="422">
        <v>1</v>
      </c>
      <c r="BC107" s="422">
        <v>1</v>
      </c>
      <c r="BD107" s="422">
        <v>1</v>
      </c>
      <c r="BE107" s="422">
        <v>1</v>
      </c>
    </row>
    <row r="108" spans="3:57" ht="15" x14ac:dyDescent="0.2">
      <c r="C108" s="6" t="s">
        <v>114</v>
      </c>
      <c r="D108" s="424">
        <v>1</v>
      </c>
      <c r="E108" s="422">
        <v>1</v>
      </c>
      <c r="F108" s="422">
        <v>1</v>
      </c>
      <c r="G108" s="422">
        <v>1</v>
      </c>
      <c r="H108" s="422">
        <v>1</v>
      </c>
      <c r="I108" s="422">
        <v>1</v>
      </c>
      <c r="J108" s="422">
        <v>1</v>
      </c>
      <c r="K108" s="422">
        <v>1</v>
      </c>
      <c r="L108" s="422">
        <v>1</v>
      </c>
      <c r="M108" s="422">
        <v>1</v>
      </c>
      <c r="N108" s="422">
        <v>1</v>
      </c>
      <c r="O108" s="422">
        <v>1</v>
      </c>
      <c r="P108" s="422">
        <v>1</v>
      </c>
      <c r="Q108" s="422">
        <v>1</v>
      </c>
      <c r="R108" s="422">
        <v>1</v>
      </c>
      <c r="S108" s="422">
        <v>1</v>
      </c>
      <c r="T108" s="422">
        <v>1</v>
      </c>
      <c r="U108" s="422">
        <v>1</v>
      </c>
      <c r="V108" s="422">
        <v>1</v>
      </c>
      <c r="W108" s="422">
        <v>1</v>
      </c>
      <c r="X108" s="422">
        <v>1</v>
      </c>
      <c r="Y108" s="422">
        <v>1</v>
      </c>
      <c r="Z108" s="422">
        <v>1</v>
      </c>
      <c r="AA108" s="422">
        <v>1</v>
      </c>
      <c r="AB108" s="422">
        <v>1</v>
      </c>
      <c r="AC108" s="422">
        <v>1</v>
      </c>
      <c r="AD108" s="422">
        <v>1</v>
      </c>
      <c r="AE108" s="65">
        <f>'User Add-in Location'!B112</f>
        <v>0</v>
      </c>
      <c r="AF108" s="65">
        <f>'User Add-in Location'!C112</f>
        <v>0</v>
      </c>
      <c r="AG108" s="422">
        <v>1</v>
      </c>
      <c r="AH108" s="422">
        <v>1</v>
      </c>
      <c r="AI108" s="422">
        <v>1</v>
      </c>
      <c r="AJ108" s="422">
        <v>1</v>
      </c>
      <c r="AK108" s="422">
        <v>1</v>
      </c>
      <c r="AL108" s="422">
        <v>1</v>
      </c>
      <c r="AM108" s="422">
        <v>1</v>
      </c>
      <c r="AN108" s="422">
        <v>1</v>
      </c>
      <c r="AO108" s="422">
        <v>1</v>
      </c>
      <c r="AP108" s="422">
        <v>1</v>
      </c>
      <c r="AQ108" s="422">
        <v>1</v>
      </c>
      <c r="AR108" s="422">
        <v>1</v>
      </c>
      <c r="AS108" s="422">
        <v>1</v>
      </c>
      <c r="AT108" s="422">
        <v>1</v>
      </c>
      <c r="AU108" s="422">
        <v>1</v>
      </c>
      <c r="AV108" s="422">
        <v>1</v>
      </c>
      <c r="AW108" s="422">
        <v>1</v>
      </c>
      <c r="AX108" s="422">
        <v>1</v>
      </c>
      <c r="AY108" s="422">
        <v>1</v>
      </c>
      <c r="AZ108" s="422">
        <v>1</v>
      </c>
      <c r="BA108" s="422">
        <v>1</v>
      </c>
      <c r="BB108" s="422">
        <v>1</v>
      </c>
      <c r="BC108" s="422">
        <v>1</v>
      </c>
      <c r="BD108" s="422">
        <v>1</v>
      </c>
      <c r="BE108" s="422">
        <v>1</v>
      </c>
    </row>
    <row r="109" spans="3:57" ht="15" x14ac:dyDescent="0.2">
      <c r="C109" s="6" t="s">
        <v>45</v>
      </c>
      <c r="D109" s="424">
        <v>1</v>
      </c>
      <c r="E109" s="422">
        <v>1</v>
      </c>
      <c r="F109" s="422">
        <v>1</v>
      </c>
      <c r="G109" s="422">
        <v>1</v>
      </c>
      <c r="H109" s="422">
        <v>1</v>
      </c>
      <c r="I109" s="422">
        <v>1</v>
      </c>
      <c r="J109" s="422">
        <v>1</v>
      </c>
      <c r="K109" s="422">
        <v>1</v>
      </c>
      <c r="L109" s="422">
        <v>1</v>
      </c>
      <c r="M109" s="422">
        <v>1</v>
      </c>
      <c r="N109" s="422">
        <v>1</v>
      </c>
      <c r="O109" s="422">
        <v>1</v>
      </c>
      <c r="P109" s="422">
        <v>1</v>
      </c>
      <c r="Q109" s="422">
        <v>1</v>
      </c>
      <c r="R109" s="422">
        <v>1</v>
      </c>
      <c r="S109" s="422">
        <v>1</v>
      </c>
      <c r="T109" s="422">
        <v>1</v>
      </c>
      <c r="U109" s="422">
        <v>1</v>
      </c>
      <c r="V109" s="422">
        <v>1</v>
      </c>
      <c r="W109" s="422">
        <v>1</v>
      </c>
      <c r="X109" s="422">
        <v>1</v>
      </c>
      <c r="Y109" s="422">
        <v>1</v>
      </c>
      <c r="Z109" s="422">
        <v>1</v>
      </c>
      <c r="AA109" s="422">
        <v>1</v>
      </c>
      <c r="AB109" s="422">
        <v>1</v>
      </c>
      <c r="AC109" s="422">
        <v>1</v>
      </c>
      <c r="AD109" s="422">
        <v>1</v>
      </c>
      <c r="AE109" s="65">
        <f>'User Add-in Location'!B113</f>
        <v>0</v>
      </c>
      <c r="AF109" s="65">
        <f>'User Add-in Location'!C113</f>
        <v>0</v>
      </c>
      <c r="AG109" s="422">
        <v>1</v>
      </c>
      <c r="AH109" s="422">
        <v>1</v>
      </c>
      <c r="AI109" s="422">
        <v>1</v>
      </c>
      <c r="AJ109" s="422">
        <v>1</v>
      </c>
      <c r="AK109" s="422">
        <v>1</v>
      </c>
      <c r="AL109" s="422">
        <v>1</v>
      </c>
      <c r="AM109" s="422">
        <v>1</v>
      </c>
      <c r="AN109" s="422">
        <v>1</v>
      </c>
      <c r="AO109" s="422">
        <v>1</v>
      </c>
      <c r="AP109" s="422">
        <v>1</v>
      </c>
      <c r="AQ109" s="422">
        <v>1</v>
      </c>
      <c r="AR109" s="422">
        <v>1</v>
      </c>
      <c r="AS109" s="422">
        <v>1</v>
      </c>
      <c r="AT109" s="422">
        <v>1</v>
      </c>
      <c r="AU109" s="422">
        <v>1</v>
      </c>
      <c r="AV109" s="422">
        <v>1</v>
      </c>
      <c r="AW109" s="422">
        <v>1</v>
      </c>
      <c r="AX109" s="422">
        <v>1</v>
      </c>
      <c r="AY109" s="422">
        <v>1</v>
      </c>
      <c r="AZ109" s="422">
        <v>1</v>
      </c>
      <c r="BA109" s="422">
        <v>1</v>
      </c>
      <c r="BB109" s="422">
        <v>1</v>
      </c>
      <c r="BC109" s="422">
        <v>1</v>
      </c>
      <c r="BD109" s="422">
        <v>1</v>
      </c>
      <c r="BE109" s="422">
        <v>1</v>
      </c>
    </row>
    <row r="110" spans="3:57" ht="15" x14ac:dyDescent="0.2">
      <c r="C110" s="6" t="s">
        <v>115</v>
      </c>
      <c r="D110" s="424">
        <v>1</v>
      </c>
      <c r="E110" s="422">
        <v>1</v>
      </c>
      <c r="F110" s="422">
        <v>1</v>
      </c>
      <c r="G110" s="422">
        <v>1</v>
      </c>
      <c r="H110" s="422">
        <v>1</v>
      </c>
      <c r="I110" s="422">
        <v>1</v>
      </c>
      <c r="J110" s="422">
        <v>1</v>
      </c>
      <c r="K110" s="422">
        <v>1</v>
      </c>
      <c r="L110" s="422">
        <v>1</v>
      </c>
      <c r="M110" s="422">
        <v>1</v>
      </c>
      <c r="N110" s="422">
        <v>1</v>
      </c>
      <c r="O110" s="422">
        <v>1</v>
      </c>
      <c r="P110" s="422">
        <v>1</v>
      </c>
      <c r="Q110" s="422">
        <v>1</v>
      </c>
      <c r="R110" s="422">
        <v>1</v>
      </c>
      <c r="S110" s="422">
        <v>1</v>
      </c>
      <c r="T110" s="422">
        <v>1</v>
      </c>
      <c r="U110" s="422">
        <v>1</v>
      </c>
      <c r="V110" s="422">
        <v>1</v>
      </c>
      <c r="W110" s="422">
        <v>1</v>
      </c>
      <c r="X110" s="422">
        <v>1</v>
      </c>
      <c r="Y110" s="422">
        <v>1</v>
      </c>
      <c r="Z110" s="422">
        <v>1</v>
      </c>
      <c r="AA110" s="422">
        <v>1</v>
      </c>
      <c r="AB110" s="422">
        <v>1</v>
      </c>
      <c r="AC110" s="422">
        <v>1</v>
      </c>
      <c r="AD110" s="422">
        <v>1</v>
      </c>
      <c r="AE110" s="65">
        <f>'User Add-in Location'!B114</f>
        <v>0</v>
      </c>
      <c r="AF110" s="65">
        <f>'User Add-in Location'!C114</f>
        <v>0</v>
      </c>
      <c r="AG110" s="422">
        <v>1</v>
      </c>
      <c r="AH110" s="422">
        <v>1</v>
      </c>
      <c r="AI110" s="422">
        <v>1</v>
      </c>
      <c r="AJ110" s="422">
        <v>1</v>
      </c>
      <c r="AK110" s="422">
        <v>1</v>
      </c>
      <c r="AL110" s="422">
        <v>1</v>
      </c>
      <c r="AM110" s="422">
        <v>1</v>
      </c>
      <c r="AN110" s="422">
        <v>1</v>
      </c>
      <c r="AO110" s="422">
        <v>1</v>
      </c>
      <c r="AP110" s="422">
        <v>1</v>
      </c>
      <c r="AQ110" s="422">
        <v>1</v>
      </c>
      <c r="AR110" s="422">
        <v>1</v>
      </c>
      <c r="AS110" s="422">
        <v>1</v>
      </c>
      <c r="AT110" s="422">
        <v>1</v>
      </c>
      <c r="AU110" s="422">
        <v>1</v>
      </c>
      <c r="AV110" s="422">
        <v>1</v>
      </c>
      <c r="AW110" s="422">
        <v>1</v>
      </c>
      <c r="AX110" s="422">
        <v>1</v>
      </c>
      <c r="AY110" s="422">
        <v>1</v>
      </c>
      <c r="AZ110" s="422">
        <v>1</v>
      </c>
      <c r="BA110" s="422">
        <v>1</v>
      </c>
      <c r="BB110" s="422">
        <v>1</v>
      </c>
      <c r="BC110" s="422">
        <v>1</v>
      </c>
      <c r="BD110" s="422">
        <v>1</v>
      </c>
      <c r="BE110" s="422">
        <v>1</v>
      </c>
    </row>
    <row r="111" spans="3:57" ht="15" x14ac:dyDescent="0.2">
      <c r="C111" s="6" t="s">
        <v>116</v>
      </c>
      <c r="D111" s="424">
        <v>1</v>
      </c>
      <c r="E111" s="422">
        <v>1</v>
      </c>
      <c r="F111" s="422">
        <v>1</v>
      </c>
      <c r="G111" s="422">
        <v>1</v>
      </c>
      <c r="H111" s="422">
        <v>1</v>
      </c>
      <c r="I111" s="422">
        <v>1</v>
      </c>
      <c r="J111" s="422">
        <v>1</v>
      </c>
      <c r="K111" s="422">
        <v>1</v>
      </c>
      <c r="L111" s="422">
        <v>1</v>
      </c>
      <c r="M111" s="422">
        <v>1</v>
      </c>
      <c r="N111" s="422">
        <v>1</v>
      </c>
      <c r="O111" s="422">
        <v>1</v>
      </c>
      <c r="P111" s="422">
        <v>1</v>
      </c>
      <c r="Q111" s="422">
        <v>1</v>
      </c>
      <c r="R111" s="422">
        <v>1</v>
      </c>
      <c r="S111" s="422">
        <v>1</v>
      </c>
      <c r="T111" s="422">
        <v>1</v>
      </c>
      <c r="U111" s="422">
        <v>1</v>
      </c>
      <c r="V111" s="422">
        <v>1</v>
      </c>
      <c r="W111" s="422">
        <v>1</v>
      </c>
      <c r="X111" s="422">
        <v>1</v>
      </c>
      <c r="Y111" s="422">
        <v>1</v>
      </c>
      <c r="Z111" s="422">
        <v>1</v>
      </c>
      <c r="AA111" s="422">
        <v>1</v>
      </c>
      <c r="AB111" s="422">
        <v>1</v>
      </c>
      <c r="AC111" s="422">
        <v>1</v>
      </c>
      <c r="AD111" s="422">
        <v>1</v>
      </c>
      <c r="AE111" s="65">
        <f>'User Add-in Location'!B115</f>
        <v>0</v>
      </c>
      <c r="AF111" s="65">
        <f>'User Add-in Location'!C115</f>
        <v>0</v>
      </c>
      <c r="AG111" s="422">
        <v>1</v>
      </c>
      <c r="AH111" s="422">
        <v>1</v>
      </c>
      <c r="AI111" s="422">
        <v>1</v>
      </c>
      <c r="AJ111" s="422">
        <v>1</v>
      </c>
      <c r="AK111" s="422">
        <v>1</v>
      </c>
      <c r="AL111" s="422">
        <v>1</v>
      </c>
      <c r="AM111" s="422">
        <v>1</v>
      </c>
      <c r="AN111" s="422">
        <v>1</v>
      </c>
      <c r="AO111" s="422">
        <v>1</v>
      </c>
      <c r="AP111" s="422">
        <v>1</v>
      </c>
      <c r="AQ111" s="422">
        <v>1</v>
      </c>
      <c r="AR111" s="422">
        <v>1</v>
      </c>
      <c r="AS111" s="422">
        <v>1</v>
      </c>
      <c r="AT111" s="422">
        <v>1</v>
      </c>
      <c r="AU111" s="422">
        <v>1</v>
      </c>
      <c r="AV111" s="422">
        <v>1</v>
      </c>
      <c r="AW111" s="422">
        <v>1</v>
      </c>
      <c r="AX111" s="422">
        <v>1</v>
      </c>
      <c r="AY111" s="422">
        <v>1</v>
      </c>
      <c r="AZ111" s="422">
        <v>1</v>
      </c>
      <c r="BA111" s="422">
        <v>1</v>
      </c>
      <c r="BB111" s="422">
        <v>1</v>
      </c>
      <c r="BC111" s="422">
        <v>1</v>
      </c>
      <c r="BD111" s="422">
        <v>1</v>
      </c>
      <c r="BE111" s="422">
        <v>1</v>
      </c>
    </row>
    <row r="112" spans="3:57" ht="15" x14ac:dyDescent="0.2">
      <c r="C112" s="6" t="s">
        <v>117</v>
      </c>
      <c r="D112" s="424">
        <v>1</v>
      </c>
      <c r="E112" s="422">
        <v>1</v>
      </c>
      <c r="F112" s="422">
        <v>1</v>
      </c>
      <c r="G112" s="422">
        <v>1</v>
      </c>
      <c r="H112" s="422">
        <v>1</v>
      </c>
      <c r="I112" s="422">
        <v>1</v>
      </c>
      <c r="J112" s="422">
        <v>1</v>
      </c>
      <c r="K112" s="422">
        <v>1</v>
      </c>
      <c r="L112" s="422">
        <v>1</v>
      </c>
      <c r="M112" s="422">
        <v>1</v>
      </c>
      <c r="N112" s="422">
        <v>1</v>
      </c>
      <c r="O112" s="422">
        <v>1</v>
      </c>
      <c r="P112" s="422">
        <v>1</v>
      </c>
      <c r="Q112" s="422">
        <v>1</v>
      </c>
      <c r="R112" s="422">
        <v>1</v>
      </c>
      <c r="S112" s="422">
        <v>1</v>
      </c>
      <c r="T112" s="422">
        <v>1</v>
      </c>
      <c r="U112" s="422">
        <v>1</v>
      </c>
      <c r="V112" s="422">
        <v>1</v>
      </c>
      <c r="W112" s="422">
        <v>1</v>
      </c>
      <c r="X112" s="422">
        <v>1</v>
      </c>
      <c r="Y112" s="422">
        <v>1</v>
      </c>
      <c r="Z112" s="422">
        <v>1</v>
      </c>
      <c r="AA112" s="422">
        <v>1</v>
      </c>
      <c r="AB112" s="422">
        <v>1</v>
      </c>
      <c r="AC112" s="422">
        <v>1</v>
      </c>
      <c r="AD112" s="422">
        <v>1</v>
      </c>
      <c r="AE112" s="65">
        <f>'User Add-in Location'!B116</f>
        <v>0</v>
      </c>
      <c r="AF112" s="65">
        <f>'User Add-in Location'!C116</f>
        <v>0</v>
      </c>
      <c r="AG112" s="422">
        <v>1</v>
      </c>
      <c r="AH112" s="422">
        <v>1</v>
      </c>
      <c r="AI112" s="422">
        <v>1</v>
      </c>
      <c r="AJ112" s="422">
        <v>1</v>
      </c>
      <c r="AK112" s="422">
        <v>1</v>
      </c>
      <c r="AL112" s="422">
        <v>1</v>
      </c>
      <c r="AM112" s="422">
        <v>1</v>
      </c>
      <c r="AN112" s="422">
        <v>1</v>
      </c>
      <c r="AO112" s="422">
        <v>1</v>
      </c>
      <c r="AP112" s="422">
        <v>1</v>
      </c>
      <c r="AQ112" s="422">
        <v>1</v>
      </c>
      <c r="AR112" s="422">
        <v>1</v>
      </c>
      <c r="AS112" s="422">
        <v>1</v>
      </c>
      <c r="AT112" s="422">
        <v>1</v>
      </c>
      <c r="AU112" s="422">
        <v>1</v>
      </c>
      <c r="AV112" s="422">
        <v>1</v>
      </c>
      <c r="AW112" s="422">
        <v>1</v>
      </c>
      <c r="AX112" s="422">
        <v>1</v>
      </c>
      <c r="AY112" s="422">
        <v>1</v>
      </c>
      <c r="AZ112" s="422">
        <v>1</v>
      </c>
      <c r="BA112" s="422">
        <v>1</v>
      </c>
      <c r="BB112" s="422">
        <v>1</v>
      </c>
      <c r="BC112" s="422">
        <v>1</v>
      </c>
      <c r="BD112" s="422">
        <v>1</v>
      </c>
      <c r="BE112" s="422">
        <v>1</v>
      </c>
    </row>
    <row r="113" spans="3:57" ht="15" x14ac:dyDescent="0.2">
      <c r="C113" s="6" t="s">
        <v>118</v>
      </c>
      <c r="D113" s="424">
        <v>1</v>
      </c>
      <c r="E113" s="422">
        <v>1</v>
      </c>
      <c r="F113" s="422">
        <v>1</v>
      </c>
      <c r="G113" s="422">
        <v>1</v>
      </c>
      <c r="H113" s="422">
        <v>1</v>
      </c>
      <c r="I113" s="422">
        <v>1</v>
      </c>
      <c r="J113" s="422">
        <v>1</v>
      </c>
      <c r="K113" s="422">
        <v>1</v>
      </c>
      <c r="L113" s="422">
        <v>1</v>
      </c>
      <c r="M113" s="422">
        <v>1</v>
      </c>
      <c r="N113" s="422">
        <v>1</v>
      </c>
      <c r="O113" s="422">
        <v>1</v>
      </c>
      <c r="P113" s="422">
        <v>1</v>
      </c>
      <c r="Q113" s="422">
        <v>1</v>
      </c>
      <c r="R113" s="422">
        <v>1</v>
      </c>
      <c r="S113" s="422">
        <v>1</v>
      </c>
      <c r="T113" s="422">
        <v>1</v>
      </c>
      <c r="U113" s="422">
        <v>1</v>
      </c>
      <c r="V113" s="422">
        <v>1</v>
      </c>
      <c r="W113" s="422">
        <v>1</v>
      </c>
      <c r="X113" s="422">
        <v>1</v>
      </c>
      <c r="Y113" s="422">
        <v>1</v>
      </c>
      <c r="Z113" s="422">
        <v>1</v>
      </c>
      <c r="AA113" s="422">
        <v>1</v>
      </c>
      <c r="AB113" s="422">
        <v>1</v>
      </c>
      <c r="AC113" s="422">
        <v>1</v>
      </c>
      <c r="AD113" s="422">
        <v>1</v>
      </c>
      <c r="AE113" s="65">
        <f>'User Add-in Location'!B117</f>
        <v>0</v>
      </c>
      <c r="AF113" s="65">
        <f>'User Add-in Location'!C117</f>
        <v>0</v>
      </c>
      <c r="AG113" s="422">
        <v>1</v>
      </c>
      <c r="AH113" s="422">
        <v>1</v>
      </c>
      <c r="AI113" s="422">
        <v>1</v>
      </c>
      <c r="AJ113" s="422">
        <v>1</v>
      </c>
      <c r="AK113" s="422">
        <v>1</v>
      </c>
      <c r="AL113" s="422">
        <v>1</v>
      </c>
      <c r="AM113" s="422">
        <v>1</v>
      </c>
      <c r="AN113" s="422">
        <v>1</v>
      </c>
      <c r="AO113" s="422">
        <v>1</v>
      </c>
      <c r="AP113" s="422">
        <v>1</v>
      </c>
      <c r="AQ113" s="422">
        <v>1</v>
      </c>
      <c r="AR113" s="422">
        <v>1</v>
      </c>
      <c r="AS113" s="422">
        <v>1</v>
      </c>
      <c r="AT113" s="422">
        <v>1</v>
      </c>
      <c r="AU113" s="422">
        <v>1</v>
      </c>
      <c r="AV113" s="422">
        <v>1</v>
      </c>
      <c r="AW113" s="422">
        <v>1</v>
      </c>
      <c r="AX113" s="422">
        <v>1</v>
      </c>
      <c r="AY113" s="422">
        <v>1</v>
      </c>
      <c r="AZ113" s="422">
        <v>1</v>
      </c>
      <c r="BA113" s="422">
        <v>1</v>
      </c>
      <c r="BB113" s="422">
        <v>1</v>
      </c>
      <c r="BC113" s="422">
        <v>1</v>
      </c>
      <c r="BD113" s="422">
        <v>1</v>
      </c>
      <c r="BE113" s="422">
        <v>1</v>
      </c>
    </row>
    <row r="114" spans="3:57" ht="15" x14ac:dyDescent="0.2">
      <c r="C114" s="6" t="s">
        <v>119</v>
      </c>
      <c r="D114" s="424">
        <v>1</v>
      </c>
      <c r="E114" s="422">
        <v>1</v>
      </c>
      <c r="F114" s="422">
        <v>1</v>
      </c>
      <c r="G114" s="422">
        <v>1</v>
      </c>
      <c r="H114" s="422">
        <v>1</v>
      </c>
      <c r="I114" s="422">
        <v>1</v>
      </c>
      <c r="J114" s="422">
        <v>1</v>
      </c>
      <c r="K114" s="422">
        <v>1</v>
      </c>
      <c r="L114" s="422">
        <v>1</v>
      </c>
      <c r="M114" s="422">
        <v>1</v>
      </c>
      <c r="N114" s="422">
        <v>1</v>
      </c>
      <c r="O114" s="422">
        <v>1</v>
      </c>
      <c r="P114" s="422">
        <v>1</v>
      </c>
      <c r="Q114" s="422">
        <v>1</v>
      </c>
      <c r="R114" s="422">
        <v>1</v>
      </c>
      <c r="S114" s="422">
        <v>1</v>
      </c>
      <c r="T114" s="422">
        <v>1</v>
      </c>
      <c r="U114" s="422">
        <v>1</v>
      </c>
      <c r="V114" s="422">
        <v>1</v>
      </c>
      <c r="W114" s="422">
        <v>1</v>
      </c>
      <c r="X114" s="422">
        <v>1</v>
      </c>
      <c r="Y114" s="422">
        <v>1</v>
      </c>
      <c r="Z114" s="422">
        <v>1</v>
      </c>
      <c r="AA114" s="422">
        <v>1</v>
      </c>
      <c r="AB114" s="422">
        <v>1</v>
      </c>
      <c r="AC114" s="422">
        <v>1</v>
      </c>
      <c r="AD114" s="422">
        <v>1</v>
      </c>
      <c r="AE114" s="65">
        <f>'User Add-in Location'!B118</f>
        <v>0</v>
      </c>
      <c r="AF114" s="65">
        <f>'User Add-in Location'!C118</f>
        <v>0</v>
      </c>
      <c r="AG114" s="422">
        <v>1</v>
      </c>
      <c r="AH114" s="422">
        <v>1</v>
      </c>
      <c r="AI114" s="422">
        <v>1</v>
      </c>
      <c r="AJ114" s="422">
        <v>1</v>
      </c>
      <c r="AK114" s="422">
        <v>1</v>
      </c>
      <c r="AL114" s="422">
        <v>1</v>
      </c>
      <c r="AM114" s="422">
        <v>1</v>
      </c>
      <c r="AN114" s="422">
        <v>1</v>
      </c>
      <c r="AO114" s="422">
        <v>1</v>
      </c>
      <c r="AP114" s="422">
        <v>1</v>
      </c>
      <c r="AQ114" s="422">
        <v>1</v>
      </c>
      <c r="AR114" s="422">
        <v>1</v>
      </c>
      <c r="AS114" s="422">
        <v>1</v>
      </c>
      <c r="AT114" s="422">
        <v>1</v>
      </c>
      <c r="AU114" s="422">
        <v>1</v>
      </c>
      <c r="AV114" s="422">
        <v>1</v>
      </c>
      <c r="AW114" s="422">
        <v>1</v>
      </c>
      <c r="AX114" s="422">
        <v>1</v>
      </c>
      <c r="AY114" s="422">
        <v>1</v>
      </c>
      <c r="AZ114" s="422">
        <v>1</v>
      </c>
      <c r="BA114" s="422">
        <v>1</v>
      </c>
      <c r="BB114" s="422">
        <v>1</v>
      </c>
      <c r="BC114" s="422">
        <v>1</v>
      </c>
      <c r="BD114" s="422">
        <v>1</v>
      </c>
      <c r="BE114" s="422">
        <v>1</v>
      </c>
    </row>
    <row r="115" spans="3:57" ht="15" x14ac:dyDescent="0.2">
      <c r="C115" s="6" t="s">
        <v>46</v>
      </c>
      <c r="D115" s="424">
        <v>1</v>
      </c>
      <c r="E115" s="422">
        <v>1</v>
      </c>
      <c r="F115" s="422">
        <v>1</v>
      </c>
      <c r="G115" s="422">
        <v>1</v>
      </c>
      <c r="H115" s="422">
        <v>1</v>
      </c>
      <c r="I115" s="422">
        <v>1</v>
      </c>
      <c r="J115" s="422">
        <v>1</v>
      </c>
      <c r="K115" s="422">
        <v>1</v>
      </c>
      <c r="L115" s="422">
        <v>1</v>
      </c>
      <c r="M115" s="422">
        <v>1</v>
      </c>
      <c r="N115" s="422">
        <v>1</v>
      </c>
      <c r="O115" s="422">
        <v>1</v>
      </c>
      <c r="P115" s="422">
        <v>1</v>
      </c>
      <c r="Q115" s="422">
        <v>1</v>
      </c>
      <c r="R115" s="422">
        <v>1</v>
      </c>
      <c r="S115" s="422">
        <v>1</v>
      </c>
      <c r="T115" s="422">
        <v>1</v>
      </c>
      <c r="U115" s="422">
        <v>1</v>
      </c>
      <c r="V115" s="422">
        <v>1</v>
      </c>
      <c r="W115" s="422">
        <v>1</v>
      </c>
      <c r="X115" s="422">
        <v>1</v>
      </c>
      <c r="Y115" s="422">
        <v>1</v>
      </c>
      <c r="Z115" s="422">
        <v>1</v>
      </c>
      <c r="AA115" s="422">
        <v>1</v>
      </c>
      <c r="AB115" s="422">
        <v>1</v>
      </c>
      <c r="AC115" s="422">
        <v>1</v>
      </c>
      <c r="AD115" s="422">
        <v>1</v>
      </c>
      <c r="AE115" s="65">
        <f>'User Add-in Location'!B119</f>
        <v>0</v>
      </c>
      <c r="AF115" s="65">
        <f>'User Add-in Location'!C119</f>
        <v>0</v>
      </c>
      <c r="AG115" s="422">
        <v>1</v>
      </c>
      <c r="AH115" s="422">
        <v>1</v>
      </c>
      <c r="AI115" s="422">
        <v>1</v>
      </c>
      <c r="AJ115" s="422">
        <v>1</v>
      </c>
      <c r="AK115" s="422">
        <v>1</v>
      </c>
      <c r="AL115" s="422">
        <v>1</v>
      </c>
      <c r="AM115" s="422">
        <v>1</v>
      </c>
      <c r="AN115" s="422">
        <v>1</v>
      </c>
      <c r="AO115" s="422">
        <v>1</v>
      </c>
      <c r="AP115" s="422">
        <v>1</v>
      </c>
      <c r="AQ115" s="422">
        <v>1</v>
      </c>
      <c r="AR115" s="422">
        <v>1</v>
      </c>
      <c r="AS115" s="422">
        <v>1</v>
      </c>
      <c r="AT115" s="422">
        <v>1</v>
      </c>
      <c r="AU115" s="422">
        <v>1</v>
      </c>
      <c r="AV115" s="422">
        <v>1</v>
      </c>
      <c r="AW115" s="422">
        <v>1</v>
      </c>
      <c r="AX115" s="422">
        <v>1</v>
      </c>
      <c r="AY115" s="422">
        <v>1</v>
      </c>
      <c r="AZ115" s="422">
        <v>1</v>
      </c>
      <c r="BA115" s="422">
        <v>1</v>
      </c>
      <c r="BB115" s="422">
        <v>1</v>
      </c>
      <c r="BC115" s="422">
        <v>1</v>
      </c>
      <c r="BD115" s="422">
        <v>1</v>
      </c>
      <c r="BE115" s="422">
        <v>1</v>
      </c>
    </row>
    <row r="116" spans="3:57" ht="15" x14ac:dyDescent="0.2">
      <c r="C116" s="6" t="s">
        <v>47</v>
      </c>
      <c r="D116" s="424">
        <v>1</v>
      </c>
      <c r="E116" s="422">
        <v>1</v>
      </c>
      <c r="F116" s="422">
        <v>1</v>
      </c>
      <c r="G116" s="422">
        <v>1</v>
      </c>
      <c r="H116" s="422">
        <v>1</v>
      </c>
      <c r="I116" s="422">
        <v>1</v>
      </c>
      <c r="J116" s="422">
        <v>1</v>
      </c>
      <c r="K116" s="422">
        <v>1</v>
      </c>
      <c r="L116" s="422">
        <v>1</v>
      </c>
      <c r="M116" s="422">
        <v>1</v>
      </c>
      <c r="N116" s="422">
        <v>1</v>
      </c>
      <c r="O116" s="422">
        <v>1</v>
      </c>
      <c r="P116" s="422">
        <v>1</v>
      </c>
      <c r="Q116" s="422">
        <v>1</v>
      </c>
      <c r="R116" s="422">
        <v>1</v>
      </c>
      <c r="S116" s="422">
        <v>1</v>
      </c>
      <c r="T116" s="422">
        <v>1</v>
      </c>
      <c r="U116" s="422">
        <v>1</v>
      </c>
      <c r="V116" s="422">
        <v>1</v>
      </c>
      <c r="W116" s="422">
        <v>1</v>
      </c>
      <c r="X116" s="422">
        <v>1</v>
      </c>
      <c r="Y116" s="422">
        <v>1</v>
      </c>
      <c r="Z116" s="422">
        <v>1</v>
      </c>
      <c r="AA116" s="422">
        <v>1</v>
      </c>
      <c r="AB116" s="422">
        <v>1</v>
      </c>
      <c r="AC116" s="422">
        <v>1</v>
      </c>
      <c r="AD116" s="422">
        <v>1</v>
      </c>
      <c r="AE116" s="65">
        <f>'User Add-in Location'!B120</f>
        <v>0</v>
      </c>
      <c r="AF116" s="65">
        <f>'User Add-in Location'!C120</f>
        <v>0</v>
      </c>
      <c r="AG116" s="422">
        <v>1</v>
      </c>
      <c r="AH116" s="422">
        <v>1</v>
      </c>
      <c r="AI116" s="422">
        <v>1</v>
      </c>
      <c r="AJ116" s="422">
        <v>1</v>
      </c>
      <c r="AK116" s="422">
        <v>1</v>
      </c>
      <c r="AL116" s="422">
        <v>1</v>
      </c>
      <c r="AM116" s="422">
        <v>1</v>
      </c>
      <c r="AN116" s="422">
        <v>1</v>
      </c>
      <c r="AO116" s="422">
        <v>1</v>
      </c>
      <c r="AP116" s="422">
        <v>1</v>
      </c>
      <c r="AQ116" s="422">
        <v>1</v>
      </c>
      <c r="AR116" s="422">
        <v>1</v>
      </c>
      <c r="AS116" s="422">
        <v>1</v>
      </c>
      <c r="AT116" s="422">
        <v>1</v>
      </c>
      <c r="AU116" s="422">
        <v>1</v>
      </c>
      <c r="AV116" s="422">
        <v>1</v>
      </c>
      <c r="AW116" s="422">
        <v>1</v>
      </c>
      <c r="AX116" s="422">
        <v>1</v>
      </c>
      <c r="AY116" s="422">
        <v>1</v>
      </c>
      <c r="AZ116" s="422">
        <v>1</v>
      </c>
      <c r="BA116" s="422">
        <v>1</v>
      </c>
      <c r="BB116" s="422">
        <v>1</v>
      </c>
      <c r="BC116" s="422">
        <v>1</v>
      </c>
      <c r="BD116" s="422">
        <v>1</v>
      </c>
      <c r="BE116" s="422">
        <v>1</v>
      </c>
    </row>
    <row r="117" spans="3:57" ht="15" x14ac:dyDescent="0.2">
      <c r="C117" s="6" t="s">
        <v>120</v>
      </c>
      <c r="D117" s="424">
        <v>1</v>
      </c>
      <c r="E117" s="422">
        <v>1</v>
      </c>
      <c r="F117" s="422">
        <v>1</v>
      </c>
      <c r="G117" s="422">
        <v>1</v>
      </c>
      <c r="H117" s="422">
        <v>1</v>
      </c>
      <c r="I117" s="422">
        <v>1</v>
      </c>
      <c r="J117" s="422">
        <v>1</v>
      </c>
      <c r="K117" s="422">
        <v>1</v>
      </c>
      <c r="L117" s="422">
        <v>1</v>
      </c>
      <c r="M117" s="422">
        <v>1</v>
      </c>
      <c r="N117" s="422">
        <v>1</v>
      </c>
      <c r="O117" s="422">
        <v>1</v>
      </c>
      <c r="P117" s="422">
        <v>1</v>
      </c>
      <c r="Q117" s="422">
        <v>1</v>
      </c>
      <c r="R117" s="422">
        <v>1</v>
      </c>
      <c r="S117" s="422">
        <v>1</v>
      </c>
      <c r="T117" s="422">
        <v>1</v>
      </c>
      <c r="U117" s="422">
        <v>1</v>
      </c>
      <c r="V117" s="422">
        <v>1</v>
      </c>
      <c r="W117" s="422">
        <v>1</v>
      </c>
      <c r="X117" s="422">
        <v>1</v>
      </c>
      <c r="Y117" s="422">
        <v>1</v>
      </c>
      <c r="Z117" s="422">
        <v>1</v>
      </c>
      <c r="AA117" s="422">
        <v>1</v>
      </c>
      <c r="AB117" s="422">
        <v>1</v>
      </c>
      <c r="AC117" s="422">
        <v>1</v>
      </c>
      <c r="AD117" s="422">
        <v>1</v>
      </c>
      <c r="AE117" s="65">
        <f>'User Add-in Location'!B121</f>
        <v>0</v>
      </c>
      <c r="AF117" s="65">
        <f>'User Add-in Location'!C121</f>
        <v>0</v>
      </c>
      <c r="AG117" s="422">
        <v>1</v>
      </c>
      <c r="AH117" s="422">
        <v>1</v>
      </c>
      <c r="AI117" s="422">
        <v>1</v>
      </c>
      <c r="AJ117" s="422">
        <v>1</v>
      </c>
      <c r="AK117" s="422">
        <v>1</v>
      </c>
      <c r="AL117" s="422">
        <v>1</v>
      </c>
      <c r="AM117" s="422">
        <v>1</v>
      </c>
      <c r="AN117" s="422">
        <v>1</v>
      </c>
      <c r="AO117" s="422">
        <v>1</v>
      </c>
      <c r="AP117" s="422">
        <v>1</v>
      </c>
      <c r="AQ117" s="422">
        <v>1</v>
      </c>
      <c r="AR117" s="422">
        <v>1</v>
      </c>
      <c r="AS117" s="422">
        <v>1</v>
      </c>
      <c r="AT117" s="422">
        <v>1</v>
      </c>
      <c r="AU117" s="422">
        <v>1</v>
      </c>
      <c r="AV117" s="422">
        <v>1</v>
      </c>
      <c r="AW117" s="422">
        <v>1</v>
      </c>
      <c r="AX117" s="422">
        <v>1</v>
      </c>
      <c r="AY117" s="422">
        <v>1</v>
      </c>
      <c r="AZ117" s="422">
        <v>1</v>
      </c>
      <c r="BA117" s="422">
        <v>1</v>
      </c>
      <c r="BB117" s="422">
        <v>1</v>
      </c>
      <c r="BC117" s="422">
        <v>1</v>
      </c>
      <c r="BD117" s="422">
        <v>1</v>
      </c>
      <c r="BE117" s="422">
        <v>1</v>
      </c>
    </row>
    <row r="118" spans="3:57" ht="15" x14ac:dyDescent="0.2">
      <c r="C118" s="6" t="s">
        <v>121</v>
      </c>
      <c r="D118" s="424">
        <v>1</v>
      </c>
      <c r="E118" s="422">
        <v>1</v>
      </c>
      <c r="F118" s="422">
        <v>1</v>
      </c>
      <c r="G118" s="422">
        <v>1</v>
      </c>
      <c r="H118" s="422">
        <v>1</v>
      </c>
      <c r="I118" s="422">
        <v>1</v>
      </c>
      <c r="J118" s="422">
        <v>1</v>
      </c>
      <c r="K118" s="422">
        <v>1</v>
      </c>
      <c r="L118" s="422">
        <v>1</v>
      </c>
      <c r="M118" s="422">
        <v>1</v>
      </c>
      <c r="N118" s="422">
        <v>1</v>
      </c>
      <c r="O118" s="422">
        <v>1</v>
      </c>
      <c r="P118" s="422">
        <v>1</v>
      </c>
      <c r="Q118" s="422">
        <v>1</v>
      </c>
      <c r="R118" s="422">
        <v>1</v>
      </c>
      <c r="S118" s="422">
        <v>1</v>
      </c>
      <c r="T118" s="422">
        <v>1</v>
      </c>
      <c r="U118" s="422">
        <v>1</v>
      </c>
      <c r="V118" s="422">
        <v>1</v>
      </c>
      <c r="W118" s="422">
        <v>1</v>
      </c>
      <c r="X118" s="422">
        <v>1</v>
      </c>
      <c r="Y118" s="422">
        <v>1</v>
      </c>
      <c r="Z118" s="422">
        <v>1</v>
      </c>
      <c r="AA118" s="422">
        <v>1</v>
      </c>
      <c r="AB118" s="422">
        <v>1</v>
      </c>
      <c r="AC118" s="422">
        <v>1</v>
      </c>
      <c r="AD118" s="422">
        <v>1</v>
      </c>
      <c r="AE118" s="65">
        <f>'User Add-in Location'!B122</f>
        <v>0</v>
      </c>
      <c r="AF118" s="65">
        <f>'User Add-in Location'!C122</f>
        <v>0</v>
      </c>
      <c r="AG118" s="422">
        <v>1</v>
      </c>
      <c r="AH118" s="422">
        <v>1</v>
      </c>
      <c r="AI118" s="422">
        <v>1</v>
      </c>
      <c r="AJ118" s="422">
        <v>1</v>
      </c>
      <c r="AK118" s="422">
        <v>1</v>
      </c>
      <c r="AL118" s="422">
        <v>1</v>
      </c>
      <c r="AM118" s="422">
        <v>1</v>
      </c>
      <c r="AN118" s="422">
        <v>1</v>
      </c>
      <c r="AO118" s="422">
        <v>1</v>
      </c>
      <c r="AP118" s="422">
        <v>1</v>
      </c>
      <c r="AQ118" s="422">
        <v>1</v>
      </c>
      <c r="AR118" s="422">
        <v>1</v>
      </c>
      <c r="AS118" s="422">
        <v>1</v>
      </c>
      <c r="AT118" s="422">
        <v>1</v>
      </c>
      <c r="AU118" s="422">
        <v>1</v>
      </c>
      <c r="AV118" s="422">
        <v>1</v>
      </c>
      <c r="AW118" s="422">
        <v>1</v>
      </c>
      <c r="AX118" s="422">
        <v>1</v>
      </c>
      <c r="AY118" s="422">
        <v>1</v>
      </c>
      <c r="AZ118" s="422">
        <v>1</v>
      </c>
      <c r="BA118" s="422">
        <v>1</v>
      </c>
      <c r="BB118" s="422">
        <v>1</v>
      </c>
      <c r="BC118" s="422">
        <v>1</v>
      </c>
      <c r="BD118" s="422">
        <v>1</v>
      </c>
      <c r="BE118" s="422">
        <v>1</v>
      </c>
    </row>
    <row r="119" spans="3:57" ht="15" x14ac:dyDescent="0.2">
      <c r="C119" s="6" t="s">
        <v>122</v>
      </c>
      <c r="D119" s="424">
        <v>1</v>
      </c>
      <c r="E119" s="422">
        <v>1</v>
      </c>
      <c r="F119" s="422">
        <v>1</v>
      </c>
      <c r="G119" s="422">
        <v>1</v>
      </c>
      <c r="H119" s="422">
        <v>1</v>
      </c>
      <c r="I119" s="422">
        <v>1</v>
      </c>
      <c r="J119" s="422">
        <v>1</v>
      </c>
      <c r="K119" s="422">
        <v>1</v>
      </c>
      <c r="L119" s="422">
        <v>1</v>
      </c>
      <c r="M119" s="422">
        <v>1</v>
      </c>
      <c r="N119" s="422">
        <v>1</v>
      </c>
      <c r="O119" s="422">
        <v>1</v>
      </c>
      <c r="P119" s="422">
        <v>1</v>
      </c>
      <c r="Q119" s="422">
        <v>1</v>
      </c>
      <c r="R119" s="422">
        <v>1</v>
      </c>
      <c r="S119" s="422">
        <v>1</v>
      </c>
      <c r="T119" s="422">
        <v>1</v>
      </c>
      <c r="U119" s="422">
        <v>1</v>
      </c>
      <c r="V119" s="422">
        <v>1</v>
      </c>
      <c r="W119" s="422">
        <v>1</v>
      </c>
      <c r="X119" s="422">
        <v>1</v>
      </c>
      <c r="Y119" s="422">
        <v>1</v>
      </c>
      <c r="Z119" s="422">
        <v>1</v>
      </c>
      <c r="AA119" s="422">
        <v>1</v>
      </c>
      <c r="AB119" s="422">
        <v>1</v>
      </c>
      <c r="AC119" s="422">
        <v>1</v>
      </c>
      <c r="AD119" s="422">
        <v>1</v>
      </c>
      <c r="AE119" s="65">
        <f>'User Add-in Location'!B123</f>
        <v>0</v>
      </c>
      <c r="AF119" s="65">
        <f>'User Add-in Location'!C123</f>
        <v>0</v>
      </c>
      <c r="AG119" s="422">
        <v>1</v>
      </c>
      <c r="AH119" s="422">
        <v>1</v>
      </c>
      <c r="AI119" s="422">
        <v>1</v>
      </c>
      <c r="AJ119" s="422">
        <v>1</v>
      </c>
      <c r="AK119" s="422">
        <v>1</v>
      </c>
      <c r="AL119" s="422">
        <v>1</v>
      </c>
      <c r="AM119" s="422">
        <v>1</v>
      </c>
      <c r="AN119" s="422">
        <v>1</v>
      </c>
      <c r="AO119" s="422">
        <v>1</v>
      </c>
      <c r="AP119" s="422">
        <v>1</v>
      </c>
      <c r="AQ119" s="422">
        <v>1</v>
      </c>
      <c r="AR119" s="422">
        <v>1</v>
      </c>
      <c r="AS119" s="422">
        <v>1</v>
      </c>
      <c r="AT119" s="422">
        <v>1</v>
      </c>
      <c r="AU119" s="422">
        <v>1</v>
      </c>
      <c r="AV119" s="422">
        <v>1</v>
      </c>
      <c r="AW119" s="422">
        <v>1</v>
      </c>
      <c r="AX119" s="422">
        <v>1</v>
      </c>
      <c r="AY119" s="422">
        <v>1</v>
      </c>
      <c r="AZ119" s="422">
        <v>1</v>
      </c>
      <c r="BA119" s="422">
        <v>1</v>
      </c>
      <c r="BB119" s="422">
        <v>1</v>
      </c>
      <c r="BC119" s="422">
        <v>1</v>
      </c>
      <c r="BD119" s="422">
        <v>1</v>
      </c>
      <c r="BE119" s="422">
        <v>1</v>
      </c>
    </row>
    <row r="120" spans="3:57" ht="15" x14ac:dyDescent="0.2">
      <c r="C120" s="6" t="s">
        <v>48</v>
      </c>
      <c r="D120" s="424">
        <v>1</v>
      </c>
      <c r="E120" s="422">
        <v>1</v>
      </c>
      <c r="F120" s="422">
        <v>1</v>
      </c>
      <c r="G120" s="422">
        <v>1</v>
      </c>
      <c r="H120" s="422">
        <v>1</v>
      </c>
      <c r="I120" s="422">
        <v>1</v>
      </c>
      <c r="J120" s="422">
        <v>1</v>
      </c>
      <c r="K120" s="422">
        <v>1</v>
      </c>
      <c r="L120" s="422">
        <v>1</v>
      </c>
      <c r="M120" s="422">
        <v>1</v>
      </c>
      <c r="N120" s="422">
        <v>1</v>
      </c>
      <c r="O120" s="422">
        <v>1</v>
      </c>
      <c r="P120" s="422">
        <v>1</v>
      </c>
      <c r="Q120" s="422">
        <v>1</v>
      </c>
      <c r="R120" s="422">
        <v>1</v>
      </c>
      <c r="S120" s="422">
        <v>1</v>
      </c>
      <c r="T120" s="422">
        <v>1</v>
      </c>
      <c r="U120" s="422">
        <v>1</v>
      </c>
      <c r="V120" s="422">
        <v>1</v>
      </c>
      <c r="W120" s="422">
        <v>1</v>
      </c>
      <c r="X120" s="422">
        <v>1</v>
      </c>
      <c r="Y120" s="422">
        <v>1</v>
      </c>
      <c r="Z120" s="422">
        <v>1</v>
      </c>
      <c r="AA120" s="422">
        <v>1</v>
      </c>
      <c r="AB120" s="422">
        <v>1</v>
      </c>
      <c r="AC120" s="422">
        <v>1</v>
      </c>
      <c r="AD120" s="422">
        <v>1</v>
      </c>
      <c r="AE120" s="65">
        <f>'User Add-in Location'!B124</f>
        <v>0</v>
      </c>
      <c r="AF120" s="65">
        <f>'User Add-in Location'!C124</f>
        <v>0</v>
      </c>
      <c r="AG120" s="422">
        <v>1</v>
      </c>
      <c r="AH120" s="422">
        <v>1</v>
      </c>
      <c r="AI120" s="422">
        <v>1</v>
      </c>
      <c r="AJ120" s="422">
        <v>1</v>
      </c>
      <c r="AK120" s="422">
        <v>1</v>
      </c>
      <c r="AL120" s="422">
        <v>1</v>
      </c>
      <c r="AM120" s="422">
        <v>1</v>
      </c>
      <c r="AN120" s="422">
        <v>1</v>
      </c>
      <c r="AO120" s="422">
        <v>1</v>
      </c>
      <c r="AP120" s="422">
        <v>1</v>
      </c>
      <c r="AQ120" s="422">
        <v>1</v>
      </c>
      <c r="AR120" s="422">
        <v>1</v>
      </c>
      <c r="AS120" s="422">
        <v>1</v>
      </c>
      <c r="AT120" s="422">
        <v>1</v>
      </c>
      <c r="AU120" s="422">
        <v>1</v>
      </c>
      <c r="AV120" s="422">
        <v>1</v>
      </c>
      <c r="AW120" s="422">
        <v>1</v>
      </c>
      <c r="AX120" s="422">
        <v>1</v>
      </c>
      <c r="AY120" s="422">
        <v>1</v>
      </c>
      <c r="AZ120" s="422">
        <v>1</v>
      </c>
      <c r="BA120" s="422">
        <v>1</v>
      </c>
      <c r="BB120" s="422">
        <v>1</v>
      </c>
      <c r="BC120" s="422">
        <v>1</v>
      </c>
      <c r="BD120" s="422">
        <v>1</v>
      </c>
      <c r="BE120" s="422">
        <v>1</v>
      </c>
    </row>
    <row r="121" spans="3:57" ht="15" x14ac:dyDescent="0.2">
      <c r="C121" s="6"/>
      <c r="D121" s="424"/>
      <c r="E121" s="422"/>
      <c r="F121" s="422"/>
      <c r="G121" s="422"/>
      <c r="H121" s="422"/>
      <c r="I121" s="422"/>
      <c r="J121" s="422"/>
      <c r="K121" s="422"/>
      <c r="L121" s="422"/>
      <c r="M121" s="422"/>
      <c r="N121" s="422"/>
      <c r="O121" s="422"/>
      <c r="P121" s="422"/>
      <c r="Q121" s="422"/>
      <c r="R121" s="422"/>
      <c r="S121" s="422"/>
      <c r="T121" s="422"/>
      <c r="U121" s="422"/>
      <c r="V121" s="422"/>
      <c r="W121" s="422"/>
      <c r="X121" s="422"/>
      <c r="Y121" s="422"/>
      <c r="Z121" s="422"/>
      <c r="AA121" s="422"/>
      <c r="AB121" s="422"/>
      <c r="AC121" s="422"/>
      <c r="AD121" s="422"/>
      <c r="AG121" s="422"/>
      <c r="AH121" s="422"/>
      <c r="AI121" s="422"/>
      <c r="AJ121" s="422"/>
      <c r="AK121" s="422"/>
      <c r="AL121" s="422"/>
      <c r="AM121" s="422"/>
      <c r="AN121" s="422"/>
      <c r="AO121" s="422"/>
      <c r="AP121" s="422"/>
      <c r="AQ121" s="422"/>
      <c r="AR121" s="422"/>
      <c r="AS121" s="422"/>
      <c r="AT121" s="422"/>
      <c r="AU121" s="422"/>
      <c r="AV121" s="422"/>
      <c r="AW121" s="422"/>
      <c r="AX121" s="422"/>
      <c r="AY121" s="422"/>
      <c r="AZ121" s="422"/>
      <c r="BA121" s="422"/>
      <c r="BB121" s="422"/>
      <c r="BC121" s="422"/>
      <c r="BD121" s="422"/>
      <c r="BE121" s="422"/>
    </row>
    <row r="122" spans="3:57" ht="15.75" customHeight="1" x14ac:dyDescent="0.2">
      <c r="C122" s="124" t="s">
        <v>200</v>
      </c>
      <c r="D122" s="424"/>
      <c r="E122" s="422"/>
      <c r="F122" s="422"/>
      <c r="G122" s="422"/>
      <c r="H122" s="422"/>
      <c r="I122" s="422"/>
      <c r="J122" s="422"/>
      <c r="K122" s="422"/>
      <c r="L122" s="422"/>
      <c r="M122" s="422"/>
      <c r="N122" s="422"/>
      <c r="O122" s="422"/>
      <c r="P122" s="422"/>
      <c r="Q122" s="422"/>
      <c r="R122" s="422"/>
      <c r="S122" s="422"/>
      <c r="T122" s="422"/>
      <c r="U122" s="422"/>
      <c r="V122" s="422"/>
      <c r="W122" s="422"/>
      <c r="X122" s="422"/>
      <c r="Y122" s="422"/>
      <c r="Z122" s="422"/>
      <c r="AA122" s="422"/>
      <c r="AB122" s="422"/>
      <c r="AC122" s="422"/>
      <c r="AD122" s="422"/>
      <c r="AG122" s="422"/>
      <c r="AH122" s="422"/>
      <c r="AI122" s="422"/>
      <c r="AJ122" s="422"/>
      <c r="AK122" s="422"/>
      <c r="AL122" s="422"/>
      <c r="AM122" s="422"/>
      <c r="AN122" s="422"/>
      <c r="AO122" s="422"/>
      <c r="AP122" s="422"/>
      <c r="AQ122" s="422"/>
      <c r="AR122" s="422"/>
      <c r="AS122" s="422"/>
      <c r="AT122" s="422"/>
      <c r="AU122" s="422"/>
      <c r="AV122" s="422"/>
      <c r="AW122" s="422"/>
      <c r="AX122" s="422"/>
      <c r="AY122" s="422"/>
      <c r="AZ122" s="422"/>
      <c r="BA122" s="422"/>
      <c r="BB122" s="422"/>
      <c r="BC122" s="422"/>
      <c r="BD122" s="422"/>
      <c r="BE122" s="422"/>
    </row>
    <row r="123" spans="3:57" ht="14.25" customHeight="1" x14ac:dyDescent="0.2">
      <c r="C123" s="125" t="s">
        <v>208</v>
      </c>
      <c r="D123" s="424" t="s">
        <v>50</v>
      </c>
      <c r="E123" s="422" t="s">
        <v>51</v>
      </c>
      <c r="F123" s="422" t="s">
        <v>52</v>
      </c>
      <c r="G123" s="422" t="s">
        <v>53</v>
      </c>
      <c r="H123" s="422" t="s">
        <v>54</v>
      </c>
      <c r="I123" s="422" t="s">
        <v>55</v>
      </c>
      <c r="J123" s="422" t="s">
        <v>56</v>
      </c>
      <c r="K123" s="422" t="s">
        <v>57</v>
      </c>
      <c r="L123" s="422" t="s">
        <v>58</v>
      </c>
      <c r="M123" s="422" t="s">
        <v>59</v>
      </c>
      <c r="N123" s="422" t="s">
        <v>60</v>
      </c>
      <c r="O123" s="422" t="s">
        <v>61</v>
      </c>
      <c r="P123" s="422" t="s">
        <v>62</v>
      </c>
      <c r="Q123" s="422" t="s">
        <v>63</v>
      </c>
      <c r="R123" s="422" t="s">
        <v>64</v>
      </c>
      <c r="S123" s="422" t="s">
        <v>65</v>
      </c>
      <c r="T123" s="422" t="s">
        <v>66</v>
      </c>
      <c r="U123" s="422" t="s">
        <v>67</v>
      </c>
      <c r="V123" s="422" t="s">
        <v>68</v>
      </c>
      <c r="W123" s="422" t="s">
        <v>69</v>
      </c>
      <c r="X123" s="422" t="s">
        <v>70</v>
      </c>
      <c r="Y123" s="422" t="s">
        <v>71</v>
      </c>
      <c r="Z123" s="422" t="s">
        <v>72</v>
      </c>
      <c r="AA123" s="422" t="s">
        <v>73</v>
      </c>
      <c r="AB123" s="422" t="s">
        <v>74</v>
      </c>
      <c r="AC123" s="422" t="s">
        <v>75</v>
      </c>
      <c r="AD123" s="422" t="s">
        <v>76</v>
      </c>
      <c r="AE123" s="65" t="s">
        <v>233</v>
      </c>
      <c r="AF123" s="65" t="s">
        <v>232</v>
      </c>
      <c r="AG123" s="422" t="s">
        <v>77</v>
      </c>
      <c r="AH123" s="422" t="s">
        <v>78</v>
      </c>
      <c r="AI123" s="422" t="s">
        <v>79</v>
      </c>
      <c r="AJ123" s="422" t="s">
        <v>80</v>
      </c>
      <c r="AK123" s="422" t="s">
        <v>81</v>
      </c>
      <c r="AL123" s="422" t="s">
        <v>82</v>
      </c>
      <c r="AM123" s="422" t="s">
        <v>83</v>
      </c>
      <c r="AN123" s="422" t="s">
        <v>84</v>
      </c>
      <c r="AO123" s="422" t="s">
        <v>85</v>
      </c>
      <c r="AP123" s="422" t="s">
        <v>86</v>
      </c>
      <c r="AQ123" s="422" t="s">
        <v>87</v>
      </c>
      <c r="AR123" s="422" t="s">
        <v>88</v>
      </c>
      <c r="AS123" s="422" t="s">
        <v>89</v>
      </c>
      <c r="AT123" s="422" t="s">
        <v>90</v>
      </c>
      <c r="AU123" s="422" t="s">
        <v>91</v>
      </c>
      <c r="AV123" s="422" t="s">
        <v>92</v>
      </c>
      <c r="AW123" s="422" t="s">
        <v>93</v>
      </c>
      <c r="AX123" s="422" t="s">
        <v>394</v>
      </c>
      <c r="AY123" s="422" t="s">
        <v>94</v>
      </c>
      <c r="AZ123" s="422" t="s">
        <v>95</v>
      </c>
      <c r="BA123" s="422" t="s">
        <v>96</v>
      </c>
      <c r="BB123" s="422" t="s">
        <v>97</v>
      </c>
      <c r="BC123" s="422" t="s">
        <v>98</v>
      </c>
      <c r="BD123" s="422" t="s">
        <v>99</v>
      </c>
      <c r="BE123" s="422" t="s">
        <v>49</v>
      </c>
    </row>
    <row r="124" spans="3:57" ht="15" x14ac:dyDescent="0.2">
      <c r="C124" s="6" t="s">
        <v>44</v>
      </c>
      <c r="D124" s="424">
        <v>0.26157271862030029</v>
      </c>
      <c r="E124" s="422">
        <v>0.10876667499542236</v>
      </c>
      <c r="F124" s="422">
        <v>0.21263396739959717</v>
      </c>
      <c r="G124" s="422">
        <v>0.40233433246612549</v>
      </c>
      <c r="H124" s="422">
        <v>0.18266880512237549</v>
      </c>
      <c r="I124" s="422">
        <v>0.43537545204162598</v>
      </c>
      <c r="J124" s="422">
        <v>0.10988247394561768</v>
      </c>
      <c r="K124" s="422">
        <v>0.31075286865234375</v>
      </c>
      <c r="L124" s="422">
        <v>0.13212990760803223</v>
      </c>
      <c r="M124" s="422">
        <v>0.15501177310943604</v>
      </c>
      <c r="N124" s="422">
        <v>0.29092717170715332</v>
      </c>
      <c r="O124" s="422">
        <v>0.13808989524841309</v>
      </c>
      <c r="P124" s="422">
        <v>0.36452841758728027</v>
      </c>
      <c r="Q124" s="422">
        <v>0.30969762802124023</v>
      </c>
      <c r="R124" s="422">
        <v>0.21295523643493652</v>
      </c>
      <c r="S124" s="422">
        <v>0.35397875308990479</v>
      </c>
      <c r="T124" s="422">
        <v>0.46925270557403564</v>
      </c>
      <c r="U124" s="422">
        <v>0.19515490531921387</v>
      </c>
      <c r="V124" s="422">
        <v>0.16306221485137939</v>
      </c>
      <c r="W124" s="422">
        <v>0.19720542430877686</v>
      </c>
      <c r="X124" s="422">
        <v>0.18589794635772705</v>
      </c>
      <c r="Y124" s="422">
        <v>9.7021937370300293E-2</v>
      </c>
      <c r="Z124" s="422">
        <v>0.21246445178985596</v>
      </c>
      <c r="AA124" s="422">
        <v>0.36046338081359863</v>
      </c>
      <c r="AB124" s="422">
        <v>0.26462638378143311</v>
      </c>
      <c r="AC124" s="422">
        <v>0.26113200187683105</v>
      </c>
      <c r="AD124" s="422">
        <v>0.36063647270202637</v>
      </c>
      <c r="AE124" s="65">
        <f>'User Add-in Location'!B128</f>
        <v>0</v>
      </c>
      <c r="AF124" s="65">
        <f>'User Add-in Location'!C128</f>
        <v>0</v>
      </c>
      <c r="AG124" s="422">
        <v>0.46600000000000003</v>
      </c>
      <c r="AH124" s="422">
        <v>0.1</v>
      </c>
      <c r="AI124" s="422">
        <v>0.14499999999999999</v>
      </c>
      <c r="AJ124" s="422">
        <v>9.7000000000000003E-2</v>
      </c>
      <c r="AK124" s="422">
        <v>0.26</v>
      </c>
      <c r="AL124" s="422">
        <v>0.20399999999999999</v>
      </c>
      <c r="AM124" s="422">
        <v>0.23699999999999999</v>
      </c>
      <c r="AN124" s="422">
        <v>0.32500000000000001</v>
      </c>
      <c r="AO124" s="422">
        <v>0.23599999999999999</v>
      </c>
      <c r="AP124" s="422">
        <v>0.27800000000000002</v>
      </c>
      <c r="AQ124" s="422">
        <v>0.22600000000000001</v>
      </c>
      <c r="AR124" s="422">
        <v>0.23599999999999999</v>
      </c>
      <c r="AS124" s="422">
        <v>9.9000000000000005E-2</v>
      </c>
      <c r="AT124" s="422">
        <v>0.17199999999999999</v>
      </c>
      <c r="AU124" s="422">
        <v>0.42399999999999999</v>
      </c>
      <c r="AV124" s="422">
        <v>0.2</v>
      </c>
      <c r="AW124" s="422">
        <v>0.33500000000000002</v>
      </c>
      <c r="AX124" s="422">
        <v>0.63800000000000001</v>
      </c>
      <c r="AY124" s="422">
        <v>0.248</v>
      </c>
      <c r="AZ124" s="422">
        <v>0.31</v>
      </c>
      <c r="BA124" s="422">
        <v>0.21</v>
      </c>
      <c r="BB124" s="422">
        <v>0.17599999999999999</v>
      </c>
      <c r="BC124" s="422">
        <v>0.152</v>
      </c>
      <c r="BD124" s="422">
        <v>0.38</v>
      </c>
      <c r="BE124" s="422">
        <v>0.19800000000000001</v>
      </c>
    </row>
    <row r="125" spans="3:57" ht="15" x14ac:dyDescent="0.2">
      <c r="C125" s="6" t="s">
        <v>114</v>
      </c>
      <c r="D125" s="424">
        <v>0.24988961219787598</v>
      </c>
      <c r="E125" s="422">
        <v>0.12598335742950439</v>
      </c>
      <c r="F125" s="422">
        <v>0.32482612133026123</v>
      </c>
      <c r="G125" s="422">
        <v>0.28941166400909424</v>
      </c>
      <c r="H125" s="422">
        <v>0.24997413158416748</v>
      </c>
      <c r="I125" s="422">
        <v>0.31567716598510742</v>
      </c>
      <c r="J125" s="422">
        <v>0.31345880031585693</v>
      </c>
      <c r="K125" s="422">
        <v>0.28373849391937256</v>
      </c>
      <c r="L125" s="422">
        <v>0.24335992336273193</v>
      </c>
      <c r="M125" s="422">
        <v>0.47727441787719727</v>
      </c>
      <c r="N125" s="422">
        <v>0.29525887966156006</v>
      </c>
      <c r="O125" s="422">
        <v>0.31390416622161865</v>
      </c>
      <c r="P125" s="422">
        <v>0.3093874454498291</v>
      </c>
      <c r="Q125" s="422">
        <v>0.35704004764556885</v>
      </c>
      <c r="R125" s="422">
        <v>0.30276119709014893</v>
      </c>
      <c r="S125" s="422">
        <v>0.2687833309173584</v>
      </c>
      <c r="T125" s="422">
        <v>0.52029287815093994</v>
      </c>
      <c r="U125" s="422">
        <v>0.28278148174285889</v>
      </c>
      <c r="V125" s="422">
        <v>0.24060678482055664</v>
      </c>
      <c r="W125" s="422">
        <v>0.42488527297973633</v>
      </c>
      <c r="X125" s="422">
        <v>0.39102184772491455</v>
      </c>
      <c r="Y125" s="422">
        <v>0.41548383235931396</v>
      </c>
      <c r="Z125" s="422">
        <v>0.4090193510055542</v>
      </c>
      <c r="AA125" s="422">
        <v>0.29601788520812988</v>
      </c>
      <c r="AB125" s="422">
        <v>0.28491306304931641</v>
      </c>
      <c r="AC125" s="422">
        <v>0.32036685943603516</v>
      </c>
      <c r="AD125" s="422">
        <v>0.36254918575286865</v>
      </c>
      <c r="AE125" s="65">
        <f>'User Add-in Location'!B129</f>
        <v>0</v>
      </c>
      <c r="AF125" s="65">
        <f>'User Add-in Location'!C129</f>
        <v>0</v>
      </c>
      <c r="AG125" s="422">
        <v>0.28299999999999997</v>
      </c>
      <c r="AH125" s="422">
        <v>0.19600000000000001</v>
      </c>
      <c r="AI125" s="422">
        <v>0.30399999999999999</v>
      </c>
      <c r="AJ125" s="422">
        <v>0.36</v>
      </c>
      <c r="AK125" s="422">
        <v>0.33200000000000002</v>
      </c>
      <c r="AL125" s="422">
        <v>0.379</v>
      </c>
      <c r="AM125" s="422">
        <v>0.27900000000000003</v>
      </c>
      <c r="AN125" s="422">
        <v>0.22900000000000001</v>
      </c>
      <c r="AO125" s="422">
        <v>0.377</v>
      </c>
      <c r="AP125" s="422">
        <v>0.40799999999999997</v>
      </c>
      <c r="AQ125" s="422">
        <v>0.38</v>
      </c>
      <c r="AR125" s="422">
        <v>0.28399999999999997</v>
      </c>
      <c r="AS125" s="422">
        <v>0.32700000000000001</v>
      </c>
      <c r="AT125" s="422">
        <v>0.28599999999999998</v>
      </c>
      <c r="AU125" s="422">
        <v>0.32400000000000001</v>
      </c>
      <c r="AV125" s="422">
        <v>0.28999999999999998</v>
      </c>
      <c r="AW125" s="422">
        <v>0.30099999999999999</v>
      </c>
      <c r="AX125" s="422">
        <v>0.51400000000000001</v>
      </c>
      <c r="AY125" s="422">
        <v>0.34</v>
      </c>
      <c r="AZ125" s="422">
        <v>0.23899999999999999</v>
      </c>
      <c r="BA125" s="422">
        <v>0.30199999999999999</v>
      </c>
      <c r="BB125" s="422">
        <v>0.35699999999999998</v>
      </c>
      <c r="BC125" s="422">
        <v>0.33</v>
      </c>
      <c r="BD125" s="422">
        <v>0.24399999999999999</v>
      </c>
      <c r="BE125" s="422">
        <v>0.254</v>
      </c>
    </row>
    <row r="126" spans="3:57" ht="15" x14ac:dyDescent="0.2">
      <c r="C126" s="6" t="s">
        <v>45</v>
      </c>
      <c r="D126" s="424">
        <v>0.38916492462158203</v>
      </c>
      <c r="E126" s="422">
        <v>0.28123247623443604</v>
      </c>
      <c r="F126" s="422">
        <v>0.39715981483459473</v>
      </c>
      <c r="G126" s="422">
        <v>0.39712762832641602</v>
      </c>
      <c r="H126" s="422">
        <v>0.52964448928833008</v>
      </c>
      <c r="I126" s="422">
        <v>0.47307956218719482</v>
      </c>
      <c r="J126" s="422">
        <v>0.3889995813369751</v>
      </c>
      <c r="K126" s="422">
        <v>0.36489951610565186</v>
      </c>
      <c r="L126" s="422">
        <v>0.18371069431304932</v>
      </c>
      <c r="M126" s="422">
        <v>0.4605940580368042</v>
      </c>
      <c r="N126" s="422">
        <v>0.45488548278808594</v>
      </c>
      <c r="O126" s="422">
        <v>0.31091737747192383</v>
      </c>
      <c r="P126" s="422">
        <v>0.42445194721221924</v>
      </c>
      <c r="Q126" s="422">
        <v>0.42869234085083008</v>
      </c>
      <c r="R126" s="422">
        <v>0.40114152431488037</v>
      </c>
      <c r="S126" s="422">
        <v>0.36245036125183105</v>
      </c>
      <c r="T126" s="422">
        <v>0.41443502902984619</v>
      </c>
      <c r="U126" s="422">
        <v>0.36311328411102295</v>
      </c>
      <c r="V126" s="422">
        <v>0.34797549247741699</v>
      </c>
      <c r="W126" s="422">
        <v>0.4450608491897583</v>
      </c>
      <c r="X126" s="422">
        <v>0.33105885982513428</v>
      </c>
      <c r="Y126" s="422">
        <v>0.39448988437652588</v>
      </c>
      <c r="Z126" s="422">
        <v>0.458640456199646</v>
      </c>
      <c r="AA126" s="422">
        <v>0.44953835010528564</v>
      </c>
      <c r="AB126" s="422">
        <v>0.34779047966003418</v>
      </c>
      <c r="AC126" s="422">
        <v>0.431740403175354</v>
      </c>
      <c r="AD126" s="422">
        <v>0.39101612567901611</v>
      </c>
      <c r="AE126" s="65">
        <f>'User Add-in Location'!B130</f>
        <v>0</v>
      </c>
      <c r="AF126" s="65">
        <f>'User Add-in Location'!C130</f>
        <v>0</v>
      </c>
      <c r="AG126" s="422">
        <v>0.372</v>
      </c>
      <c r="AH126" s="422">
        <v>0.16200000000000001</v>
      </c>
      <c r="AI126" s="422">
        <v>0.42699999999999999</v>
      </c>
      <c r="AJ126" s="422">
        <v>0.38600000000000001</v>
      </c>
      <c r="AK126" s="422">
        <v>0.35099999999999998</v>
      </c>
      <c r="AL126" s="422">
        <v>0.35499999999999998</v>
      </c>
      <c r="AM126" s="422">
        <v>0.46</v>
      </c>
      <c r="AN126" s="422">
        <v>0.34100000000000003</v>
      </c>
      <c r="AO126" s="422">
        <v>0.48499999999999999</v>
      </c>
      <c r="AP126" s="422">
        <v>0.42599999999999999</v>
      </c>
      <c r="AQ126" s="422">
        <v>0.4</v>
      </c>
      <c r="AR126" s="422">
        <v>0.45300000000000001</v>
      </c>
      <c r="AS126" s="422">
        <v>0.33200000000000002</v>
      </c>
      <c r="AT126" s="422">
        <v>0.376</v>
      </c>
      <c r="AU126" s="422">
        <v>0.38100000000000001</v>
      </c>
      <c r="AV126" s="422">
        <v>0.44700000000000001</v>
      </c>
      <c r="AW126" s="422">
        <v>0.51700000000000002</v>
      </c>
      <c r="AX126" s="422">
        <v>0.91500000000000004</v>
      </c>
      <c r="AY126" s="422">
        <v>0.46600000000000003</v>
      </c>
      <c r="AZ126" s="422">
        <v>0.39600000000000002</v>
      </c>
      <c r="BA126" s="422">
        <v>0.375</v>
      </c>
      <c r="BB126" s="422">
        <v>0.41199999999999998</v>
      </c>
      <c r="BC126" s="422">
        <v>0.27500000000000002</v>
      </c>
      <c r="BD126" s="422">
        <v>0.432</v>
      </c>
      <c r="BE126" s="422">
        <v>0.26300000000000001</v>
      </c>
    </row>
    <row r="127" spans="3:57" ht="15" x14ac:dyDescent="0.2">
      <c r="C127" s="6" t="s">
        <v>115</v>
      </c>
      <c r="D127" s="424">
        <v>0.3344123363494873</v>
      </c>
      <c r="E127" s="422">
        <v>0.39449608325958252</v>
      </c>
      <c r="F127" s="422">
        <v>0.35610771179199219</v>
      </c>
      <c r="G127" s="422">
        <v>0.38265585899353027</v>
      </c>
      <c r="H127" s="422">
        <v>0.53448808193206787</v>
      </c>
      <c r="I127" s="422">
        <v>0.47489321231842041</v>
      </c>
      <c r="J127" s="422">
        <v>0.26870274543762207</v>
      </c>
      <c r="K127" s="422">
        <v>0.3025895357131958</v>
      </c>
      <c r="L127" s="422">
        <v>0.12852728366851807</v>
      </c>
      <c r="M127" s="422">
        <v>0.39389646053314209</v>
      </c>
      <c r="N127" s="422">
        <v>0.36730241775512695</v>
      </c>
      <c r="O127" s="422">
        <v>0.36630380153656006</v>
      </c>
      <c r="P127" s="422">
        <v>0.39698696136474609</v>
      </c>
      <c r="Q127" s="422">
        <v>0.4058384895324707</v>
      </c>
      <c r="R127" s="422">
        <v>0.31643342971801758</v>
      </c>
      <c r="S127" s="422">
        <v>0.34504532814025879</v>
      </c>
      <c r="T127" s="422">
        <v>0.45289885997772217</v>
      </c>
      <c r="U127" s="422">
        <v>0.31033265590667725</v>
      </c>
      <c r="V127" s="422">
        <v>0.38727796077728271</v>
      </c>
      <c r="W127" s="422">
        <v>0.32791328430175781</v>
      </c>
      <c r="X127" s="422">
        <v>0.24533963203430176</v>
      </c>
      <c r="Y127" s="422">
        <v>0.29886627197265625</v>
      </c>
      <c r="Z127" s="422">
        <v>0.37695908546447754</v>
      </c>
      <c r="AA127" s="422">
        <v>0.44561517238616943</v>
      </c>
      <c r="AB127" s="422">
        <v>0.33668303489685059</v>
      </c>
      <c r="AC127" s="422">
        <v>0.35196983814239502</v>
      </c>
      <c r="AD127" s="422">
        <v>0.41470348834991455</v>
      </c>
      <c r="AE127" s="65">
        <f>'User Add-in Location'!B131</f>
        <v>0</v>
      </c>
      <c r="AF127" s="65">
        <f>'User Add-in Location'!C131</f>
        <v>0</v>
      </c>
      <c r="AG127" s="422">
        <v>0.36699999999999999</v>
      </c>
      <c r="AH127" s="422">
        <v>0.19600000000000001</v>
      </c>
      <c r="AI127" s="422">
        <v>0.26100000000000001</v>
      </c>
      <c r="AJ127" s="422">
        <v>0.33200000000000002</v>
      </c>
      <c r="AK127" s="422">
        <v>0.42899999999999999</v>
      </c>
      <c r="AL127" s="422">
        <v>0.31900000000000001</v>
      </c>
      <c r="AM127" s="422">
        <v>0.33700000000000002</v>
      </c>
      <c r="AN127" s="422">
        <v>0.41</v>
      </c>
      <c r="AO127" s="422">
        <v>0.41199999999999998</v>
      </c>
      <c r="AP127" s="422">
        <v>0.46400000000000002</v>
      </c>
      <c r="AQ127" s="422">
        <v>0.36899999999999999</v>
      </c>
      <c r="AR127" s="422">
        <v>0.40899999999999997</v>
      </c>
      <c r="AS127" s="422">
        <v>0.26100000000000001</v>
      </c>
      <c r="AT127" s="422">
        <v>0.28399999999999997</v>
      </c>
      <c r="AU127" s="422">
        <v>0.34799999999999998</v>
      </c>
      <c r="AV127" s="422">
        <v>0.33</v>
      </c>
      <c r="AW127" s="422">
        <v>0.63200000000000001</v>
      </c>
      <c r="AX127" s="422">
        <v>1.0920000000000001</v>
      </c>
      <c r="AY127" s="422">
        <v>0.46300000000000002</v>
      </c>
      <c r="AZ127" s="422">
        <v>0.33800000000000002</v>
      </c>
      <c r="BA127" s="422">
        <v>0.27100000000000002</v>
      </c>
      <c r="BB127" s="422">
        <v>0.38300000000000001</v>
      </c>
      <c r="BC127" s="422">
        <v>0.28199999999999997</v>
      </c>
      <c r="BD127" s="422">
        <v>0.38600000000000001</v>
      </c>
      <c r="BE127" s="422">
        <v>0.39200000000000002</v>
      </c>
    </row>
    <row r="128" spans="3:57" ht="15" x14ac:dyDescent="0.2">
      <c r="C128" s="6" t="s">
        <v>116</v>
      </c>
      <c r="D128" s="424">
        <v>0.29140353202819824</v>
      </c>
      <c r="E128" s="422">
        <v>0.2995305061340332</v>
      </c>
      <c r="F128" s="422">
        <v>0.34711205959320068</v>
      </c>
      <c r="G128" s="422">
        <v>0.26948642730712891</v>
      </c>
      <c r="H128" s="422">
        <v>0.54984128475189209</v>
      </c>
      <c r="I128" s="422">
        <v>0.39103841781616211</v>
      </c>
      <c r="J128" s="422">
        <v>0.28394925594329834</v>
      </c>
      <c r="K128" s="422">
        <v>0.25335240364074707</v>
      </c>
      <c r="L128" s="422">
        <v>0</v>
      </c>
      <c r="M128" s="422">
        <v>0.38344454765319824</v>
      </c>
      <c r="N128" s="422">
        <v>0.35021018981933594</v>
      </c>
      <c r="O128" s="422">
        <v>0.32520675659179688</v>
      </c>
      <c r="P128" s="422">
        <v>0.31689167022705078</v>
      </c>
      <c r="Q128" s="422">
        <v>0.3877178430557251</v>
      </c>
      <c r="R128" s="422">
        <v>0.3140714168548584</v>
      </c>
      <c r="S128" s="422">
        <v>0.27789509296417236</v>
      </c>
      <c r="T128" s="422">
        <v>0.30912435054779053</v>
      </c>
      <c r="U128" s="422">
        <v>0.27358067035675049</v>
      </c>
      <c r="V128" s="422">
        <v>0.279610276222229</v>
      </c>
      <c r="W128" s="422">
        <v>0.2907860279083252</v>
      </c>
      <c r="X128" s="422">
        <v>0.26515316963195801</v>
      </c>
      <c r="Y128" s="422">
        <v>0.31354010105133057</v>
      </c>
      <c r="Z128" s="422">
        <v>0.36986827850341797</v>
      </c>
      <c r="AA128" s="422">
        <v>0.40151429176330566</v>
      </c>
      <c r="AB128" s="422">
        <v>0.2642066478729248</v>
      </c>
      <c r="AC128" s="422">
        <v>0.31392371654510498</v>
      </c>
      <c r="AD128" s="422">
        <v>0.30038559436798096</v>
      </c>
      <c r="AE128" s="65">
        <f>'User Add-in Location'!B132</f>
        <v>0</v>
      </c>
      <c r="AF128" s="65">
        <f>'User Add-in Location'!C132</f>
        <v>0</v>
      </c>
      <c r="AG128" s="422">
        <v>0.26900000000000002</v>
      </c>
      <c r="AH128" s="422">
        <v>0.18</v>
      </c>
      <c r="AI128" s="422">
        <v>0.26400000000000001</v>
      </c>
      <c r="AJ128" s="422">
        <v>0.32600000000000001</v>
      </c>
      <c r="AK128" s="422">
        <v>0.29899999999999999</v>
      </c>
      <c r="AL128" s="422">
        <v>0.318</v>
      </c>
      <c r="AM128" s="422">
        <v>0.36899999999999999</v>
      </c>
      <c r="AN128" s="422">
        <v>0.27200000000000002</v>
      </c>
      <c r="AO128" s="422">
        <v>0.38700000000000001</v>
      </c>
      <c r="AP128" s="422">
        <v>0.29799999999999999</v>
      </c>
      <c r="AQ128" s="422">
        <v>0.33700000000000002</v>
      </c>
      <c r="AR128" s="422">
        <v>0.379</v>
      </c>
      <c r="AS128" s="422">
        <v>0.29299999999999998</v>
      </c>
      <c r="AT128" s="422">
        <v>0.26300000000000001</v>
      </c>
      <c r="AU128" s="422">
        <v>0.249</v>
      </c>
      <c r="AV128" s="422">
        <v>0.312</v>
      </c>
      <c r="AW128" s="422">
        <v>0.51200000000000001</v>
      </c>
      <c r="AX128" s="422">
        <v>1.05</v>
      </c>
      <c r="AY128" s="422">
        <v>0.434</v>
      </c>
      <c r="AZ128" s="422">
        <v>0.25800000000000001</v>
      </c>
      <c r="BA128" s="422">
        <v>0.26200000000000001</v>
      </c>
      <c r="BB128" s="422">
        <v>0.378</v>
      </c>
      <c r="BC128" s="422">
        <v>0.218</v>
      </c>
      <c r="BD128" s="422">
        <v>0.34</v>
      </c>
      <c r="BE128" s="422">
        <v>0.22700000000000001</v>
      </c>
    </row>
    <row r="129" spans="3:57" ht="15" x14ac:dyDescent="0.2">
      <c r="C129" s="6" t="s">
        <v>117</v>
      </c>
      <c r="D129" s="424">
        <v>0.34155237674713135</v>
      </c>
      <c r="E129" s="422">
        <v>0.29713833332061768</v>
      </c>
      <c r="F129" s="422">
        <v>0.33325469493865967</v>
      </c>
      <c r="G129" s="422">
        <v>0.33336055278778076</v>
      </c>
      <c r="H129" s="422">
        <v>0.54007112979888916</v>
      </c>
      <c r="I129" s="422">
        <v>0.45226085186004639</v>
      </c>
      <c r="J129" s="422">
        <v>0.30527234077453613</v>
      </c>
      <c r="K129" s="422">
        <v>0.24576699733734131</v>
      </c>
      <c r="L129" s="422">
        <v>0.20273840427398682</v>
      </c>
      <c r="M129" s="422">
        <v>0.42598855495452881</v>
      </c>
      <c r="N129" s="422">
        <v>0.37166249752044678</v>
      </c>
      <c r="O129" s="422">
        <v>0.39293575286865234</v>
      </c>
      <c r="P129" s="422">
        <v>0.36100435256958008</v>
      </c>
      <c r="Q129" s="422">
        <v>0.38464975357055664</v>
      </c>
      <c r="R129" s="422">
        <v>0.35881149768829346</v>
      </c>
      <c r="S129" s="422">
        <v>0.28663027286529541</v>
      </c>
      <c r="T129" s="422">
        <v>0.37257266044616699</v>
      </c>
      <c r="U129" s="422">
        <v>0.31368649005889893</v>
      </c>
      <c r="V129" s="422">
        <v>0.32164263725280762</v>
      </c>
      <c r="W129" s="422">
        <v>0.3141629695892334</v>
      </c>
      <c r="X129" s="422">
        <v>0.31235218048095703</v>
      </c>
      <c r="Y129" s="422">
        <v>0.33630239963531494</v>
      </c>
      <c r="Z129" s="422">
        <v>0.37974274158477783</v>
      </c>
      <c r="AA129" s="422">
        <v>0.47189652919769287</v>
      </c>
      <c r="AB129" s="422">
        <v>0.29356229305267334</v>
      </c>
      <c r="AC129" s="422">
        <v>0.3990706205368042</v>
      </c>
      <c r="AD129" s="422">
        <v>0.36462676525115967</v>
      </c>
      <c r="AE129" s="65">
        <f>'User Add-in Location'!B133</f>
        <v>0</v>
      </c>
      <c r="AF129" s="65">
        <f>'User Add-in Location'!C133</f>
        <v>0</v>
      </c>
      <c r="AG129" s="422">
        <v>0.29799999999999999</v>
      </c>
      <c r="AH129" s="422">
        <v>0.2</v>
      </c>
      <c r="AI129" s="422">
        <v>0.218</v>
      </c>
      <c r="AJ129" s="422">
        <v>0.32600000000000001</v>
      </c>
      <c r="AK129" s="422">
        <v>0.316</v>
      </c>
      <c r="AL129" s="422">
        <v>0.32700000000000001</v>
      </c>
      <c r="AM129" s="422">
        <v>0.34</v>
      </c>
      <c r="AN129" s="422">
        <v>0.32900000000000001</v>
      </c>
      <c r="AO129" s="422">
        <v>0.41299999999999998</v>
      </c>
      <c r="AP129" s="422">
        <v>0.30499999999999999</v>
      </c>
      <c r="AQ129" s="422">
        <v>0.375</v>
      </c>
      <c r="AR129" s="422">
        <v>0.39</v>
      </c>
      <c r="AS129" s="422">
        <v>0.252</v>
      </c>
      <c r="AT129" s="422">
        <v>0.27800000000000002</v>
      </c>
      <c r="AU129" s="422">
        <v>0.314</v>
      </c>
      <c r="AV129" s="422">
        <v>0.34499999999999997</v>
      </c>
      <c r="AW129" s="422">
        <v>0.51200000000000001</v>
      </c>
      <c r="AX129" s="422">
        <v>1.131</v>
      </c>
      <c r="AY129" s="422">
        <v>0.436</v>
      </c>
      <c r="AZ129" s="422">
        <v>0.23400000000000001</v>
      </c>
      <c r="BA129" s="422">
        <v>0.29199999999999998</v>
      </c>
      <c r="BB129" s="422">
        <v>0.41299999999999998</v>
      </c>
      <c r="BC129" s="422">
        <v>0.20699999999999999</v>
      </c>
      <c r="BD129" s="422">
        <v>0.39</v>
      </c>
      <c r="BE129" s="422">
        <v>0.28000000000000003</v>
      </c>
    </row>
    <row r="130" spans="3:57" ht="15" x14ac:dyDescent="0.2">
      <c r="C130" s="6" t="s">
        <v>118</v>
      </c>
      <c r="D130" s="424">
        <v>0.33950340747833252</v>
      </c>
      <c r="E130" s="422">
        <v>0</v>
      </c>
      <c r="F130" s="422">
        <v>0.47571718692779541</v>
      </c>
      <c r="G130" s="422">
        <v>0.33786857128143311</v>
      </c>
      <c r="H130" s="422">
        <v>0.62066030502319336</v>
      </c>
      <c r="I130" s="422">
        <v>0.48079788684844971</v>
      </c>
      <c r="J130" s="422">
        <v>0.35082650184631348</v>
      </c>
      <c r="K130" s="422">
        <v>0.27194023132324219</v>
      </c>
      <c r="L130" s="422">
        <v>0.12318634986877441</v>
      </c>
      <c r="M130" s="422">
        <v>0.48749637603759766</v>
      </c>
      <c r="N130" s="422">
        <v>0.40869343280792236</v>
      </c>
      <c r="O130" s="422">
        <v>0.33306431770324707</v>
      </c>
      <c r="P130" s="422">
        <v>0.4153292179107666</v>
      </c>
      <c r="Q130" s="422">
        <v>0.40182149410247803</v>
      </c>
      <c r="R130" s="422">
        <v>0.30553388595581055</v>
      </c>
      <c r="S130" s="422">
        <v>0.30883336067199707</v>
      </c>
      <c r="T130" s="422">
        <v>0.3095853328704834</v>
      </c>
      <c r="U130" s="422">
        <v>0.33051657676696777</v>
      </c>
      <c r="V130" s="422">
        <v>0.28489696979522705</v>
      </c>
      <c r="W130" s="422">
        <v>0.32363748550415039</v>
      </c>
      <c r="X130" s="422">
        <v>0.32188832759857178</v>
      </c>
      <c r="Y130" s="422">
        <v>0.47055280208587646</v>
      </c>
      <c r="Z130" s="422">
        <v>0.42393946647644043</v>
      </c>
      <c r="AA130" s="422">
        <v>0.5301671028137207</v>
      </c>
      <c r="AB130" s="422">
        <v>0.322487473487854</v>
      </c>
      <c r="AC130" s="422">
        <v>0.29522383213043213</v>
      </c>
      <c r="AD130" s="422">
        <v>0.3837273120880127</v>
      </c>
      <c r="AE130" s="65">
        <f>'User Add-in Location'!B134</f>
        <v>0</v>
      </c>
      <c r="AF130" s="65">
        <f>'User Add-in Location'!C134</f>
        <v>0</v>
      </c>
      <c r="AG130" s="422">
        <v>0.30599999999999999</v>
      </c>
      <c r="AH130" s="422">
        <v>0.16600000000000001</v>
      </c>
      <c r="AI130" s="422">
        <v>0.35699999999999998</v>
      </c>
      <c r="AJ130" s="422">
        <v>0.39500000000000002</v>
      </c>
      <c r="AK130" s="422">
        <v>0.29199999999999998</v>
      </c>
      <c r="AL130" s="422">
        <v>0.43</v>
      </c>
      <c r="AM130" s="422">
        <v>0.42099999999999999</v>
      </c>
      <c r="AN130" s="422">
        <v>0.36899999999999999</v>
      </c>
      <c r="AO130" s="422">
        <v>0.42799999999999999</v>
      </c>
      <c r="AP130" s="422">
        <v>0.35299999999999998</v>
      </c>
      <c r="AQ130" s="422">
        <v>0.23200000000000001</v>
      </c>
      <c r="AR130" s="422">
        <v>0.39200000000000002</v>
      </c>
      <c r="AS130" s="422">
        <v>0.36599999999999999</v>
      </c>
      <c r="AT130" s="422">
        <v>0.27200000000000002</v>
      </c>
      <c r="AU130" s="422">
        <v>0.33900000000000002</v>
      </c>
      <c r="AV130" s="422">
        <v>0.32900000000000001</v>
      </c>
      <c r="AW130" s="422">
        <v>0.54300000000000004</v>
      </c>
      <c r="AX130" s="422">
        <v>0.91900000000000004</v>
      </c>
      <c r="AY130" s="422">
        <v>0.50700000000000001</v>
      </c>
      <c r="AZ130" s="422">
        <v>0.435</v>
      </c>
      <c r="BA130" s="422">
        <v>0.36599999999999999</v>
      </c>
      <c r="BB130" s="422">
        <v>0.42199999999999999</v>
      </c>
      <c r="BC130" s="422">
        <v>0.28199999999999997</v>
      </c>
      <c r="BD130" s="422">
        <v>0.39600000000000002</v>
      </c>
      <c r="BE130" s="422">
        <v>0.29099999999999998</v>
      </c>
    </row>
    <row r="131" spans="3:57" ht="15" x14ac:dyDescent="0.2">
      <c r="C131" s="6" t="s">
        <v>119</v>
      </c>
      <c r="D131" s="424">
        <v>0.47965860366821289</v>
      </c>
      <c r="E131" s="422">
        <v>0.33448517322540283</v>
      </c>
      <c r="F131" s="422">
        <v>0.46461653709411621</v>
      </c>
      <c r="G131" s="422">
        <v>0.44298136234283447</v>
      </c>
      <c r="H131" s="422">
        <v>0.50138568878173828</v>
      </c>
      <c r="I131" s="422">
        <v>0.5193641185760498</v>
      </c>
      <c r="J131" s="422">
        <v>0.38134801387786865</v>
      </c>
      <c r="K131" s="422">
        <v>0.39891564846038818</v>
      </c>
      <c r="L131" s="422">
        <v>0.2434389591217041</v>
      </c>
      <c r="M131" s="422">
        <v>0.49805128574371338</v>
      </c>
      <c r="N131" s="422">
        <v>0.47961187362670898</v>
      </c>
      <c r="O131" s="422">
        <v>0.38816666603088379</v>
      </c>
      <c r="P131" s="422">
        <v>0.43269073963165283</v>
      </c>
      <c r="Q131" s="422">
        <v>0.50674223899841309</v>
      </c>
      <c r="R131" s="422">
        <v>0.44379830360412598</v>
      </c>
      <c r="S131" s="422">
        <v>0.40597403049468994</v>
      </c>
      <c r="T131" s="422">
        <v>0.43143630027770996</v>
      </c>
      <c r="U131" s="422">
        <v>0.42356026172637939</v>
      </c>
      <c r="V131" s="422">
        <v>0.48765528202056885</v>
      </c>
      <c r="W131" s="422">
        <v>0.38985288143157959</v>
      </c>
      <c r="X131" s="422">
        <v>0.39249503612518311</v>
      </c>
      <c r="Y131" s="422">
        <v>0.42316508293151855</v>
      </c>
      <c r="Z131" s="422">
        <v>0.47121632099151611</v>
      </c>
      <c r="AA131" s="422">
        <v>0.54934000968933105</v>
      </c>
      <c r="AB131" s="422">
        <v>0.43946874141693115</v>
      </c>
      <c r="AC131" s="422">
        <v>0.45268237590789795</v>
      </c>
      <c r="AD131" s="422">
        <v>0.47140562534332275</v>
      </c>
      <c r="AE131" s="65">
        <f>'User Add-in Location'!B135</f>
        <v>0</v>
      </c>
      <c r="AF131" s="65">
        <f>'User Add-in Location'!C135</f>
        <v>0</v>
      </c>
      <c r="AG131" s="422">
        <v>0.29699999999999999</v>
      </c>
      <c r="AH131" s="422">
        <v>0</v>
      </c>
      <c r="AI131" s="422">
        <v>0.38</v>
      </c>
      <c r="AJ131" s="422">
        <v>0.38800000000000001</v>
      </c>
      <c r="AK131" s="422">
        <v>0.45600000000000002</v>
      </c>
      <c r="AL131" s="422">
        <v>0.45900000000000002</v>
      </c>
      <c r="AM131" s="422">
        <v>0.42</v>
      </c>
      <c r="AN131" s="422">
        <v>0.45400000000000001</v>
      </c>
      <c r="AO131" s="422">
        <v>0.45200000000000001</v>
      </c>
      <c r="AP131" s="422">
        <v>0.49299999999999999</v>
      </c>
      <c r="AQ131" s="422">
        <v>0.41</v>
      </c>
      <c r="AR131" s="422">
        <v>0.46600000000000003</v>
      </c>
      <c r="AS131" s="422">
        <v>0.36599999999999999</v>
      </c>
      <c r="AT131" s="422">
        <v>0.40200000000000002</v>
      </c>
      <c r="AU131" s="422">
        <v>0.42799999999999999</v>
      </c>
      <c r="AV131" s="422">
        <v>0.47</v>
      </c>
      <c r="AW131" s="422">
        <v>0.57899999999999996</v>
      </c>
      <c r="AX131" s="422">
        <v>0.871</v>
      </c>
      <c r="AY131" s="422">
        <v>0.54200000000000004</v>
      </c>
      <c r="AZ131" s="422">
        <v>0.44500000000000001</v>
      </c>
      <c r="BA131" s="422">
        <v>0.39900000000000002</v>
      </c>
      <c r="BB131" s="422">
        <v>0.42399999999999999</v>
      </c>
      <c r="BC131" s="422">
        <v>0.42799999999999999</v>
      </c>
      <c r="BD131" s="422">
        <v>0.434</v>
      </c>
      <c r="BE131" s="422">
        <v>0.41099999999999998</v>
      </c>
    </row>
    <row r="132" spans="3:57" ht="15" x14ac:dyDescent="0.2">
      <c r="C132" s="6" t="s">
        <v>46</v>
      </c>
      <c r="D132" s="424">
        <v>0.34100556373596191</v>
      </c>
      <c r="E132" s="422">
        <v>0.28620302677154541</v>
      </c>
      <c r="F132" s="422">
        <v>0.41215777397155762</v>
      </c>
      <c r="G132" s="422">
        <v>0.3005603551864624</v>
      </c>
      <c r="H132" s="422">
        <v>0.41196525096893311</v>
      </c>
      <c r="I132" s="422">
        <v>0.42914581298828125</v>
      </c>
      <c r="J132" s="422">
        <v>0.33092212677001953</v>
      </c>
      <c r="K132" s="422">
        <v>0.32071232795715332</v>
      </c>
      <c r="L132" s="422">
        <v>0.26084721088409424</v>
      </c>
      <c r="M132" s="422">
        <v>0.42724728584289551</v>
      </c>
      <c r="N132" s="422">
        <v>0.3789360523223877</v>
      </c>
      <c r="O132" s="422">
        <v>0.39804303646087646</v>
      </c>
      <c r="P132" s="422">
        <v>0.38926589488983154</v>
      </c>
      <c r="Q132" s="422">
        <v>0.39240849018096924</v>
      </c>
      <c r="R132" s="422">
        <v>0.34674942493438721</v>
      </c>
      <c r="S132" s="422">
        <v>0.34936332702636719</v>
      </c>
      <c r="T132" s="422">
        <v>0.34553408622741699</v>
      </c>
      <c r="U132" s="422">
        <v>0.31257331371307373</v>
      </c>
      <c r="V132" s="422">
        <v>0.30721151828765869</v>
      </c>
      <c r="W132" s="422">
        <v>0.38037741184234619</v>
      </c>
      <c r="X132" s="422">
        <v>0.35277366638183594</v>
      </c>
      <c r="Y132" s="422">
        <v>0.38669013977050781</v>
      </c>
      <c r="Z132" s="422">
        <v>0.36094081401824951</v>
      </c>
      <c r="AA132" s="422">
        <v>0.41762697696685791</v>
      </c>
      <c r="AB132" s="422">
        <v>0.31226801872253418</v>
      </c>
      <c r="AC132" s="422">
        <v>0.40475344657897949</v>
      </c>
      <c r="AD132" s="422">
        <v>0.35264754295349121</v>
      </c>
      <c r="AE132" s="65">
        <f>'User Add-in Location'!B136</f>
        <v>0</v>
      </c>
      <c r="AF132" s="65">
        <f>'User Add-in Location'!C136</f>
        <v>0</v>
      </c>
      <c r="AG132" s="422">
        <v>0.379</v>
      </c>
      <c r="AH132" s="422">
        <v>0.26100000000000001</v>
      </c>
      <c r="AI132" s="422">
        <v>0.375</v>
      </c>
      <c r="AJ132" s="422">
        <v>0.34799999999999998</v>
      </c>
      <c r="AK132" s="422">
        <v>0.36699999999999999</v>
      </c>
      <c r="AL132" s="422">
        <v>0.35199999999999998</v>
      </c>
      <c r="AM132" s="422">
        <v>0.39500000000000002</v>
      </c>
      <c r="AN132" s="422">
        <v>0.308</v>
      </c>
      <c r="AO132" s="422">
        <v>0.40400000000000003</v>
      </c>
      <c r="AP132" s="422">
        <v>0.35499999999999998</v>
      </c>
      <c r="AQ132" s="422">
        <v>0.39</v>
      </c>
      <c r="AR132" s="422">
        <v>0.373</v>
      </c>
      <c r="AS132" s="422">
        <v>0.40100000000000002</v>
      </c>
      <c r="AT132" s="422">
        <v>0.32800000000000001</v>
      </c>
      <c r="AU132" s="422">
        <v>0.34699999999999998</v>
      </c>
      <c r="AV132" s="422">
        <v>0.371</v>
      </c>
      <c r="AW132" s="422">
        <v>0.36699999999999999</v>
      </c>
      <c r="AX132" s="422">
        <v>0.53800000000000003</v>
      </c>
      <c r="AY132" s="422">
        <v>0.46300000000000002</v>
      </c>
      <c r="AZ132" s="422">
        <v>0.38200000000000001</v>
      </c>
      <c r="BA132" s="422">
        <v>0.35299999999999998</v>
      </c>
      <c r="BB132" s="422">
        <v>0.36099999999999999</v>
      </c>
      <c r="BC132" s="422">
        <v>0.28699999999999998</v>
      </c>
      <c r="BD132" s="422">
        <v>0.39800000000000002</v>
      </c>
      <c r="BE132" s="422">
        <v>0.24399999999999999</v>
      </c>
    </row>
    <row r="133" spans="3:57" ht="15" x14ac:dyDescent="0.2">
      <c r="C133" s="6" t="s">
        <v>47</v>
      </c>
      <c r="D133" s="424">
        <v>0.30420947074890137</v>
      </c>
      <c r="E133" s="422">
        <v>0.29237914085388184</v>
      </c>
      <c r="F133" s="422">
        <v>0.37288343906402588</v>
      </c>
      <c r="G133" s="422">
        <v>0.32004356384277344</v>
      </c>
      <c r="H133" s="422">
        <v>0.35289716720581055</v>
      </c>
      <c r="I133" s="422">
        <v>0.42052328586578369</v>
      </c>
      <c r="J133" s="422">
        <v>0.35092651844024658</v>
      </c>
      <c r="K133" s="422">
        <v>0.3723137378692627</v>
      </c>
      <c r="L133" s="422">
        <v>0.26917016506195068</v>
      </c>
      <c r="M133" s="422">
        <v>0.41910779476165771</v>
      </c>
      <c r="N133" s="422">
        <v>0.39616644382476807</v>
      </c>
      <c r="O133" s="422">
        <v>0.2910609245300293</v>
      </c>
      <c r="P133" s="422">
        <v>0.35305249691009521</v>
      </c>
      <c r="Q133" s="422">
        <v>0.40739941596984863</v>
      </c>
      <c r="R133" s="422">
        <v>0.33877623081207275</v>
      </c>
      <c r="S133" s="422">
        <v>0.36667037010192871</v>
      </c>
      <c r="T133" s="422">
        <v>0.33840250968933105</v>
      </c>
      <c r="U133" s="422">
        <v>0.33695137500762939</v>
      </c>
      <c r="V133" s="422">
        <v>0.28668725490570068</v>
      </c>
      <c r="W133" s="422">
        <v>0.3665999174118042</v>
      </c>
      <c r="X133" s="422">
        <v>0.34122598171234131</v>
      </c>
      <c r="Y133" s="422">
        <v>0.40427279472351074</v>
      </c>
      <c r="Z133" s="422">
        <v>0.34669768810272217</v>
      </c>
      <c r="AA133" s="422">
        <v>0.42026102542877197</v>
      </c>
      <c r="AB133" s="422">
        <v>0.2898719310760498</v>
      </c>
      <c r="AC133" s="422">
        <v>0.40307724475860596</v>
      </c>
      <c r="AD133" s="422">
        <v>0.36958932876586914</v>
      </c>
      <c r="AE133" s="65">
        <f>'User Add-in Location'!B137</f>
        <v>0</v>
      </c>
      <c r="AF133" s="65">
        <f>'User Add-in Location'!C137</f>
        <v>0</v>
      </c>
      <c r="AG133" s="422">
        <v>0.38</v>
      </c>
      <c r="AH133" s="422">
        <v>0.23200000000000001</v>
      </c>
      <c r="AI133" s="422">
        <v>0.376</v>
      </c>
      <c r="AJ133" s="422">
        <v>0.34899999999999998</v>
      </c>
      <c r="AK133" s="422">
        <v>0.31</v>
      </c>
      <c r="AL133" s="422">
        <v>0.34499999999999997</v>
      </c>
      <c r="AM133" s="422">
        <v>0.40200000000000002</v>
      </c>
      <c r="AN133" s="422">
        <v>0.32500000000000001</v>
      </c>
      <c r="AO133" s="422">
        <v>0.39</v>
      </c>
      <c r="AP133" s="422">
        <v>0.34499999999999997</v>
      </c>
      <c r="AQ133" s="422">
        <v>0.40600000000000003</v>
      </c>
      <c r="AR133" s="422">
        <v>0.41</v>
      </c>
      <c r="AS133" s="422">
        <v>0.375</v>
      </c>
      <c r="AT133" s="422">
        <v>0.32100000000000001</v>
      </c>
      <c r="AU133" s="422">
        <v>0.34300000000000003</v>
      </c>
      <c r="AV133" s="422">
        <v>0.34899999999999998</v>
      </c>
      <c r="AW133" s="422">
        <v>0.36899999999999999</v>
      </c>
      <c r="AX133" s="422">
        <v>0.52600000000000002</v>
      </c>
      <c r="AY133" s="422">
        <v>0.42099999999999999</v>
      </c>
      <c r="AZ133" s="422">
        <v>0.33500000000000002</v>
      </c>
      <c r="BA133" s="422">
        <v>0.35299999999999998</v>
      </c>
      <c r="BB133" s="422">
        <v>0.29399999999999998</v>
      </c>
      <c r="BC133" s="422">
        <v>0.27200000000000002</v>
      </c>
      <c r="BD133" s="422">
        <v>0.39</v>
      </c>
      <c r="BE133" s="422">
        <v>0.26500000000000001</v>
      </c>
    </row>
    <row r="134" spans="3:57" ht="15" x14ac:dyDescent="0.2">
      <c r="C134" s="6" t="s">
        <v>120</v>
      </c>
      <c r="D134" s="424">
        <v>0.4217524528503418</v>
      </c>
      <c r="E134" s="422">
        <v>0.28640508651733398</v>
      </c>
      <c r="F134" s="422">
        <v>0.54892396926879883</v>
      </c>
      <c r="G134" s="422">
        <v>0.39244258403778076</v>
      </c>
      <c r="H134" s="422">
        <v>0.41450536251068115</v>
      </c>
      <c r="I134" s="422">
        <v>0.57490444183349609</v>
      </c>
      <c r="J134" s="422">
        <v>0.40700268745422363</v>
      </c>
      <c r="K134" s="422">
        <v>0.26879394054412842</v>
      </c>
      <c r="L134" s="422">
        <v>0.23886871337890625</v>
      </c>
      <c r="M134" s="422">
        <v>0.60147881507873535</v>
      </c>
      <c r="N134" s="422">
        <v>0.44477427005767822</v>
      </c>
      <c r="O134" s="422">
        <v>0.33747649192810059</v>
      </c>
      <c r="P134" s="422">
        <v>0.51972544193267822</v>
      </c>
      <c r="Q134" s="422">
        <v>0.44915759563446045</v>
      </c>
      <c r="R134" s="422">
        <v>0.38313353061676025</v>
      </c>
      <c r="S134" s="422">
        <v>0.3941795825958252</v>
      </c>
      <c r="T134" s="422">
        <v>0.44372892379760742</v>
      </c>
      <c r="U134" s="422">
        <v>0.39694356918334961</v>
      </c>
      <c r="V134" s="422">
        <v>0.38217341899871826</v>
      </c>
      <c r="W134" s="422">
        <v>0.41181826591491699</v>
      </c>
      <c r="X134" s="422">
        <v>0.37012684345245361</v>
      </c>
      <c r="Y134" s="422">
        <v>0.40160965919494629</v>
      </c>
      <c r="Z134" s="422">
        <v>0.44398784637451172</v>
      </c>
      <c r="AA134" s="422">
        <v>0.50293397903442383</v>
      </c>
      <c r="AB134" s="422">
        <v>0.40033698081970215</v>
      </c>
      <c r="AC134" s="422">
        <v>0.44375431537628174</v>
      </c>
      <c r="AD134" s="422">
        <v>0.41365110874176025</v>
      </c>
      <c r="AE134" s="65">
        <f>'User Add-in Location'!B138</f>
        <v>0</v>
      </c>
      <c r="AF134" s="65">
        <f>'User Add-in Location'!C138</f>
        <v>0</v>
      </c>
      <c r="AG134" s="422">
        <v>0.441</v>
      </c>
      <c r="AH134" s="422">
        <v>0</v>
      </c>
      <c r="AI134" s="422">
        <v>0.41799999999999998</v>
      </c>
      <c r="AJ134" s="422">
        <v>0.44</v>
      </c>
      <c r="AK134" s="422">
        <v>0.35</v>
      </c>
      <c r="AL134" s="422">
        <v>0.28000000000000003</v>
      </c>
      <c r="AM134" s="422">
        <v>0.36299999999999999</v>
      </c>
      <c r="AN134" s="422">
        <v>0.39300000000000002</v>
      </c>
      <c r="AO134" s="422">
        <v>0.41699999999999998</v>
      </c>
      <c r="AP134" s="422">
        <v>0.47599999999999998</v>
      </c>
      <c r="AQ134" s="422">
        <v>0.42699999999999999</v>
      </c>
      <c r="AR134" s="422">
        <v>0.45900000000000002</v>
      </c>
      <c r="AS134" s="422">
        <v>0.41799999999999998</v>
      </c>
      <c r="AT134" s="422">
        <v>0.41599999999999998</v>
      </c>
      <c r="AU134" s="422">
        <v>0.316</v>
      </c>
      <c r="AV134" s="422">
        <v>0.41799999999999998</v>
      </c>
      <c r="AW134" s="422">
        <v>0.56699999999999995</v>
      </c>
      <c r="AX134" s="422">
        <v>0.57799999999999996</v>
      </c>
      <c r="AY134" s="422">
        <v>0.53500000000000003</v>
      </c>
      <c r="AZ134" s="422">
        <v>0.38600000000000001</v>
      </c>
      <c r="BA134" s="422">
        <v>0.378</v>
      </c>
      <c r="BB134" s="422">
        <v>0.38800000000000001</v>
      </c>
      <c r="BC134" s="422">
        <v>0.29699999999999999</v>
      </c>
      <c r="BD134" s="422">
        <v>0.44</v>
      </c>
      <c r="BE134" s="422">
        <v>0.37</v>
      </c>
    </row>
    <row r="135" spans="3:57" ht="15" x14ac:dyDescent="0.2">
      <c r="C135" s="6" t="s">
        <v>121</v>
      </c>
      <c r="D135" s="424">
        <v>0.38628816604614258</v>
      </c>
      <c r="E135" s="422">
        <v>0.31786978244781494</v>
      </c>
      <c r="F135" s="422">
        <v>0.46608376502990723</v>
      </c>
      <c r="G135" s="422">
        <v>0.39165616035461426</v>
      </c>
      <c r="H135" s="422">
        <v>0.42437958717346191</v>
      </c>
      <c r="I135" s="422">
        <v>0.47445487976074219</v>
      </c>
      <c r="J135" s="422">
        <v>0.41380620002746582</v>
      </c>
      <c r="K135" s="422">
        <v>0.34579896926879883</v>
      </c>
      <c r="L135" s="422">
        <v>0.22174918651580811</v>
      </c>
      <c r="M135" s="422">
        <v>0.47167015075683594</v>
      </c>
      <c r="N135" s="422">
        <v>0.41486966609954834</v>
      </c>
      <c r="O135" s="422">
        <v>0.37187433242797852</v>
      </c>
      <c r="P135" s="422">
        <v>0.43909263610839844</v>
      </c>
      <c r="Q135" s="422">
        <v>0.39735829830169678</v>
      </c>
      <c r="R135" s="422">
        <v>0.35587632656097412</v>
      </c>
      <c r="S135" s="422">
        <v>0.39507818222045898</v>
      </c>
      <c r="T135" s="422">
        <v>0.41916477680206299</v>
      </c>
      <c r="U135" s="422">
        <v>0.37393879890441895</v>
      </c>
      <c r="V135" s="422">
        <v>0.32879519462585449</v>
      </c>
      <c r="W135" s="422">
        <v>0.45334279537200928</v>
      </c>
      <c r="X135" s="422">
        <v>0.39430892467498779</v>
      </c>
      <c r="Y135" s="422">
        <v>0.42665541172027588</v>
      </c>
      <c r="Z135" s="422">
        <v>0.43686187267303467</v>
      </c>
      <c r="AA135" s="422">
        <v>0.45918095111846924</v>
      </c>
      <c r="AB135" s="422">
        <v>0.35947632789611816</v>
      </c>
      <c r="AC135" s="422">
        <v>0.42736959457397461</v>
      </c>
      <c r="AD135" s="422">
        <v>0.39946639537811279</v>
      </c>
      <c r="AE135" s="65">
        <f>'User Add-in Location'!B139</f>
        <v>0</v>
      </c>
      <c r="AF135" s="65">
        <f>'User Add-in Location'!C139</f>
        <v>0</v>
      </c>
      <c r="AG135" s="422">
        <v>0.41099999999999998</v>
      </c>
      <c r="AH135" s="422">
        <v>0.26500000000000001</v>
      </c>
      <c r="AI135" s="422">
        <v>0.432</v>
      </c>
      <c r="AJ135" s="422">
        <v>0.38900000000000001</v>
      </c>
      <c r="AK135" s="422">
        <v>0.39400000000000002</v>
      </c>
      <c r="AL135" s="422">
        <v>0.35099999999999998</v>
      </c>
      <c r="AM135" s="422">
        <v>0.42599999999999999</v>
      </c>
      <c r="AN135" s="422">
        <v>0.34599999999999997</v>
      </c>
      <c r="AO135" s="422">
        <v>0.45400000000000001</v>
      </c>
      <c r="AP135" s="422">
        <v>0.39100000000000001</v>
      </c>
      <c r="AQ135" s="422">
        <v>0.375</v>
      </c>
      <c r="AR135" s="422">
        <v>0.42299999999999999</v>
      </c>
      <c r="AS135" s="422">
        <v>0.46500000000000002</v>
      </c>
      <c r="AT135" s="422">
        <v>0.39100000000000001</v>
      </c>
      <c r="AU135" s="422">
        <v>0.42199999999999999</v>
      </c>
      <c r="AV135" s="422">
        <v>0.39100000000000001</v>
      </c>
      <c r="AW135" s="422">
        <v>0.40699999999999997</v>
      </c>
      <c r="AX135" s="422">
        <v>0.57099999999999995</v>
      </c>
      <c r="AY135" s="422">
        <v>0.53400000000000003</v>
      </c>
      <c r="AZ135" s="422">
        <v>0.435</v>
      </c>
      <c r="BA135" s="422">
        <v>0.34599999999999997</v>
      </c>
      <c r="BB135" s="422">
        <v>0.41199999999999998</v>
      </c>
      <c r="BC135" s="422">
        <v>0.31900000000000001</v>
      </c>
      <c r="BD135" s="422">
        <v>0.44</v>
      </c>
      <c r="BE135" s="422">
        <v>0.29799999999999999</v>
      </c>
    </row>
    <row r="136" spans="3:57" ht="15" x14ac:dyDescent="0.2">
      <c r="C136" s="6" t="s">
        <v>122</v>
      </c>
      <c r="D136" s="424">
        <v>0.33093249797821045</v>
      </c>
      <c r="E136" s="422">
        <v>0.29368448257446289</v>
      </c>
      <c r="F136" s="422">
        <v>0.42724990844726563</v>
      </c>
      <c r="G136" s="422">
        <v>0.30985057353973389</v>
      </c>
      <c r="H136" s="422">
        <v>0.42177236080169678</v>
      </c>
      <c r="I136" s="422">
        <v>0.42338454723358154</v>
      </c>
      <c r="J136" s="422">
        <v>0.35158705711364746</v>
      </c>
      <c r="K136" s="422">
        <v>0.32870841026306152</v>
      </c>
      <c r="L136" s="422">
        <v>0.2519991397857666</v>
      </c>
      <c r="M136" s="422">
        <v>0.44656896591186523</v>
      </c>
      <c r="N136" s="422">
        <v>0.42517244815826416</v>
      </c>
      <c r="O136" s="422">
        <v>0.32880425453186035</v>
      </c>
      <c r="P136" s="422">
        <v>0.38498187065124512</v>
      </c>
      <c r="Q136" s="422">
        <v>0.41537249088287354</v>
      </c>
      <c r="R136" s="422">
        <v>0.3415524959564209</v>
      </c>
      <c r="S136" s="422">
        <v>0.34148228168487549</v>
      </c>
      <c r="T136" s="422">
        <v>0.35515546798706055</v>
      </c>
      <c r="U136" s="422">
        <v>0.33152151107788086</v>
      </c>
      <c r="V136" s="422">
        <v>0.30995571613311768</v>
      </c>
      <c r="W136" s="422">
        <v>0.37833380699157715</v>
      </c>
      <c r="X136" s="422">
        <v>0.34729206562042236</v>
      </c>
      <c r="Y136" s="422">
        <v>0.38737916946411133</v>
      </c>
      <c r="Z136" s="422">
        <v>0.38440096378326416</v>
      </c>
      <c r="AA136" s="422">
        <v>0.41745758056640625</v>
      </c>
      <c r="AB136" s="422">
        <v>0.31873667240142822</v>
      </c>
      <c r="AC136" s="422">
        <v>0.40501070022583008</v>
      </c>
      <c r="AD136" s="422">
        <v>0.36160266399383545</v>
      </c>
      <c r="AE136" s="65">
        <f>'User Add-in Location'!B140</f>
        <v>0</v>
      </c>
      <c r="AF136" s="65">
        <f>'User Add-in Location'!C140</f>
        <v>0</v>
      </c>
      <c r="AG136" s="422">
        <v>0.373</v>
      </c>
      <c r="AH136" s="422">
        <v>0.22</v>
      </c>
      <c r="AI136" s="422">
        <v>0.35</v>
      </c>
      <c r="AJ136" s="422">
        <v>0.36499999999999999</v>
      </c>
      <c r="AK136" s="422">
        <v>0.36599999999999999</v>
      </c>
      <c r="AL136" s="422">
        <v>0.36099999999999999</v>
      </c>
      <c r="AM136" s="422">
        <v>0.39800000000000002</v>
      </c>
      <c r="AN136" s="422">
        <v>0.30599999999999999</v>
      </c>
      <c r="AO136" s="422">
        <v>0.39900000000000002</v>
      </c>
      <c r="AP136" s="422">
        <v>0.35699999999999998</v>
      </c>
      <c r="AQ136" s="422">
        <v>0.38400000000000001</v>
      </c>
      <c r="AR136" s="422">
        <v>0.375</v>
      </c>
      <c r="AS136" s="422">
        <v>0.38100000000000001</v>
      </c>
      <c r="AT136" s="422">
        <v>0.34899999999999998</v>
      </c>
      <c r="AU136" s="422">
        <v>0.34399999999999997</v>
      </c>
      <c r="AV136" s="422">
        <v>0.36299999999999999</v>
      </c>
      <c r="AW136" s="422">
        <v>0.42399999999999999</v>
      </c>
      <c r="AX136" s="422">
        <v>0.59799999999999998</v>
      </c>
      <c r="AY136" s="422">
        <v>0.45500000000000002</v>
      </c>
      <c r="AZ136" s="422">
        <v>0.35799999999999998</v>
      </c>
      <c r="BA136" s="422">
        <v>0.33900000000000002</v>
      </c>
      <c r="BB136" s="422">
        <v>0.36399999999999999</v>
      </c>
      <c r="BC136" s="422">
        <v>0.27300000000000002</v>
      </c>
      <c r="BD136" s="422">
        <v>0.36899999999999999</v>
      </c>
      <c r="BE136" s="422">
        <v>0.26100000000000001</v>
      </c>
    </row>
    <row r="137" spans="3:57" ht="15" x14ac:dyDescent="0.2">
      <c r="C137" s="6" t="s">
        <v>48</v>
      </c>
      <c r="D137" s="424">
        <v>9.7743868827819824E-2</v>
      </c>
      <c r="E137" s="422">
        <v>3.9212584495544434E-2</v>
      </c>
      <c r="F137" s="422">
        <v>0.15586042404174805</v>
      </c>
      <c r="G137" s="422">
        <v>8.5851907730102539E-2</v>
      </c>
      <c r="H137" s="422">
        <v>0.10636031627655029</v>
      </c>
      <c r="I137" s="422">
        <v>7.4970722198486328E-2</v>
      </c>
      <c r="J137" s="422">
        <v>0.16365969181060791</v>
      </c>
      <c r="K137" s="422">
        <v>1.9808411598205566E-2</v>
      </c>
      <c r="L137" s="422">
        <v>8.2895755767822266E-3</v>
      </c>
      <c r="M137" s="422">
        <v>9.08050537109375E-2</v>
      </c>
      <c r="N137" s="422">
        <v>1.7363071441650391E-2</v>
      </c>
      <c r="O137" s="422">
        <v>5.4685354232788086E-2</v>
      </c>
      <c r="P137" s="422">
        <v>0.11917173862457275</v>
      </c>
      <c r="Q137" s="422">
        <v>4.8960328102111816E-2</v>
      </c>
      <c r="R137" s="422">
        <v>5.913841724395752E-2</v>
      </c>
      <c r="S137" s="422">
        <v>8.0619096755981445E-2</v>
      </c>
      <c r="T137" s="422">
        <v>9.2899799346923828E-2</v>
      </c>
      <c r="U137" s="422">
        <v>8.6897373199462891E-2</v>
      </c>
      <c r="V137" s="422">
        <v>0.1208881139755249</v>
      </c>
      <c r="W137" s="422">
        <v>9.8780512809753418E-2</v>
      </c>
      <c r="X137" s="422">
        <v>2.4924397468566895E-2</v>
      </c>
      <c r="Y137" s="422">
        <v>3.6141276359558105E-2</v>
      </c>
      <c r="Z137" s="422">
        <v>7.1975111961364746E-2</v>
      </c>
      <c r="AA137" s="422">
        <v>0.15694725513458252</v>
      </c>
      <c r="AB137" s="422">
        <v>7.0223331451416016E-2</v>
      </c>
      <c r="AC137" s="422">
        <v>8.8896274566650391E-2</v>
      </c>
      <c r="AD137" s="422">
        <v>0.10127687454223633</v>
      </c>
      <c r="AE137" s="65">
        <f>'User Add-in Location'!B141</f>
        <v>0</v>
      </c>
      <c r="AF137" s="65">
        <f>'User Add-in Location'!C141</f>
        <v>0</v>
      </c>
      <c r="AG137" s="422">
        <v>8.2000000000000003E-2</v>
      </c>
      <c r="AH137" s="422">
        <v>0.13600000000000001</v>
      </c>
      <c r="AI137" s="422">
        <v>6.2E-2</v>
      </c>
      <c r="AJ137" s="422">
        <v>5.3999999999999999E-2</v>
      </c>
      <c r="AK137" s="422">
        <v>0.114</v>
      </c>
      <c r="AL137" s="422">
        <v>0.104</v>
      </c>
      <c r="AM137" s="422">
        <v>0.05</v>
      </c>
      <c r="AN137" s="422">
        <v>0.216</v>
      </c>
      <c r="AO137" s="422">
        <v>6.9000000000000006E-2</v>
      </c>
      <c r="AP137" s="422">
        <v>0.21299999999999999</v>
      </c>
      <c r="AQ137" s="422">
        <v>0.109</v>
      </c>
      <c r="AR137" s="422">
        <v>9.5000000000000001E-2</v>
      </c>
      <c r="AS137" s="422">
        <v>4.2999999999999997E-2</v>
      </c>
      <c r="AT137" s="422">
        <v>8.6999999999999994E-2</v>
      </c>
      <c r="AU137" s="422">
        <v>0.221</v>
      </c>
      <c r="AV137" s="422">
        <v>0.12</v>
      </c>
      <c r="AW137" s="422">
        <v>9.4E-2</v>
      </c>
      <c r="AX137" s="422">
        <v>0.13900000000000001</v>
      </c>
      <c r="AY137" s="422">
        <v>6.9000000000000006E-2</v>
      </c>
      <c r="AZ137" s="422">
        <v>4.2000000000000003E-2</v>
      </c>
      <c r="BA137" s="422">
        <v>7.1999999999999995E-2</v>
      </c>
      <c r="BB137" s="422">
        <v>0.158</v>
      </c>
      <c r="BC137" s="422">
        <v>8.2000000000000003E-2</v>
      </c>
      <c r="BD137" s="422">
        <v>0.114</v>
      </c>
      <c r="BE137" s="422">
        <v>8.2000000000000003E-2</v>
      </c>
    </row>
    <row r="138" spans="3:57" x14ac:dyDescent="0.2">
      <c r="D138" s="424"/>
      <c r="E138" s="422"/>
      <c r="F138" s="422"/>
      <c r="G138" s="422"/>
      <c r="H138" s="422"/>
      <c r="I138" s="422"/>
      <c r="J138" s="422"/>
      <c r="K138" s="422"/>
      <c r="L138" s="422"/>
      <c r="M138" s="422"/>
      <c r="N138" s="422"/>
      <c r="O138" s="422"/>
      <c r="P138" s="422"/>
      <c r="Q138" s="422"/>
      <c r="R138" s="422"/>
      <c r="S138" s="422"/>
      <c r="T138" s="422"/>
      <c r="U138" s="422"/>
      <c r="V138" s="422"/>
      <c r="W138" s="422"/>
      <c r="X138" s="422"/>
      <c r="Y138" s="422"/>
      <c r="Z138" s="422"/>
      <c r="AA138" s="422"/>
      <c r="AB138" s="422"/>
      <c r="AC138" s="422"/>
      <c r="AD138" s="422"/>
      <c r="AG138" s="422"/>
      <c r="AH138" s="422"/>
      <c r="AI138" s="422"/>
      <c r="AJ138" s="422"/>
      <c r="AK138" s="422"/>
      <c r="AL138" s="422"/>
      <c r="AM138" s="422"/>
      <c r="AN138" s="422"/>
      <c r="AO138" s="422"/>
      <c r="AP138" s="422"/>
      <c r="AQ138" s="422"/>
      <c r="AR138" s="422"/>
      <c r="AS138" s="422"/>
      <c r="AT138" s="422"/>
      <c r="AU138" s="422"/>
      <c r="AV138" s="422"/>
      <c r="AW138" s="422"/>
      <c r="AX138" s="422"/>
      <c r="AY138" s="422"/>
      <c r="AZ138" s="422"/>
      <c r="BA138" s="422"/>
      <c r="BB138" s="422"/>
      <c r="BC138" s="422"/>
      <c r="BD138" s="422"/>
      <c r="BE138" s="422"/>
    </row>
    <row r="139" spans="3:57" ht="12.75" customHeight="1" x14ac:dyDescent="0.2">
      <c r="C139" s="124" t="s">
        <v>200</v>
      </c>
      <c r="D139" s="424"/>
      <c r="E139" s="422"/>
      <c r="F139" s="422"/>
      <c r="G139" s="422"/>
      <c r="H139" s="422"/>
      <c r="I139" s="422"/>
      <c r="J139" s="422"/>
      <c r="K139" s="422"/>
      <c r="L139" s="422"/>
      <c r="M139" s="422"/>
      <c r="N139" s="422"/>
      <c r="O139" s="422"/>
      <c r="P139" s="422"/>
      <c r="Q139" s="422"/>
      <c r="R139" s="422"/>
      <c r="S139" s="422"/>
      <c r="T139" s="422"/>
      <c r="U139" s="422"/>
      <c r="V139" s="422"/>
      <c r="W139" s="422"/>
      <c r="X139" s="422"/>
      <c r="Y139" s="422"/>
      <c r="Z139" s="422"/>
      <c r="AA139" s="422"/>
      <c r="AB139" s="422"/>
      <c r="AC139" s="422"/>
      <c r="AD139" s="422"/>
      <c r="AG139" s="422"/>
      <c r="AH139" s="422"/>
      <c r="AI139" s="422"/>
      <c r="AJ139" s="422"/>
      <c r="AK139" s="422"/>
      <c r="AL139" s="422"/>
      <c r="AM139" s="422"/>
      <c r="AN139" s="422"/>
      <c r="AO139" s="422"/>
      <c r="AP139" s="422"/>
      <c r="AQ139" s="422"/>
      <c r="AR139" s="422"/>
      <c r="AS139" s="422"/>
      <c r="AT139" s="422"/>
      <c r="AU139" s="422"/>
      <c r="AV139" s="422"/>
      <c r="AW139" s="422"/>
      <c r="AX139" s="422"/>
      <c r="AY139" s="422"/>
      <c r="AZ139" s="422"/>
      <c r="BA139" s="422"/>
      <c r="BB139" s="422"/>
      <c r="BC139" s="422"/>
      <c r="BD139" s="422"/>
      <c r="BE139" s="422"/>
    </row>
    <row r="140" spans="3:57" ht="25.5" customHeight="1" x14ac:dyDescent="0.2">
      <c r="C140" s="125" t="s">
        <v>209</v>
      </c>
      <c r="D140" s="424" t="s">
        <v>50</v>
      </c>
      <c r="E140" s="422" t="s">
        <v>51</v>
      </c>
      <c r="F140" s="422" t="s">
        <v>52</v>
      </c>
      <c r="G140" s="422" t="s">
        <v>53</v>
      </c>
      <c r="H140" s="422" t="s">
        <v>54</v>
      </c>
      <c r="I140" s="422" t="s">
        <v>55</v>
      </c>
      <c r="J140" s="422" t="s">
        <v>56</v>
      </c>
      <c r="K140" s="422" t="s">
        <v>57</v>
      </c>
      <c r="L140" s="422" t="s">
        <v>58</v>
      </c>
      <c r="M140" s="422" t="s">
        <v>59</v>
      </c>
      <c r="N140" s="422" t="s">
        <v>60</v>
      </c>
      <c r="O140" s="422" t="s">
        <v>61</v>
      </c>
      <c r="P140" s="422" t="s">
        <v>62</v>
      </c>
      <c r="Q140" s="422" t="s">
        <v>63</v>
      </c>
      <c r="R140" s="422" t="s">
        <v>64</v>
      </c>
      <c r="S140" s="422" t="s">
        <v>65</v>
      </c>
      <c r="T140" s="422" t="s">
        <v>66</v>
      </c>
      <c r="U140" s="422" t="s">
        <v>67</v>
      </c>
      <c r="V140" s="422" t="s">
        <v>68</v>
      </c>
      <c r="W140" s="422" t="s">
        <v>69</v>
      </c>
      <c r="X140" s="422" t="s">
        <v>70</v>
      </c>
      <c r="Y140" s="422" t="s">
        <v>71</v>
      </c>
      <c r="Z140" s="422" t="s">
        <v>72</v>
      </c>
      <c r="AA140" s="422" t="s">
        <v>73</v>
      </c>
      <c r="AB140" s="422" t="s">
        <v>74</v>
      </c>
      <c r="AC140" s="422" t="s">
        <v>75</v>
      </c>
      <c r="AD140" s="422" t="s">
        <v>76</v>
      </c>
      <c r="AE140" s="65" t="s">
        <v>233</v>
      </c>
      <c r="AF140" s="65" t="s">
        <v>232</v>
      </c>
      <c r="AG140" s="422" t="s">
        <v>77</v>
      </c>
      <c r="AH140" s="422" t="s">
        <v>78</v>
      </c>
      <c r="AI140" s="422" t="s">
        <v>79</v>
      </c>
      <c r="AJ140" s="422" t="s">
        <v>80</v>
      </c>
      <c r="AK140" s="422" t="s">
        <v>81</v>
      </c>
      <c r="AL140" s="422" t="s">
        <v>82</v>
      </c>
      <c r="AM140" s="422" t="s">
        <v>83</v>
      </c>
      <c r="AN140" s="422" t="s">
        <v>84</v>
      </c>
      <c r="AO140" s="422" t="s">
        <v>85</v>
      </c>
      <c r="AP140" s="422" t="s">
        <v>86</v>
      </c>
      <c r="AQ140" s="422" t="s">
        <v>87</v>
      </c>
      <c r="AR140" s="422" t="s">
        <v>88</v>
      </c>
      <c r="AS140" s="422" t="s">
        <v>89</v>
      </c>
      <c r="AT140" s="422" t="s">
        <v>90</v>
      </c>
      <c r="AU140" s="422" t="s">
        <v>91</v>
      </c>
      <c r="AV140" s="422" t="s">
        <v>92</v>
      </c>
      <c r="AW140" s="422" t="s">
        <v>93</v>
      </c>
      <c r="AX140" s="422" t="s">
        <v>394</v>
      </c>
      <c r="AY140" s="422" t="s">
        <v>94</v>
      </c>
      <c r="AZ140" s="422" t="s">
        <v>95</v>
      </c>
      <c r="BA140" s="422" t="s">
        <v>96</v>
      </c>
      <c r="BB140" s="422" t="s">
        <v>97</v>
      </c>
      <c r="BC140" s="422" t="s">
        <v>98</v>
      </c>
      <c r="BD140" s="422" t="s">
        <v>99</v>
      </c>
      <c r="BE140" s="422" t="s">
        <v>49</v>
      </c>
    </row>
    <row r="141" spans="3:57" ht="15" x14ac:dyDescent="0.2">
      <c r="C141" s="6" t="s">
        <v>44</v>
      </c>
      <c r="D141" s="424">
        <v>0.26173236966133118</v>
      </c>
      <c r="E141" s="422">
        <v>0.27686005830764771</v>
      </c>
      <c r="F141" s="422">
        <v>0.31367236375808716</v>
      </c>
      <c r="G141" s="422">
        <v>0.25133934617042542</v>
      </c>
      <c r="H141" s="422">
        <v>0.43952274322509766</v>
      </c>
      <c r="I141" s="422">
        <v>0.28453448414802551</v>
      </c>
      <c r="J141" s="422">
        <v>0.22752030193805695</v>
      </c>
      <c r="K141" s="422">
        <v>0.17364136874675751</v>
      </c>
      <c r="L141" s="422">
        <v>9.3155868351459503E-2</v>
      </c>
      <c r="M141" s="422">
        <v>0.41402333974838257</v>
      </c>
      <c r="N141" s="422">
        <v>0.45233330130577087</v>
      </c>
      <c r="O141" s="422">
        <v>0.36244013905525208</v>
      </c>
      <c r="P141" s="422">
        <v>0.34008705615997314</v>
      </c>
      <c r="Q141" s="422">
        <v>0.54503720998764038</v>
      </c>
      <c r="R141" s="422">
        <v>0.32598143815994263</v>
      </c>
      <c r="S141" s="422">
        <v>0.24405182898044586</v>
      </c>
      <c r="T141" s="422">
        <v>0.25150087475776672</v>
      </c>
      <c r="U141" s="422">
        <v>0.24901650846004486</v>
      </c>
      <c r="V141" s="422">
        <v>0.29502525925636292</v>
      </c>
      <c r="W141" s="422">
        <v>0.35311135649681091</v>
      </c>
      <c r="X141" s="422">
        <v>0.2215668261051178</v>
      </c>
      <c r="Y141" s="422">
        <v>0.35018879175186157</v>
      </c>
      <c r="Z141" s="422">
        <v>0.29447469115257263</v>
      </c>
      <c r="AA141" s="422">
        <v>0.31973034143447876</v>
      </c>
      <c r="AB141" s="422">
        <v>0.2733285129070282</v>
      </c>
      <c r="AC141" s="422">
        <v>0.2891729474067688</v>
      </c>
      <c r="AD141" s="422">
        <v>0.18940055370330811</v>
      </c>
      <c r="AE141" s="65">
        <f>'User Add-in Location'!B145</f>
        <v>0</v>
      </c>
      <c r="AF141" s="65">
        <f>'User Add-in Location'!C145</f>
        <v>0</v>
      </c>
      <c r="AG141" s="422">
        <v>0.26400000000000001</v>
      </c>
      <c r="AH141" s="422">
        <v>0.14199999999999999</v>
      </c>
      <c r="AI141" s="422">
        <v>0.26</v>
      </c>
      <c r="AJ141" s="422">
        <v>0.41</v>
      </c>
      <c r="AK141" s="422">
        <v>0.32600000000000001</v>
      </c>
      <c r="AL141" s="422">
        <v>0.26</v>
      </c>
      <c r="AM141" s="422">
        <v>0.28699999999999998</v>
      </c>
      <c r="AN141" s="422">
        <v>0.14299999999999999</v>
      </c>
      <c r="AO141" s="422">
        <v>0.29699999999999999</v>
      </c>
      <c r="AP141" s="422">
        <v>0.153</v>
      </c>
      <c r="AQ141" s="422">
        <v>0.375</v>
      </c>
      <c r="AR141" s="422">
        <v>0.24199999999999999</v>
      </c>
      <c r="AS141" s="422">
        <v>0.27400000000000002</v>
      </c>
      <c r="AT141" s="422">
        <v>0.25800000000000001</v>
      </c>
      <c r="AU141" s="422">
        <v>0.28199999999999997</v>
      </c>
      <c r="AV141" s="422">
        <v>0.23300000000000001</v>
      </c>
      <c r="AW141" s="422">
        <v>0.24299999999999999</v>
      </c>
      <c r="AX141" s="422">
        <v>0.69099999999999995</v>
      </c>
      <c r="AY141" s="422">
        <v>0.19700000000000001</v>
      </c>
      <c r="AZ141" s="422">
        <v>0.224</v>
      </c>
      <c r="BA141" s="422">
        <v>0.17499999999999999</v>
      </c>
      <c r="BB141" s="422">
        <v>0.40500000000000003</v>
      </c>
      <c r="BC141" s="422">
        <v>5.8000000000000003E-2</v>
      </c>
      <c r="BD141" s="422">
        <v>0.307</v>
      </c>
      <c r="BE141" s="422">
        <v>0.1</v>
      </c>
    </row>
    <row r="142" spans="3:57" ht="15" x14ac:dyDescent="0.2">
      <c r="C142" s="6" t="s">
        <v>114</v>
      </c>
      <c r="D142" s="424">
        <v>0.13973802328109741</v>
      </c>
      <c r="E142" s="422">
        <v>0.10078389942646027</v>
      </c>
      <c r="F142" s="422">
        <v>0.23008304834365845</v>
      </c>
      <c r="G142" s="422">
        <v>0.19001428782939911</v>
      </c>
      <c r="H142" s="422">
        <v>0.24479267001152039</v>
      </c>
      <c r="I142" s="422">
        <v>0.39691060781478882</v>
      </c>
      <c r="J142" s="422">
        <v>0.23684783279895782</v>
      </c>
      <c r="K142" s="422">
        <v>0.35142144560813904</v>
      </c>
      <c r="L142" s="422">
        <v>8.4437936544418335E-2</v>
      </c>
      <c r="M142" s="422">
        <v>0.21929895877838135</v>
      </c>
      <c r="N142" s="422">
        <v>0.28224337100982666</v>
      </c>
      <c r="O142" s="422">
        <v>0.16851222515106201</v>
      </c>
      <c r="P142" s="422">
        <v>0.19884210824966431</v>
      </c>
      <c r="Q142" s="422">
        <v>0.23681208491325378</v>
      </c>
      <c r="R142" s="422">
        <v>0.22168746590614319</v>
      </c>
      <c r="S142" s="422">
        <v>0.16458545625209808</v>
      </c>
      <c r="T142" s="422">
        <v>0.29396969079971313</v>
      </c>
      <c r="U142" s="422">
        <v>0.15273422002792358</v>
      </c>
      <c r="V142" s="422">
        <v>0.18811434507369995</v>
      </c>
      <c r="W142" s="422">
        <v>0.18056108057498932</v>
      </c>
      <c r="X142" s="422">
        <v>0.19139815866947174</v>
      </c>
      <c r="Y142" s="422">
        <v>0.32496050000190735</v>
      </c>
      <c r="Z142" s="422">
        <v>0.28443676233291626</v>
      </c>
      <c r="AA142" s="422">
        <v>0.26385140419006348</v>
      </c>
      <c r="AB142" s="422">
        <v>0.22770310938358307</v>
      </c>
      <c r="AC142" s="422">
        <v>0.21596157550811768</v>
      </c>
      <c r="AD142" s="422">
        <v>0.23064503073692322</v>
      </c>
      <c r="AE142" s="65">
        <f>'User Add-in Location'!B146</f>
        <v>0</v>
      </c>
      <c r="AF142" s="65">
        <f>'User Add-in Location'!C146</f>
        <v>0</v>
      </c>
      <c r="AG142" s="422">
        <v>0.21099999999999999</v>
      </c>
      <c r="AH142" s="422">
        <v>0.13</v>
      </c>
      <c r="AI142" s="422">
        <v>0.20399999999999999</v>
      </c>
      <c r="AJ142" s="422">
        <v>0.39700000000000002</v>
      </c>
      <c r="AK142" s="422">
        <v>0.19400000000000001</v>
      </c>
      <c r="AL142" s="422">
        <v>0.35</v>
      </c>
      <c r="AM142" s="422">
        <v>0.14899999999999999</v>
      </c>
      <c r="AN142" s="422">
        <v>0.19</v>
      </c>
      <c r="AO142" s="422">
        <v>0.28899999999999998</v>
      </c>
      <c r="AP142" s="422">
        <v>0.32800000000000001</v>
      </c>
      <c r="AQ142" s="422">
        <v>0.22</v>
      </c>
      <c r="AR142" s="422">
        <v>0.26200000000000001</v>
      </c>
      <c r="AS142" s="422">
        <v>0.254</v>
      </c>
      <c r="AT142" s="422">
        <v>0.14599999999999999</v>
      </c>
      <c r="AU142" s="422">
        <v>0.16400000000000001</v>
      </c>
      <c r="AV142" s="422">
        <v>0.191</v>
      </c>
      <c r="AW142" s="422">
        <v>0.32400000000000001</v>
      </c>
      <c r="AX142" s="422">
        <v>0.57399999999999995</v>
      </c>
      <c r="AY142" s="422">
        <v>0.28199999999999997</v>
      </c>
      <c r="AZ142" s="422">
        <v>0.14699999999999999</v>
      </c>
      <c r="BA142" s="422">
        <v>0.24399999999999999</v>
      </c>
      <c r="BB142" s="422">
        <v>0.17299999999999999</v>
      </c>
      <c r="BC142" s="422">
        <v>0.152</v>
      </c>
      <c r="BD142" s="422">
        <v>0.20899999999999999</v>
      </c>
      <c r="BE142" s="422">
        <v>0.10299999999999999</v>
      </c>
    </row>
    <row r="143" spans="3:57" ht="15" x14ac:dyDescent="0.2">
      <c r="C143" s="6" t="s">
        <v>45</v>
      </c>
      <c r="D143" s="424">
        <v>0.28961315751075745</v>
      </c>
      <c r="E143" s="422">
        <v>0.27299535274505615</v>
      </c>
      <c r="F143" s="422">
        <v>0.3950732946395874</v>
      </c>
      <c r="G143" s="422">
        <v>0.25972375273704529</v>
      </c>
      <c r="H143" s="422">
        <v>0.44126397371292114</v>
      </c>
      <c r="I143" s="422">
        <v>0.43198758363723755</v>
      </c>
      <c r="J143" s="422">
        <v>0.38612577319145203</v>
      </c>
      <c r="K143" s="422">
        <v>0.3115060031414032</v>
      </c>
      <c r="L143" s="422">
        <v>0.10533727705478668</v>
      </c>
      <c r="M143" s="422">
        <v>0.38461726903915405</v>
      </c>
      <c r="N143" s="422">
        <v>0.38078084588050842</v>
      </c>
      <c r="O143" s="422">
        <v>0.30617249011993408</v>
      </c>
      <c r="P143" s="422">
        <v>0.27532663941383362</v>
      </c>
      <c r="Q143" s="422">
        <v>0.42739376425743103</v>
      </c>
      <c r="R143" s="422">
        <v>0.32054296135902405</v>
      </c>
      <c r="S143" s="422">
        <v>0.29622548818588257</v>
      </c>
      <c r="T143" s="422">
        <v>0.30905419588088989</v>
      </c>
      <c r="U143" s="422">
        <v>0.26944345235824585</v>
      </c>
      <c r="V143" s="422">
        <v>0.28081837296485901</v>
      </c>
      <c r="W143" s="422">
        <v>0.33159610629081726</v>
      </c>
      <c r="X143" s="422">
        <v>0.35874131321907043</v>
      </c>
      <c r="Y143" s="422">
        <v>0.40234270691871643</v>
      </c>
      <c r="Z143" s="422">
        <v>0.37620684504508972</v>
      </c>
      <c r="AA143" s="422">
        <v>0.42065536975860596</v>
      </c>
      <c r="AB143" s="422">
        <v>0.23008561134338379</v>
      </c>
      <c r="AC143" s="422">
        <v>0.38885143399238586</v>
      </c>
      <c r="AD143" s="422">
        <v>0.26508522033691406</v>
      </c>
      <c r="AE143" s="65">
        <f>'User Add-in Location'!B147</f>
        <v>0</v>
      </c>
      <c r="AF143" s="65">
        <f>'User Add-in Location'!C147</f>
        <v>0</v>
      </c>
      <c r="AG143" s="422">
        <v>0.314</v>
      </c>
      <c r="AH143" s="422">
        <v>0.182</v>
      </c>
      <c r="AI143" s="422">
        <v>0.40899999999999997</v>
      </c>
      <c r="AJ143" s="422">
        <v>0.41299999999999998</v>
      </c>
      <c r="AK143" s="422">
        <v>0.247</v>
      </c>
      <c r="AL143" s="422">
        <v>0.32500000000000001</v>
      </c>
      <c r="AM143" s="422">
        <v>0.35699999999999998</v>
      </c>
      <c r="AN143" s="422">
        <v>0.26600000000000001</v>
      </c>
      <c r="AO143" s="422">
        <v>0.41699999999999998</v>
      </c>
      <c r="AP143" s="422">
        <v>0.317</v>
      </c>
      <c r="AQ143" s="422">
        <v>0.36599999999999999</v>
      </c>
      <c r="AR143" s="422">
        <v>0.43099999999999999</v>
      </c>
      <c r="AS143" s="422">
        <v>0.34499999999999997</v>
      </c>
      <c r="AT143" s="422">
        <v>0.27500000000000002</v>
      </c>
      <c r="AU143" s="422">
        <v>0.27100000000000002</v>
      </c>
      <c r="AV143" s="422">
        <v>0.40400000000000003</v>
      </c>
      <c r="AW143" s="422">
        <v>0.41899999999999998</v>
      </c>
      <c r="AX143" s="422">
        <v>0.83099999999999996</v>
      </c>
      <c r="AY143" s="422">
        <v>0.41099999999999998</v>
      </c>
      <c r="AZ143" s="422">
        <v>0.308</v>
      </c>
      <c r="BA143" s="422">
        <v>0.32900000000000001</v>
      </c>
      <c r="BB143" s="422">
        <v>0.36399999999999999</v>
      </c>
      <c r="BC143" s="422">
        <v>0.24099999999999999</v>
      </c>
      <c r="BD143" s="422">
        <v>0.36899999999999999</v>
      </c>
      <c r="BE143" s="422">
        <v>0.16300000000000001</v>
      </c>
    </row>
    <row r="144" spans="3:57" ht="15" x14ac:dyDescent="0.2">
      <c r="C144" s="6" t="s">
        <v>115</v>
      </c>
      <c r="D144" s="424">
        <v>0.14524440467357635</v>
      </c>
      <c r="E144" s="422">
        <v>0.11487080901861191</v>
      </c>
      <c r="F144" s="422">
        <v>0.27256962656974792</v>
      </c>
      <c r="G144" s="422">
        <v>0.15080870687961578</v>
      </c>
      <c r="H144" s="422">
        <v>0.29503726959228516</v>
      </c>
      <c r="I144" s="422">
        <v>0.28713375329971313</v>
      </c>
      <c r="J144" s="422">
        <v>0.2495947927236557</v>
      </c>
      <c r="K144" s="422">
        <v>0.14370977878570557</v>
      </c>
      <c r="L144" s="422">
        <v>6.4167790114879608E-2</v>
      </c>
      <c r="M144" s="422">
        <v>0.26929089426994324</v>
      </c>
      <c r="N144" s="422">
        <v>0.23127566277980804</v>
      </c>
      <c r="O144" s="422">
        <v>0.14213776588439941</v>
      </c>
      <c r="P144" s="422">
        <v>0.16006304323673248</v>
      </c>
      <c r="Q144" s="422">
        <v>0.25659230351448059</v>
      </c>
      <c r="R144" s="422">
        <v>0.1591709703207016</v>
      </c>
      <c r="S144" s="422">
        <v>0.16166782379150391</v>
      </c>
      <c r="T144" s="422">
        <v>0.18116879463195801</v>
      </c>
      <c r="U144" s="422">
        <v>0.13531927764415741</v>
      </c>
      <c r="V144" s="422">
        <v>0.10169459134340286</v>
      </c>
      <c r="W144" s="422">
        <v>0.21030201017856598</v>
      </c>
      <c r="X144" s="422">
        <v>0.19453442096710205</v>
      </c>
      <c r="Y144" s="422">
        <v>0.25394982099533081</v>
      </c>
      <c r="Z144" s="422">
        <v>0.21715985238552094</v>
      </c>
      <c r="AA144" s="422">
        <v>0.28309562802314758</v>
      </c>
      <c r="AB144" s="422">
        <v>0.12093354761600494</v>
      </c>
      <c r="AC144" s="422">
        <v>0.20544338226318359</v>
      </c>
      <c r="AD144" s="422">
        <v>0.11205016076564789</v>
      </c>
      <c r="AE144" s="65">
        <f>'User Add-in Location'!B148</f>
        <v>0</v>
      </c>
      <c r="AF144" s="65">
        <f>'User Add-in Location'!C148</f>
        <v>0</v>
      </c>
      <c r="AG144" s="422">
        <v>0.161</v>
      </c>
      <c r="AH144" s="422">
        <v>0.12</v>
      </c>
      <c r="AI144" s="422">
        <v>0.253</v>
      </c>
      <c r="AJ144" s="422">
        <v>0.23100000000000001</v>
      </c>
      <c r="AK144" s="422">
        <v>0.13</v>
      </c>
      <c r="AL144" s="422">
        <v>0.19500000000000001</v>
      </c>
      <c r="AM144" s="422">
        <v>0.191</v>
      </c>
      <c r="AN144" s="422">
        <v>0.12</v>
      </c>
      <c r="AO144" s="422">
        <v>0.23100000000000001</v>
      </c>
      <c r="AP144" s="422">
        <v>0.19</v>
      </c>
      <c r="AQ144" s="422">
        <v>0.224</v>
      </c>
      <c r="AR144" s="422">
        <v>0.24199999999999999</v>
      </c>
      <c r="AS144" s="422">
        <v>0.23300000000000001</v>
      </c>
      <c r="AT144" s="422">
        <v>0.154</v>
      </c>
      <c r="AU144" s="422">
        <v>0.161</v>
      </c>
      <c r="AV144" s="422">
        <v>0.19700000000000001</v>
      </c>
      <c r="AW144" s="422">
        <v>0.22500000000000001</v>
      </c>
      <c r="AX144" s="422">
        <v>0.60499999999999998</v>
      </c>
      <c r="AY144" s="422">
        <v>0.22900000000000001</v>
      </c>
      <c r="AZ144" s="422">
        <v>0.183</v>
      </c>
      <c r="BA144" s="422">
        <v>0.17699999999999999</v>
      </c>
      <c r="BB144" s="422">
        <v>0.20599999999999999</v>
      </c>
      <c r="BC144" s="422">
        <v>0.112</v>
      </c>
      <c r="BD144" s="422">
        <v>0.23100000000000001</v>
      </c>
      <c r="BE144" s="422">
        <v>0.06</v>
      </c>
    </row>
    <row r="145" spans="1:57" ht="15" x14ac:dyDescent="0.2">
      <c r="C145" s="6" t="s">
        <v>116</v>
      </c>
      <c r="D145" s="424">
        <v>0.21201802790164948</v>
      </c>
      <c r="E145" s="422">
        <v>0.19730366766452789</v>
      </c>
      <c r="F145" s="422">
        <v>0.34046578407287598</v>
      </c>
      <c r="G145" s="422">
        <v>0.20092999935150146</v>
      </c>
      <c r="H145" s="422">
        <v>0.38802319765090942</v>
      </c>
      <c r="I145" s="422">
        <v>0.33152100443840027</v>
      </c>
      <c r="J145" s="422">
        <v>0.30902880430221558</v>
      </c>
      <c r="K145" s="422">
        <v>0.23970939218997955</v>
      </c>
      <c r="L145" s="422">
        <v>0</v>
      </c>
      <c r="M145" s="422">
        <v>0.34555906057357788</v>
      </c>
      <c r="N145" s="422">
        <v>0.30520522594451904</v>
      </c>
      <c r="O145" s="422">
        <v>0.23639655113220215</v>
      </c>
      <c r="P145" s="422">
        <v>0.22328154742717743</v>
      </c>
      <c r="Q145" s="422">
        <v>0.37117499113082886</v>
      </c>
      <c r="R145" s="422">
        <v>0.23853029310703278</v>
      </c>
      <c r="S145" s="422">
        <v>0.22120319306850433</v>
      </c>
      <c r="T145" s="422">
        <v>0.229241743683815</v>
      </c>
      <c r="U145" s="422">
        <v>0.23197324573993683</v>
      </c>
      <c r="V145" s="422">
        <v>0.21262802183628082</v>
      </c>
      <c r="W145" s="422">
        <v>0.26465922594070435</v>
      </c>
      <c r="X145" s="422">
        <v>0.27360779047012329</v>
      </c>
      <c r="Y145" s="422">
        <v>0.33175531029701233</v>
      </c>
      <c r="Z145" s="422">
        <v>0.3295343816280365</v>
      </c>
      <c r="AA145" s="422">
        <v>0.39352908730506897</v>
      </c>
      <c r="AB145" s="422">
        <v>0.18357641994953156</v>
      </c>
      <c r="AC145" s="422">
        <v>0.30718165636062622</v>
      </c>
      <c r="AD145" s="422">
        <v>0.21455872058868408</v>
      </c>
      <c r="AE145" s="65">
        <f>'User Add-in Location'!B149</f>
        <v>0</v>
      </c>
      <c r="AF145" s="65">
        <f>'User Add-in Location'!C149</f>
        <v>0</v>
      </c>
      <c r="AG145" s="422">
        <v>0.22700000000000001</v>
      </c>
      <c r="AH145" s="422">
        <v>0.151</v>
      </c>
      <c r="AI145" s="422">
        <v>0.29699999999999999</v>
      </c>
      <c r="AJ145" s="422">
        <v>0.34699999999999998</v>
      </c>
      <c r="AK145" s="422">
        <v>0.17599999999999999</v>
      </c>
      <c r="AL145" s="422">
        <v>0.26900000000000002</v>
      </c>
      <c r="AM145" s="422">
        <v>0.28499999999999998</v>
      </c>
      <c r="AN145" s="422">
        <v>0.18</v>
      </c>
      <c r="AO145" s="422">
        <v>0.34300000000000003</v>
      </c>
      <c r="AP145" s="422">
        <v>0.247</v>
      </c>
      <c r="AQ145" s="422">
        <v>0.29299999999999998</v>
      </c>
      <c r="AR145" s="422">
        <v>0.34100000000000003</v>
      </c>
      <c r="AS145" s="422">
        <v>0.30399999999999999</v>
      </c>
      <c r="AT145" s="422">
        <v>0.23899999999999999</v>
      </c>
      <c r="AU145" s="422">
        <v>0.187</v>
      </c>
      <c r="AV145" s="422">
        <v>0.316</v>
      </c>
      <c r="AW145" s="422">
        <v>0.33900000000000002</v>
      </c>
      <c r="AX145" s="422">
        <v>0.76600000000000001</v>
      </c>
      <c r="AY145" s="422">
        <v>0.32300000000000001</v>
      </c>
      <c r="AZ145" s="422">
        <v>0.254</v>
      </c>
      <c r="BA145" s="422">
        <v>0.28499999999999998</v>
      </c>
      <c r="BB145" s="422">
        <v>0.28599999999999998</v>
      </c>
      <c r="BC145" s="422">
        <v>0.16900000000000001</v>
      </c>
      <c r="BD145" s="422">
        <v>0.314</v>
      </c>
      <c r="BE145" s="422">
        <v>0.115</v>
      </c>
    </row>
    <row r="146" spans="1:57" ht="15" x14ac:dyDescent="0.2">
      <c r="C146" s="6" t="s">
        <v>117</v>
      </c>
      <c r="D146" s="424">
        <v>0.14806976914405823</v>
      </c>
      <c r="E146" s="422">
        <v>0.12751619517803192</v>
      </c>
      <c r="F146" s="422">
        <v>0.24160581827163696</v>
      </c>
      <c r="G146" s="422">
        <v>0.15119948983192444</v>
      </c>
      <c r="H146" s="422">
        <v>0.3202269971370697</v>
      </c>
      <c r="I146" s="422">
        <v>0.25675800442695618</v>
      </c>
      <c r="J146" s="422">
        <v>0.25476604700088501</v>
      </c>
      <c r="K146" s="422">
        <v>0.21060322225093842</v>
      </c>
      <c r="L146" s="422">
        <v>6.7332535982131958E-2</v>
      </c>
      <c r="M146" s="422">
        <v>0.27288421988487244</v>
      </c>
      <c r="N146" s="422">
        <v>0.22879977524280548</v>
      </c>
      <c r="O146" s="422">
        <v>0.15701974928379059</v>
      </c>
      <c r="P146" s="422">
        <v>0.14904852211475372</v>
      </c>
      <c r="Q146" s="422">
        <v>0.25491419434547424</v>
      </c>
      <c r="R146" s="422">
        <v>0.17018818855285645</v>
      </c>
      <c r="S146" s="422">
        <v>0.14492864906787872</v>
      </c>
      <c r="T146" s="422">
        <v>0.16784065961837769</v>
      </c>
      <c r="U146" s="422">
        <v>0.16610845923423767</v>
      </c>
      <c r="V146" s="422">
        <v>0.15385930240154266</v>
      </c>
      <c r="W146" s="422">
        <v>0.23570933938026428</v>
      </c>
      <c r="X146" s="422">
        <v>0.17835727334022522</v>
      </c>
      <c r="Y146" s="422">
        <v>0.29715156555175781</v>
      </c>
      <c r="Z146" s="422">
        <v>0.27009093761444092</v>
      </c>
      <c r="AA146" s="422">
        <v>0.29838624596595764</v>
      </c>
      <c r="AB146" s="422">
        <v>0.10379146039485931</v>
      </c>
      <c r="AC146" s="422">
        <v>0.19589650630950928</v>
      </c>
      <c r="AD146" s="422">
        <v>0.1210637241601944</v>
      </c>
      <c r="AE146" s="65">
        <f>'User Add-in Location'!B150</f>
        <v>0</v>
      </c>
      <c r="AF146" s="65">
        <f>'User Add-in Location'!C150</f>
        <v>0</v>
      </c>
      <c r="AG146" s="422">
        <v>0.14000000000000001</v>
      </c>
      <c r="AH146" s="422">
        <v>0.11700000000000001</v>
      </c>
      <c r="AI146" s="422">
        <v>0.374</v>
      </c>
      <c r="AJ146" s="422">
        <v>0.30599999999999999</v>
      </c>
      <c r="AK146" s="422">
        <v>0.127</v>
      </c>
      <c r="AL146" s="422">
        <v>0.21</v>
      </c>
      <c r="AM146" s="422">
        <v>0.219</v>
      </c>
      <c r="AN146" s="422">
        <v>0.113</v>
      </c>
      <c r="AO146" s="422">
        <v>0.28299999999999997</v>
      </c>
      <c r="AP146" s="422">
        <v>0.19800000000000001</v>
      </c>
      <c r="AQ146" s="422">
        <v>0.23300000000000001</v>
      </c>
      <c r="AR146" s="422">
        <v>0.27</v>
      </c>
      <c r="AS146" s="422">
        <v>0.26800000000000002</v>
      </c>
      <c r="AT146" s="422">
        <v>0.191</v>
      </c>
      <c r="AU146" s="422">
        <v>0.13400000000000001</v>
      </c>
      <c r="AV146" s="422">
        <v>0.20699999999999999</v>
      </c>
      <c r="AW146" s="422">
        <v>0.26300000000000001</v>
      </c>
      <c r="AX146" s="422">
        <v>0.63900000000000001</v>
      </c>
      <c r="AY146" s="422">
        <v>0.23300000000000001</v>
      </c>
      <c r="AZ146" s="422">
        <v>0.252</v>
      </c>
      <c r="BA146" s="422">
        <v>0.22</v>
      </c>
      <c r="BB146" s="422">
        <v>0.24399999999999999</v>
      </c>
      <c r="BC146" s="422">
        <v>0.17499999999999999</v>
      </c>
      <c r="BD146" s="422">
        <v>0.21</v>
      </c>
      <c r="BE146" s="422">
        <v>7.8E-2</v>
      </c>
    </row>
    <row r="147" spans="1:57" ht="15" x14ac:dyDescent="0.2">
      <c r="C147" s="6" t="s">
        <v>118</v>
      </c>
      <c r="D147" s="424">
        <v>0.22486096620559692</v>
      </c>
      <c r="E147" s="422">
        <v>0</v>
      </c>
      <c r="F147" s="422">
        <v>0.30262142419815063</v>
      </c>
      <c r="G147" s="422">
        <v>0.18906368315219879</v>
      </c>
      <c r="H147" s="422">
        <v>0.36792311072349548</v>
      </c>
      <c r="I147" s="422">
        <v>0.2779407799243927</v>
      </c>
      <c r="J147" s="422">
        <v>0.26355940103530884</v>
      </c>
      <c r="K147" s="422">
        <v>0.24361139535903931</v>
      </c>
      <c r="L147" s="422">
        <v>4.0850032120943069E-2</v>
      </c>
      <c r="M147" s="422">
        <v>0.30007690191268921</v>
      </c>
      <c r="N147" s="422">
        <v>0.24744506180286407</v>
      </c>
      <c r="O147" s="422">
        <v>0.12092538177967072</v>
      </c>
      <c r="P147" s="422">
        <v>0.21105378866195679</v>
      </c>
      <c r="Q147" s="422">
        <v>0.32993590831756592</v>
      </c>
      <c r="R147" s="422">
        <v>0.23070371150970459</v>
      </c>
      <c r="S147" s="422">
        <v>0.19273146986961365</v>
      </c>
      <c r="T147" s="422">
        <v>0.21434234082698822</v>
      </c>
      <c r="U147" s="422">
        <v>0.21574610471725464</v>
      </c>
      <c r="V147" s="422">
        <v>0.19781693816184998</v>
      </c>
      <c r="W147" s="422">
        <v>0.19111433625221252</v>
      </c>
      <c r="X147" s="422">
        <v>0.23462995886802673</v>
      </c>
      <c r="Y147" s="422">
        <v>0.27482175827026367</v>
      </c>
      <c r="Z147" s="422">
        <v>0.30933618545532227</v>
      </c>
      <c r="AA147" s="422">
        <v>0.32160621881484985</v>
      </c>
      <c r="AB147" s="422">
        <v>0.13728156685829163</v>
      </c>
      <c r="AC147" s="422">
        <v>0.25383901596069336</v>
      </c>
      <c r="AD147" s="422">
        <v>0.13170920312404633</v>
      </c>
      <c r="AE147" s="65">
        <f>'User Add-in Location'!B151</f>
        <v>0</v>
      </c>
      <c r="AF147" s="65">
        <f>'User Add-in Location'!C151</f>
        <v>0</v>
      </c>
      <c r="AG147" s="422">
        <v>0.23699999999999999</v>
      </c>
      <c r="AH147" s="422">
        <v>0.13200000000000001</v>
      </c>
      <c r="AI147" s="422">
        <v>0.28999999999999998</v>
      </c>
      <c r="AJ147" s="422">
        <v>0.29199999999999998</v>
      </c>
      <c r="AK147" s="422">
        <v>0.13400000000000001</v>
      </c>
      <c r="AL147" s="422">
        <v>0.22600000000000001</v>
      </c>
      <c r="AM147" s="422">
        <v>0.219</v>
      </c>
      <c r="AN147" s="422">
        <v>0.159</v>
      </c>
      <c r="AO147" s="422">
        <v>0.28599999999999998</v>
      </c>
      <c r="AP147" s="422">
        <v>0.22600000000000001</v>
      </c>
      <c r="AQ147" s="422">
        <v>0.128</v>
      </c>
      <c r="AR147" s="422">
        <v>0.28899999999999998</v>
      </c>
      <c r="AS147" s="422">
        <v>0.19900000000000001</v>
      </c>
      <c r="AT147" s="422">
        <v>0.24299999999999999</v>
      </c>
      <c r="AU147" s="422">
        <v>0.17199999999999999</v>
      </c>
      <c r="AV147" s="422">
        <v>0.26800000000000002</v>
      </c>
      <c r="AW147" s="422">
        <v>0.27400000000000002</v>
      </c>
      <c r="AX147" s="422">
        <v>0.6</v>
      </c>
      <c r="AY147" s="422">
        <v>0.253</v>
      </c>
      <c r="AZ147" s="422">
        <v>0.20799999999999999</v>
      </c>
      <c r="BA147" s="422">
        <v>0.224</v>
      </c>
      <c r="BB147" s="422">
        <v>0.21</v>
      </c>
      <c r="BC147" s="422">
        <v>0.126</v>
      </c>
      <c r="BD147" s="422">
        <v>0.28599999999999998</v>
      </c>
      <c r="BE147" s="422">
        <v>9.6000000000000002E-2</v>
      </c>
    </row>
    <row r="148" spans="1:57" ht="15" x14ac:dyDescent="0.2">
      <c r="C148" s="6" t="s">
        <v>119</v>
      </c>
      <c r="D148" s="424">
        <v>0.21814499795436859</v>
      </c>
      <c r="E148" s="422">
        <v>0.12589395046234131</v>
      </c>
      <c r="F148" s="422">
        <v>0.31677177548408508</v>
      </c>
      <c r="G148" s="422">
        <v>0.23967145383358002</v>
      </c>
      <c r="H148" s="422">
        <v>0.38544002175331116</v>
      </c>
      <c r="I148" s="422">
        <v>0.38151445984840393</v>
      </c>
      <c r="J148" s="422">
        <v>0.28039926290512085</v>
      </c>
      <c r="K148" s="422">
        <v>0.24238617718219757</v>
      </c>
      <c r="L148" s="422">
        <v>0.1060519814491272</v>
      </c>
      <c r="M148" s="422">
        <v>0.31197890639305115</v>
      </c>
      <c r="N148" s="422">
        <v>0.32774639129638672</v>
      </c>
      <c r="O148" s="422">
        <v>0.20156840980052948</v>
      </c>
      <c r="P148" s="422">
        <v>0.23980547487735748</v>
      </c>
      <c r="Q148" s="422">
        <v>0.38936224579811096</v>
      </c>
      <c r="R148" s="422">
        <v>0.25597718358039856</v>
      </c>
      <c r="S148" s="422">
        <v>0.22655998170375824</v>
      </c>
      <c r="T148" s="422">
        <v>0.24000035226345062</v>
      </c>
      <c r="U148" s="422">
        <v>0.22076013684272766</v>
      </c>
      <c r="V148" s="422">
        <v>0.2142951637506485</v>
      </c>
      <c r="W148" s="422">
        <v>0.25952154397964478</v>
      </c>
      <c r="X148" s="422">
        <v>0.24925422668457031</v>
      </c>
      <c r="Y148" s="422">
        <v>0.31126514077186584</v>
      </c>
      <c r="Z148" s="422">
        <v>0.3076438307762146</v>
      </c>
      <c r="AA148" s="422">
        <v>0.36213159561157227</v>
      </c>
      <c r="AB148" s="422">
        <v>0.1844770759344101</v>
      </c>
      <c r="AC148" s="422">
        <v>0.30401322245597839</v>
      </c>
      <c r="AD148" s="422">
        <v>0.22890777885913849</v>
      </c>
      <c r="AE148" s="65">
        <f>'User Add-in Location'!B152</f>
        <v>0</v>
      </c>
      <c r="AF148" s="65">
        <f>'User Add-in Location'!C152</f>
        <v>0</v>
      </c>
      <c r="AG148" s="422">
        <v>0.26300000000000001</v>
      </c>
      <c r="AH148" s="422">
        <v>0</v>
      </c>
      <c r="AI148" s="422">
        <v>0.26700000000000002</v>
      </c>
      <c r="AJ148" s="422">
        <v>0.32500000000000001</v>
      </c>
      <c r="AK148" s="422">
        <v>0.20300000000000001</v>
      </c>
      <c r="AL148" s="422">
        <v>0.29299999999999998</v>
      </c>
      <c r="AM148" s="422">
        <v>0.28599999999999998</v>
      </c>
      <c r="AN148" s="422">
        <v>0.214</v>
      </c>
      <c r="AO148" s="422">
        <v>0.318</v>
      </c>
      <c r="AP148" s="422">
        <v>0.30099999999999999</v>
      </c>
      <c r="AQ148" s="422">
        <v>0.27</v>
      </c>
      <c r="AR148" s="422">
        <v>0.36699999999999999</v>
      </c>
      <c r="AS148" s="422">
        <v>0.27900000000000003</v>
      </c>
      <c r="AT148" s="422">
        <v>0.20899999999999999</v>
      </c>
      <c r="AU148" s="422">
        <v>0.215</v>
      </c>
      <c r="AV148" s="422">
        <v>0.314</v>
      </c>
      <c r="AW148" s="422">
        <v>0.38600000000000001</v>
      </c>
      <c r="AX148" s="422">
        <v>0.70399999999999996</v>
      </c>
      <c r="AY148" s="422">
        <v>0.375</v>
      </c>
      <c r="AZ148" s="422">
        <v>0.252</v>
      </c>
      <c r="BA148" s="422">
        <v>0.28000000000000003</v>
      </c>
      <c r="BB148" s="422">
        <v>0.27900000000000003</v>
      </c>
      <c r="BC148" s="422">
        <v>0.20100000000000001</v>
      </c>
      <c r="BD148" s="422">
        <v>0.29699999999999999</v>
      </c>
      <c r="BE148" s="422">
        <v>0.13</v>
      </c>
    </row>
    <row r="149" spans="1:57" ht="15" x14ac:dyDescent="0.2">
      <c r="C149" s="6" t="s">
        <v>46</v>
      </c>
      <c r="D149" s="424">
        <v>0.30010741949081421</v>
      </c>
      <c r="E149" s="422">
        <v>0.20559020340442657</v>
      </c>
      <c r="F149" s="422">
        <v>0.46250593662261963</v>
      </c>
      <c r="G149" s="422">
        <v>0.26238840818405151</v>
      </c>
      <c r="H149" s="422">
        <v>0.43554052710533142</v>
      </c>
      <c r="I149" s="422">
        <v>0.49050381779670715</v>
      </c>
      <c r="J149" s="422">
        <v>0.37689727544784546</v>
      </c>
      <c r="K149" s="422">
        <v>0.33664458990097046</v>
      </c>
      <c r="L149" s="422">
        <v>0.11868631839752197</v>
      </c>
      <c r="M149" s="422">
        <v>0.45399650931358337</v>
      </c>
      <c r="N149" s="422">
        <v>0.42883136868476868</v>
      </c>
      <c r="O149" s="422">
        <v>0.30908921360969543</v>
      </c>
      <c r="P149" s="422">
        <v>0.31018823385238647</v>
      </c>
      <c r="Q149" s="422">
        <v>0.46860319375991821</v>
      </c>
      <c r="R149" s="422">
        <v>0.3286927342414856</v>
      </c>
      <c r="S149" s="422">
        <v>0.3122996985912323</v>
      </c>
      <c r="T149" s="422">
        <v>0.31995391845703125</v>
      </c>
      <c r="U149" s="422">
        <v>0.27464905381202698</v>
      </c>
      <c r="V149" s="422">
        <v>0.27454671263694763</v>
      </c>
      <c r="W149" s="422">
        <v>0.3635827898979187</v>
      </c>
      <c r="X149" s="422">
        <v>0.35842007398605347</v>
      </c>
      <c r="Y149" s="422">
        <v>0.44993102550506592</v>
      </c>
      <c r="Z149" s="422">
        <v>0.4079192578792572</v>
      </c>
      <c r="AA149" s="422">
        <v>0.50717294216156006</v>
      </c>
      <c r="AB149" s="422">
        <v>0.23788389563560486</v>
      </c>
      <c r="AC149" s="422">
        <v>0.41393741965293884</v>
      </c>
      <c r="AD149" s="422">
        <v>0.28880330920219421</v>
      </c>
      <c r="AE149" s="65">
        <f>'User Add-in Location'!B153</f>
        <v>0</v>
      </c>
      <c r="AF149" s="65">
        <f>'User Add-in Location'!C153</f>
        <v>0</v>
      </c>
      <c r="AG149" s="422">
        <v>0.32300000000000001</v>
      </c>
      <c r="AH149" s="422">
        <v>0.215</v>
      </c>
      <c r="AI149" s="422">
        <v>0.44500000000000001</v>
      </c>
      <c r="AJ149" s="422">
        <v>0.41499999999999998</v>
      </c>
      <c r="AK149" s="422">
        <v>0.249</v>
      </c>
      <c r="AL149" s="422">
        <v>0.34200000000000003</v>
      </c>
      <c r="AM149" s="422">
        <v>0.41299999999999998</v>
      </c>
      <c r="AN149" s="422">
        <v>0.245</v>
      </c>
      <c r="AO149" s="422">
        <v>0.436</v>
      </c>
      <c r="AP149" s="422">
        <v>0.29699999999999999</v>
      </c>
      <c r="AQ149" s="422">
        <v>0.38800000000000001</v>
      </c>
      <c r="AR149" s="422">
        <v>0.434</v>
      </c>
      <c r="AS149" s="422">
        <v>0.41</v>
      </c>
      <c r="AT149" s="422">
        <v>0.30099999999999999</v>
      </c>
      <c r="AU149" s="422">
        <v>0.28599999999999998</v>
      </c>
      <c r="AV149" s="422">
        <v>0.38600000000000001</v>
      </c>
      <c r="AW149" s="422">
        <v>0.41</v>
      </c>
      <c r="AX149" s="422">
        <v>0.77300000000000002</v>
      </c>
      <c r="AY149" s="422">
        <v>0.441</v>
      </c>
      <c r="AZ149" s="422">
        <v>0.32300000000000001</v>
      </c>
      <c r="BA149" s="422">
        <v>0.373</v>
      </c>
      <c r="BB149" s="422">
        <v>0.36</v>
      </c>
      <c r="BC149" s="422">
        <v>0.23799999999999999</v>
      </c>
      <c r="BD149" s="422">
        <v>0.39600000000000002</v>
      </c>
      <c r="BE149" s="422">
        <v>0.16500000000000001</v>
      </c>
    </row>
    <row r="150" spans="1:57" ht="15" x14ac:dyDescent="0.2">
      <c r="C150" s="6" t="s">
        <v>47</v>
      </c>
      <c r="D150" s="424">
        <v>0.32644197344779968</v>
      </c>
      <c r="E150" s="422">
        <v>0.31640574336051941</v>
      </c>
      <c r="F150" s="422">
        <v>0.50105923414230347</v>
      </c>
      <c r="G150" s="422">
        <v>0.33545529842376709</v>
      </c>
      <c r="H150" s="422">
        <v>0.4875011146068573</v>
      </c>
      <c r="I150" s="422">
        <v>0.51112246513366699</v>
      </c>
      <c r="J150" s="422">
        <v>0.4534376859664917</v>
      </c>
      <c r="K150" s="422">
        <v>0.38907244801521301</v>
      </c>
      <c r="L150" s="422">
        <v>0.12050914764404297</v>
      </c>
      <c r="M150" s="422">
        <v>0.52045780420303345</v>
      </c>
      <c r="N150" s="422">
        <v>0.48341134190559387</v>
      </c>
      <c r="O150" s="422">
        <v>0.3344840407371521</v>
      </c>
      <c r="P150" s="422">
        <v>0.36496180295944214</v>
      </c>
      <c r="Q150" s="422">
        <v>0.50693321228027344</v>
      </c>
      <c r="R150" s="422">
        <v>0.36460772156715393</v>
      </c>
      <c r="S150" s="422">
        <v>0.34969639778137207</v>
      </c>
      <c r="T150" s="422">
        <v>0.33925330638885498</v>
      </c>
      <c r="U150" s="422">
        <v>0.36137092113494873</v>
      </c>
      <c r="V150" s="422">
        <v>0.31132549047470093</v>
      </c>
      <c r="W150" s="422">
        <v>0.42080795764923096</v>
      </c>
      <c r="X150" s="422">
        <v>0.39996746182441711</v>
      </c>
      <c r="Y150" s="422">
        <v>0.50488245487213135</v>
      </c>
      <c r="Z150" s="422">
        <v>0.42806908488273621</v>
      </c>
      <c r="AA150" s="422">
        <v>0.50922989845275879</v>
      </c>
      <c r="AB150" s="422">
        <v>0.28804808855056763</v>
      </c>
      <c r="AC150" s="422">
        <v>0.46106606721878052</v>
      </c>
      <c r="AD150" s="422">
        <v>0.38718026876449585</v>
      </c>
      <c r="AE150" s="65">
        <f>'User Add-in Location'!B154</f>
        <v>0</v>
      </c>
      <c r="AF150" s="65">
        <f>'User Add-in Location'!C154</f>
        <v>0</v>
      </c>
      <c r="AG150" s="422">
        <v>0.35399999999999998</v>
      </c>
      <c r="AH150" s="422">
        <v>0.156</v>
      </c>
      <c r="AI150" s="422">
        <v>0.50900000000000001</v>
      </c>
      <c r="AJ150" s="422">
        <v>0.47799999999999998</v>
      </c>
      <c r="AK150" s="422">
        <v>0.31900000000000001</v>
      </c>
      <c r="AL150" s="422">
        <v>0.4</v>
      </c>
      <c r="AM150" s="422">
        <v>0.48399999999999999</v>
      </c>
      <c r="AN150" s="422">
        <v>0.28100000000000003</v>
      </c>
      <c r="AO150" s="422">
        <v>0.47499999999999998</v>
      </c>
      <c r="AP150" s="422">
        <v>0.376</v>
      </c>
      <c r="AQ150" s="422">
        <v>0.48199999999999998</v>
      </c>
      <c r="AR150" s="422">
        <v>0.502</v>
      </c>
      <c r="AS150" s="422">
        <v>0.47199999999999998</v>
      </c>
      <c r="AT150" s="422">
        <v>0.35399999999999998</v>
      </c>
      <c r="AU150" s="422">
        <v>0.33</v>
      </c>
      <c r="AV150" s="422">
        <v>0.45700000000000002</v>
      </c>
      <c r="AW150" s="422">
        <v>0.44900000000000001</v>
      </c>
      <c r="AX150" s="422">
        <v>0.85599999999999998</v>
      </c>
      <c r="AY150" s="422">
        <v>0.497</v>
      </c>
      <c r="AZ150" s="422">
        <v>0.39200000000000002</v>
      </c>
      <c r="BA150" s="422">
        <v>0.39400000000000002</v>
      </c>
      <c r="BB150" s="422">
        <v>0.38900000000000001</v>
      </c>
      <c r="BC150" s="422">
        <v>0.28699999999999998</v>
      </c>
      <c r="BD150" s="422">
        <v>0.42199999999999999</v>
      </c>
      <c r="BE150" s="422">
        <v>0.2</v>
      </c>
    </row>
    <row r="151" spans="1:57" ht="15" x14ac:dyDescent="0.2">
      <c r="C151" s="6" t="s">
        <v>120</v>
      </c>
      <c r="D151" s="424">
        <v>0.24417872726917267</v>
      </c>
      <c r="E151" s="422">
        <v>0.17785170674324036</v>
      </c>
      <c r="F151" s="422">
        <v>0.378143310546875</v>
      </c>
      <c r="G151" s="422">
        <v>0.20548941195011139</v>
      </c>
      <c r="H151" s="422">
        <v>0.34453186392784119</v>
      </c>
      <c r="I151" s="422">
        <v>0.3678576648235321</v>
      </c>
      <c r="J151" s="422">
        <v>0.35906553268432617</v>
      </c>
      <c r="K151" s="422">
        <v>0.19632977247238159</v>
      </c>
      <c r="L151" s="422">
        <v>8.4668770432472229E-2</v>
      </c>
      <c r="M151" s="422">
        <v>0.37671378254890442</v>
      </c>
      <c r="N151" s="422">
        <v>0.3252485990524292</v>
      </c>
      <c r="O151" s="422">
        <v>0.21362781524658203</v>
      </c>
      <c r="P151" s="422">
        <v>0.21896086633205414</v>
      </c>
      <c r="Q151" s="422">
        <v>0.36545756459236145</v>
      </c>
      <c r="R151" s="422">
        <v>0.22747209668159485</v>
      </c>
      <c r="S151" s="422">
        <v>0.23203863203525543</v>
      </c>
      <c r="T151" s="422">
        <v>0.25461852550506592</v>
      </c>
      <c r="U151" s="422">
        <v>0.23913957178592682</v>
      </c>
      <c r="V151" s="422">
        <v>0.21149379014968872</v>
      </c>
      <c r="W151" s="422">
        <v>0.26764139533042908</v>
      </c>
      <c r="X151" s="422">
        <v>0.25683110952377319</v>
      </c>
      <c r="Y151" s="422">
        <v>0.38384771347045898</v>
      </c>
      <c r="Z151" s="422">
        <v>0.30554211139678955</v>
      </c>
      <c r="AA151" s="422">
        <v>0.42863300442695618</v>
      </c>
      <c r="AB151" s="422">
        <v>0.18858569860458374</v>
      </c>
      <c r="AC151" s="422">
        <v>0.30600708723068237</v>
      </c>
      <c r="AD151" s="422">
        <v>0.20395570993423462</v>
      </c>
      <c r="AE151" s="65">
        <f>'User Add-in Location'!B155</f>
        <v>0</v>
      </c>
      <c r="AF151" s="65">
        <f>'User Add-in Location'!C155</f>
        <v>0</v>
      </c>
      <c r="AG151" s="422">
        <v>0.24399999999999999</v>
      </c>
      <c r="AH151" s="422">
        <v>0</v>
      </c>
      <c r="AI151" s="422">
        <v>0.315</v>
      </c>
      <c r="AJ151" s="422">
        <v>0.32700000000000001</v>
      </c>
      <c r="AK151" s="422">
        <v>0.159</v>
      </c>
      <c r="AL151" s="422">
        <v>0.316</v>
      </c>
      <c r="AM151" s="422">
        <v>0.35</v>
      </c>
      <c r="AN151" s="422">
        <v>0.192</v>
      </c>
      <c r="AO151" s="422">
        <v>0.313</v>
      </c>
      <c r="AP151" s="422">
        <v>0.248</v>
      </c>
      <c r="AQ151" s="422">
        <v>0.254</v>
      </c>
      <c r="AR151" s="422">
        <v>0.35</v>
      </c>
      <c r="AS151" s="422">
        <v>0.33100000000000002</v>
      </c>
      <c r="AT151" s="422">
        <v>0.27400000000000002</v>
      </c>
      <c r="AU151" s="422">
        <v>0.19900000000000001</v>
      </c>
      <c r="AV151" s="422">
        <v>0.32500000000000001</v>
      </c>
      <c r="AW151" s="422">
        <v>0.371</v>
      </c>
      <c r="AX151" s="422">
        <v>0.63700000000000001</v>
      </c>
      <c r="AY151" s="422">
        <v>0.29499999999999998</v>
      </c>
      <c r="AZ151" s="422">
        <v>0.23400000000000001</v>
      </c>
      <c r="BA151" s="422">
        <v>0.26200000000000001</v>
      </c>
      <c r="BB151" s="422">
        <v>0.251</v>
      </c>
      <c r="BC151" s="422">
        <v>0.17399999999999999</v>
      </c>
      <c r="BD151" s="422">
        <v>0.27600000000000002</v>
      </c>
      <c r="BE151" s="422">
        <v>0.115</v>
      </c>
    </row>
    <row r="152" spans="1:57" ht="15" x14ac:dyDescent="0.2">
      <c r="C152" s="6" t="s">
        <v>121</v>
      </c>
      <c r="D152" s="424">
        <v>0.4265916645526886</v>
      </c>
      <c r="E152" s="422">
        <v>0.36734485626220703</v>
      </c>
      <c r="F152" s="422">
        <v>0.63298994302749634</v>
      </c>
      <c r="G152" s="422">
        <v>0.38491037487983704</v>
      </c>
      <c r="H152" s="422">
        <v>0.64291673898696899</v>
      </c>
      <c r="I152" s="422">
        <v>0.64978939294815063</v>
      </c>
      <c r="J152" s="422">
        <v>0.54004228115081787</v>
      </c>
      <c r="K152" s="422">
        <v>0.44218140840530396</v>
      </c>
      <c r="L152" s="422">
        <v>0.16107729077339172</v>
      </c>
      <c r="M152" s="422">
        <v>0.64124822616577148</v>
      </c>
      <c r="N152" s="422">
        <v>0.61018061637878418</v>
      </c>
      <c r="O152" s="422">
        <v>0.41653454303741455</v>
      </c>
      <c r="P152" s="422">
        <v>0.39870598912239075</v>
      </c>
      <c r="Q152" s="422">
        <v>0.64867764711380005</v>
      </c>
      <c r="R152" s="422">
        <v>0.38353589177131653</v>
      </c>
      <c r="S152" s="422">
        <v>0.39128562808036804</v>
      </c>
      <c r="T152" s="422">
        <v>0.44143161177635193</v>
      </c>
      <c r="U152" s="422">
        <v>0.40867459774017334</v>
      </c>
      <c r="V152" s="422">
        <v>0.40340036153793335</v>
      </c>
      <c r="W152" s="422">
        <v>0.49531745910644531</v>
      </c>
      <c r="X152" s="422">
        <v>0.49276021122932434</v>
      </c>
      <c r="Y152" s="422">
        <v>0.57497686147689819</v>
      </c>
      <c r="Z152" s="422">
        <v>0.57973545789718628</v>
      </c>
      <c r="AA152" s="422">
        <v>0.64069193601608276</v>
      </c>
      <c r="AB152" s="422">
        <v>0.33276793360710144</v>
      </c>
      <c r="AC152" s="422">
        <v>0.54461270570755005</v>
      </c>
      <c r="AD152" s="422">
        <v>0.39494231343269348</v>
      </c>
      <c r="AE152" s="65">
        <f>'User Add-in Location'!B156</f>
        <v>0</v>
      </c>
      <c r="AF152" s="65">
        <f>'User Add-in Location'!C156</f>
        <v>0</v>
      </c>
      <c r="AG152" s="422">
        <v>0.41099999999999998</v>
      </c>
      <c r="AH152" s="422">
        <v>0.311</v>
      </c>
      <c r="AI152" s="422">
        <v>0.53100000000000003</v>
      </c>
      <c r="AJ152" s="422">
        <v>0.58299999999999996</v>
      </c>
      <c r="AK152" s="422">
        <v>0.35599999999999998</v>
      </c>
      <c r="AL152" s="422">
        <v>0.48399999999999999</v>
      </c>
      <c r="AM152" s="422">
        <v>0.51600000000000001</v>
      </c>
      <c r="AN152" s="422">
        <v>0.33800000000000002</v>
      </c>
      <c r="AO152" s="422">
        <v>0.59099999999999997</v>
      </c>
      <c r="AP152" s="422">
        <v>0.42799999999999999</v>
      </c>
      <c r="AQ152" s="422">
        <v>0.44700000000000001</v>
      </c>
      <c r="AR152" s="422">
        <v>0.58399999999999996</v>
      </c>
      <c r="AS152" s="422">
        <v>0.53</v>
      </c>
      <c r="AT152" s="422">
        <v>0.441</v>
      </c>
      <c r="AU152" s="422">
        <v>0.35599999999999998</v>
      </c>
      <c r="AV152" s="422">
        <v>0.54200000000000004</v>
      </c>
      <c r="AW152" s="422">
        <v>0.59299999999999997</v>
      </c>
      <c r="AX152" s="422">
        <v>1.06</v>
      </c>
      <c r="AY152" s="422">
        <v>0.58499999999999996</v>
      </c>
      <c r="AZ152" s="422">
        <v>0.435</v>
      </c>
      <c r="BA152" s="422">
        <v>0.53300000000000003</v>
      </c>
      <c r="BB152" s="422">
        <v>0.49299999999999999</v>
      </c>
      <c r="BC152" s="422">
        <v>0.33300000000000002</v>
      </c>
      <c r="BD152" s="422">
        <v>0.50600000000000001</v>
      </c>
      <c r="BE152" s="422">
        <v>0.23599999999999999</v>
      </c>
    </row>
    <row r="153" spans="1:57" ht="15" x14ac:dyDescent="0.2">
      <c r="C153" s="6" t="s">
        <v>122</v>
      </c>
      <c r="D153" s="424">
        <v>0.31284359097480774</v>
      </c>
      <c r="E153" s="422">
        <v>0.26847732067108154</v>
      </c>
      <c r="F153" s="422">
        <v>0.48474431037902832</v>
      </c>
      <c r="G153" s="422">
        <v>0.28391236066818237</v>
      </c>
      <c r="H153" s="422">
        <v>0.4872765839099884</v>
      </c>
      <c r="I153" s="422">
        <v>0.47653096914291382</v>
      </c>
      <c r="J153" s="422">
        <v>0.42151585221290588</v>
      </c>
      <c r="K153" s="422">
        <v>0.36486226320266724</v>
      </c>
      <c r="L153" s="422">
        <v>0.13605676591396332</v>
      </c>
      <c r="M153" s="422">
        <v>0.48774948716163635</v>
      </c>
      <c r="N153" s="422">
        <v>0.44402337074279785</v>
      </c>
      <c r="O153" s="422">
        <v>0.33633455634117126</v>
      </c>
      <c r="P153" s="422">
        <v>0.32410436868667603</v>
      </c>
      <c r="Q153" s="422">
        <v>0.49269163608551025</v>
      </c>
      <c r="R153" s="422">
        <v>0.34820252656936646</v>
      </c>
      <c r="S153" s="422">
        <v>0.3086395263671875</v>
      </c>
      <c r="T153" s="422">
        <v>0.3293147087097168</v>
      </c>
      <c r="U153" s="422">
        <v>0.32355380058288574</v>
      </c>
      <c r="V153" s="422">
        <v>0.29161834716796875</v>
      </c>
      <c r="W153" s="422">
        <v>0.40215960144996643</v>
      </c>
      <c r="X153" s="422">
        <v>0.3814888596534729</v>
      </c>
      <c r="Y153" s="422">
        <v>0.47274905443191528</v>
      </c>
      <c r="Z153" s="422">
        <v>0.43596893548965454</v>
      </c>
      <c r="AA153" s="422">
        <v>0.50721275806427002</v>
      </c>
      <c r="AB153" s="422">
        <v>0.25497165322303772</v>
      </c>
      <c r="AC153" s="422">
        <v>0.42585626244544983</v>
      </c>
      <c r="AD153" s="422">
        <v>0.30824905633926392</v>
      </c>
      <c r="AE153" s="65">
        <f>'User Add-in Location'!B157</f>
        <v>0</v>
      </c>
      <c r="AF153" s="65">
        <f>'User Add-in Location'!C157</f>
        <v>0</v>
      </c>
      <c r="AG153" s="422">
        <v>0.34200000000000003</v>
      </c>
      <c r="AH153" s="422">
        <v>0.221</v>
      </c>
      <c r="AI153" s="422">
        <v>0.434</v>
      </c>
      <c r="AJ153" s="422">
        <v>0.45500000000000002</v>
      </c>
      <c r="AK153" s="422">
        <v>0.26300000000000001</v>
      </c>
      <c r="AL153" s="422">
        <v>0.38400000000000001</v>
      </c>
      <c r="AM153" s="422">
        <v>0.42899999999999999</v>
      </c>
      <c r="AN153" s="422">
        <v>0.249</v>
      </c>
      <c r="AO153" s="422">
        <v>0.47099999999999997</v>
      </c>
      <c r="AP153" s="422">
        <v>0.31900000000000001</v>
      </c>
      <c r="AQ153" s="422">
        <v>0.41499999999999998</v>
      </c>
      <c r="AR153" s="422">
        <v>0.48099999999999998</v>
      </c>
      <c r="AS153" s="422">
        <v>0.437</v>
      </c>
      <c r="AT153" s="422">
        <v>0.32</v>
      </c>
      <c r="AU153" s="422">
        <v>0.30499999999999999</v>
      </c>
      <c r="AV153" s="422">
        <v>0.44600000000000001</v>
      </c>
      <c r="AW153" s="422">
        <v>0.436</v>
      </c>
      <c r="AX153" s="422">
        <v>0.84</v>
      </c>
      <c r="AY153" s="422">
        <v>0.439</v>
      </c>
      <c r="AZ153" s="422">
        <v>0.35299999999999998</v>
      </c>
      <c r="BA153" s="422">
        <v>0.39500000000000002</v>
      </c>
      <c r="BB153" s="422">
        <v>0.374</v>
      </c>
      <c r="BC153" s="422">
        <v>0.27300000000000002</v>
      </c>
      <c r="BD153" s="422">
        <v>0.40300000000000002</v>
      </c>
      <c r="BE153" s="422">
        <v>0.16900000000000001</v>
      </c>
    </row>
    <row r="154" spans="1:57" ht="15" x14ac:dyDescent="0.2">
      <c r="C154" s="6" t="s">
        <v>48</v>
      </c>
      <c r="D154" s="424">
        <v>0.47728139162063599</v>
      </c>
      <c r="E154" s="422">
        <v>0.47990638017654419</v>
      </c>
      <c r="F154" s="422">
        <v>0.68012440204620361</v>
      </c>
      <c r="G154" s="422">
        <v>0.53903692960739136</v>
      </c>
      <c r="H154" s="422">
        <v>0.7075238823890686</v>
      </c>
      <c r="I154" s="422">
        <v>0.74092209339141846</v>
      </c>
      <c r="J154" s="422">
        <v>0.54207617044448853</v>
      </c>
      <c r="K154" s="422">
        <v>0.50224471092224121</v>
      </c>
      <c r="L154" s="422">
        <v>0.14631675183773041</v>
      </c>
      <c r="M154" s="422">
        <v>0.73626220226287842</v>
      </c>
      <c r="N154" s="422">
        <v>0.74817466735839844</v>
      </c>
      <c r="O154" s="422">
        <v>0.5571027398109436</v>
      </c>
      <c r="P154" s="422">
        <v>0.54629707336425781</v>
      </c>
      <c r="Q154" s="422">
        <v>0.7830275297164917</v>
      </c>
      <c r="R154" s="422">
        <v>0.60194504261016846</v>
      </c>
      <c r="S154" s="422">
        <v>0.53758335113525391</v>
      </c>
      <c r="T154" s="422">
        <v>0.57475167512893677</v>
      </c>
      <c r="U154" s="422">
        <v>0.54273867607116699</v>
      </c>
      <c r="V154" s="422">
        <v>0.51987588405609131</v>
      </c>
      <c r="W154" s="422">
        <v>0.66136395931243896</v>
      </c>
      <c r="X154" s="422">
        <v>0.50290948152542114</v>
      </c>
      <c r="Y154" s="422">
        <v>0.52200126647949219</v>
      </c>
      <c r="Z154" s="422">
        <v>0.6959877610206604</v>
      </c>
      <c r="AA154" s="422">
        <v>0.72057229280471802</v>
      </c>
      <c r="AB154" s="422">
        <v>0.48034310340881348</v>
      </c>
      <c r="AC154" s="422">
        <v>0.68987315893173218</v>
      </c>
      <c r="AD154" s="422">
        <v>0.52523499727249146</v>
      </c>
      <c r="AE154" s="65">
        <f>'User Add-in Location'!B158</f>
        <v>0</v>
      </c>
      <c r="AF154" s="65">
        <f>'User Add-in Location'!C158</f>
        <v>0</v>
      </c>
      <c r="AG154" s="422">
        <v>0.59399999999999997</v>
      </c>
      <c r="AH154" s="422">
        <v>0.36599999999999999</v>
      </c>
      <c r="AI154" s="422">
        <v>0.53600000000000003</v>
      </c>
      <c r="AJ154" s="422">
        <v>0.69099999999999995</v>
      </c>
      <c r="AK154" s="422">
        <v>0.35399999999999998</v>
      </c>
      <c r="AL154" s="422">
        <v>0.54200000000000004</v>
      </c>
      <c r="AM154" s="422">
        <v>0.70699999999999996</v>
      </c>
      <c r="AN154" s="422">
        <v>0.42599999999999999</v>
      </c>
      <c r="AO154" s="422">
        <v>0.71199999999999997</v>
      </c>
      <c r="AP154" s="422">
        <v>0.502</v>
      </c>
      <c r="AQ154" s="422">
        <v>0.63200000000000001</v>
      </c>
      <c r="AR154" s="422">
        <v>0.69099999999999995</v>
      </c>
      <c r="AS154" s="422">
        <v>0.57099999999999995</v>
      </c>
      <c r="AT154" s="422">
        <v>0.56799999999999995</v>
      </c>
      <c r="AU154" s="422">
        <v>0.49299999999999999</v>
      </c>
      <c r="AV154" s="422">
        <v>0.64100000000000001</v>
      </c>
      <c r="AW154" s="422">
        <v>0.66900000000000004</v>
      </c>
      <c r="AX154" s="422">
        <v>1.149</v>
      </c>
      <c r="AY154" s="422">
        <v>0.69399999999999995</v>
      </c>
      <c r="AZ154" s="422">
        <v>0.60099999999999998</v>
      </c>
      <c r="BA154" s="422">
        <v>0.53900000000000003</v>
      </c>
      <c r="BB154" s="422">
        <v>0.57099999999999995</v>
      </c>
      <c r="BC154" s="422">
        <v>0.434</v>
      </c>
      <c r="BD154" s="422">
        <v>0.64</v>
      </c>
      <c r="BE154" s="422">
        <v>0.33600000000000002</v>
      </c>
    </row>
    <row r="155" spans="1:57" x14ac:dyDescent="0.2">
      <c r="D155" s="424"/>
      <c r="E155" s="422"/>
      <c r="F155" s="422"/>
      <c r="G155" s="422"/>
      <c r="H155" s="422"/>
      <c r="I155" s="422"/>
      <c r="J155" s="422"/>
      <c r="K155" s="422"/>
      <c r="L155" s="422"/>
      <c r="M155" s="422"/>
      <c r="N155" s="422"/>
      <c r="O155" s="422"/>
      <c r="P155" s="422"/>
      <c r="Q155" s="422"/>
      <c r="R155" s="422"/>
      <c r="S155" s="422"/>
      <c r="T155" s="422"/>
      <c r="U155" s="422"/>
      <c r="V155" s="422"/>
      <c r="W155" s="422"/>
      <c r="X155" s="422"/>
      <c r="Y155" s="422"/>
      <c r="Z155" s="422"/>
      <c r="AA155" s="422"/>
      <c r="AB155" s="422"/>
      <c r="AC155" s="422"/>
      <c r="AD155" s="422"/>
      <c r="AG155" s="422"/>
      <c r="AH155" s="422"/>
      <c r="AI155" s="422"/>
      <c r="AJ155" s="422"/>
      <c r="AK155" s="422"/>
      <c r="AL155" s="422"/>
      <c r="AM155" s="422"/>
      <c r="AN155" s="422"/>
      <c r="AO155" s="422"/>
      <c r="AP155" s="422"/>
      <c r="AQ155" s="422"/>
      <c r="AR155" s="422"/>
      <c r="AS155" s="422"/>
      <c r="AT155" s="422"/>
      <c r="AU155" s="422"/>
      <c r="AV155" s="422"/>
      <c r="AW155" s="422"/>
      <c r="AX155" s="422"/>
      <c r="AY155" s="422"/>
      <c r="AZ155" s="422"/>
      <c r="BA155" s="422"/>
      <c r="BB155" s="422"/>
      <c r="BC155" s="422"/>
      <c r="BD155" s="422"/>
      <c r="BE155" s="422"/>
    </row>
    <row r="156" spans="1:57" s="382" customFormat="1" ht="15" x14ac:dyDescent="0.3">
      <c r="A156" s="275"/>
      <c r="C156" s="384" t="s">
        <v>501</v>
      </c>
      <c r="D156" s="424"/>
      <c r="E156" s="422"/>
      <c r="F156" s="422"/>
      <c r="G156" s="422"/>
      <c r="H156" s="422"/>
      <c r="I156" s="422"/>
      <c r="J156" s="422"/>
      <c r="K156" s="422"/>
      <c r="L156" s="422"/>
      <c r="M156" s="422"/>
      <c r="N156" s="422"/>
      <c r="O156" s="422"/>
      <c r="P156" s="422"/>
      <c r="Q156" s="422"/>
      <c r="R156" s="422"/>
      <c r="S156" s="422"/>
      <c r="T156" s="422"/>
      <c r="U156" s="422"/>
      <c r="V156" s="422"/>
      <c r="W156" s="422"/>
      <c r="X156" s="422"/>
      <c r="Y156" s="422"/>
      <c r="Z156" s="422"/>
      <c r="AA156" s="422"/>
      <c r="AB156" s="422"/>
      <c r="AC156" s="422"/>
      <c r="AD156" s="422"/>
      <c r="AE156" s="65"/>
      <c r="AF156" s="65"/>
      <c r="AG156" s="422"/>
      <c r="AH156" s="422"/>
      <c r="AI156" s="422"/>
      <c r="AJ156" s="422"/>
      <c r="AK156" s="422"/>
      <c r="AL156" s="422"/>
      <c r="AM156" s="422"/>
      <c r="AN156" s="422"/>
      <c r="AO156" s="422"/>
      <c r="AP156" s="422"/>
      <c r="AQ156" s="422"/>
      <c r="AR156" s="422"/>
      <c r="AS156" s="422"/>
      <c r="AT156" s="422"/>
      <c r="AU156" s="422"/>
      <c r="AV156" s="422"/>
      <c r="AW156" s="422"/>
      <c r="AX156" s="422"/>
      <c r="AY156" s="422"/>
      <c r="AZ156" s="422"/>
      <c r="BA156" s="422"/>
      <c r="BB156" s="422"/>
      <c r="BC156" s="422"/>
      <c r="BD156" s="422"/>
      <c r="BE156" s="422"/>
    </row>
    <row r="157" spans="1:57" s="382" customFormat="1" ht="15" x14ac:dyDescent="0.3">
      <c r="A157" s="275"/>
      <c r="C157" s="384" t="s">
        <v>502</v>
      </c>
      <c r="D157" s="424" t="s">
        <v>50</v>
      </c>
      <c r="E157" s="422" t="s">
        <v>51</v>
      </c>
      <c r="F157" s="422" t="s">
        <v>52</v>
      </c>
      <c r="G157" s="422" t="s">
        <v>53</v>
      </c>
      <c r="H157" s="422" t="s">
        <v>54</v>
      </c>
      <c r="I157" s="422" t="s">
        <v>55</v>
      </c>
      <c r="J157" s="422" t="s">
        <v>56</v>
      </c>
      <c r="K157" s="422" t="s">
        <v>57</v>
      </c>
      <c r="L157" s="422" t="s">
        <v>58</v>
      </c>
      <c r="M157" s="422" t="s">
        <v>59</v>
      </c>
      <c r="N157" s="422" t="s">
        <v>60</v>
      </c>
      <c r="O157" s="422" t="s">
        <v>61</v>
      </c>
      <c r="P157" s="422" t="s">
        <v>62</v>
      </c>
      <c r="Q157" s="422" t="s">
        <v>63</v>
      </c>
      <c r="R157" s="422" t="s">
        <v>64</v>
      </c>
      <c r="S157" s="422" t="s">
        <v>65</v>
      </c>
      <c r="T157" s="422" t="s">
        <v>66</v>
      </c>
      <c r="U157" s="422" t="s">
        <v>67</v>
      </c>
      <c r="V157" s="422" t="s">
        <v>68</v>
      </c>
      <c r="W157" s="422" t="s">
        <v>69</v>
      </c>
      <c r="X157" s="422" t="s">
        <v>70</v>
      </c>
      <c r="Y157" s="422" t="s">
        <v>71</v>
      </c>
      <c r="Z157" s="422" t="s">
        <v>72</v>
      </c>
      <c r="AA157" s="422" t="s">
        <v>73</v>
      </c>
      <c r="AB157" s="422" t="s">
        <v>74</v>
      </c>
      <c r="AC157" s="422" t="s">
        <v>75</v>
      </c>
      <c r="AD157" s="422" t="s">
        <v>76</v>
      </c>
      <c r="AE157" s="65" t="s">
        <v>233</v>
      </c>
      <c r="AF157" s="65" t="s">
        <v>232</v>
      </c>
      <c r="AG157" s="422" t="s">
        <v>77</v>
      </c>
      <c r="AH157" s="422" t="s">
        <v>78</v>
      </c>
      <c r="AI157" s="422" t="s">
        <v>79</v>
      </c>
      <c r="AJ157" s="422" t="s">
        <v>80</v>
      </c>
      <c r="AK157" s="422" t="s">
        <v>81</v>
      </c>
      <c r="AL157" s="422" t="s">
        <v>82</v>
      </c>
      <c r="AM157" s="422" t="s">
        <v>83</v>
      </c>
      <c r="AN157" s="422" t="s">
        <v>84</v>
      </c>
      <c r="AO157" s="422" t="s">
        <v>85</v>
      </c>
      <c r="AP157" s="422" t="s">
        <v>86</v>
      </c>
      <c r="AQ157" s="422" t="s">
        <v>87</v>
      </c>
      <c r="AR157" s="422" t="s">
        <v>88</v>
      </c>
      <c r="AS157" s="422" t="s">
        <v>89</v>
      </c>
      <c r="AT157" s="422" t="s">
        <v>90</v>
      </c>
      <c r="AU157" s="422" t="s">
        <v>91</v>
      </c>
      <c r="AV157" s="422" t="s">
        <v>92</v>
      </c>
      <c r="AW157" s="422" t="s">
        <v>93</v>
      </c>
      <c r="AX157" s="422" t="s">
        <v>394</v>
      </c>
      <c r="AY157" s="422" t="s">
        <v>94</v>
      </c>
      <c r="AZ157" s="422" t="s">
        <v>95</v>
      </c>
      <c r="BA157" s="422" t="s">
        <v>96</v>
      </c>
      <c r="BB157" s="422" t="s">
        <v>97</v>
      </c>
      <c r="BC157" s="422" t="s">
        <v>98</v>
      </c>
      <c r="BD157" s="422" t="s">
        <v>99</v>
      </c>
      <c r="BE157" s="422" t="s">
        <v>49</v>
      </c>
    </row>
    <row r="158" spans="1:57" s="382" customFormat="1" ht="15" x14ac:dyDescent="0.3">
      <c r="A158" s="275"/>
      <c r="C158" s="383" t="s">
        <v>44</v>
      </c>
      <c r="D158" s="424">
        <v>0.50424414873123169</v>
      </c>
      <c r="E158" s="422">
        <v>0.67526787519454956</v>
      </c>
      <c r="F158" s="422">
        <v>0.64396822452545166</v>
      </c>
      <c r="G158" s="422">
        <v>0.47738602757453918</v>
      </c>
      <c r="H158" s="422">
        <v>0.75849121809005737</v>
      </c>
      <c r="I158" s="422">
        <v>0.51432442665100098</v>
      </c>
      <c r="J158" s="422">
        <v>0.69389969110488892</v>
      </c>
      <c r="K158" s="422">
        <v>0.45536899566650391</v>
      </c>
      <c r="L158" s="422">
        <v>0.19533370435237885</v>
      </c>
      <c r="M158" s="422">
        <v>0.73229837417602539</v>
      </c>
      <c r="N158" s="422">
        <v>0.54175657033920288</v>
      </c>
      <c r="O158" s="422">
        <v>0.73451226949691772</v>
      </c>
      <c r="P158" s="422">
        <v>0.56518316268920898</v>
      </c>
      <c r="Q158" s="422">
        <v>0.47667232155799866</v>
      </c>
      <c r="R158" s="422">
        <v>0.52342331409454346</v>
      </c>
      <c r="S158" s="422">
        <v>0.56665945053100586</v>
      </c>
      <c r="T158" s="422">
        <v>0.46271547675132751</v>
      </c>
      <c r="U158" s="422">
        <v>0.5524059534072876</v>
      </c>
      <c r="V158" s="422">
        <v>0.55842339992523193</v>
      </c>
      <c r="W158" s="422">
        <v>0.61361747980117798</v>
      </c>
      <c r="X158" s="422">
        <v>0.49721989035606384</v>
      </c>
      <c r="Y158" s="422">
        <v>0.74297785758972168</v>
      </c>
      <c r="Z158" s="422">
        <v>0.5746530294418335</v>
      </c>
      <c r="AA158" s="422">
        <v>0.55140715837478638</v>
      </c>
      <c r="AB158" s="422">
        <v>0.53215336799621582</v>
      </c>
      <c r="AC158" s="422">
        <v>0.53555643558502197</v>
      </c>
      <c r="AD158" s="422">
        <v>0.43729567527770996</v>
      </c>
      <c r="AE158" s="65">
        <f>'User Add-in Location'!B162</f>
        <v>0</v>
      </c>
      <c r="AF158" s="65">
        <f>'User Add-in Location'!C162</f>
        <v>0</v>
      </c>
      <c r="AG158" s="422">
        <v>0.46100000000000002</v>
      </c>
      <c r="AH158" s="422">
        <v>0.58899999999999997</v>
      </c>
      <c r="AI158" s="422">
        <v>0.60099999999999998</v>
      </c>
      <c r="AJ158" s="422">
        <v>0.749</v>
      </c>
      <c r="AK158" s="422">
        <v>0.56799999999999995</v>
      </c>
      <c r="AL158" s="422">
        <v>0.59099999999999997</v>
      </c>
      <c r="AM158" s="422">
        <v>0.61699999999999999</v>
      </c>
      <c r="AN158" s="422">
        <v>0.46899999999999997</v>
      </c>
      <c r="AO158" s="422">
        <v>0.54500000000000004</v>
      </c>
      <c r="AP158" s="422">
        <v>0.53900000000000003</v>
      </c>
      <c r="AQ158" s="422">
        <v>0.66800000000000004</v>
      </c>
      <c r="AR158" s="422">
        <v>0.56999999999999995</v>
      </c>
      <c r="AS158" s="422">
        <v>0.68600000000000005</v>
      </c>
      <c r="AT158" s="422">
        <v>0.56200000000000006</v>
      </c>
      <c r="AU158" s="422">
        <v>0.48399999999999999</v>
      </c>
      <c r="AV158" s="422">
        <v>0.54700000000000004</v>
      </c>
      <c r="AW158" s="422">
        <v>0.52700000000000002</v>
      </c>
      <c r="AX158" s="422">
        <v>0.57599999999999996</v>
      </c>
      <c r="AY158" s="422">
        <v>0.59499999999999997</v>
      </c>
      <c r="AZ158" s="422">
        <v>0.57599999999999996</v>
      </c>
      <c r="BA158" s="422">
        <v>0.55200000000000005</v>
      </c>
      <c r="BB158" s="422">
        <v>0.70799999999999996</v>
      </c>
      <c r="BC158" s="422">
        <v>0.52400000000000002</v>
      </c>
      <c r="BD158" s="422">
        <v>0.53800000000000003</v>
      </c>
      <c r="BE158" s="422">
        <v>0.53</v>
      </c>
    </row>
    <row r="159" spans="1:57" s="382" customFormat="1" ht="15" x14ac:dyDescent="0.3">
      <c r="A159" s="275"/>
      <c r="C159" s="383" t="s">
        <v>114</v>
      </c>
      <c r="D159" s="424">
        <v>0.48979771137237549</v>
      </c>
      <c r="E159" s="422">
        <v>0.84158658981323242</v>
      </c>
      <c r="F159" s="422">
        <v>0.43124273419380188</v>
      </c>
      <c r="G159" s="422">
        <v>0.4699055552482605</v>
      </c>
      <c r="H159" s="422">
        <v>0.67735278606414795</v>
      </c>
      <c r="I159" s="422">
        <v>0.62411272525787354</v>
      </c>
      <c r="J159" s="422">
        <v>0.34601148962974548</v>
      </c>
      <c r="K159" s="422">
        <v>0.31959393620491028</v>
      </c>
      <c r="L159" s="422">
        <v>0.14347924292087555</v>
      </c>
      <c r="M159" s="422">
        <v>0.22117097675800323</v>
      </c>
      <c r="N159" s="422">
        <v>0.4328123927116394</v>
      </c>
      <c r="O159" s="422">
        <v>0.29262754321098328</v>
      </c>
      <c r="P159" s="422">
        <v>0.37038236856460571</v>
      </c>
      <c r="Q159" s="422">
        <v>0.38636079430580139</v>
      </c>
      <c r="R159" s="422">
        <v>0.35808819532394409</v>
      </c>
      <c r="S159" s="422">
        <v>0.36369422078132629</v>
      </c>
      <c r="T159" s="422">
        <v>0.25686752796173096</v>
      </c>
      <c r="U159" s="422">
        <v>0.38286441564559937</v>
      </c>
      <c r="V159" s="422">
        <v>0.69897764921188354</v>
      </c>
      <c r="W159" s="422">
        <v>6.6726192831993103E-2</v>
      </c>
      <c r="X159" s="422">
        <v>0.14967849850654602</v>
      </c>
      <c r="Y159" s="422">
        <v>0.18429121375083923</v>
      </c>
      <c r="Z159" s="422">
        <v>0.24203479290008545</v>
      </c>
      <c r="AA159" s="422">
        <v>0.48182868957519531</v>
      </c>
      <c r="AB159" s="422">
        <v>0.43047848343849182</v>
      </c>
      <c r="AC159" s="422">
        <v>0.35874274373054504</v>
      </c>
      <c r="AD159" s="422">
        <v>0.44427981972694397</v>
      </c>
      <c r="AE159" s="65">
        <f>'User Add-in Location'!B163</f>
        <v>0</v>
      </c>
      <c r="AF159" s="65">
        <f>'User Add-in Location'!C163</f>
        <v>0</v>
      </c>
      <c r="AG159" s="422">
        <v>0.376</v>
      </c>
      <c r="AH159" s="422">
        <v>0.53500000000000003</v>
      </c>
      <c r="AI159" s="422">
        <v>0.33300000000000002</v>
      </c>
      <c r="AJ159" s="422">
        <v>0.29499999999999998</v>
      </c>
      <c r="AK159" s="422">
        <v>0.60199999999999998</v>
      </c>
      <c r="AL159" s="422">
        <v>0.25</v>
      </c>
      <c r="AM159" s="422">
        <v>0.442</v>
      </c>
      <c r="AN159" s="422">
        <v>0.69099999999999995</v>
      </c>
      <c r="AO159" s="422">
        <v>0.38900000000000001</v>
      </c>
      <c r="AP159" s="422">
        <v>0.55100000000000005</v>
      </c>
      <c r="AQ159" s="422">
        <v>0.24299999999999999</v>
      </c>
      <c r="AR159" s="422">
        <v>0.57499999999999996</v>
      </c>
      <c r="AS159" s="422">
        <v>0.25600000000000001</v>
      </c>
      <c r="AT159" s="422">
        <v>0.31900000000000001</v>
      </c>
      <c r="AU159" s="422">
        <v>0.28100000000000003</v>
      </c>
      <c r="AV159" s="422">
        <v>0.40500000000000003</v>
      </c>
      <c r="AW159" s="422">
        <v>0.72699999999999998</v>
      </c>
      <c r="AX159" s="422">
        <v>0.62</v>
      </c>
      <c r="AY159" s="422">
        <v>0.55700000000000005</v>
      </c>
      <c r="AZ159" s="422">
        <v>0.46400000000000002</v>
      </c>
      <c r="BA159" s="422">
        <v>0.38300000000000001</v>
      </c>
      <c r="BB159" s="422">
        <v>0.32700000000000001</v>
      </c>
      <c r="BC159" s="422">
        <v>0.42399999999999999</v>
      </c>
      <c r="BD159" s="422">
        <v>0.495</v>
      </c>
      <c r="BE159" s="422">
        <v>0.67800000000000005</v>
      </c>
    </row>
    <row r="160" spans="1:57" s="382" customFormat="1" ht="15" x14ac:dyDescent="0.3">
      <c r="A160" s="275"/>
      <c r="C160" s="383" t="s">
        <v>45</v>
      </c>
      <c r="D160" s="424">
        <v>0.37553167343139648</v>
      </c>
      <c r="E160" s="422">
        <v>0.51874905824661255</v>
      </c>
      <c r="F160" s="422">
        <v>0.43433481454849243</v>
      </c>
      <c r="G160" s="422">
        <v>0.34442335367202759</v>
      </c>
      <c r="H160" s="422">
        <v>0.43802809715270996</v>
      </c>
      <c r="I160" s="422">
        <v>0.39802560210227966</v>
      </c>
      <c r="J160" s="422">
        <v>0.414131760597229</v>
      </c>
      <c r="K160" s="422">
        <v>0.39379024505615234</v>
      </c>
      <c r="L160" s="422">
        <v>0.48728728294372559</v>
      </c>
      <c r="M160" s="422">
        <v>0.40639245510101318</v>
      </c>
      <c r="N160" s="422">
        <v>0.37469714879989624</v>
      </c>
      <c r="O160" s="422">
        <v>0.51016062498092651</v>
      </c>
      <c r="P160" s="422">
        <v>0.32925111055374146</v>
      </c>
      <c r="Q160" s="422">
        <v>0.45214009284973145</v>
      </c>
      <c r="R160" s="422">
        <v>0.38561004400253296</v>
      </c>
      <c r="S160" s="422">
        <v>0.39774155616760254</v>
      </c>
      <c r="T160" s="422">
        <v>0.37633466720581055</v>
      </c>
      <c r="U160" s="422">
        <v>0.38281214237213135</v>
      </c>
      <c r="V160" s="422">
        <v>0.43005487322807312</v>
      </c>
      <c r="W160" s="422">
        <v>0.30468118190765381</v>
      </c>
      <c r="X160" s="422">
        <v>0.43645495176315308</v>
      </c>
      <c r="Y160" s="422">
        <v>0.42516887187957764</v>
      </c>
      <c r="Z160" s="422">
        <v>0.37805160880088806</v>
      </c>
      <c r="AA160" s="422">
        <v>0.4466434121131897</v>
      </c>
      <c r="AB160" s="422">
        <v>0.36894333362579346</v>
      </c>
      <c r="AC160" s="422">
        <v>0.363197922706604</v>
      </c>
      <c r="AD160" s="422">
        <v>0.36367535591125488</v>
      </c>
      <c r="AE160" s="65">
        <f>'User Add-in Location'!B164</f>
        <v>0</v>
      </c>
      <c r="AF160" s="65">
        <f>'User Add-in Location'!C164</f>
        <v>0</v>
      </c>
      <c r="AG160" s="422">
        <v>0.41599999999999998</v>
      </c>
      <c r="AH160" s="422">
        <v>0.46899999999999997</v>
      </c>
      <c r="AI160" s="422">
        <v>0.33</v>
      </c>
      <c r="AJ160" s="422">
        <v>0.46</v>
      </c>
      <c r="AK160" s="422">
        <v>0.39500000000000002</v>
      </c>
      <c r="AL160" s="422">
        <v>0.47299999999999998</v>
      </c>
      <c r="AM160" s="422">
        <v>0.35899999999999999</v>
      </c>
      <c r="AN160" s="422">
        <v>0.45200000000000001</v>
      </c>
      <c r="AO160" s="422">
        <v>0.378</v>
      </c>
      <c r="AP160" s="422">
        <v>0.36899999999999999</v>
      </c>
      <c r="AQ160" s="422">
        <v>0.40799999999999997</v>
      </c>
      <c r="AR160" s="422">
        <v>0.39700000000000002</v>
      </c>
      <c r="AS160" s="422">
        <v>0.44600000000000001</v>
      </c>
      <c r="AT160" s="422">
        <v>0.378</v>
      </c>
      <c r="AU160" s="422">
        <v>0.35299999999999998</v>
      </c>
      <c r="AV160" s="422">
        <v>0.35</v>
      </c>
      <c r="AW160" s="422">
        <v>0.443</v>
      </c>
      <c r="AX160" s="422">
        <v>0.41499999999999998</v>
      </c>
      <c r="AY160" s="422">
        <v>0.42699999999999999</v>
      </c>
      <c r="AZ160" s="422">
        <v>0.30099999999999999</v>
      </c>
      <c r="BA160" s="422">
        <v>0.39800000000000002</v>
      </c>
      <c r="BB160" s="422">
        <v>0.45300000000000001</v>
      </c>
      <c r="BC160" s="422">
        <v>0.44800000000000001</v>
      </c>
      <c r="BD160" s="422">
        <v>0.38600000000000001</v>
      </c>
      <c r="BE160" s="422">
        <v>0.48</v>
      </c>
    </row>
    <row r="161" spans="1:57" s="382" customFormat="1" ht="15" x14ac:dyDescent="0.3">
      <c r="A161" s="275"/>
      <c r="C161" s="383" t="s">
        <v>115</v>
      </c>
      <c r="D161" s="424">
        <v>0.23354128003120422</v>
      </c>
      <c r="E161" s="422">
        <v>0.17091809213161469</v>
      </c>
      <c r="F161" s="422">
        <v>0.2828947901725769</v>
      </c>
      <c r="G161" s="422">
        <v>0.22446076571941376</v>
      </c>
      <c r="H161" s="422">
        <v>0.31304657459259033</v>
      </c>
      <c r="I161" s="422">
        <v>0.29479125142097473</v>
      </c>
      <c r="J161" s="422">
        <v>0.34335905313491821</v>
      </c>
      <c r="K161" s="422">
        <v>0.21175193786621094</v>
      </c>
      <c r="L161" s="422">
        <v>0.36138606071472168</v>
      </c>
      <c r="M161" s="422">
        <v>0.27029836177825928</v>
      </c>
      <c r="N161" s="422">
        <v>0.28081220388412476</v>
      </c>
      <c r="O161" s="422">
        <v>0.16664054989814758</v>
      </c>
      <c r="P161" s="422">
        <v>0.19283029437065125</v>
      </c>
      <c r="Q161" s="422">
        <v>0.27503806352615356</v>
      </c>
      <c r="R161" s="422">
        <v>0.28206318616867065</v>
      </c>
      <c r="S161" s="422">
        <v>0.22692137956619263</v>
      </c>
      <c r="T161" s="422">
        <v>0.19458138942718506</v>
      </c>
      <c r="U161" s="422">
        <v>0.23546051979064941</v>
      </c>
      <c r="V161" s="422">
        <v>0.22349625825881958</v>
      </c>
      <c r="W161" s="422">
        <v>0.21713751554489136</v>
      </c>
      <c r="X161" s="422">
        <v>0.34444081783294678</v>
      </c>
      <c r="Y161" s="422">
        <v>0.34954386949539185</v>
      </c>
      <c r="Z161" s="422">
        <v>0.26227807998657227</v>
      </c>
      <c r="AA161" s="422">
        <v>0.27622225880622864</v>
      </c>
      <c r="AB161" s="422">
        <v>0.18817761540412903</v>
      </c>
      <c r="AC161" s="422">
        <v>0.24424803256988525</v>
      </c>
      <c r="AD161" s="422">
        <v>0.16402070224285126</v>
      </c>
      <c r="AE161" s="65">
        <f>'User Add-in Location'!B165</f>
        <v>0</v>
      </c>
      <c r="AF161" s="65">
        <f>'User Add-in Location'!C165</f>
        <v>0</v>
      </c>
      <c r="AG161" s="422">
        <v>0.216</v>
      </c>
      <c r="AH161" s="422">
        <v>0.309</v>
      </c>
      <c r="AI161" s="422">
        <v>0.307</v>
      </c>
      <c r="AJ161" s="422">
        <v>0.27400000000000002</v>
      </c>
      <c r="AK161" s="422">
        <v>0.17899999999999999</v>
      </c>
      <c r="AL161" s="422">
        <v>0.308</v>
      </c>
      <c r="AM161" s="422">
        <v>0.34200000000000003</v>
      </c>
      <c r="AN161" s="422">
        <v>0.20799999999999999</v>
      </c>
      <c r="AO161" s="422">
        <v>0.26100000000000001</v>
      </c>
      <c r="AP161" s="422">
        <v>0.214</v>
      </c>
      <c r="AQ161" s="422">
        <v>0.26700000000000002</v>
      </c>
      <c r="AR161" s="422">
        <v>0.26300000000000001</v>
      </c>
      <c r="AS161" s="422">
        <v>0.27400000000000002</v>
      </c>
      <c r="AT161" s="422">
        <v>0.24399999999999999</v>
      </c>
      <c r="AU161" s="422">
        <v>0.20899999999999999</v>
      </c>
      <c r="AV161" s="422">
        <v>0.26400000000000001</v>
      </c>
      <c r="AW161" s="422">
        <v>0.246</v>
      </c>
      <c r="AX161" s="422">
        <v>0.27</v>
      </c>
      <c r="AY161" s="422">
        <v>0.251</v>
      </c>
      <c r="AZ161" s="422">
        <v>0.19900000000000001</v>
      </c>
      <c r="BA161" s="422">
        <v>0.35</v>
      </c>
      <c r="BB161" s="422">
        <v>0.30499999999999999</v>
      </c>
      <c r="BC161" s="422">
        <v>0.20100000000000001</v>
      </c>
      <c r="BD161" s="422">
        <v>0.26600000000000001</v>
      </c>
      <c r="BE161" s="422">
        <v>0.13</v>
      </c>
    </row>
    <row r="162" spans="1:57" s="382" customFormat="1" ht="15" x14ac:dyDescent="0.3">
      <c r="A162" s="275"/>
      <c r="C162" s="383" t="s">
        <v>503</v>
      </c>
      <c r="D162" s="424">
        <v>0.3334154486656189</v>
      </c>
      <c r="E162" s="422">
        <v>0.25926744937896729</v>
      </c>
      <c r="F162" s="422">
        <v>0.28524085879325867</v>
      </c>
      <c r="G162" s="422">
        <v>0.36087986826896667</v>
      </c>
      <c r="H162" s="422">
        <v>0.33153721690177917</v>
      </c>
      <c r="I162" s="422">
        <v>0.34243497252464294</v>
      </c>
      <c r="J162" s="422">
        <v>0.37593764066696167</v>
      </c>
      <c r="K162" s="422">
        <v>0.33703377842903137</v>
      </c>
      <c r="L162" s="422">
        <v>0</v>
      </c>
      <c r="M162" s="422">
        <v>0.30748486518859863</v>
      </c>
      <c r="N162" s="422">
        <v>0.32897704839706421</v>
      </c>
      <c r="O162" s="422">
        <v>0.27156558632850647</v>
      </c>
      <c r="P162" s="422">
        <v>0.25842329859733582</v>
      </c>
      <c r="Q162" s="422">
        <v>0.35272407531738281</v>
      </c>
      <c r="R162" s="422">
        <v>0.33492976427078247</v>
      </c>
      <c r="S162" s="422">
        <v>0.30193632841110229</v>
      </c>
      <c r="T162" s="422">
        <v>0.32146477699279785</v>
      </c>
      <c r="U162" s="422">
        <v>0.32885268330574036</v>
      </c>
      <c r="V162" s="422">
        <v>0.36938807368278503</v>
      </c>
      <c r="W162" s="422">
        <v>0.31709447503089905</v>
      </c>
      <c r="X162" s="422">
        <v>0.32458120584487915</v>
      </c>
      <c r="Y162" s="422">
        <v>0.39276406168937683</v>
      </c>
      <c r="Z162" s="422">
        <v>0.33672195672988892</v>
      </c>
      <c r="AA162" s="422">
        <v>0.36668401956558228</v>
      </c>
      <c r="AB162" s="422">
        <v>0.28141385316848755</v>
      </c>
      <c r="AC162" s="422">
        <v>0.3292711079120636</v>
      </c>
      <c r="AD162" s="422">
        <v>0.27791374921798706</v>
      </c>
      <c r="AE162" s="65">
        <f>'User Add-in Location'!B166</f>
        <v>0</v>
      </c>
      <c r="AF162" s="65">
        <f>'User Add-in Location'!C166</f>
        <v>0</v>
      </c>
      <c r="AG162" s="422">
        <v>0.35</v>
      </c>
      <c r="AH162" s="422">
        <v>0.32</v>
      </c>
      <c r="AI162" s="422">
        <v>0.34899999999999998</v>
      </c>
      <c r="AJ162" s="422">
        <v>0.36199999999999999</v>
      </c>
      <c r="AK162" s="422">
        <v>0.216</v>
      </c>
      <c r="AL162" s="422">
        <v>0.34399999999999997</v>
      </c>
      <c r="AM162" s="422">
        <v>0.313</v>
      </c>
      <c r="AN162" s="422">
        <v>0.32500000000000001</v>
      </c>
      <c r="AO162" s="422">
        <v>0.34899999999999998</v>
      </c>
      <c r="AP162" s="422">
        <v>0.38400000000000001</v>
      </c>
      <c r="AQ162" s="422">
        <v>0.32100000000000001</v>
      </c>
      <c r="AR162" s="422">
        <v>0.33300000000000002</v>
      </c>
      <c r="AS162" s="422">
        <v>0.26</v>
      </c>
      <c r="AT162" s="422">
        <v>0.35199999999999998</v>
      </c>
      <c r="AU162" s="422">
        <v>0.309</v>
      </c>
      <c r="AV162" s="422">
        <v>0.35199999999999998</v>
      </c>
      <c r="AW162" s="422">
        <v>0.36299999999999999</v>
      </c>
      <c r="AX162" s="422">
        <v>0.34499999999999997</v>
      </c>
      <c r="AY162" s="422">
        <v>0.308</v>
      </c>
      <c r="AZ162" s="422">
        <v>0.30399999999999999</v>
      </c>
      <c r="BA162" s="422">
        <v>0.38900000000000001</v>
      </c>
      <c r="BB162" s="422">
        <v>0.36899999999999999</v>
      </c>
      <c r="BC162" s="422">
        <v>0.26300000000000001</v>
      </c>
      <c r="BD162" s="422">
        <v>0.34300000000000003</v>
      </c>
      <c r="BE162" s="422">
        <v>0.30599999999999999</v>
      </c>
    </row>
    <row r="163" spans="1:57" s="382" customFormat="1" ht="15" x14ac:dyDescent="0.3">
      <c r="A163" s="275"/>
      <c r="C163" s="383" t="s">
        <v>117</v>
      </c>
      <c r="D163" s="424">
        <v>0.19938060641288757</v>
      </c>
      <c r="E163" s="422">
        <v>0.19998127222061157</v>
      </c>
      <c r="F163" s="422">
        <v>0.29544246196746826</v>
      </c>
      <c r="G163" s="422">
        <v>0.21752795577049255</v>
      </c>
      <c r="H163" s="422">
        <v>0.30251145362854004</v>
      </c>
      <c r="I163" s="422">
        <v>0.20516471564769745</v>
      </c>
      <c r="J163" s="422">
        <v>0.29549726843833923</v>
      </c>
      <c r="K163" s="422">
        <v>0.32128521800041199</v>
      </c>
      <c r="L163" s="422">
        <v>5.68656325340271E-2</v>
      </c>
      <c r="M163" s="422">
        <v>0.19282262027263641</v>
      </c>
      <c r="N163" s="422">
        <v>0.27193588018417358</v>
      </c>
      <c r="O163" s="422">
        <v>7.9796187579631805E-2</v>
      </c>
      <c r="P163" s="422">
        <v>0.19599002599716187</v>
      </c>
      <c r="Q163" s="422">
        <v>0.34180209040641785</v>
      </c>
      <c r="R163" s="422">
        <v>0.2316608726978302</v>
      </c>
      <c r="S163" s="422">
        <v>0.31102955341339111</v>
      </c>
      <c r="T163" s="422">
        <v>0.19322606921195984</v>
      </c>
      <c r="U163" s="422">
        <v>0.21472352743148804</v>
      </c>
      <c r="V163" s="422">
        <v>0.2232418954372406</v>
      </c>
      <c r="W163" s="422">
        <v>0.23029355704784393</v>
      </c>
      <c r="X163" s="422">
        <v>0.16788119077682495</v>
      </c>
      <c r="Y163" s="422">
        <v>0.31367993354797363</v>
      </c>
      <c r="Z163" s="422">
        <v>0.27787035703659058</v>
      </c>
      <c r="AA163" s="422">
        <v>0.24121341109275818</v>
      </c>
      <c r="AB163" s="422">
        <v>0.19489863514900208</v>
      </c>
      <c r="AC163" s="422">
        <v>0.1262073814868927</v>
      </c>
      <c r="AD163" s="422">
        <v>9.4265803694725037E-2</v>
      </c>
      <c r="AE163" s="65">
        <f>'User Add-in Location'!B167</f>
        <v>0</v>
      </c>
      <c r="AF163" s="65">
        <f>'User Add-in Location'!C167</f>
        <v>0</v>
      </c>
      <c r="AG163" s="422">
        <v>0.316</v>
      </c>
      <c r="AH163" s="422">
        <v>0.20799999999999999</v>
      </c>
      <c r="AI163" s="422">
        <v>0.44800000000000001</v>
      </c>
      <c r="AJ163" s="422">
        <v>0.32800000000000001</v>
      </c>
      <c r="AK163" s="422">
        <v>0.152</v>
      </c>
      <c r="AL163" s="422">
        <v>0.30099999999999999</v>
      </c>
      <c r="AM163" s="422">
        <v>0.34300000000000003</v>
      </c>
      <c r="AN163" s="422">
        <v>0.27400000000000002</v>
      </c>
      <c r="AO163" s="422">
        <v>0.27800000000000002</v>
      </c>
      <c r="AP163" s="422">
        <v>0.33300000000000002</v>
      </c>
      <c r="AQ163" s="422">
        <v>0.248</v>
      </c>
      <c r="AR163" s="422">
        <v>0.27400000000000002</v>
      </c>
      <c r="AS163" s="422">
        <v>0.34499999999999997</v>
      </c>
      <c r="AT163" s="422">
        <v>0.27700000000000002</v>
      </c>
      <c r="AU163" s="422">
        <v>0.215</v>
      </c>
      <c r="AV163" s="422">
        <v>0.253</v>
      </c>
      <c r="AW163" s="422">
        <v>0.307</v>
      </c>
      <c r="AX163" s="422">
        <v>0.27500000000000002</v>
      </c>
      <c r="AY163" s="422">
        <v>0.23100000000000001</v>
      </c>
      <c r="AZ163" s="422">
        <v>0.34200000000000003</v>
      </c>
      <c r="BA163" s="422">
        <v>0.28000000000000003</v>
      </c>
      <c r="BB163" s="422">
        <v>0.26500000000000001</v>
      </c>
      <c r="BC163" s="422">
        <v>0.28000000000000003</v>
      </c>
      <c r="BD163" s="422">
        <v>0.246</v>
      </c>
      <c r="BE163" s="422">
        <v>0.13</v>
      </c>
    </row>
    <row r="164" spans="1:57" s="382" customFormat="1" ht="15" x14ac:dyDescent="0.3">
      <c r="A164" s="275"/>
      <c r="C164" s="383" t="s">
        <v>504</v>
      </c>
      <c r="D164" s="424">
        <v>0.25491926074028015</v>
      </c>
      <c r="E164" s="422">
        <v>0</v>
      </c>
      <c r="F164" s="422">
        <v>0.32142481207847595</v>
      </c>
      <c r="G164" s="422">
        <v>0.26802176237106323</v>
      </c>
      <c r="H164" s="422">
        <v>0.40665298700332642</v>
      </c>
      <c r="I164" s="422">
        <v>0.29897242784500122</v>
      </c>
      <c r="J164" s="422">
        <v>0.3350600004196167</v>
      </c>
      <c r="K164" s="422">
        <v>0.36432507634162903</v>
      </c>
      <c r="L164" s="422">
        <v>0.57924866676330566</v>
      </c>
      <c r="M164" s="422">
        <v>0.29529684782028198</v>
      </c>
      <c r="N164" s="422">
        <v>0.28016254305839539</v>
      </c>
      <c r="O164" s="422">
        <v>0.28410571813583374</v>
      </c>
      <c r="P164" s="422">
        <v>0.32563406229019165</v>
      </c>
      <c r="Q164" s="422">
        <v>0.35180968046188354</v>
      </c>
      <c r="R164" s="422">
        <v>0.36607074737548828</v>
      </c>
      <c r="S164" s="422">
        <v>0.2859666645526886</v>
      </c>
      <c r="T164" s="422">
        <v>0.35914629697799683</v>
      </c>
      <c r="U164" s="422">
        <v>0.2519567608833313</v>
      </c>
      <c r="V164" s="422">
        <v>0.35354095697402954</v>
      </c>
      <c r="W164" s="422">
        <v>0.34028452634811401</v>
      </c>
      <c r="X164" s="422">
        <v>0.30916747450828552</v>
      </c>
      <c r="Y164" s="422">
        <v>0.36091846227645874</v>
      </c>
      <c r="Z164" s="422">
        <v>0.24647538363933563</v>
      </c>
      <c r="AA164" s="422">
        <v>0.24076443910598755</v>
      </c>
      <c r="AB164" s="422">
        <v>0.18719156086444855</v>
      </c>
      <c r="AC164" s="422">
        <v>0.46239680051803589</v>
      </c>
      <c r="AD164" s="422">
        <v>0.1483234167098999</v>
      </c>
      <c r="AE164" s="65">
        <f>'User Add-in Location'!B168</f>
        <v>0</v>
      </c>
      <c r="AF164" s="65">
        <f>'User Add-in Location'!C168</f>
        <v>0</v>
      </c>
      <c r="AG164" s="422">
        <v>0.33400000000000002</v>
      </c>
      <c r="AH164" s="422">
        <v>0.48199999999999998</v>
      </c>
      <c r="AI164" s="422">
        <v>0.30399999999999999</v>
      </c>
      <c r="AJ164" s="422">
        <v>0.315</v>
      </c>
      <c r="AK164" s="422">
        <v>0.46</v>
      </c>
      <c r="AL164" s="422">
        <v>0.28100000000000003</v>
      </c>
      <c r="AM164" s="422">
        <v>0.32500000000000001</v>
      </c>
      <c r="AN164" s="422">
        <v>0.19800000000000001</v>
      </c>
      <c r="AO164" s="422">
        <v>0.28599999999999998</v>
      </c>
      <c r="AP164" s="422">
        <v>0.29199999999999998</v>
      </c>
      <c r="AQ164" s="422">
        <v>0.67200000000000004</v>
      </c>
      <c r="AR164" s="422">
        <v>0.33800000000000002</v>
      </c>
      <c r="AS164" s="422">
        <v>0.24399999999999999</v>
      </c>
      <c r="AT164" s="422">
        <v>0.38500000000000001</v>
      </c>
      <c r="AU164" s="422">
        <v>0.216</v>
      </c>
      <c r="AV164" s="422">
        <v>0.36599999999999999</v>
      </c>
      <c r="AW164" s="422">
        <v>0.38200000000000001</v>
      </c>
      <c r="AX164" s="422">
        <v>0.41599999999999998</v>
      </c>
      <c r="AY164" s="422">
        <v>0.23100000000000001</v>
      </c>
      <c r="AZ164" s="422">
        <v>0.18</v>
      </c>
      <c r="BA164" s="422">
        <v>0.27100000000000002</v>
      </c>
      <c r="BB164" s="422">
        <v>0.314</v>
      </c>
      <c r="BC164" s="422">
        <v>0.20300000000000001</v>
      </c>
      <c r="BD164" s="422">
        <v>0.25800000000000001</v>
      </c>
      <c r="BE164" s="422">
        <v>0.185</v>
      </c>
    </row>
    <row r="165" spans="1:57" s="382" customFormat="1" ht="15" x14ac:dyDescent="0.3">
      <c r="A165" s="275"/>
      <c r="C165" s="383" t="s">
        <v>119</v>
      </c>
      <c r="D165" s="424">
        <v>0.34620967507362366</v>
      </c>
      <c r="E165" s="422">
        <v>0.57495343685150146</v>
      </c>
      <c r="F165" s="422">
        <v>0.4291648268699646</v>
      </c>
      <c r="G165" s="422">
        <v>0.40221738815307617</v>
      </c>
      <c r="H165" s="422">
        <v>0.43628072738647461</v>
      </c>
      <c r="I165" s="422">
        <v>0.44417107105255127</v>
      </c>
      <c r="J165" s="422">
        <v>0.45947578549385071</v>
      </c>
      <c r="K165" s="422">
        <v>0.36396294832229614</v>
      </c>
      <c r="L165" s="422">
        <v>0.45344072580337524</v>
      </c>
      <c r="M165" s="422">
        <v>0.42526578903198242</v>
      </c>
      <c r="N165" s="422">
        <v>0.40202033519744873</v>
      </c>
      <c r="O165" s="422">
        <v>0.40491282939910889</v>
      </c>
      <c r="P165" s="422">
        <v>0.38838851451873779</v>
      </c>
      <c r="Q165" s="422">
        <v>0.40960180759429932</v>
      </c>
      <c r="R165" s="422">
        <v>0.37640875577926636</v>
      </c>
      <c r="S165" s="422">
        <v>0.40584754943847656</v>
      </c>
      <c r="T165" s="422">
        <v>0.41855990886688232</v>
      </c>
      <c r="U165" s="422">
        <v>0.36861002445220947</v>
      </c>
      <c r="V165" s="422">
        <v>0.37222772836685181</v>
      </c>
      <c r="W165" s="422">
        <v>0.44010582566261292</v>
      </c>
      <c r="X165" s="422">
        <v>0.41409224271774292</v>
      </c>
      <c r="Y165" s="422">
        <v>0.41887730360031128</v>
      </c>
      <c r="Z165" s="422">
        <v>0.39136433601379395</v>
      </c>
      <c r="AA165" s="422">
        <v>0.39623647928237915</v>
      </c>
      <c r="AB165" s="422">
        <v>0.36346107721328735</v>
      </c>
      <c r="AC165" s="422">
        <v>0.4237702488899231</v>
      </c>
      <c r="AD165" s="422">
        <v>0.40728014707565308</v>
      </c>
      <c r="AE165" s="65">
        <f>'User Add-in Location'!B169</f>
        <v>0</v>
      </c>
      <c r="AF165" s="65">
        <f>'User Add-in Location'!C169</f>
        <v>0</v>
      </c>
      <c r="AG165" s="422">
        <v>0.56999999999999995</v>
      </c>
      <c r="AH165" s="422">
        <v>0</v>
      </c>
      <c r="AI165" s="422">
        <v>0.41499999999999998</v>
      </c>
      <c r="AJ165" s="422">
        <v>0.48699999999999999</v>
      </c>
      <c r="AK165" s="422">
        <v>0.39700000000000002</v>
      </c>
      <c r="AL165" s="422">
        <v>0.40300000000000002</v>
      </c>
      <c r="AM165" s="422">
        <v>0.42499999999999999</v>
      </c>
      <c r="AN165" s="422">
        <v>0.45</v>
      </c>
      <c r="AO165" s="422">
        <v>0.46</v>
      </c>
      <c r="AP165" s="422">
        <v>0.46200000000000002</v>
      </c>
      <c r="AQ165" s="422">
        <v>0.46100000000000002</v>
      </c>
      <c r="AR165" s="422">
        <v>0.436</v>
      </c>
      <c r="AS165" s="422">
        <v>0.433</v>
      </c>
      <c r="AT165" s="422">
        <v>0.36499999999999999</v>
      </c>
      <c r="AU165" s="422">
        <v>0.373</v>
      </c>
      <c r="AV165" s="422">
        <v>0.36799999999999999</v>
      </c>
      <c r="AW165" s="422">
        <v>0.47199999999999998</v>
      </c>
      <c r="AX165" s="422">
        <v>0.42599999999999999</v>
      </c>
      <c r="AY165" s="422">
        <v>0.39900000000000002</v>
      </c>
      <c r="AZ165" s="422">
        <v>0.36099999999999999</v>
      </c>
      <c r="BA165" s="422">
        <v>0.439</v>
      </c>
      <c r="BB165" s="422">
        <v>0.45200000000000001</v>
      </c>
      <c r="BC165" s="422">
        <v>0.32900000000000001</v>
      </c>
      <c r="BD165" s="422">
        <v>0.41699999999999998</v>
      </c>
      <c r="BE165" s="422">
        <v>0.45300000000000001</v>
      </c>
    </row>
    <row r="166" spans="1:57" s="382" customFormat="1" ht="15" x14ac:dyDescent="0.3">
      <c r="A166" s="275"/>
      <c r="C166" s="383" t="s">
        <v>505</v>
      </c>
      <c r="D166" s="424">
        <v>0.60554563999176025</v>
      </c>
      <c r="E166" s="422">
        <v>0.64818215370178223</v>
      </c>
      <c r="F166" s="422">
        <v>0.63109225034713745</v>
      </c>
      <c r="G166" s="422">
        <v>0.65155929327011108</v>
      </c>
      <c r="H166" s="422">
        <v>0.66214662790298462</v>
      </c>
      <c r="I166" s="422">
        <v>0.63339495658874512</v>
      </c>
      <c r="J166" s="422">
        <v>0.69715112447738647</v>
      </c>
      <c r="K166" s="422">
        <v>0.66305011510848999</v>
      </c>
      <c r="L166" s="422">
        <v>0.68592172861099243</v>
      </c>
      <c r="M166" s="422">
        <v>0.6419837474822998</v>
      </c>
      <c r="N166" s="422">
        <v>0.65342998504638672</v>
      </c>
      <c r="O166" s="422">
        <v>0.56086361408233643</v>
      </c>
      <c r="P166" s="422">
        <v>0.57618522644042969</v>
      </c>
      <c r="Q166" s="422">
        <v>0.66077917814254761</v>
      </c>
      <c r="R166" s="422">
        <v>0.61169850826263428</v>
      </c>
      <c r="S166" s="422">
        <v>0.59965634346008301</v>
      </c>
      <c r="T166" s="422">
        <v>0.62831920385360718</v>
      </c>
      <c r="U166" s="422">
        <v>0.63288748264312744</v>
      </c>
      <c r="V166" s="422">
        <v>0.62805438041687012</v>
      </c>
      <c r="W166" s="422">
        <v>0.60804367065429688</v>
      </c>
      <c r="X166" s="422">
        <v>0.64604425430297852</v>
      </c>
      <c r="Y166" s="422">
        <v>0.6615985631942749</v>
      </c>
      <c r="Z166" s="422">
        <v>0.64317941665649414</v>
      </c>
      <c r="AA166" s="422">
        <v>0.63386666774749756</v>
      </c>
      <c r="AB166" s="422">
        <v>0.59467810392379761</v>
      </c>
      <c r="AC166" s="422">
        <v>0.6143718957901001</v>
      </c>
      <c r="AD166" s="422">
        <v>0.59131753444671631</v>
      </c>
      <c r="AE166" s="65">
        <f>'User Add-in Location'!B170</f>
        <v>0</v>
      </c>
      <c r="AF166" s="65">
        <f>'User Add-in Location'!C170</f>
        <v>0</v>
      </c>
      <c r="AG166" s="422">
        <v>0.60299999999999998</v>
      </c>
      <c r="AH166" s="422">
        <v>0.61699999999999999</v>
      </c>
      <c r="AI166" s="422">
        <v>0.63200000000000001</v>
      </c>
      <c r="AJ166" s="422">
        <v>0.68700000000000006</v>
      </c>
      <c r="AK166" s="422">
        <v>0.56100000000000005</v>
      </c>
      <c r="AL166" s="422">
        <v>0.67900000000000005</v>
      </c>
      <c r="AM166" s="422">
        <v>0.61699999999999999</v>
      </c>
      <c r="AN166" s="422">
        <v>0.64400000000000002</v>
      </c>
      <c r="AO166" s="422">
        <v>0.623</v>
      </c>
      <c r="AP166" s="422">
        <v>0.61799999999999999</v>
      </c>
      <c r="AQ166" s="422">
        <v>0.61299999999999999</v>
      </c>
      <c r="AR166" s="422">
        <v>0.65400000000000003</v>
      </c>
      <c r="AS166" s="422">
        <v>0.628</v>
      </c>
      <c r="AT166" s="422">
        <v>0.628</v>
      </c>
      <c r="AU166" s="422">
        <v>0.60599999999999998</v>
      </c>
      <c r="AV166" s="422">
        <v>0.63</v>
      </c>
      <c r="AW166" s="422">
        <v>0.67400000000000004</v>
      </c>
      <c r="AX166" s="422">
        <v>0.64700000000000002</v>
      </c>
      <c r="AY166" s="422">
        <v>0.59599999999999997</v>
      </c>
      <c r="AZ166" s="422">
        <v>0.58099999999999996</v>
      </c>
      <c r="BA166" s="422">
        <v>0.63600000000000001</v>
      </c>
      <c r="BB166" s="422">
        <v>0.65400000000000003</v>
      </c>
      <c r="BC166" s="422">
        <v>0.60699999999999998</v>
      </c>
      <c r="BD166" s="422">
        <v>0.60199999999999998</v>
      </c>
      <c r="BE166" s="422">
        <v>0.64700000000000002</v>
      </c>
    </row>
    <row r="167" spans="1:57" s="382" customFormat="1" ht="15" x14ac:dyDescent="0.3">
      <c r="A167" s="275"/>
      <c r="C167" s="383" t="s">
        <v>506</v>
      </c>
      <c r="D167" s="424">
        <v>0.65963315963745117</v>
      </c>
      <c r="E167" s="422">
        <v>0.65112537145614624</v>
      </c>
      <c r="F167" s="422">
        <v>0.67559123039245605</v>
      </c>
      <c r="G167" s="422">
        <v>0.63756126165390015</v>
      </c>
      <c r="H167" s="422">
        <v>0.70588147640228271</v>
      </c>
      <c r="I167" s="422">
        <v>0.64711141586303711</v>
      </c>
      <c r="J167" s="422">
        <v>0.68139100074768066</v>
      </c>
      <c r="K167" s="422">
        <v>0.62154793739318848</v>
      </c>
      <c r="L167" s="422">
        <v>0.68365055322647095</v>
      </c>
      <c r="M167" s="422">
        <v>0.65668529272079468</v>
      </c>
      <c r="N167" s="422">
        <v>0.64390319585800171</v>
      </c>
      <c r="O167" s="422">
        <v>0.68666952848434448</v>
      </c>
      <c r="P167" s="422">
        <v>0.62846821546554565</v>
      </c>
      <c r="Q167" s="422">
        <v>0.65417653322219849</v>
      </c>
      <c r="R167" s="422">
        <v>0.62773513793945313</v>
      </c>
      <c r="S167" s="422">
        <v>0.60197991132736206</v>
      </c>
      <c r="T167" s="422">
        <v>0.64278435707092285</v>
      </c>
      <c r="U167" s="422">
        <v>0.61176472902297974</v>
      </c>
      <c r="V167" s="422">
        <v>0.65951991081237793</v>
      </c>
      <c r="W167" s="422">
        <v>0.63072043657302856</v>
      </c>
      <c r="X167" s="422">
        <v>0.65969967842102051</v>
      </c>
      <c r="Y167" s="422">
        <v>0.64436084032058716</v>
      </c>
      <c r="Z167" s="422">
        <v>0.65985262393951416</v>
      </c>
      <c r="AA167" s="422">
        <v>0.6408926248550415</v>
      </c>
      <c r="AB167" s="422">
        <v>0.63962066173553467</v>
      </c>
      <c r="AC167" s="422">
        <v>0.62164402008056641</v>
      </c>
      <c r="AD167" s="422">
        <v>0.58811318874359131</v>
      </c>
      <c r="AE167" s="65">
        <f>'User Add-in Location'!B171</f>
        <v>0</v>
      </c>
      <c r="AF167" s="65">
        <f>'User Add-in Location'!C171</f>
        <v>0</v>
      </c>
      <c r="AG167" s="422">
        <v>0.61499999999999999</v>
      </c>
      <c r="AH167" s="422">
        <v>0.56200000000000006</v>
      </c>
      <c r="AI167" s="422">
        <v>0.63400000000000001</v>
      </c>
      <c r="AJ167" s="422">
        <v>0.68899999999999995</v>
      </c>
      <c r="AK167" s="422">
        <v>0.63400000000000001</v>
      </c>
      <c r="AL167" s="422">
        <v>0.68700000000000006</v>
      </c>
      <c r="AM167" s="422">
        <v>0.61299999999999999</v>
      </c>
      <c r="AN167" s="422">
        <v>0.63800000000000001</v>
      </c>
      <c r="AO167" s="422">
        <v>0.64300000000000002</v>
      </c>
      <c r="AP167" s="422">
        <v>0.64100000000000001</v>
      </c>
      <c r="AQ167" s="422">
        <v>0.60299999999999998</v>
      </c>
      <c r="AR167" s="422">
        <v>0.624</v>
      </c>
      <c r="AS167" s="422">
        <v>0.65700000000000003</v>
      </c>
      <c r="AT167" s="422">
        <v>0.64100000000000001</v>
      </c>
      <c r="AU167" s="422">
        <v>0.624</v>
      </c>
      <c r="AV167" s="422">
        <v>0.65500000000000003</v>
      </c>
      <c r="AW167" s="422">
        <v>0.68100000000000005</v>
      </c>
      <c r="AX167" s="422">
        <v>0.66</v>
      </c>
      <c r="AY167" s="422">
        <v>0.64100000000000001</v>
      </c>
      <c r="AZ167" s="422">
        <v>0.64300000000000002</v>
      </c>
      <c r="BA167" s="422">
        <v>0.64100000000000001</v>
      </c>
      <c r="BB167" s="422">
        <v>0.71799999999999997</v>
      </c>
      <c r="BC167" s="422">
        <v>0.63100000000000001</v>
      </c>
      <c r="BD167" s="422">
        <v>0.61899999999999999</v>
      </c>
      <c r="BE167" s="422">
        <v>0.64100000000000001</v>
      </c>
    </row>
    <row r="168" spans="1:57" s="382" customFormat="1" ht="15" x14ac:dyDescent="0.3">
      <c r="A168" s="275"/>
      <c r="C168" s="383" t="s">
        <v>120</v>
      </c>
      <c r="D168" s="424">
        <v>0.5524289608001709</v>
      </c>
      <c r="E168" s="422">
        <v>0.66240429878234863</v>
      </c>
      <c r="F168" s="422">
        <v>0.55867129564285278</v>
      </c>
      <c r="G168" s="422">
        <v>0.55785298347473145</v>
      </c>
      <c r="H168" s="422">
        <v>0.66003161668777466</v>
      </c>
      <c r="I168" s="422">
        <v>0.54839754104614258</v>
      </c>
      <c r="J168" s="422">
        <v>0.6571662425994873</v>
      </c>
      <c r="K168" s="422">
        <v>0.75532293319702148</v>
      </c>
      <c r="L168" s="422">
        <v>0.74543642997741699</v>
      </c>
      <c r="M168" s="422">
        <v>0.54067468643188477</v>
      </c>
      <c r="N168" s="422">
        <v>0.61434733867645264</v>
      </c>
      <c r="O168" s="422">
        <v>0.64917272329330444</v>
      </c>
      <c r="P168" s="422">
        <v>0.49399596452713013</v>
      </c>
      <c r="Q168" s="422">
        <v>0.64017629623413086</v>
      </c>
      <c r="R168" s="422">
        <v>0.58951836824417114</v>
      </c>
      <c r="S168" s="422">
        <v>0.60733747482299805</v>
      </c>
      <c r="T168" s="422">
        <v>0.55207067728042603</v>
      </c>
      <c r="U168" s="422">
        <v>0.55288171768188477</v>
      </c>
      <c r="V168" s="422">
        <v>0.55375254154205322</v>
      </c>
      <c r="W168" s="422">
        <v>0.60872584581375122</v>
      </c>
      <c r="X168" s="422">
        <v>0.65005290508270264</v>
      </c>
      <c r="Y168" s="422">
        <v>0.67042583227157593</v>
      </c>
      <c r="Z168" s="422">
        <v>0.5780491828918457</v>
      </c>
      <c r="AA168" s="422">
        <v>0.59144353866577148</v>
      </c>
      <c r="AB168" s="422">
        <v>0.51632797718048096</v>
      </c>
      <c r="AC168" s="422">
        <v>0.59554684162139893</v>
      </c>
      <c r="AD168" s="422">
        <v>0.55739229917526245</v>
      </c>
      <c r="AE168" s="65">
        <f>'User Add-in Location'!B172</f>
        <v>0</v>
      </c>
      <c r="AF168" s="65">
        <f>'User Add-in Location'!C172</f>
        <v>0</v>
      </c>
      <c r="AG168" s="422">
        <v>0.58099999999999996</v>
      </c>
      <c r="AH168" s="422">
        <v>0</v>
      </c>
      <c r="AI168" s="422">
        <v>0.627</v>
      </c>
      <c r="AJ168" s="422">
        <v>0.63400000000000001</v>
      </c>
      <c r="AK168" s="422">
        <v>0.59699999999999998</v>
      </c>
      <c r="AL168" s="422">
        <v>0.75800000000000001</v>
      </c>
      <c r="AM168" s="422">
        <v>0.66300000000000003</v>
      </c>
      <c r="AN168" s="422">
        <v>0.58299999999999996</v>
      </c>
      <c r="AO168" s="422">
        <v>0.63500000000000001</v>
      </c>
      <c r="AP168" s="422">
        <v>0.51900000000000002</v>
      </c>
      <c r="AQ168" s="422">
        <v>0.59599999999999997</v>
      </c>
      <c r="AR168" s="422">
        <v>0.6</v>
      </c>
      <c r="AS168" s="422">
        <v>0.65100000000000002</v>
      </c>
      <c r="AT168" s="422">
        <v>0.55300000000000005</v>
      </c>
      <c r="AU168" s="422">
        <v>0.67100000000000004</v>
      </c>
      <c r="AV168" s="422">
        <v>0.59499999999999997</v>
      </c>
      <c r="AW168" s="422">
        <v>0.53500000000000003</v>
      </c>
      <c r="AX168" s="422">
        <v>0.627</v>
      </c>
      <c r="AY168" s="422">
        <v>0.57599999999999996</v>
      </c>
      <c r="AZ168" s="422">
        <v>0.61099999999999999</v>
      </c>
      <c r="BA168" s="422">
        <v>0.63300000000000001</v>
      </c>
      <c r="BB168" s="422">
        <v>0.63500000000000001</v>
      </c>
      <c r="BC168" s="422">
        <v>0.59799999999999998</v>
      </c>
      <c r="BD168" s="422">
        <v>0.59199999999999997</v>
      </c>
      <c r="BE168" s="422">
        <v>0.53900000000000003</v>
      </c>
    </row>
    <row r="169" spans="1:57" s="382" customFormat="1" ht="15" x14ac:dyDescent="0.3">
      <c r="A169" s="275"/>
      <c r="C169" s="383" t="s">
        <v>507</v>
      </c>
      <c r="D169" s="424">
        <v>0.56248891353607178</v>
      </c>
      <c r="E169" s="422">
        <v>0.60041522979736328</v>
      </c>
      <c r="F169" s="422">
        <v>0.58261537551879883</v>
      </c>
      <c r="G169" s="422">
        <v>0.51675105094909668</v>
      </c>
      <c r="H169" s="422">
        <v>0.65775865316390991</v>
      </c>
      <c r="I169" s="422">
        <v>0.60806566476821899</v>
      </c>
      <c r="J169" s="422">
        <v>0.63449722528457642</v>
      </c>
      <c r="K169" s="422">
        <v>0.66232842206954956</v>
      </c>
      <c r="L169" s="422">
        <v>0.74176013469696045</v>
      </c>
      <c r="M169" s="422">
        <v>0.60848498344421387</v>
      </c>
      <c r="N169" s="422">
        <v>0.61695432662963867</v>
      </c>
      <c r="O169" s="422">
        <v>0.56003010272979736</v>
      </c>
      <c r="P169" s="422">
        <v>0.52298444509506226</v>
      </c>
      <c r="Q169" s="422">
        <v>0.66569489240646362</v>
      </c>
      <c r="R169" s="422">
        <v>0.60293805599212646</v>
      </c>
      <c r="S169" s="422">
        <v>0.53541797399520874</v>
      </c>
      <c r="T169" s="422">
        <v>0.55154669284820557</v>
      </c>
      <c r="U169" s="422">
        <v>0.54209136962890625</v>
      </c>
      <c r="V169" s="422">
        <v>0.59781807661056519</v>
      </c>
      <c r="W169" s="422">
        <v>0.53335440158843994</v>
      </c>
      <c r="X169" s="422">
        <v>0.61722815036773682</v>
      </c>
      <c r="Y169" s="422">
        <v>0.64806461334228516</v>
      </c>
      <c r="Z169" s="422">
        <v>0.58203023672103882</v>
      </c>
      <c r="AA169" s="422">
        <v>0.60039722919464111</v>
      </c>
      <c r="AB169" s="422">
        <v>0.51142978668212891</v>
      </c>
      <c r="AC169" s="422">
        <v>0.58948755264282227</v>
      </c>
      <c r="AD169" s="422">
        <v>0.52499055862426758</v>
      </c>
      <c r="AE169" s="65">
        <f>'User Add-in Location'!B173</f>
        <v>0</v>
      </c>
      <c r="AF169" s="65">
        <f>'User Add-in Location'!C173</f>
        <v>0</v>
      </c>
      <c r="AG169" s="422">
        <v>0.56200000000000006</v>
      </c>
      <c r="AH169" s="422">
        <v>0.59399999999999997</v>
      </c>
      <c r="AI169" s="422">
        <v>0.58699999999999997</v>
      </c>
      <c r="AJ169" s="422">
        <v>0.66500000000000004</v>
      </c>
      <c r="AK169" s="422">
        <v>0.53400000000000003</v>
      </c>
      <c r="AL169" s="422">
        <v>0.68799999999999994</v>
      </c>
      <c r="AM169" s="422">
        <v>0.59</v>
      </c>
      <c r="AN169" s="422">
        <v>0.56599999999999995</v>
      </c>
      <c r="AO169" s="422">
        <v>0.57999999999999996</v>
      </c>
      <c r="AP169" s="422">
        <v>0.56499999999999995</v>
      </c>
      <c r="AQ169" s="422">
        <v>0.628</v>
      </c>
      <c r="AR169" s="422">
        <v>0.621</v>
      </c>
      <c r="AS169" s="422">
        <v>0.57799999999999996</v>
      </c>
      <c r="AT169" s="422">
        <v>0.55800000000000005</v>
      </c>
      <c r="AU169" s="422">
        <v>0.48899999999999999</v>
      </c>
      <c r="AV169" s="422">
        <v>0.60499999999999998</v>
      </c>
      <c r="AW169" s="422">
        <v>0.63800000000000001</v>
      </c>
      <c r="AX169" s="422">
        <v>0.628</v>
      </c>
      <c r="AY169" s="422">
        <v>0.54800000000000004</v>
      </c>
      <c r="AZ169" s="422">
        <v>0.54100000000000004</v>
      </c>
      <c r="BA169" s="422">
        <v>0.64900000000000002</v>
      </c>
      <c r="BB169" s="422">
        <v>0.61599999999999999</v>
      </c>
      <c r="BC169" s="422">
        <v>0.56399999999999995</v>
      </c>
      <c r="BD169" s="422">
        <v>0.55800000000000005</v>
      </c>
      <c r="BE169" s="422">
        <v>0.55000000000000004</v>
      </c>
    </row>
    <row r="170" spans="1:57" s="382" customFormat="1" ht="15" x14ac:dyDescent="0.3">
      <c r="A170" s="275"/>
      <c r="C170" s="383" t="s">
        <v>508</v>
      </c>
      <c r="D170" s="424">
        <v>0.58900558948516846</v>
      </c>
      <c r="E170" s="422">
        <v>0.61158984899520874</v>
      </c>
      <c r="F170" s="422">
        <v>0.5849534273147583</v>
      </c>
      <c r="G170" s="422">
        <v>0.6072009801864624</v>
      </c>
      <c r="H170" s="422">
        <v>0.63465964794158936</v>
      </c>
      <c r="I170" s="422">
        <v>0.61080169677734375</v>
      </c>
      <c r="J170" s="422">
        <v>0.6466483473777771</v>
      </c>
      <c r="K170" s="422">
        <v>0.63064742088317871</v>
      </c>
      <c r="L170" s="422">
        <v>0.66495978832244873</v>
      </c>
      <c r="M170" s="422">
        <v>0.59424269199371338</v>
      </c>
      <c r="N170" s="422">
        <v>0.57594192028045654</v>
      </c>
      <c r="O170" s="422">
        <v>0.60612893104553223</v>
      </c>
      <c r="P170" s="422">
        <v>0.55207169055938721</v>
      </c>
      <c r="Q170" s="422">
        <v>0.61239373683929443</v>
      </c>
      <c r="R170" s="422">
        <v>0.58848822116851807</v>
      </c>
      <c r="S170" s="422">
        <v>0.58032345771789551</v>
      </c>
      <c r="T170" s="422">
        <v>0.58923542499542236</v>
      </c>
      <c r="U170" s="422">
        <v>0.57461416721343994</v>
      </c>
      <c r="V170" s="422">
        <v>0.59736025333404541</v>
      </c>
      <c r="W170" s="422">
        <v>0.57678580284118652</v>
      </c>
      <c r="X170" s="422">
        <v>0.61641955375671387</v>
      </c>
      <c r="Y170" s="422">
        <v>0.63125813007354736</v>
      </c>
      <c r="Z170" s="422">
        <v>0.59102755784988403</v>
      </c>
      <c r="AA170" s="422">
        <v>0.60653942823410034</v>
      </c>
      <c r="AB170" s="422">
        <v>0.55466282367706299</v>
      </c>
      <c r="AC170" s="422">
        <v>0.57633596658706665</v>
      </c>
      <c r="AD170" s="422">
        <v>0.54766762256622314</v>
      </c>
      <c r="AE170" s="65">
        <f>'User Add-in Location'!B174</f>
        <v>0</v>
      </c>
      <c r="AF170" s="65">
        <f>'User Add-in Location'!C174</f>
        <v>0</v>
      </c>
      <c r="AG170" s="422">
        <v>0.57599999999999996</v>
      </c>
      <c r="AH170" s="422">
        <v>0.61799999999999999</v>
      </c>
      <c r="AI170" s="422">
        <v>0.622</v>
      </c>
      <c r="AJ170" s="422">
        <v>0.64300000000000002</v>
      </c>
      <c r="AK170" s="422">
        <v>0.52800000000000002</v>
      </c>
      <c r="AL170" s="422">
        <v>0.63900000000000001</v>
      </c>
      <c r="AM170" s="422">
        <v>0.58299999999999996</v>
      </c>
      <c r="AN170" s="422">
        <v>0.61099999999999999</v>
      </c>
      <c r="AO170" s="422">
        <v>0.6</v>
      </c>
      <c r="AP170" s="422">
        <v>0.58399999999999996</v>
      </c>
      <c r="AQ170" s="422">
        <v>0.58799999999999997</v>
      </c>
      <c r="AR170" s="422">
        <v>0.624</v>
      </c>
      <c r="AS170" s="422">
        <v>0.61</v>
      </c>
      <c r="AT170" s="422">
        <v>0.56799999999999995</v>
      </c>
      <c r="AU170" s="422">
        <v>0.56899999999999995</v>
      </c>
      <c r="AV170" s="422">
        <v>0.60299999999999998</v>
      </c>
      <c r="AW170" s="422">
        <v>0.60899999999999999</v>
      </c>
      <c r="AX170" s="422">
        <v>0.61</v>
      </c>
      <c r="AY170" s="422">
        <v>0.57599999999999996</v>
      </c>
      <c r="AZ170" s="422">
        <v>0.57599999999999996</v>
      </c>
      <c r="BA170" s="422">
        <v>0.61799999999999999</v>
      </c>
      <c r="BB170" s="422">
        <v>0.624</v>
      </c>
      <c r="BC170" s="422">
        <v>0.58799999999999997</v>
      </c>
      <c r="BD170" s="422">
        <v>0.60199999999999998</v>
      </c>
      <c r="BE170" s="422">
        <v>0.59799999999999998</v>
      </c>
    </row>
    <row r="171" spans="1:57" s="382" customFormat="1" ht="15" x14ac:dyDescent="0.3">
      <c r="A171" s="275"/>
      <c r="C171" s="383" t="s">
        <v>48</v>
      </c>
      <c r="D171" s="424">
        <v>0.8935016393661499</v>
      </c>
      <c r="E171" s="422">
        <v>0.95501232147216797</v>
      </c>
      <c r="F171" s="422">
        <v>0.8529740571975708</v>
      </c>
      <c r="G171" s="422">
        <v>0.90414166450500488</v>
      </c>
      <c r="H171" s="422">
        <v>0.90993893146514893</v>
      </c>
      <c r="I171" s="422">
        <v>0.93557310104370117</v>
      </c>
      <c r="J171" s="422">
        <v>0.83973228931427002</v>
      </c>
      <c r="K171" s="422">
        <v>0.97945666313171387</v>
      </c>
      <c r="L171" s="422">
        <v>0.98790526390075684</v>
      </c>
      <c r="M171" s="422">
        <v>0.92020022869110107</v>
      </c>
      <c r="N171" s="422">
        <v>0.98344099521636963</v>
      </c>
      <c r="O171" s="422">
        <v>0.93834024667739868</v>
      </c>
      <c r="P171" s="422">
        <v>0.87505125999450684</v>
      </c>
      <c r="Q171" s="422">
        <v>0.95574885606765747</v>
      </c>
      <c r="R171" s="422">
        <v>0.93621790409088135</v>
      </c>
      <c r="S171" s="422">
        <v>0.91048687696456909</v>
      </c>
      <c r="T171" s="422">
        <v>0.90349507331848145</v>
      </c>
      <c r="U171" s="422">
        <v>0.89974486827850342</v>
      </c>
      <c r="V171" s="422">
        <v>0.8674207329750061</v>
      </c>
      <c r="W171" s="422">
        <v>0.899169921875</v>
      </c>
      <c r="X171" s="422">
        <v>0.97398090362548828</v>
      </c>
      <c r="Y171" s="422">
        <v>0.96640551090240479</v>
      </c>
      <c r="Z171" s="422">
        <v>0.92947220802307129</v>
      </c>
      <c r="AA171" s="422">
        <v>0.85768967866897583</v>
      </c>
      <c r="AB171" s="422">
        <v>0.91625720262527466</v>
      </c>
      <c r="AC171" s="422">
        <v>0.91209298372268677</v>
      </c>
      <c r="AD171" s="422">
        <v>0.89070838689804077</v>
      </c>
      <c r="AE171" s="65">
        <f>'User Add-in Location'!B175</f>
        <v>0</v>
      </c>
      <c r="AF171" s="65">
        <f>'User Add-in Location'!C175</f>
        <v>0</v>
      </c>
      <c r="AG171" s="422">
        <v>0.91300000000000003</v>
      </c>
      <c r="AH171" s="422">
        <v>0.79400000000000004</v>
      </c>
      <c r="AI171" s="422">
        <v>0.93899999999999995</v>
      </c>
      <c r="AJ171" s="422">
        <v>0.95</v>
      </c>
      <c r="AK171" s="422">
        <v>0.872</v>
      </c>
      <c r="AL171" s="422">
        <v>0.89800000000000002</v>
      </c>
      <c r="AM171" s="422">
        <v>0.95099999999999996</v>
      </c>
      <c r="AN171" s="422">
        <v>0.76200000000000001</v>
      </c>
      <c r="AO171" s="422">
        <v>0.93500000000000005</v>
      </c>
      <c r="AP171" s="422">
        <v>0.78100000000000003</v>
      </c>
      <c r="AQ171" s="422">
        <v>0.89</v>
      </c>
      <c r="AR171" s="422">
        <v>0.91200000000000003</v>
      </c>
      <c r="AS171" s="422">
        <v>0.95699999999999996</v>
      </c>
      <c r="AT171" s="422">
        <v>0.90400000000000003</v>
      </c>
      <c r="AU171" s="422">
        <v>0.748</v>
      </c>
      <c r="AV171" s="422">
        <v>0.878</v>
      </c>
      <c r="AW171" s="422">
        <v>0.92200000000000004</v>
      </c>
      <c r="AX171" s="422">
        <v>0.91400000000000003</v>
      </c>
      <c r="AY171" s="422">
        <v>0.94</v>
      </c>
      <c r="AZ171" s="422">
        <v>0.95499999999999996</v>
      </c>
      <c r="BA171" s="422">
        <v>0.92500000000000004</v>
      </c>
      <c r="BB171" s="422">
        <v>0.84499999999999997</v>
      </c>
      <c r="BC171" s="422">
        <v>0.89500000000000002</v>
      </c>
      <c r="BD171" s="422">
        <v>0.88500000000000001</v>
      </c>
      <c r="BE171" s="422">
        <v>0.9</v>
      </c>
    </row>
    <row r="172" spans="1:57" s="382" customFormat="1" ht="15" x14ac:dyDescent="0.3">
      <c r="A172" s="275"/>
      <c r="C172" s="383"/>
      <c r="D172" s="424"/>
      <c r="E172" s="422"/>
      <c r="F172" s="422"/>
      <c r="G172" s="422"/>
      <c r="H172" s="422"/>
      <c r="I172" s="422"/>
      <c r="J172" s="422"/>
      <c r="K172" s="422"/>
      <c r="L172" s="422"/>
      <c r="M172" s="422"/>
      <c r="N172" s="422"/>
      <c r="O172" s="422"/>
      <c r="P172" s="422"/>
      <c r="Q172" s="422"/>
      <c r="R172" s="422"/>
      <c r="S172" s="422"/>
      <c r="T172" s="422"/>
      <c r="U172" s="422"/>
      <c r="V172" s="422"/>
      <c r="W172" s="422"/>
      <c r="X172" s="422"/>
      <c r="Y172" s="422"/>
      <c r="Z172" s="422"/>
      <c r="AA172" s="422"/>
      <c r="AB172" s="422"/>
      <c r="AC172" s="422"/>
      <c r="AD172" s="422"/>
      <c r="AE172" s="65"/>
      <c r="AF172" s="65"/>
      <c r="AG172" s="422"/>
      <c r="AH172" s="422"/>
      <c r="AI172" s="422"/>
      <c r="AJ172" s="422"/>
      <c r="AK172" s="422"/>
      <c r="AL172" s="422"/>
      <c r="AM172" s="422"/>
      <c r="AN172" s="422"/>
      <c r="AO172" s="422"/>
      <c r="AP172" s="422"/>
      <c r="AQ172" s="422"/>
      <c r="AR172" s="422"/>
      <c r="AS172" s="422"/>
      <c r="AT172" s="422"/>
      <c r="AU172" s="422"/>
      <c r="AV172" s="422"/>
      <c r="AW172" s="422"/>
      <c r="AX172" s="422"/>
      <c r="AY172" s="422"/>
      <c r="AZ172" s="422"/>
      <c r="BA172" s="422"/>
      <c r="BB172" s="422"/>
      <c r="BC172" s="422"/>
      <c r="BD172" s="422"/>
      <c r="BE172" s="422"/>
    </row>
    <row r="173" spans="1:57" s="382" customFormat="1" ht="15" x14ac:dyDescent="0.3">
      <c r="A173" s="275"/>
      <c r="C173" s="384" t="s">
        <v>501</v>
      </c>
      <c r="D173" s="424"/>
      <c r="E173" s="422"/>
      <c r="F173" s="422"/>
      <c r="G173" s="422"/>
      <c r="H173" s="422"/>
      <c r="I173" s="422"/>
      <c r="J173" s="422"/>
      <c r="K173" s="422"/>
      <c r="L173" s="422"/>
      <c r="M173" s="422"/>
      <c r="N173" s="422"/>
      <c r="O173" s="422"/>
      <c r="P173" s="422"/>
      <c r="Q173" s="422"/>
      <c r="R173" s="422"/>
      <c r="S173" s="422"/>
      <c r="T173" s="422"/>
      <c r="U173" s="422"/>
      <c r="V173" s="422"/>
      <c r="W173" s="422"/>
      <c r="X173" s="422"/>
      <c r="Y173" s="422"/>
      <c r="Z173" s="422"/>
      <c r="AA173" s="422"/>
      <c r="AB173" s="422"/>
      <c r="AC173" s="422"/>
      <c r="AD173" s="422"/>
      <c r="AE173" s="65"/>
      <c r="AF173" s="65"/>
      <c r="AG173" s="422"/>
      <c r="AH173" s="422"/>
      <c r="AI173" s="422"/>
      <c r="AJ173" s="422"/>
      <c r="AK173" s="422"/>
      <c r="AL173" s="422"/>
      <c r="AM173" s="422"/>
      <c r="AN173" s="422"/>
      <c r="AO173" s="422"/>
      <c r="AP173" s="422"/>
      <c r="AQ173" s="422"/>
      <c r="AR173" s="422"/>
      <c r="AS173" s="422"/>
      <c r="AT173" s="422"/>
      <c r="AU173" s="422"/>
      <c r="AV173" s="422"/>
      <c r="AW173" s="422"/>
      <c r="AX173" s="422"/>
      <c r="AY173" s="422"/>
      <c r="AZ173" s="422"/>
      <c r="BA173" s="422"/>
      <c r="BB173" s="422"/>
      <c r="BC173" s="422"/>
      <c r="BD173" s="422"/>
      <c r="BE173" s="422"/>
    </row>
    <row r="174" spans="1:57" s="382" customFormat="1" ht="15" x14ac:dyDescent="0.3">
      <c r="A174" s="275"/>
      <c r="C174" s="384" t="s">
        <v>509</v>
      </c>
      <c r="D174" s="424" t="s">
        <v>50</v>
      </c>
      <c r="E174" s="422" t="s">
        <v>51</v>
      </c>
      <c r="F174" s="422" t="s">
        <v>52</v>
      </c>
      <c r="G174" s="422" t="s">
        <v>53</v>
      </c>
      <c r="H174" s="422" t="s">
        <v>54</v>
      </c>
      <c r="I174" s="422" t="s">
        <v>55</v>
      </c>
      <c r="J174" s="422" t="s">
        <v>56</v>
      </c>
      <c r="K174" s="422" t="s">
        <v>57</v>
      </c>
      <c r="L174" s="422" t="s">
        <v>58</v>
      </c>
      <c r="M174" s="422" t="s">
        <v>59</v>
      </c>
      <c r="N174" s="422" t="s">
        <v>60</v>
      </c>
      <c r="O174" s="422" t="s">
        <v>61</v>
      </c>
      <c r="P174" s="422" t="s">
        <v>62</v>
      </c>
      <c r="Q174" s="422" t="s">
        <v>63</v>
      </c>
      <c r="R174" s="422" t="s">
        <v>64</v>
      </c>
      <c r="S174" s="422" t="s">
        <v>65</v>
      </c>
      <c r="T174" s="422" t="s">
        <v>66</v>
      </c>
      <c r="U174" s="422" t="s">
        <v>67</v>
      </c>
      <c r="V174" s="422" t="s">
        <v>68</v>
      </c>
      <c r="W174" s="422" t="s">
        <v>69</v>
      </c>
      <c r="X174" s="422" t="s">
        <v>70</v>
      </c>
      <c r="Y174" s="422" t="s">
        <v>71</v>
      </c>
      <c r="Z174" s="422" t="s">
        <v>72</v>
      </c>
      <c r="AA174" s="422" t="s">
        <v>73</v>
      </c>
      <c r="AB174" s="422" t="s">
        <v>74</v>
      </c>
      <c r="AC174" s="422" t="s">
        <v>75</v>
      </c>
      <c r="AD174" s="422" t="s">
        <v>76</v>
      </c>
      <c r="AE174" s="65" t="s">
        <v>233</v>
      </c>
      <c r="AF174" s="65" t="s">
        <v>232</v>
      </c>
      <c r="AG174" s="422" t="s">
        <v>77</v>
      </c>
      <c r="AH174" s="422" t="s">
        <v>78</v>
      </c>
      <c r="AI174" s="422" t="s">
        <v>79</v>
      </c>
      <c r="AJ174" s="422" t="s">
        <v>80</v>
      </c>
      <c r="AK174" s="422" t="s">
        <v>81</v>
      </c>
      <c r="AL174" s="422" t="s">
        <v>82</v>
      </c>
      <c r="AM174" s="422" t="s">
        <v>83</v>
      </c>
      <c r="AN174" s="422" t="s">
        <v>84</v>
      </c>
      <c r="AO174" s="422" t="s">
        <v>85</v>
      </c>
      <c r="AP174" s="422" t="s">
        <v>86</v>
      </c>
      <c r="AQ174" s="422" t="s">
        <v>87</v>
      </c>
      <c r="AR174" s="422" t="s">
        <v>88</v>
      </c>
      <c r="AS174" s="422" t="s">
        <v>89</v>
      </c>
      <c r="AT174" s="422" t="s">
        <v>90</v>
      </c>
      <c r="AU174" s="422" t="s">
        <v>91</v>
      </c>
      <c r="AV174" s="422" t="s">
        <v>92</v>
      </c>
      <c r="AW174" s="422" t="s">
        <v>93</v>
      </c>
      <c r="AX174" s="422" t="s">
        <v>394</v>
      </c>
      <c r="AY174" s="422" t="s">
        <v>94</v>
      </c>
      <c r="AZ174" s="422" t="s">
        <v>95</v>
      </c>
      <c r="BA174" s="422" t="s">
        <v>96</v>
      </c>
      <c r="BB174" s="422" t="s">
        <v>97</v>
      </c>
      <c r="BC174" s="422" t="s">
        <v>98</v>
      </c>
      <c r="BD174" s="422" t="s">
        <v>99</v>
      </c>
      <c r="BE174" s="422" t="s">
        <v>49</v>
      </c>
    </row>
    <row r="175" spans="1:57" s="382" customFormat="1" ht="15" x14ac:dyDescent="0.3">
      <c r="A175" s="275"/>
      <c r="C175" s="383" t="s">
        <v>44</v>
      </c>
      <c r="D175" s="424">
        <v>0.12529993057250977</v>
      </c>
      <c r="E175" s="422">
        <v>6.1280615627765656E-2</v>
      </c>
      <c r="F175" s="422">
        <v>0.12165544927120209</v>
      </c>
      <c r="G175" s="422">
        <v>0.19459228217601776</v>
      </c>
      <c r="H175" s="422">
        <v>0.10777950286865234</v>
      </c>
      <c r="I175" s="422">
        <v>0.22438506782054901</v>
      </c>
      <c r="J175" s="422">
        <v>6.6406965255737305E-2</v>
      </c>
      <c r="K175" s="422">
        <v>0.16234435141086578</v>
      </c>
      <c r="L175" s="422">
        <v>9.108985960483551E-2</v>
      </c>
      <c r="M175" s="422">
        <v>8.9950293302536011E-2</v>
      </c>
      <c r="N175" s="422">
        <v>0.15354025363922119</v>
      </c>
      <c r="O175" s="422">
        <v>7.9533442854881287E-2</v>
      </c>
      <c r="P175" s="422">
        <v>0.18824398517608643</v>
      </c>
      <c r="Q175" s="422">
        <v>0.1585298478603363</v>
      </c>
      <c r="R175" s="422">
        <v>0.10419490933418274</v>
      </c>
      <c r="S175" s="422">
        <v>0.19012102484703064</v>
      </c>
      <c r="T175" s="422">
        <v>0.21858732402324677</v>
      </c>
      <c r="U175" s="422">
        <v>9.7805216908454895E-2</v>
      </c>
      <c r="V175" s="422">
        <v>7.9013392329216003E-2</v>
      </c>
      <c r="W175" s="422">
        <v>0.10745741426944733</v>
      </c>
      <c r="X175" s="422">
        <v>0.10377562046051025</v>
      </c>
      <c r="Y175" s="422">
        <v>5.7200402021408081E-2</v>
      </c>
      <c r="Z175" s="422">
        <v>0.10667949914932251</v>
      </c>
      <c r="AA175" s="422">
        <v>0.18672230839729309</v>
      </c>
      <c r="AB175" s="422">
        <v>0.12819354236125946</v>
      </c>
      <c r="AC175" s="422">
        <v>0.1356099396944046</v>
      </c>
      <c r="AD175" s="422">
        <v>0.16156961023807526</v>
      </c>
      <c r="AE175" s="65">
        <f>'User Add-in Location'!B179</f>
        <v>0</v>
      </c>
      <c r="AF175" s="65">
        <f>'User Add-in Location'!C179</f>
        <v>0</v>
      </c>
      <c r="AG175" s="422">
        <v>0.22800000000000001</v>
      </c>
      <c r="AH175" s="422">
        <v>5.7000000000000002E-2</v>
      </c>
      <c r="AI175" s="422">
        <v>8.3000000000000004E-2</v>
      </c>
      <c r="AJ175" s="422">
        <v>5.6000000000000001E-2</v>
      </c>
      <c r="AK175" s="422">
        <v>0.13600000000000001</v>
      </c>
      <c r="AL175" s="422">
        <v>0.122</v>
      </c>
      <c r="AM175" s="422">
        <v>0.13300000000000001</v>
      </c>
      <c r="AN175" s="422">
        <v>0.16400000000000001</v>
      </c>
      <c r="AO175" s="422">
        <v>0.12</v>
      </c>
      <c r="AP175" s="422">
        <v>0.14000000000000001</v>
      </c>
      <c r="AQ175" s="422">
        <v>0.13200000000000001</v>
      </c>
      <c r="AR175" s="422">
        <v>0.125</v>
      </c>
      <c r="AS175" s="422">
        <v>5.8000000000000003E-2</v>
      </c>
      <c r="AT175" s="422">
        <v>8.6999999999999994E-2</v>
      </c>
      <c r="AU175" s="422">
        <v>0.214</v>
      </c>
      <c r="AV175" s="422">
        <v>0.10299999999999999</v>
      </c>
      <c r="AW175" s="422">
        <v>0.16400000000000001</v>
      </c>
      <c r="AX175" s="422">
        <v>0.30599999999999999</v>
      </c>
      <c r="AY175" s="422">
        <v>0.127</v>
      </c>
      <c r="AZ175" s="422">
        <v>0.16800000000000001</v>
      </c>
      <c r="BA175" s="422">
        <v>0.11700000000000001</v>
      </c>
      <c r="BB175" s="422">
        <v>0.10199999999999999</v>
      </c>
      <c r="BC175" s="422">
        <v>7.8E-2</v>
      </c>
      <c r="BD175" s="422">
        <v>0.19600000000000001</v>
      </c>
      <c r="BE175" s="422">
        <v>0.10100000000000001</v>
      </c>
    </row>
    <row r="176" spans="1:57" s="382" customFormat="1" ht="15" x14ac:dyDescent="0.3">
      <c r="A176" s="275"/>
      <c r="C176" s="383" t="s">
        <v>114</v>
      </c>
      <c r="D176" s="424">
        <v>0.11971667408943176</v>
      </c>
      <c r="E176" s="422">
        <v>8.8257752358913422E-2</v>
      </c>
      <c r="F176" s="422">
        <v>0.16698610782623291</v>
      </c>
      <c r="G176" s="422">
        <v>0.14048314094543457</v>
      </c>
      <c r="H176" s="422">
        <v>0.14340338110923767</v>
      </c>
      <c r="I176" s="422">
        <v>0.17628131806850433</v>
      </c>
      <c r="J176" s="422">
        <v>0.17867431044578552</v>
      </c>
      <c r="K176" s="422">
        <v>0.15854030847549438</v>
      </c>
      <c r="L176" s="422">
        <v>0.15825290977954865</v>
      </c>
      <c r="M176" s="422">
        <v>0.2325768768787384</v>
      </c>
      <c r="N176" s="422">
        <v>0.15135356783866882</v>
      </c>
      <c r="O176" s="422">
        <v>0.15762925148010254</v>
      </c>
      <c r="P176" s="422">
        <v>0.13933141529560089</v>
      </c>
      <c r="Q176" s="422">
        <v>0.18906167149543762</v>
      </c>
      <c r="R176" s="422">
        <v>0.14626699686050415</v>
      </c>
      <c r="S176" s="422">
        <v>0.13198380172252655</v>
      </c>
      <c r="T176" s="422">
        <v>0.21764013171195984</v>
      </c>
      <c r="U176" s="422">
        <v>0.13318341970443726</v>
      </c>
      <c r="V176" s="422">
        <v>0.14091426134109497</v>
      </c>
      <c r="W176" s="422">
        <v>0.20329767465591431</v>
      </c>
      <c r="X176" s="422">
        <v>0.20893244445323944</v>
      </c>
      <c r="Y176" s="422">
        <v>0.2310350239276886</v>
      </c>
      <c r="Z176" s="422">
        <v>0.194703608751297</v>
      </c>
      <c r="AA176" s="422">
        <v>0.15170380473136902</v>
      </c>
      <c r="AB176" s="422">
        <v>0.12800323963165283</v>
      </c>
      <c r="AC176" s="422">
        <v>0.16042943298816681</v>
      </c>
      <c r="AD176" s="422">
        <v>0.16646042466163635</v>
      </c>
      <c r="AE176" s="65">
        <f>'User Add-in Location'!B180</f>
        <v>0</v>
      </c>
      <c r="AF176" s="65">
        <f>'User Add-in Location'!C180</f>
        <v>0</v>
      </c>
      <c r="AG176" s="422">
        <v>0.14699999999999999</v>
      </c>
      <c r="AH176" s="422">
        <v>0.109</v>
      </c>
      <c r="AI176" s="422">
        <v>0.161</v>
      </c>
      <c r="AJ176" s="422">
        <v>0.20300000000000001</v>
      </c>
      <c r="AK176" s="422">
        <v>0.18</v>
      </c>
      <c r="AL176" s="422">
        <v>0.216</v>
      </c>
      <c r="AM176" s="422">
        <v>0.14499999999999999</v>
      </c>
      <c r="AN176" s="422">
        <v>0.13600000000000001</v>
      </c>
      <c r="AO176" s="422">
        <v>0.187</v>
      </c>
      <c r="AP176" s="422">
        <v>0.21199999999999999</v>
      </c>
      <c r="AQ176" s="422">
        <v>0.192</v>
      </c>
      <c r="AR176" s="422">
        <v>0.153</v>
      </c>
      <c r="AS176" s="422">
        <v>0.182</v>
      </c>
      <c r="AT176" s="422">
        <v>0.13800000000000001</v>
      </c>
      <c r="AU176" s="422">
        <v>0.154</v>
      </c>
      <c r="AV176" s="422">
        <v>0.14499999999999999</v>
      </c>
      <c r="AW176" s="422">
        <v>0.18</v>
      </c>
      <c r="AX176" s="422">
        <v>0.26300000000000001</v>
      </c>
      <c r="AY176" s="422">
        <v>0.17499999999999999</v>
      </c>
      <c r="AZ176" s="422">
        <v>0.11600000000000001</v>
      </c>
      <c r="BA176" s="422">
        <v>0.16200000000000001</v>
      </c>
      <c r="BB176" s="422">
        <v>0.189</v>
      </c>
      <c r="BC176" s="422">
        <v>0.157</v>
      </c>
      <c r="BD176" s="422">
        <v>0.123</v>
      </c>
      <c r="BE176" s="422">
        <v>0.151</v>
      </c>
    </row>
    <row r="177" spans="1:57" s="382" customFormat="1" ht="15" x14ac:dyDescent="0.3">
      <c r="A177" s="275"/>
      <c r="C177" s="383" t="s">
        <v>45</v>
      </c>
      <c r="D177" s="424">
        <v>0.209515780210495</v>
      </c>
      <c r="E177" s="422">
        <v>0.16446016728878021</v>
      </c>
      <c r="F177" s="422">
        <v>0.23003126680850983</v>
      </c>
      <c r="G177" s="422">
        <v>0.21740399301052094</v>
      </c>
      <c r="H177" s="422">
        <v>0.30273362994194031</v>
      </c>
      <c r="I177" s="422">
        <v>0.2657584547996521</v>
      </c>
      <c r="J177" s="422">
        <v>0.2439885288476944</v>
      </c>
      <c r="K177" s="422">
        <v>0.21843089163303375</v>
      </c>
      <c r="L177" s="422">
        <v>0.1274152547121048</v>
      </c>
      <c r="M177" s="422">
        <v>0.26043140888214111</v>
      </c>
      <c r="N177" s="422">
        <v>0.25643602013587952</v>
      </c>
      <c r="O177" s="422">
        <v>0.17278382182121277</v>
      </c>
      <c r="P177" s="422">
        <v>0.22170333564281464</v>
      </c>
      <c r="Q177" s="422">
        <v>0.2434602677822113</v>
      </c>
      <c r="R177" s="422">
        <v>0.21517151594161987</v>
      </c>
      <c r="S177" s="422">
        <v>0.19501769542694092</v>
      </c>
      <c r="T177" s="422">
        <v>0.22136944532394409</v>
      </c>
      <c r="U177" s="422">
        <v>0.19285719096660614</v>
      </c>
      <c r="V177" s="422">
        <v>0.18896618485450745</v>
      </c>
      <c r="W177" s="422">
        <v>0.24593695998191833</v>
      </c>
      <c r="X177" s="422">
        <v>0.20135469734668732</v>
      </c>
      <c r="Y177" s="422">
        <v>0.23766238987445831</v>
      </c>
      <c r="Z177" s="422">
        <v>0.24840095639228821</v>
      </c>
      <c r="AA177" s="422">
        <v>0.24422764778137207</v>
      </c>
      <c r="AB177" s="422">
        <v>0.18091046810150146</v>
      </c>
      <c r="AC177" s="422">
        <v>0.23871999979019165</v>
      </c>
      <c r="AD177" s="422">
        <v>0.19751918315887451</v>
      </c>
      <c r="AE177" s="65">
        <f>'User Add-in Location'!B181</f>
        <v>0</v>
      </c>
      <c r="AF177" s="65">
        <f>'User Add-in Location'!C181</f>
        <v>0</v>
      </c>
      <c r="AG177" s="422">
        <v>0.20699999999999999</v>
      </c>
      <c r="AH177" s="422">
        <v>9.2999999999999999E-2</v>
      </c>
      <c r="AI177" s="422">
        <v>0.254</v>
      </c>
      <c r="AJ177" s="422">
        <v>0.23599999999999999</v>
      </c>
      <c r="AK177" s="422">
        <v>0.189</v>
      </c>
      <c r="AL177" s="422">
        <v>0.222</v>
      </c>
      <c r="AM177" s="422">
        <v>0.25600000000000001</v>
      </c>
      <c r="AN177" s="422">
        <v>0.19600000000000001</v>
      </c>
      <c r="AO177" s="422">
        <v>0.26400000000000001</v>
      </c>
      <c r="AP177" s="422">
        <v>0.22900000000000001</v>
      </c>
      <c r="AQ177" s="422">
        <v>0.221</v>
      </c>
      <c r="AR177" s="422">
        <v>0.252</v>
      </c>
      <c r="AS177" s="422">
        <v>0.20200000000000001</v>
      </c>
      <c r="AT177" s="422">
        <v>0.20699999999999999</v>
      </c>
      <c r="AU177" s="422">
        <v>0.215</v>
      </c>
      <c r="AV177" s="422">
        <v>0.251</v>
      </c>
      <c r="AW177" s="422">
        <v>0.27800000000000002</v>
      </c>
      <c r="AX177" s="422">
        <v>0.44600000000000001</v>
      </c>
      <c r="AY177" s="422">
        <v>0.246</v>
      </c>
      <c r="AZ177" s="422">
        <v>0.22</v>
      </c>
      <c r="BA177" s="422">
        <v>0.223</v>
      </c>
      <c r="BB177" s="422">
        <v>0.23899999999999999</v>
      </c>
      <c r="BC177" s="422">
        <v>0.154</v>
      </c>
      <c r="BD177" s="422">
        <v>0.23300000000000001</v>
      </c>
      <c r="BE177" s="422">
        <v>0.14599999999999999</v>
      </c>
    </row>
    <row r="178" spans="1:57" s="382" customFormat="1" ht="15" x14ac:dyDescent="0.3">
      <c r="A178" s="275"/>
      <c r="C178" s="383" t="s">
        <v>115</v>
      </c>
      <c r="D178" s="424">
        <v>0.15711915493011475</v>
      </c>
      <c r="E178" s="422">
        <v>0.23617777228355408</v>
      </c>
      <c r="F178" s="422">
        <v>0.188335120677948</v>
      </c>
      <c r="G178" s="422">
        <v>0.18802979588508606</v>
      </c>
      <c r="H178" s="422">
        <v>0.28333532810211182</v>
      </c>
      <c r="I178" s="422">
        <v>0.2511482834815979</v>
      </c>
      <c r="J178" s="422">
        <v>0.15777528285980225</v>
      </c>
      <c r="K178" s="422">
        <v>0.16222496330738068</v>
      </c>
      <c r="L178" s="422">
        <v>8.5650153458118439E-2</v>
      </c>
      <c r="M178" s="422">
        <v>0.2035176157951355</v>
      </c>
      <c r="N178" s="422">
        <v>0.18845073878765106</v>
      </c>
      <c r="O178" s="422">
        <v>0.17803499102592468</v>
      </c>
      <c r="P178" s="422">
        <v>0.1869751363992691</v>
      </c>
      <c r="Q178" s="422">
        <v>0.20701080560684204</v>
      </c>
      <c r="R178" s="422">
        <v>0.15080952644348145</v>
      </c>
      <c r="S178" s="422">
        <v>0.17275282740592957</v>
      </c>
      <c r="T178" s="422">
        <v>0.20364852249622345</v>
      </c>
      <c r="U178" s="422">
        <v>0.14888766407966614</v>
      </c>
      <c r="V178" s="422">
        <v>0.19976693391799927</v>
      </c>
      <c r="W178" s="422">
        <v>0.16431517899036407</v>
      </c>
      <c r="X178" s="422">
        <v>0.1367565393447876</v>
      </c>
      <c r="Y178" s="422">
        <v>0.16731113195419312</v>
      </c>
      <c r="Z178" s="422">
        <v>0.17979305982589722</v>
      </c>
      <c r="AA178" s="422">
        <v>0.22092628479003906</v>
      </c>
      <c r="AB178" s="422">
        <v>0.15257513523101807</v>
      </c>
      <c r="AC178" s="422">
        <v>0.17814874649047852</v>
      </c>
      <c r="AD178" s="422">
        <v>0.18645100295543671</v>
      </c>
      <c r="AE178" s="65">
        <f>'User Add-in Location'!B182</f>
        <v>0</v>
      </c>
      <c r="AF178" s="65">
        <f>'User Add-in Location'!C182</f>
        <v>0</v>
      </c>
      <c r="AG178" s="422">
        <v>0.186</v>
      </c>
      <c r="AH178" s="422">
        <v>0.112</v>
      </c>
      <c r="AI178" s="422">
        <v>0.14699999999999999</v>
      </c>
      <c r="AJ178" s="422">
        <v>0.185</v>
      </c>
      <c r="AK178" s="422">
        <v>0.217</v>
      </c>
      <c r="AL178" s="422">
        <v>0.182</v>
      </c>
      <c r="AM178" s="422">
        <v>0.17599999999999999</v>
      </c>
      <c r="AN178" s="422">
        <v>0.22500000000000001</v>
      </c>
      <c r="AO178" s="422">
        <v>0.2</v>
      </c>
      <c r="AP178" s="422">
        <v>0.23300000000000001</v>
      </c>
      <c r="AQ178" s="422">
        <v>0.19500000000000001</v>
      </c>
      <c r="AR178" s="422">
        <v>0.21199999999999999</v>
      </c>
      <c r="AS178" s="422">
        <v>0.14899999999999999</v>
      </c>
      <c r="AT178" s="422">
        <v>0.13900000000000001</v>
      </c>
      <c r="AU178" s="422">
        <v>0.17499999999999999</v>
      </c>
      <c r="AV178" s="422">
        <v>0.16600000000000001</v>
      </c>
      <c r="AW178" s="422">
        <v>0.32500000000000001</v>
      </c>
      <c r="AX178" s="422">
        <v>0.498</v>
      </c>
      <c r="AY178" s="422">
        <v>0.224</v>
      </c>
      <c r="AZ178" s="422">
        <v>0.17</v>
      </c>
      <c r="BA178" s="422">
        <v>0.14899999999999999</v>
      </c>
      <c r="BB178" s="422">
        <v>0.2</v>
      </c>
      <c r="BC178" s="422">
        <v>0.13900000000000001</v>
      </c>
      <c r="BD178" s="422">
        <v>0.192</v>
      </c>
      <c r="BE178" s="422">
        <v>0.21099999999999999</v>
      </c>
    </row>
    <row r="179" spans="1:57" s="382" customFormat="1" ht="15" x14ac:dyDescent="0.3">
      <c r="A179" s="275"/>
      <c r="C179" s="383" t="s">
        <v>503</v>
      </c>
      <c r="D179" s="424">
        <v>0.13513416051864624</v>
      </c>
      <c r="E179" s="422">
        <v>0.15444029867649078</v>
      </c>
      <c r="F179" s="422">
        <v>0.17968370020389557</v>
      </c>
      <c r="G179" s="422">
        <v>0.13234859704971313</v>
      </c>
      <c r="H179" s="422">
        <v>0.27560609579086304</v>
      </c>
      <c r="I179" s="422">
        <v>0.19985449314117432</v>
      </c>
      <c r="J179" s="422">
        <v>0.16647052764892578</v>
      </c>
      <c r="K179" s="422">
        <v>0.14137738943099976</v>
      </c>
      <c r="L179" s="422">
        <v>0</v>
      </c>
      <c r="M179" s="422">
        <v>0.19509020447731018</v>
      </c>
      <c r="N179" s="422">
        <v>0.17801186442375183</v>
      </c>
      <c r="O179" s="422">
        <v>0.15269026160240173</v>
      </c>
      <c r="P179" s="422">
        <v>0.14351001381874084</v>
      </c>
      <c r="Q179" s="422">
        <v>0.19831377267837524</v>
      </c>
      <c r="R179" s="422">
        <v>0.14921486377716064</v>
      </c>
      <c r="S179" s="422">
        <v>0.13546192646026611</v>
      </c>
      <c r="T179" s="422">
        <v>0.14443939924240112</v>
      </c>
      <c r="U179" s="422">
        <v>0.1301218718290329</v>
      </c>
      <c r="V179" s="422">
        <v>0.12999376654624939</v>
      </c>
      <c r="W179" s="422">
        <v>0.14396063983440399</v>
      </c>
      <c r="X179" s="422">
        <v>0.15175212919712067</v>
      </c>
      <c r="Y179" s="422">
        <v>0.17683336138725281</v>
      </c>
      <c r="Z179" s="422">
        <v>0.17473462224006653</v>
      </c>
      <c r="AA179" s="422">
        <v>0.19580461084842682</v>
      </c>
      <c r="AB179" s="422">
        <v>0.11650402098894119</v>
      </c>
      <c r="AC179" s="422">
        <v>0.15841972827911377</v>
      </c>
      <c r="AD179" s="422">
        <v>0.13425734639167786</v>
      </c>
      <c r="AE179" s="65">
        <f>'User Add-in Location'!B183</f>
        <v>0</v>
      </c>
      <c r="AF179" s="65">
        <f>'User Add-in Location'!C183</f>
        <v>0</v>
      </c>
      <c r="AG179" s="422">
        <v>0.13800000000000001</v>
      </c>
      <c r="AH179" s="422">
        <v>0.10299999999999999</v>
      </c>
      <c r="AI179" s="422">
        <v>0.14899999999999999</v>
      </c>
      <c r="AJ179" s="422">
        <v>0.18</v>
      </c>
      <c r="AK179" s="422">
        <v>0.13900000000000001</v>
      </c>
      <c r="AL179" s="422">
        <v>0.183</v>
      </c>
      <c r="AM179" s="422">
        <v>0.189</v>
      </c>
      <c r="AN179" s="422">
        <v>0.14299999999999999</v>
      </c>
      <c r="AO179" s="422">
        <v>0.187</v>
      </c>
      <c r="AP179" s="422">
        <v>0.14199999999999999</v>
      </c>
      <c r="AQ179" s="422">
        <v>0.17199999999999999</v>
      </c>
      <c r="AR179" s="422">
        <v>0.191</v>
      </c>
      <c r="AS179" s="422">
        <v>0.16900000000000001</v>
      </c>
      <c r="AT179" s="422">
        <v>0.127</v>
      </c>
      <c r="AU179" s="422">
        <v>0.129</v>
      </c>
      <c r="AV179" s="422">
        <v>0.156</v>
      </c>
      <c r="AW179" s="422">
        <v>0.23799999999999999</v>
      </c>
      <c r="AX179" s="422">
        <v>0.45600000000000002</v>
      </c>
      <c r="AY179" s="422">
        <v>0.20100000000000001</v>
      </c>
      <c r="AZ179" s="422">
        <v>0.128</v>
      </c>
      <c r="BA179" s="422">
        <v>0.14399999999999999</v>
      </c>
      <c r="BB179" s="422">
        <v>0.191</v>
      </c>
      <c r="BC179" s="422">
        <v>0.111</v>
      </c>
      <c r="BD179" s="422">
        <v>0.16500000000000001</v>
      </c>
      <c r="BE179" s="422">
        <v>0.11</v>
      </c>
    </row>
    <row r="180" spans="1:57" s="382" customFormat="1" ht="15" x14ac:dyDescent="0.3">
      <c r="A180" s="275"/>
      <c r="C180" s="383" t="s">
        <v>117</v>
      </c>
      <c r="D180" s="424">
        <v>0.16017754375934601</v>
      </c>
      <c r="E180" s="422">
        <v>0.15769201517105103</v>
      </c>
      <c r="F180" s="422">
        <v>0.17651599645614624</v>
      </c>
      <c r="G180" s="422">
        <v>0.16514924168586731</v>
      </c>
      <c r="H180" s="422">
        <v>0.27557191252708435</v>
      </c>
      <c r="I180" s="422">
        <v>0.23408955335617065</v>
      </c>
      <c r="J180" s="422">
        <v>0.1829649806022644</v>
      </c>
      <c r="K180" s="422">
        <v>0.13901194930076599</v>
      </c>
      <c r="L180" s="422">
        <v>0.13880264759063721</v>
      </c>
      <c r="M180" s="422">
        <v>0.22230798006057739</v>
      </c>
      <c r="N180" s="422">
        <v>0.19227908551692963</v>
      </c>
      <c r="O180" s="422">
        <v>0.1881902813911438</v>
      </c>
      <c r="P180" s="422">
        <v>0.16323372721672058</v>
      </c>
      <c r="Q180" s="422">
        <v>0.19954471290111542</v>
      </c>
      <c r="R180" s="422">
        <v>0.17061801254749298</v>
      </c>
      <c r="S180" s="422">
        <v>0.13990610837936401</v>
      </c>
      <c r="T180" s="422">
        <v>0.17396353185176849</v>
      </c>
      <c r="U180" s="422">
        <v>0.15235278010368347</v>
      </c>
      <c r="V180" s="422">
        <v>0.1522543728351593</v>
      </c>
      <c r="W180" s="422">
        <v>0.15952354669570923</v>
      </c>
      <c r="X180" s="422">
        <v>0.18169468641281128</v>
      </c>
      <c r="Y180" s="422">
        <v>0.19260653853416443</v>
      </c>
      <c r="Z180" s="422">
        <v>0.18410713970661163</v>
      </c>
      <c r="AA180" s="422">
        <v>0.2312847375869751</v>
      </c>
      <c r="AB180" s="422">
        <v>0.13136805593967438</v>
      </c>
      <c r="AC180" s="422">
        <v>0.20405347645282745</v>
      </c>
      <c r="AD180" s="422">
        <v>0.16726472973823547</v>
      </c>
      <c r="AE180" s="65">
        <f>'User Add-in Location'!B184</f>
        <v>0</v>
      </c>
      <c r="AF180" s="65">
        <f>'User Add-in Location'!C184</f>
        <v>0</v>
      </c>
      <c r="AG180" s="422">
        <v>0.152</v>
      </c>
      <c r="AH180" s="422">
        <v>0.11600000000000001</v>
      </c>
      <c r="AI180" s="422">
        <v>0.125</v>
      </c>
      <c r="AJ180" s="422">
        <v>0.185</v>
      </c>
      <c r="AK180" s="422">
        <v>0.15</v>
      </c>
      <c r="AL180" s="422">
        <v>0.191</v>
      </c>
      <c r="AM180" s="422">
        <v>0.17699999999999999</v>
      </c>
      <c r="AN180" s="422">
        <v>0.17</v>
      </c>
      <c r="AO180" s="422">
        <v>0.20200000000000001</v>
      </c>
      <c r="AP180" s="422">
        <v>0.14899999999999999</v>
      </c>
      <c r="AQ180" s="422">
        <v>0.193</v>
      </c>
      <c r="AR180" s="422">
        <v>0.2</v>
      </c>
      <c r="AS180" s="422">
        <v>0.14699999999999999</v>
      </c>
      <c r="AT180" s="422">
        <v>0.13900000000000001</v>
      </c>
      <c r="AU180" s="422">
        <v>0.159</v>
      </c>
      <c r="AV180" s="422">
        <v>0.17699999999999999</v>
      </c>
      <c r="AW180" s="422">
        <v>0.24399999999999999</v>
      </c>
      <c r="AX180" s="422">
        <v>0.49099999999999999</v>
      </c>
      <c r="AY180" s="422">
        <v>0.20799999999999999</v>
      </c>
      <c r="AZ180" s="422">
        <v>0.11799999999999999</v>
      </c>
      <c r="BA180" s="422">
        <v>0.16300000000000001</v>
      </c>
      <c r="BB180" s="422">
        <v>0.21299999999999999</v>
      </c>
      <c r="BC180" s="422">
        <v>0.108</v>
      </c>
      <c r="BD180" s="422">
        <v>0.189</v>
      </c>
      <c r="BE180" s="422">
        <v>0.14000000000000001</v>
      </c>
    </row>
    <row r="181" spans="1:57" s="382" customFormat="1" ht="15" x14ac:dyDescent="0.3">
      <c r="A181" s="275"/>
      <c r="C181" s="383" t="s">
        <v>504</v>
      </c>
      <c r="D181" s="424">
        <v>0.1697705090045929</v>
      </c>
      <c r="E181" s="422">
        <v>0</v>
      </c>
      <c r="F181" s="422">
        <v>0.24081572890281677</v>
      </c>
      <c r="G181" s="422">
        <v>0.17750978469848633</v>
      </c>
      <c r="H181" s="422">
        <v>0.32177439332008362</v>
      </c>
      <c r="I181" s="422">
        <v>0.25316494703292847</v>
      </c>
      <c r="J181" s="422">
        <v>0.2114054411649704</v>
      </c>
      <c r="K181" s="422">
        <v>0.15752430260181427</v>
      </c>
      <c r="L181" s="422">
        <v>8.2649126648902893E-2</v>
      </c>
      <c r="M181" s="422">
        <v>0.25240850448608398</v>
      </c>
      <c r="N181" s="422">
        <v>0.21883107721805573</v>
      </c>
      <c r="O181" s="422">
        <v>0.17174312472343445</v>
      </c>
      <c r="P181" s="422">
        <v>0.18901222944259644</v>
      </c>
      <c r="Q181" s="422">
        <v>0.2205522358417511</v>
      </c>
      <c r="R181" s="422">
        <v>0.15597036480903625</v>
      </c>
      <c r="S181" s="422">
        <v>0.1591520756483078</v>
      </c>
      <c r="T181" s="422">
        <v>0.15739887952804565</v>
      </c>
      <c r="U181" s="422">
        <v>0.16860276460647583</v>
      </c>
      <c r="V181" s="422">
        <v>0.1449589729309082</v>
      </c>
      <c r="W181" s="422">
        <v>0.16717119514942169</v>
      </c>
      <c r="X181" s="422">
        <v>0.18787631392478943</v>
      </c>
      <c r="Y181" s="422">
        <v>0.25802320241928101</v>
      </c>
      <c r="Z181" s="422">
        <v>0.21685802936553955</v>
      </c>
      <c r="AA181" s="422">
        <v>0.26878020167350769</v>
      </c>
      <c r="AB181" s="422">
        <v>0.153851717710495</v>
      </c>
      <c r="AC181" s="422">
        <v>0.15598148107528687</v>
      </c>
      <c r="AD181" s="422">
        <v>0.18541741371154785</v>
      </c>
      <c r="AE181" s="65">
        <f>'User Add-in Location'!B185</f>
        <v>0</v>
      </c>
      <c r="AF181" s="65">
        <f>'User Add-in Location'!C185</f>
        <v>0</v>
      </c>
      <c r="AG181" s="422">
        <v>0.16600000000000001</v>
      </c>
      <c r="AH181" s="422">
        <v>9.8000000000000004E-2</v>
      </c>
      <c r="AI181" s="422">
        <v>0.2</v>
      </c>
      <c r="AJ181" s="422">
        <v>0.23</v>
      </c>
      <c r="AK181" s="422">
        <v>0.14199999999999999</v>
      </c>
      <c r="AL181" s="422">
        <v>0.248</v>
      </c>
      <c r="AM181" s="422">
        <v>0.218</v>
      </c>
      <c r="AN181" s="422">
        <v>0.20399999999999999</v>
      </c>
      <c r="AO181" s="422">
        <v>0.222</v>
      </c>
      <c r="AP181" s="422">
        <v>0.182</v>
      </c>
      <c r="AQ181" s="422">
        <v>0.13200000000000001</v>
      </c>
      <c r="AR181" s="422">
        <v>0.21199999999999999</v>
      </c>
      <c r="AS181" s="422">
        <v>0.21199999999999999</v>
      </c>
      <c r="AT181" s="422">
        <v>0.14000000000000001</v>
      </c>
      <c r="AU181" s="422">
        <v>0.17899999999999999</v>
      </c>
      <c r="AV181" s="422">
        <v>0.17599999999999999</v>
      </c>
      <c r="AW181" s="422">
        <v>0.26900000000000002</v>
      </c>
      <c r="AX181" s="422">
        <v>0.42899999999999999</v>
      </c>
      <c r="AY181" s="422">
        <v>0.247</v>
      </c>
      <c r="AZ181" s="422">
        <v>0.20200000000000001</v>
      </c>
      <c r="BA181" s="422">
        <v>0.20499999999999999</v>
      </c>
      <c r="BB181" s="422">
        <v>0.22800000000000001</v>
      </c>
      <c r="BC181" s="422">
        <v>0.15</v>
      </c>
      <c r="BD181" s="422">
        <v>0.20599999999999999</v>
      </c>
      <c r="BE181" s="422">
        <v>0.154</v>
      </c>
    </row>
    <row r="182" spans="1:57" s="382" customFormat="1" ht="15" x14ac:dyDescent="0.3">
      <c r="A182" s="275"/>
      <c r="C182" s="383" t="s">
        <v>119</v>
      </c>
      <c r="D182" s="424">
        <v>0.22548338770866394</v>
      </c>
      <c r="E182" s="422">
        <v>0.21171824634075165</v>
      </c>
      <c r="F182" s="422">
        <v>0.24186450242996216</v>
      </c>
      <c r="G182" s="422">
        <v>0.21986421942710876</v>
      </c>
      <c r="H182" s="422">
        <v>0.28118002414703369</v>
      </c>
      <c r="I182" s="422">
        <v>0.28144851326942444</v>
      </c>
      <c r="J182" s="422">
        <v>0.22144277393817902</v>
      </c>
      <c r="K182" s="422">
        <v>0.22130909562110901</v>
      </c>
      <c r="L182" s="422">
        <v>0.16121602058410645</v>
      </c>
      <c r="M182" s="422">
        <v>0.25559812784194946</v>
      </c>
      <c r="N182" s="422">
        <v>0.24639934301376343</v>
      </c>
      <c r="O182" s="422">
        <v>0.20086468756198883</v>
      </c>
      <c r="P182" s="422">
        <v>0.20305162668228149</v>
      </c>
      <c r="Q182" s="422">
        <v>0.26781195402145386</v>
      </c>
      <c r="R182" s="422">
        <v>0.21608081459999084</v>
      </c>
      <c r="S182" s="422">
        <v>0.20311632752418518</v>
      </c>
      <c r="T182" s="422">
        <v>0.20680850744247437</v>
      </c>
      <c r="U182" s="422">
        <v>0.20326444506645203</v>
      </c>
      <c r="V182" s="422">
        <v>0.25417023897171021</v>
      </c>
      <c r="W182" s="422">
        <v>0.20167230069637299</v>
      </c>
      <c r="X182" s="422">
        <v>0.21824470162391663</v>
      </c>
      <c r="Y182" s="422">
        <v>0.23942092061042786</v>
      </c>
      <c r="Z182" s="422">
        <v>0.23238304257392883</v>
      </c>
      <c r="AA182" s="422">
        <v>0.27686053514480591</v>
      </c>
      <c r="AB182" s="422">
        <v>0.20085591077804565</v>
      </c>
      <c r="AC182" s="422">
        <v>0.23177595436573029</v>
      </c>
      <c r="AD182" s="422">
        <v>0.22302693128585815</v>
      </c>
      <c r="AE182" s="65">
        <f>'User Add-in Location'!B186</f>
        <v>0</v>
      </c>
      <c r="AF182" s="65">
        <f>'User Add-in Location'!C186</f>
        <v>0</v>
      </c>
      <c r="AG182" s="422">
        <v>0.16700000000000001</v>
      </c>
      <c r="AH182" s="422">
        <v>0</v>
      </c>
      <c r="AI182" s="422">
        <v>0.21</v>
      </c>
      <c r="AJ182" s="422">
        <v>0.223</v>
      </c>
      <c r="AK182" s="422">
        <v>0.23499999999999999</v>
      </c>
      <c r="AL182" s="422">
        <v>0.26</v>
      </c>
      <c r="AM182" s="422">
        <v>0.224</v>
      </c>
      <c r="AN182" s="422">
        <v>0.248</v>
      </c>
      <c r="AO182" s="422">
        <v>0.23699999999999999</v>
      </c>
      <c r="AP182" s="422">
        <v>0.254</v>
      </c>
      <c r="AQ182" s="422">
        <v>0.217</v>
      </c>
      <c r="AR182" s="422">
        <v>0.25</v>
      </c>
      <c r="AS182" s="422">
        <v>0.20799999999999999</v>
      </c>
      <c r="AT182" s="422">
        <v>0.19600000000000001</v>
      </c>
      <c r="AU182" s="422">
        <v>0.21</v>
      </c>
      <c r="AV182" s="422">
        <v>0.23499999999999999</v>
      </c>
      <c r="AW182" s="422">
        <v>0.318</v>
      </c>
      <c r="AX182" s="422">
        <v>0.436</v>
      </c>
      <c r="AY182" s="422">
        <v>0.27400000000000002</v>
      </c>
      <c r="AZ182" s="422">
        <v>0.218</v>
      </c>
      <c r="BA182" s="422">
        <v>0.221</v>
      </c>
      <c r="BB182" s="422">
        <v>0.23</v>
      </c>
      <c r="BC182" s="422">
        <v>0.20399999999999999</v>
      </c>
      <c r="BD182" s="422">
        <v>0.222</v>
      </c>
      <c r="BE182" s="422">
        <v>0.224</v>
      </c>
    </row>
    <row r="183" spans="1:57" s="382" customFormat="1" ht="15" x14ac:dyDescent="0.3">
      <c r="A183" s="275"/>
      <c r="C183" s="383" t="s">
        <v>505</v>
      </c>
      <c r="D183" s="424">
        <v>0.19202694296836853</v>
      </c>
      <c r="E183" s="422">
        <v>0.17898157238960266</v>
      </c>
      <c r="F183" s="422">
        <v>0.23678073287010193</v>
      </c>
      <c r="G183" s="422">
        <v>0.17400640249252319</v>
      </c>
      <c r="H183" s="422">
        <v>0.25772756338119507</v>
      </c>
      <c r="I183" s="422">
        <v>0.25189575552940369</v>
      </c>
      <c r="J183" s="422">
        <v>0.21281921863555908</v>
      </c>
      <c r="K183" s="422">
        <v>0.21176314353942871</v>
      </c>
      <c r="L183" s="422">
        <v>0.18339213728904724</v>
      </c>
      <c r="M183" s="422">
        <v>0.24641311168670654</v>
      </c>
      <c r="N183" s="422">
        <v>0.22207619249820709</v>
      </c>
      <c r="O183" s="422">
        <v>0.23972237110137939</v>
      </c>
      <c r="P183" s="422">
        <v>0.20535020530223846</v>
      </c>
      <c r="Q183" s="422">
        <v>0.24087324738502502</v>
      </c>
      <c r="R183" s="422">
        <v>0.19975537061691284</v>
      </c>
      <c r="S183" s="422">
        <v>0.20113497972488403</v>
      </c>
      <c r="T183" s="422">
        <v>0.19620352983474731</v>
      </c>
      <c r="U183" s="422">
        <v>0.17530076205730438</v>
      </c>
      <c r="V183" s="422">
        <v>0.17622648179531097</v>
      </c>
      <c r="W183" s="422">
        <v>0.21899870038032532</v>
      </c>
      <c r="X183" s="422">
        <v>0.22055304050445557</v>
      </c>
      <c r="Y183" s="422">
        <v>0.24636274576187134</v>
      </c>
      <c r="Z183" s="422">
        <v>0.20784488320350647</v>
      </c>
      <c r="AA183" s="422">
        <v>0.24453306198120117</v>
      </c>
      <c r="AB183" s="422">
        <v>0.16729669272899628</v>
      </c>
      <c r="AC183" s="422">
        <v>0.23327142000198364</v>
      </c>
      <c r="AD183" s="422">
        <v>0.19102095067501068</v>
      </c>
      <c r="AE183" s="65">
        <f>'User Add-in Location'!B187</f>
        <v>0</v>
      </c>
      <c r="AF183" s="65">
        <f>'User Add-in Location'!C187</f>
        <v>0</v>
      </c>
      <c r="AG183" s="422">
        <v>0.219</v>
      </c>
      <c r="AH183" s="422">
        <v>0.16</v>
      </c>
      <c r="AI183" s="422">
        <v>0.23</v>
      </c>
      <c r="AJ183" s="422">
        <v>0.222</v>
      </c>
      <c r="AK183" s="422">
        <v>0.20100000000000001</v>
      </c>
      <c r="AL183" s="422">
        <v>0.23400000000000001</v>
      </c>
      <c r="AM183" s="422">
        <v>0.23599999999999999</v>
      </c>
      <c r="AN183" s="422">
        <v>0.182</v>
      </c>
      <c r="AO183" s="422">
        <v>0.24</v>
      </c>
      <c r="AP183" s="422">
        <v>0.19800000000000001</v>
      </c>
      <c r="AQ183" s="422">
        <v>0.23</v>
      </c>
      <c r="AR183" s="422">
        <v>0.22600000000000001</v>
      </c>
      <c r="AS183" s="422">
        <v>0.248</v>
      </c>
      <c r="AT183" s="422">
        <v>0.184</v>
      </c>
      <c r="AU183" s="422">
        <v>0.20200000000000001</v>
      </c>
      <c r="AV183" s="422">
        <v>0.218</v>
      </c>
      <c r="AW183" s="422">
        <v>0.21299999999999999</v>
      </c>
      <c r="AX183" s="422">
        <v>0.31</v>
      </c>
      <c r="AY183" s="422">
        <v>0.26100000000000001</v>
      </c>
      <c r="AZ183" s="422">
        <v>0.219</v>
      </c>
      <c r="BA183" s="422">
        <v>0.219</v>
      </c>
      <c r="BB183" s="422">
        <v>0.221</v>
      </c>
      <c r="BC183" s="422">
        <v>0.16700000000000001</v>
      </c>
      <c r="BD183" s="422">
        <v>0.23200000000000001</v>
      </c>
      <c r="BE183" s="422">
        <v>0.14099999999999999</v>
      </c>
    </row>
    <row r="184" spans="1:57" s="382" customFormat="1" ht="15" x14ac:dyDescent="0.3">
      <c r="A184" s="275"/>
      <c r="C184" s="383" t="s">
        <v>506</v>
      </c>
      <c r="D184" s="424">
        <v>0.1669919341802597</v>
      </c>
      <c r="E184" s="422">
        <v>0.18272820115089417</v>
      </c>
      <c r="F184" s="422">
        <v>0.21099153161048889</v>
      </c>
      <c r="G184" s="422">
        <v>0.18056252598762512</v>
      </c>
      <c r="H184" s="422">
        <v>0.21953915059566498</v>
      </c>
      <c r="I184" s="422">
        <v>0.24153411388397217</v>
      </c>
      <c r="J184" s="422">
        <v>0.22341424226760864</v>
      </c>
      <c r="K184" s="422">
        <v>0.24554291367530823</v>
      </c>
      <c r="L184" s="422">
        <v>0.18916831910610199</v>
      </c>
      <c r="M184" s="422">
        <v>0.2364039272069931</v>
      </c>
      <c r="N184" s="422">
        <v>0.22877907752990723</v>
      </c>
      <c r="O184" s="422">
        <v>0.17498186230659485</v>
      </c>
      <c r="P184" s="422">
        <v>0.18207019567489624</v>
      </c>
      <c r="Q184" s="422">
        <v>0.24642518162727356</v>
      </c>
      <c r="R184" s="422">
        <v>0.1912805587053299</v>
      </c>
      <c r="S184" s="422">
        <v>0.20876212418079376</v>
      </c>
      <c r="T184" s="422">
        <v>0.18851840496063232</v>
      </c>
      <c r="U184" s="422">
        <v>0.18463899195194244</v>
      </c>
      <c r="V184" s="422">
        <v>0.1606820821762085</v>
      </c>
      <c r="W184" s="422">
        <v>0.20959071815013885</v>
      </c>
      <c r="X184" s="422">
        <v>0.21124051511287689</v>
      </c>
      <c r="Y184" s="422">
        <v>0.25553134083747864</v>
      </c>
      <c r="Z184" s="422">
        <v>0.19593606889247894</v>
      </c>
      <c r="AA184" s="422">
        <v>0.24184471368789673</v>
      </c>
      <c r="AB184" s="422">
        <v>0.15135607123374939</v>
      </c>
      <c r="AC184" s="422">
        <v>0.22908708453178406</v>
      </c>
      <c r="AD184" s="422">
        <v>0.19680874049663544</v>
      </c>
      <c r="AE184" s="65">
        <f>'User Add-in Location'!B188</f>
        <v>0</v>
      </c>
      <c r="AF184" s="65">
        <f>'User Add-in Location'!C188</f>
        <v>0</v>
      </c>
      <c r="AG184" s="422">
        <v>0.218</v>
      </c>
      <c r="AH184" s="422">
        <v>0.13700000000000001</v>
      </c>
      <c r="AI184" s="422">
        <v>0.22800000000000001</v>
      </c>
      <c r="AJ184" s="422">
        <v>0.219</v>
      </c>
      <c r="AK184" s="422">
        <v>0.16900000000000001</v>
      </c>
      <c r="AL184" s="422">
        <v>0.23</v>
      </c>
      <c r="AM184" s="422">
        <v>0.23899999999999999</v>
      </c>
      <c r="AN184" s="422">
        <v>0.189</v>
      </c>
      <c r="AO184" s="422">
        <v>0.23</v>
      </c>
      <c r="AP184" s="422">
        <v>0.188</v>
      </c>
      <c r="AQ184" s="422">
        <v>0.23499999999999999</v>
      </c>
      <c r="AR184" s="422">
        <v>0.24399999999999999</v>
      </c>
      <c r="AS184" s="422">
        <v>0.23100000000000001</v>
      </c>
      <c r="AT184" s="422">
        <v>0.17599999999999999</v>
      </c>
      <c r="AU184" s="422">
        <v>0.2</v>
      </c>
      <c r="AV184" s="422">
        <v>0.20100000000000001</v>
      </c>
      <c r="AW184" s="422">
        <v>0.20899999999999999</v>
      </c>
      <c r="AX184" s="422">
        <v>0.3</v>
      </c>
      <c r="AY184" s="422">
        <v>0.23499999999999999</v>
      </c>
      <c r="AZ184" s="422">
        <v>0.189</v>
      </c>
      <c r="BA184" s="422">
        <v>0.216</v>
      </c>
      <c r="BB184" s="422">
        <v>0.17899999999999999</v>
      </c>
      <c r="BC184" s="422">
        <v>0.155</v>
      </c>
      <c r="BD184" s="422">
        <v>0.224</v>
      </c>
      <c r="BE184" s="422">
        <v>0.14899999999999999</v>
      </c>
    </row>
    <row r="185" spans="1:57" s="382" customFormat="1" ht="15" x14ac:dyDescent="0.3">
      <c r="A185" s="275"/>
      <c r="C185" s="383" t="s">
        <v>120</v>
      </c>
      <c r="D185" s="424">
        <v>0.22816082835197449</v>
      </c>
      <c r="E185" s="422">
        <v>0.18154752254486084</v>
      </c>
      <c r="F185" s="422">
        <v>0.30609267950057983</v>
      </c>
      <c r="G185" s="422">
        <v>0.21507048606872559</v>
      </c>
      <c r="H185" s="422">
        <v>0.26054501533508301</v>
      </c>
      <c r="I185" s="422">
        <v>0.32182192802429199</v>
      </c>
      <c r="J185" s="422">
        <v>0.25811272859573364</v>
      </c>
      <c r="K185" s="422">
        <v>0.18416544795036316</v>
      </c>
      <c r="L185" s="422">
        <v>0.17148098349571228</v>
      </c>
      <c r="M185" s="422">
        <v>0.33111861348152161</v>
      </c>
      <c r="N185" s="422">
        <v>0.2584957480430603</v>
      </c>
      <c r="O185" s="422">
        <v>0.207275390625</v>
      </c>
      <c r="P185" s="422">
        <v>0.25939595699310303</v>
      </c>
      <c r="Q185" s="422">
        <v>0.27489173412322998</v>
      </c>
      <c r="R185" s="422">
        <v>0.2158944308757782</v>
      </c>
      <c r="S185" s="422">
        <v>0.22601008415222168</v>
      </c>
      <c r="T185" s="422">
        <v>0.24231785535812378</v>
      </c>
      <c r="U185" s="422">
        <v>0.21419093012809753</v>
      </c>
      <c r="V185" s="422">
        <v>0.21075364947319031</v>
      </c>
      <c r="W185" s="422">
        <v>0.23498961329460144</v>
      </c>
      <c r="X185" s="422">
        <v>0.23016895353794098</v>
      </c>
      <c r="Y185" s="422">
        <v>0.25607272982597351</v>
      </c>
      <c r="Z185" s="422">
        <v>0.2487027496099472</v>
      </c>
      <c r="AA185" s="422">
        <v>0.28927809000015259</v>
      </c>
      <c r="AB185" s="422">
        <v>0.2044176459312439</v>
      </c>
      <c r="AC185" s="422">
        <v>0.25204992294311523</v>
      </c>
      <c r="AD185" s="422">
        <v>0.21980856359004974</v>
      </c>
      <c r="AE185" s="65">
        <f>'User Add-in Location'!B189</f>
        <v>0</v>
      </c>
      <c r="AF185" s="65">
        <f>'User Add-in Location'!C189</f>
        <v>0</v>
      </c>
      <c r="AG185" s="422">
        <v>0.252</v>
      </c>
      <c r="AH185" s="422">
        <v>0</v>
      </c>
      <c r="AI185" s="422">
        <v>0.252</v>
      </c>
      <c r="AJ185" s="422">
        <v>0.27400000000000002</v>
      </c>
      <c r="AK185" s="422">
        <v>0.19500000000000001</v>
      </c>
      <c r="AL185" s="422">
        <v>0.19400000000000001</v>
      </c>
      <c r="AM185" s="422">
        <v>0.22</v>
      </c>
      <c r="AN185" s="422">
        <v>0.22600000000000001</v>
      </c>
      <c r="AO185" s="422">
        <v>0.248</v>
      </c>
      <c r="AP185" s="422">
        <v>0.252</v>
      </c>
      <c r="AQ185" s="422">
        <v>0.247</v>
      </c>
      <c r="AR185" s="422">
        <v>0.27</v>
      </c>
      <c r="AS185" s="422">
        <v>0.26</v>
      </c>
      <c r="AT185" s="422">
        <v>0.22500000000000001</v>
      </c>
      <c r="AU185" s="422">
        <v>0.189</v>
      </c>
      <c r="AV185" s="422">
        <v>0.23899999999999999</v>
      </c>
      <c r="AW185" s="422">
        <v>0.313</v>
      </c>
      <c r="AX185" s="422">
        <v>0.33800000000000002</v>
      </c>
      <c r="AY185" s="422">
        <v>0.29899999999999999</v>
      </c>
      <c r="AZ185" s="422">
        <v>0.218</v>
      </c>
      <c r="BA185" s="422">
        <v>0.23100000000000001</v>
      </c>
      <c r="BB185" s="422">
        <v>0.23699999999999999</v>
      </c>
      <c r="BC185" s="422">
        <v>0.16900000000000001</v>
      </c>
      <c r="BD185" s="422">
        <v>0.251</v>
      </c>
      <c r="BE185" s="422">
        <v>0.20300000000000001</v>
      </c>
    </row>
    <row r="186" spans="1:57" s="382" customFormat="1" ht="15" x14ac:dyDescent="0.3">
      <c r="A186" s="275"/>
      <c r="C186" s="383" t="s">
        <v>507</v>
      </c>
      <c r="D186" s="424">
        <v>0.2142905592918396</v>
      </c>
      <c r="E186" s="422">
        <v>0.19729313254356384</v>
      </c>
      <c r="F186" s="422">
        <v>0.2654564380645752</v>
      </c>
      <c r="G186" s="422">
        <v>0.21852518618106842</v>
      </c>
      <c r="H186" s="422">
        <v>0.2679065465927124</v>
      </c>
      <c r="I186" s="422">
        <v>0.27639561891555786</v>
      </c>
      <c r="J186" s="422">
        <v>0.26412650942802429</v>
      </c>
      <c r="K186" s="422">
        <v>0.23093149065971375</v>
      </c>
      <c r="L186" s="422">
        <v>0.15840770304203033</v>
      </c>
      <c r="M186" s="422">
        <v>0.27046093344688416</v>
      </c>
      <c r="N186" s="422">
        <v>0.24379062652587891</v>
      </c>
      <c r="O186" s="422">
        <v>0.22266747057437897</v>
      </c>
      <c r="P186" s="422">
        <v>0.22714880108833313</v>
      </c>
      <c r="Q186" s="422">
        <v>0.2467280775308609</v>
      </c>
      <c r="R186" s="422">
        <v>0.20452739298343658</v>
      </c>
      <c r="S186" s="422">
        <v>0.22367793321609497</v>
      </c>
      <c r="T186" s="422">
        <v>0.2326761782169342</v>
      </c>
      <c r="U186" s="422">
        <v>0.20486548542976379</v>
      </c>
      <c r="V186" s="422">
        <v>0.18695299327373505</v>
      </c>
      <c r="W186" s="422">
        <v>0.25680744647979736</v>
      </c>
      <c r="X186" s="422">
        <v>0.24536210298538208</v>
      </c>
      <c r="Y186" s="422">
        <v>0.27282211184501648</v>
      </c>
      <c r="Z186" s="422">
        <v>0.24896757304668427</v>
      </c>
      <c r="AA186" s="422">
        <v>0.2677304744720459</v>
      </c>
      <c r="AB186" s="422">
        <v>0.18731436133384705</v>
      </c>
      <c r="AC186" s="422">
        <v>0.24563288688659668</v>
      </c>
      <c r="AD186" s="422">
        <v>0.2130391001701355</v>
      </c>
      <c r="AE186" s="65">
        <f>'User Add-in Location'!B190</f>
        <v>0</v>
      </c>
      <c r="AF186" s="65">
        <f>'User Add-in Location'!C190</f>
        <v>0</v>
      </c>
      <c r="AG186" s="422">
        <v>0.23400000000000001</v>
      </c>
      <c r="AH186" s="422">
        <v>0.16</v>
      </c>
      <c r="AI186" s="422">
        <v>0.26200000000000001</v>
      </c>
      <c r="AJ186" s="422">
        <v>0.248</v>
      </c>
      <c r="AK186" s="422">
        <v>0.215</v>
      </c>
      <c r="AL186" s="422">
        <v>0.23799999999999999</v>
      </c>
      <c r="AM186" s="422">
        <v>0.255</v>
      </c>
      <c r="AN186" s="422">
        <v>0.20100000000000001</v>
      </c>
      <c r="AO186" s="422">
        <v>0.26800000000000002</v>
      </c>
      <c r="AP186" s="422">
        <v>0.215</v>
      </c>
      <c r="AQ186" s="422">
        <v>0.222</v>
      </c>
      <c r="AR186" s="422">
        <v>0.255</v>
      </c>
      <c r="AS186" s="422">
        <v>0.28399999999999997</v>
      </c>
      <c r="AT186" s="422">
        <v>0.216</v>
      </c>
      <c r="AU186" s="422">
        <v>0.24199999999999999</v>
      </c>
      <c r="AV186" s="422">
        <v>0.22900000000000001</v>
      </c>
      <c r="AW186" s="422">
        <v>0.23499999999999999</v>
      </c>
      <c r="AX186" s="422">
        <v>0.33300000000000002</v>
      </c>
      <c r="AY186" s="422">
        <v>0.29699999999999999</v>
      </c>
      <c r="AZ186" s="422">
        <v>0.246</v>
      </c>
      <c r="BA186" s="422">
        <v>0.216</v>
      </c>
      <c r="BB186" s="422">
        <v>0.252</v>
      </c>
      <c r="BC186" s="422">
        <v>0.182</v>
      </c>
      <c r="BD186" s="422">
        <v>0.252</v>
      </c>
      <c r="BE186" s="422">
        <v>0.16700000000000001</v>
      </c>
    </row>
    <row r="187" spans="1:57" s="382" customFormat="1" ht="15" x14ac:dyDescent="0.3">
      <c r="A187" s="275"/>
      <c r="C187" s="383" t="s">
        <v>508</v>
      </c>
      <c r="D187" s="424">
        <v>0.1805867999792099</v>
      </c>
      <c r="E187" s="422">
        <v>0.17992712557315826</v>
      </c>
      <c r="F187" s="422">
        <v>0.24057823419570923</v>
      </c>
      <c r="G187" s="422">
        <v>0.17264634370803833</v>
      </c>
      <c r="H187" s="422">
        <v>0.25660115480422974</v>
      </c>
      <c r="I187" s="422">
        <v>0.24153983592987061</v>
      </c>
      <c r="J187" s="422">
        <v>0.22237907350063324</v>
      </c>
      <c r="K187" s="422">
        <v>0.21411827206611633</v>
      </c>
      <c r="L187" s="422">
        <v>0.17656992375850677</v>
      </c>
      <c r="M187" s="422">
        <v>0.25095078349113464</v>
      </c>
      <c r="N187" s="422">
        <v>0.24367813766002655</v>
      </c>
      <c r="O187" s="422">
        <v>0.19432860612869263</v>
      </c>
      <c r="P187" s="422">
        <v>0.19628050923347473</v>
      </c>
      <c r="Q187" s="422">
        <v>0.24955534934997559</v>
      </c>
      <c r="R187" s="422">
        <v>0.19110897183418274</v>
      </c>
      <c r="S187" s="422">
        <v>0.19200527667999268</v>
      </c>
      <c r="T187" s="422">
        <v>0.19482740759849548</v>
      </c>
      <c r="U187" s="422">
        <v>0.1798931360244751</v>
      </c>
      <c r="V187" s="422">
        <v>0.17230935394763947</v>
      </c>
      <c r="W187" s="422">
        <v>0.2124573290348053</v>
      </c>
      <c r="X187" s="422">
        <v>0.21377110481262207</v>
      </c>
      <c r="Y187" s="422">
        <v>0.24239002168178558</v>
      </c>
      <c r="Z187" s="422">
        <v>0.21453279256820679</v>
      </c>
      <c r="AA187" s="422">
        <v>0.23820848762989044</v>
      </c>
      <c r="AB187" s="422">
        <v>0.16474077105522156</v>
      </c>
      <c r="AC187" s="422">
        <v>0.22831250727176666</v>
      </c>
      <c r="AD187" s="422">
        <v>0.18978454172611237</v>
      </c>
      <c r="AE187" s="65">
        <f>'User Add-in Location'!B191</f>
        <v>0</v>
      </c>
      <c r="AF187" s="65">
        <f>'User Add-in Location'!C191</f>
        <v>0</v>
      </c>
      <c r="AG187" s="422">
        <v>0.21099999999999999</v>
      </c>
      <c r="AH187" s="422">
        <v>0.13100000000000001</v>
      </c>
      <c r="AI187" s="422">
        <v>0.21099999999999999</v>
      </c>
      <c r="AJ187" s="422">
        <v>0.22800000000000001</v>
      </c>
      <c r="AK187" s="422">
        <v>0.19700000000000001</v>
      </c>
      <c r="AL187" s="422">
        <v>0.23799999999999999</v>
      </c>
      <c r="AM187" s="422">
        <v>0.23300000000000001</v>
      </c>
      <c r="AN187" s="422">
        <v>0.17699999999999999</v>
      </c>
      <c r="AO187" s="422">
        <v>0.23100000000000001</v>
      </c>
      <c r="AP187" s="422">
        <v>0.193</v>
      </c>
      <c r="AQ187" s="422">
        <v>0.221</v>
      </c>
      <c r="AR187" s="422">
        <v>0.221</v>
      </c>
      <c r="AS187" s="422">
        <v>0.23300000000000001</v>
      </c>
      <c r="AT187" s="422">
        <v>0.19</v>
      </c>
      <c r="AU187" s="422">
        <v>0.19800000000000001</v>
      </c>
      <c r="AV187" s="422">
        <v>0.20799999999999999</v>
      </c>
      <c r="AW187" s="422">
        <v>0.23599999999999999</v>
      </c>
      <c r="AX187" s="422">
        <v>0.33</v>
      </c>
      <c r="AY187" s="422">
        <v>0.25</v>
      </c>
      <c r="AZ187" s="422">
        <v>0.2</v>
      </c>
      <c r="BA187" s="422">
        <v>0.20599999999999999</v>
      </c>
      <c r="BB187" s="422">
        <v>0.218</v>
      </c>
      <c r="BC187" s="422">
        <v>0.155</v>
      </c>
      <c r="BD187" s="422">
        <v>0.20899999999999999</v>
      </c>
      <c r="BE187" s="422">
        <v>0.14499999999999999</v>
      </c>
    </row>
    <row r="188" spans="1:57" s="382" customFormat="1" ht="15" x14ac:dyDescent="0.3">
      <c r="A188" s="275"/>
      <c r="C188" s="383" t="s">
        <v>48</v>
      </c>
      <c r="D188" s="424">
        <v>4.8029236495494843E-2</v>
      </c>
      <c r="E188" s="422">
        <v>2.3375576362013817E-2</v>
      </c>
      <c r="F188" s="422">
        <v>8.26534703373909E-2</v>
      </c>
      <c r="G188" s="422">
        <v>4.1748635470867157E-2</v>
      </c>
      <c r="H188" s="422">
        <v>6.0573060065507889E-2</v>
      </c>
      <c r="I188" s="422">
        <v>3.9708215743303299E-2</v>
      </c>
      <c r="J188" s="422">
        <v>9.4589978456497192E-2</v>
      </c>
      <c r="K188" s="422">
        <v>1.1564560234546661E-2</v>
      </c>
      <c r="L188" s="422">
        <v>5.4864408448338509E-3</v>
      </c>
      <c r="M188" s="422">
        <v>4.7353431582450867E-2</v>
      </c>
      <c r="N188" s="422">
        <v>9.1010583564639091E-3</v>
      </c>
      <c r="O188" s="422">
        <v>3.0645154416561127E-2</v>
      </c>
      <c r="P188" s="422">
        <v>5.4562788456678391E-2</v>
      </c>
      <c r="Q188" s="422">
        <v>2.7573063969612122E-2</v>
      </c>
      <c r="R188" s="422">
        <v>2.9885940253734589E-2</v>
      </c>
      <c r="S188" s="422">
        <v>4.1161928325891495E-2</v>
      </c>
      <c r="T188" s="422">
        <v>4.5549303293228149E-2</v>
      </c>
      <c r="U188" s="422">
        <v>4.2536981403827667E-2</v>
      </c>
      <c r="V188" s="422">
        <v>6.2863484025001526E-2</v>
      </c>
      <c r="W188" s="422">
        <v>4.8443496227264404E-2</v>
      </c>
      <c r="X188" s="422">
        <v>1.4101957902312279E-2</v>
      </c>
      <c r="Y188" s="422">
        <v>2.0891739055514336E-2</v>
      </c>
      <c r="Z188" s="422">
        <v>3.644871711730957E-2</v>
      </c>
      <c r="AA188" s="422">
        <v>8.4017202258110046E-2</v>
      </c>
      <c r="AB188" s="422">
        <v>3.262045606970787E-2</v>
      </c>
      <c r="AC188" s="422">
        <v>4.5423842966556549E-2</v>
      </c>
      <c r="AD188" s="422">
        <v>4.7970116138458252E-2</v>
      </c>
      <c r="AE188" s="65">
        <f>'User Add-in Location'!B192</f>
        <v>0</v>
      </c>
      <c r="AF188" s="65">
        <f>'User Add-in Location'!C192</f>
        <v>0</v>
      </c>
      <c r="AG188" s="422">
        <v>4.2999999999999997E-2</v>
      </c>
      <c r="AH188" s="422">
        <v>7.3999999999999996E-2</v>
      </c>
      <c r="AI188" s="422">
        <v>3.3000000000000002E-2</v>
      </c>
      <c r="AJ188" s="422">
        <v>3.1E-2</v>
      </c>
      <c r="AK188" s="422">
        <v>5.7000000000000002E-2</v>
      </c>
      <c r="AL188" s="422">
        <v>6.4000000000000001E-2</v>
      </c>
      <c r="AM188" s="422">
        <v>2.5999999999999999E-2</v>
      </c>
      <c r="AN188" s="422">
        <v>0.11700000000000001</v>
      </c>
      <c r="AO188" s="422">
        <v>3.5999999999999997E-2</v>
      </c>
      <c r="AP188" s="422">
        <v>0.105</v>
      </c>
      <c r="AQ188" s="422">
        <v>5.8000000000000003E-2</v>
      </c>
      <c r="AR188" s="422">
        <v>5.0999999999999997E-2</v>
      </c>
      <c r="AS188" s="422">
        <v>2.4E-2</v>
      </c>
      <c r="AT188" s="422">
        <v>4.2999999999999997E-2</v>
      </c>
      <c r="AU188" s="422">
        <v>0.113</v>
      </c>
      <c r="AV188" s="422">
        <v>6.0999999999999999E-2</v>
      </c>
      <c r="AW188" s="422">
        <v>0.05</v>
      </c>
      <c r="AX188" s="422">
        <v>7.1999999999999995E-2</v>
      </c>
      <c r="AY188" s="422">
        <v>3.5999999999999997E-2</v>
      </c>
      <c r="AZ188" s="422">
        <v>0.02</v>
      </c>
      <c r="BA188" s="422">
        <v>3.9E-2</v>
      </c>
      <c r="BB188" s="422">
        <v>8.7999999999999995E-2</v>
      </c>
      <c r="BC188" s="422">
        <v>4.2999999999999997E-2</v>
      </c>
      <c r="BD188" s="422">
        <v>5.8999999999999997E-2</v>
      </c>
      <c r="BE188" s="422">
        <v>4.3999999999999997E-2</v>
      </c>
    </row>
    <row r="189" spans="1:57" s="382" customFormat="1" ht="15" x14ac:dyDescent="0.3">
      <c r="A189" s="275"/>
      <c r="C189" s="383"/>
      <c r="D189" s="424"/>
      <c r="E189" s="422"/>
      <c r="F189" s="422"/>
      <c r="G189" s="422"/>
      <c r="H189" s="422"/>
      <c r="I189" s="422"/>
      <c r="J189" s="422"/>
      <c r="K189" s="422"/>
      <c r="L189" s="422"/>
      <c r="M189" s="422"/>
      <c r="N189" s="422"/>
      <c r="O189" s="422"/>
      <c r="P189" s="422"/>
      <c r="Q189" s="422"/>
      <c r="R189" s="422"/>
      <c r="S189" s="422"/>
      <c r="T189" s="422"/>
      <c r="U189" s="422"/>
      <c r="V189" s="422"/>
      <c r="W189" s="422"/>
      <c r="X189" s="422"/>
      <c r="Y189" s="422"/>
      <c r="Z189" s="422"/>
      <c r="AA189" s="422"/>
      <c r="AB189" s="422"/>
      <c r="AC189" s="422"/>
      <c r="AD189" s="422"/>
      <c r="AE189" s="65"/>
      <c r="AF189" s="65"/>
      <c r="AG189" s="422"/>
      <c r="AH189" s="422"/>
      <c r="AI189" s="422"/>
      <c r="AJ189" s="422"/>
      <c r="AK189" s="422"/>
      <c r="AL189" s="422"/>
      <c r="AM189" s="422"/>
      <c r="AN189" s="422"/>
      <c r="AO189" s="422"/>
      <c r="AP189" s="422"/>
      <c r="AQ189" s="422"/>
      <c r="AR189" s="422"/>
      <c r="AS189" s="422"/>
      <c r="AT189" s="422"/>
      <c r="AU189" s="422"/>
      <c r="AV189" s="422"/>
      <c r="AW189" s="422"/>
      <c r="AX189" s="422"/>
      <c r="AY189" s="422"/>
      <c r="AZ189" s="422"/>
      <c r="BA189" s="422"/>
      <c r="BB189" s="422"/>
      <c r="BC189" s="422"/>
      <c r="BD189" s="422"/>
      <c r="BE189" s="422"/>
    </row>
    <row r="190" spans="1:57" s="382" customFormat="1" ht="15" x14ac:dyDescent="0.3">
      <c r="A190" s="275"/>
      <c r="C190" s="384" t="s">
        <v>501</v>
      </c>
      <c r="D190" s="424"/>
      <c r="E190" s="422"/>
      <c r="F190" s="422"/>
      <c r="G190" s="422"/>
      <c r="H190" s="422"/>
      <c r="I190" s="422"/>
      <c r="J190" s="422"/>
      <c r="K190" s="422"/>
      <c r="L190" s="422"/>
      <c r="M190" s="422"/>
      <c r="N190" s="422"/>
      <c r="O190" s="422"/>
      <c r="P190" s="422"/>
      <c r="Q190" s="422"/>
      <c r="R190" s="422"/>
      <c r="S190" s="422"/>
      <c r="T190" s="422"/>
      <c r="U190" s="422"/>
      <c r="V190" s="422"/>
      <c r="W190" s="422"/>
      <c r="X190" s="422"/>
      <c r="Y190" s="422"/>
      <c r="Z190" s="422"/>
      <c r="AA190" s="422"/>
      <c r="AB190" s="422"/>
      <c r="AC190" s="422"/>
      <c r="AD190" s="422"/>
      <c r="AE190" s="65"/>
      <c r="AF190" s="65"/>
      <c r="AG190" s="422"/>
      <c r="AH190" s="422"/>
      <c r="AI190" s="422"/>
      <c r="AJ190" s="422"/>
      <c r="AK190" s="422"/>
      <c r="AL190" s="422"/>
      <c r="AM190" s="422"/>
      <c r="AN190" s="422"/>
      <c r="AO190" s="422"/>
      <c r="AP190" s="422"/>
      <c r="AQ190" s="422"/>
      <c r="AR190" s="422"/>
      <c r="AS190" s="422"/>
      <c r="AT190" s="422"/>
      <c r="AU190" s="422"/>
      <c r="AV190" s="422"/>
      <c r="AW190" s="422"/>
      <c r="AX190" s="422"/>
      <c r="AY190" s="422"/>
      <c r="AZ190" s="422"/>
      <c r="BA190" s="422"/>
      <c r="BB190" s="422"/>
      <c r="BC190" s="422"/>
      <c r="BD190" s="422"/>
      <c r="BE190" s="422"/>
    </row>
    <row r="191" spans="1:57" s="382" customFormat="1" ht="15" x14ac:dyDescent="0.3">
      <c r="A191" s="275"/>
      <c r="C191" s="384" t="s">
        <v>510</v>
      </c>
      <c r="D191" s="424" t="s">
        <v>50</v>
      </c>
      <c r="E191" s="422" t="s">
        <v>51</v>
      </c>
      <c r="F191" s="422" t="s">
        <v>52</v>
      </c>
      <c r="G191" s="422" t="s">
        <v>53</v>
      </c>
      <c r="H191" s="422" t="s">
        <v>54</v>
      </c>
      <c r="I191" s="422" t="s">
        <v>55</v>
      </c>
      <c r="J191" s="422" t="s">
        <v>56</v>
      </c>
      <c r="K191" s="422" t="s">
        <v>57</v>
      </c>
      <c r="L191" s="422" t="s">
        <v>58</v>
      </c>
      <c r="M191" s="422" t="s">
        <v>59</v>
      </c>
      <c r="N191" s="422" t="s">
        <v>60</v>
      </c>
      <c r="O191" s="422" t="s">
        <v>61</v>
      </c>
      <c r="P191" s="422" t="s">
        <v>62</v>
      </c>
      <c r="Q191" s="422" t="s">
        <v>63</v>
      </c>
      <c r="R191" s="422" t="s">
        <v>64</v>
      </c>
      <c r="S191" s="422" t="s">
        <v>65</v>
      </c>
      <c r="T191" s="422" t="s">
        <v>66</v>
      </c>
      <c r="U191" s="422" t="s">
        <v>67</v>
      </c>
      <c r="V191" s="422" t="s">
        <v>68</v>
      </c>
      <c r="W191" s="422" t="s">
        <v>69</v>
      </c>
      <c r="X191" s="422" t="s">
        <v>70</v>
      </c>
      <c r="Y191" s="422" t="s">
        <v>71</v>
      </c>
      <c r="Z191" s="422" t="s">
        <v>72</v>
      </c>
      <c r="AA191" s="422" t="s">
        <v>73</v>
      </c>
      <c r="AB191" s="422" t="s">
        <v>74</v>
      </c>
      <c r="AC191" s="422" t="s">
        <v>75</v>
      </c>
      <c r="AD191" s="422" t="s">
        <v>76</v>
      </c>
      <c r="AE191" s="65" t="s">
        <v>233</v>
      </c>
      <c r="AF191" s="65" t="s">
        <v>232</v>
      </c>
      <c r="AG191" s="422" t="s">
        <v>77</v>
      </c>
      <c r="AH191" s="422" t="s">
        <v>78</v>
      </c>
      <c r="AI191" s="422" t="s">
        <v>79</v>
      </c>
      <c r="AJ191" s="422" t="s">
        <v>80</v>
      </c>
      <c r="AK191" s="422" t="s">
        <v>81</v>
      </c>
      <c r="AL191" s="422" t="s">
        <v>82</v>
      </c>
      <c r="AM191" s="422" t="s">
        <v>83</v>
      </c>
      <c r="AN191" s="422" t="s">
        <v>84</v>
      </c>
      <c r="AO191" s="422" t="s">
        <v>85</v>
      </c>
      <c r="AP191" s="422" t="s">
        <v>86</v>
      </c>
      <c r="AQ191" s="422" t="s">
        <v>87</v>
      </c>
      <c r="AR191" s="422" t="s">
        <v>88</v>
      </c>
      <c r="AS191" s="422" t="s">
        <v>89</v>
      </c>
      <c r="AT191" s="422" t="s">
        <v>90</v>
      </c>
      <c r="AU191" s="422" t="s">
        <v>91</v>
      </c>
      <c r="AV191" s="422" t="s">
        <v>92</v>
      </c>
      <c r="AW191" s="422" t="s">
        <v>93</v>
      </c>
      <c r="AX191" s="422" t="s">
        <v>394</v>
      </c>
      <c r="AY191" s="422" t="s">
        <v>94</v>
      </c>
      <c r="AZ191" s="422" t="s">
        <v>95</v>
      </c>
      <c r="BA191" s="422" t="s">
        <v>96</v>
      </c>
      <c r="BB191" s="422" t="s">
        <v>97</v>
      </c>
      <c r="BC191" s="422" t="s">
        <v>98</v>
      </c>
      <c r="BD191" s="422" t="s">
        <v>99</v>
      </c>
      <c r="BE191" s="422" t="s">
        <v>49</v>
      </c>
    </row>
    <row r="192" spans="1:57" s="382" customFormat="1" ht="15" x14ac:dyDescent="0.3">
      <c r="A192" s="275"/>
      <c r="C192" s="383" t="s">
        <v>44</v>
      </c>
      <c r="D192" s="424">
        <v>0.14695435762405396</v>
      </c>
      <c r="E192" s="422">
        <v>0.16943886876106262</v>
      </c>
      <c r="F192" s="422">
        <v>0.18105100095272064</v>
      </c>
      <c r="G192" s="422">
        <v>0.14487454295158386</v>
      </c>
      <c r="H192" s="422">
        <v>0.26994284987449646</v>
      </c>
      <c r="I192" s="422">
        <v>0.16603229939937592</v>
      </c>
      <c r="J192" s="422">
        <v>0.14563965797424316</v>
      </c>
      <c r="K192" s="422">
        <v>0.11072543263435364</v>
      </c>
      <c r="L192" s="422">
        <v>6.4209051430225372E-2</v>
      </c>
      <c r="M192" s="422">
        <v>0.23831698298454285</v>
      </c>
      <c r="N192" s="422">
        <v>0.26043608784675598</v>
      </c>
      <c r="O192" s="422">
        <v>0.2157314121723175</v>
      </c>
      <c r="P192" s="422">
        <v>0.18045321106910706</v>
      </c>
      <c r="Q192" s="422">
        <v>0.32660102844238281</v>
      </c>
      <c r="R192" s="422">
        <v>0.18473188579082489</v>
      </c>
      <c r="S192" s="422">
        <v>0.13851013779640198</v>
      </c>
      <c r="T192" s="422">
        <v>0.14179308712482452</v>
      </c>
      <c r="U192" s="422">
        <v>0.13814008235931396</v>
      </c>
      <c r="V192" s="422">
        <v>0.16786813735961914</v>
      </c>
      <c r="W192" s="422">
        <v>0.20191450417041779</v>
      </c>
      <c r="X192" s="422">
        <v>0.13715046644210815</v>
      </c>
      <c r="Y192" s="422">
        <v>0.21960234642028809</v>
      </c>
      <c r="Z192" s="422">
        <v>0.16758643090724945</v>
      </c>
      <c r="AA192" s="422">
        <v>0.18470826745033264</v>
      </c>
      <c r="AB192" s="422">
        <v>0.14631187915802002</v>
      </c>
      <c r="AC192" s="422">
        <v>0.16454800963401794</v>
      </c>
      <c r="AD192" s="422">
        <v>0.10081103444099426</v>
      </c>
      <c r="AE192" s="65">
        <f>'User Add-in Location'!B196</f>
        <v>0</v>
      </c>
      <c r="AF192" s="65">
        <f>'User Add-in Location'!C196</f>
        <v>0</v>
      </c>
      <c r="AG192" s="422">
        <v>0.151</v>
      </c>
      <c r="AH192" s="422">
        <v>8.5999999999999993E-2</v>
      </c>
      <c r="AI192" s="422">
        <v>0.159</v>
      </c>
      <c r="AJ192" s="422">
        <v>0.25900000000000001</v>
      </c>
      <c r="AK192" s="422">
        <v>0.17599999999999999</v>
      </c>
      <c r="AL192" s="422">
        <v>0.16900000000000001</v>
      </c>
      <c r="AM192" s="422">
        <v>0.16800000000000001</v>
      </c>
      <c r="AN192" s="422">
        <v>8.4000000000000005E-2</v>
      </c>
      <c r="AO192" s="422">
        <v>0.17299999999999999</v>
      </c>
      <c r="AP192" s="422">
        <v>8.5000000000000006E-2</v>
      </c>
      <c r="AQ192" s="422">
        <v>0.217</v>
      </c>
      <c r="AR192" s="422">
        <v>0.14399999999999999</v>
      </c>
      <c r="AS192" s="422">
        <v>0.16900000000000001</v>
      </c>
      <c r="AT192" s="422">
        <v>0.14399999999999999</v>
      </c>
      <c r="AU192" s="422">
        <v>0.16200000000000001</v>
      </c>
      <c r="AV192" s="422">
        <v>0.13600000000000001</v>
      </c>
      <c r="AW192" s="422">
        <v>0.13800000000000001</v>
      </c>
      <c r="AX192" s="422">
        <v>0.38200000000000001</v>
      </c>
      <c r="AY192" s="422">
        <v>0.11</v>
      </c>
      <c r="AZ192" s="422">
        <v>0.128</v>
      </c>
      <c r="BA192" s="422">
        <v>0.107</v>
      </c>
      <c r="BB192" s="422">
        <v>0.246</v>
      </c>
      <c r="BC192" s="422">
        <v>3.3000000000000002E-2</v>
      </c>
      <c r="BD192" s="422">
        <v>0.17699999999999999</v>
      </c>
      <c r="BE192" s="422">
        <v>5.7000000000000002E-2</v>
      </c>
    </row>
    <row r="193" spans="1:57" s="382" customFormat="1" ht="15" x14ac:dyDescent="0.3">
      <c r="A193" s="275"/>
      <c r="C193" s="383" t="s">
        <v>114</v>
      </c>
      <c r="D193" s="424">
        <v>7.8433960676193237E-2</v>
      </c>
      <c r="E193" s="422">
        <v>6.1663798987865448E-2</v>
      </c>
      <c r="F193" s="422">
        <v>0.1327979564666748</v>
      </c>
      <c r="G193" s="422">
        <v>0.1095079630613327</v>
      </c>
      <c r="H193" s="422">
        <v>0.15033340454101563</v>
      </c>
      <c r="I193" s="422">
        <v>0.23160001635551453</v>
      </c>
      <c r="J193" s="422">
        <v>0.15162217617034912</v>
      </c>
      <c r="K193" s="422">
        <v>0.22407770156860352</v>
      </c>
      <c r="L193" s="422">
        <v>5.8202415704727173E-2</v>
      </c>
      <c r="M193" s="422">
        <v>0.12622272968292236</v>
      </c>
      <c r="N193" s="422">
        <v>0.16248878836631775</v>
      </c>
      <c r="O193" s="422">
        <v>0.10029493272304535</v>
      </c>
      <c r="P193" s="422">
        <v>0.10548043251037598</v>
      </c>
      <c r="Q193" s="422">
        <v>0.14187967777252197</v>
      </c>
      <c r="R193" s="422">
        <v>0.1256122887134552</v>
      </c>
      <c r="S193" s="422">
        <v>9.3402981758117676E-2</v>
      </c>
      <c r="T193" s="422">
        <v>0.1657136082649231</v>
      </c>
      <c r="U193" s="422">
        <v>8.4711678326129913E-2</v>
      </c>
      <c r="V193" s="422">
        <v>0.10700459778308868</v>
      </c>
      <c r="W193" s="422">
        <v>0.1032421737909317</v>
      </c>
      <c r="X193" s="422">
        <v>0.11847352981567383</v>
      </c>
      <c r="Y193" s="422">
        <v>0.20378664135932922</v>
      </c>
      <c r="Z193" s="422">
        <v>0.16185945272445679</v>
      </c>
      <c r="AA193" s="422">
        <v>0.15239980816841125</v>
      </c>
      <c r="AB193" s="422">
        <v>0.12186983227729797</v>
      </c>
      <c r="AC193" s="422">
        <v>0.12287691235542297</v>
      </c>
      <c r="AD193" s="422">
        <v>0.12275309860706329</v>
      </c>
      <c r="AE193" s="65">
        <f>'User Add-in Location'!B197</f>
        <v>0</v>
      </c>
      <c r="AF193" s="65">
        <f>'User Add-in Location'!C197</f>
        <v>0</v>
      </c>
      <c r="AG193" s="422">
        <v>0.12</v>
      </c>
      <c r="AH193" s="422">
        <v>7.9000000000000001E-2</v>
      </c>
      <c r="AI193" s="422">
        <v>0.125</v>
      </c>
      <c r="AJ193" s="422">
        <v>0.25</v>
      </c>
      <c r="AK193" s="422">
        <v>0.105</v>
      </c>
      <c r="AL193" s="422">
        <v>0.22800000000000001</v>
      </c>
      <c r="AM193" s="422">
        <v>8.6999999999999994E-2</v>
      </c>
      <c r="AN193" s="422">
        <v>0.112</v>
      </c>
      <c r="AO193" s="422">
        <v>0.16900000000000001</v>
      </c>
      <c r="AP193" s="422">
        <v>0.183</v>
      </c>
      <c r="AQ193" s="422">
        <v>0.127</v>
      </c>
      <c r="AR193" s="422">
        <v>0.156</v>
      </c>
      <c r="AS193" s="422">
        <v>0.156</v>
      </c>
      <c r="AT193" s="422">
        <v>8.1000000000000003E-2</v>
      </c>
      <c r="AU193" s="422">
        <v>9.5000000000000001E-2</v>
      </c>
      <c r="AV193" s="422">
        <v>0.111</v>
      </c>
      <c r="AW193" s="422">
        <v>0.185</v>
      </c>
      <c r="AX193" s="422">
        <v>0.317</v>
      </c>
      <c r="AY193" s="422">
        <v>0.157</v>
      </c>
      <c r="AZ193" s="422">
        <v>8.4000000000000005E-2</v>
      </c>
      <c r="BA193" s="422">
        <v>0.14899999999999999</v>
      </c>
      <c r="BB193" s="422">
        <v>0.106</v>
      </c>
      <c r="BC193" s="422">
        <v>8.7999999999999995E-2</v>
      </c>
      <c r="BD193" s="422">
        <v>0.12</v>
      </c>
      <c r="BE193" s="422">
        <v>5.8999999999999997E-2</v>
      </c>
    </row>
    <row r="194" spans="1:57" s="382" customFormat="1" ht="15" x14ac:dyDescent="0.3">
      <c r="A194" s="275"/>
      <c r="C194" s="383" t="s">
        <v>45</v>
      </c>
      <c r="D194" s="424">
        <v>0.16257657110691071</v>
      </c>
      <c r="E194" s="422">
        <v>0.16704371571540833</v>
      </c>
      <c r="F194" s="422">
        <v>0.22802995145320892</v>
      </c>
      <c r="G194" s="422">
        <v>0.14967960119247437</v>
      </c>
      <c r="H194" s="422">
        <v>0.27098053693771362</v>
      </c>
      <c r="I194" s="422">
        <v>0.25204044580459595</v>
      </c>
      <c r="J194" s="422">
        <v>0.24717892706394196</v>
      </c>
      <c r="K194" s="422">
        <v>0.19866189360618591</v>
      </c>
      <c r="L194" s="422">
        <v>7.2618894279003143E-2</v>
      </c>
      <c r="M194" s="422">
        <v>0.2213599681854248</v>
      </c>
      <c r="N194" s="422">
        <v>0.21921439468860626</v>
      </c>
      <c r="O194" s="422">
        <v>0.18222944438457489</v>
      </c>
      <c r="P194" s="422">
        <v>0.14605782926082611</v>
      </c>
      <c r="Q194" s="422">
        <v>0.2560582160949707</v>
      </c>
      <c r="R194" s="422">
        <v>0.18161551654338837</v>
      </c>
      <c r="S194" s="422">
        <v>0.16811162233352661</v>
      </c>
      <c r="T194" s="422">
        <v>0.17418672144412994</v>
      </c>
      <c r="U194" s="422">
        <v>0.14944685995578766</v>
      </c>
      <c r="V194" s="422">
        <v>0.15973417460918427</v>
      </c>
      <c r="W194" s="422">
        <v>0.18960605561733246</v>
      </c>
      <c r="X194" s="422">
        <v>0.22205621004104614</v>
      </c>
      <c r="Y194" s="422">
        <v>0.25230973958969116</v>
      </c>
      <c r="Z194" s="422">
        <v>0.2140694260597229</v>
      </c>
      <c r="AA194" s="422">
        <v>0.24296630918979645</v>
      </c>
      <c r="AB194" s="422">
        <v>0.12313041090965271</v>
      </c>
      <c r="AC194" s="422">
        <v>0.22124725580215454</v>
      </c>
      <c r="AD194" s="422">
        <v>0.14108279347419739</v>
      </c>
      <c r="AE194" s="65">
        <f>'User Add-in Location'!B198</f>
        <v>0</v>
      </c>
      <c r="AF194" s="65">
        <f>'User Add-in Location'!C198</f>
        <v>0</v>
      </c>
      <c r="AG194" s="422">
        <v>0.18</v>
      </c>
      <c r="AH194" s="422">
        <v>0.111</v>
      </c>
      <c r="AI194" s="422">
        <v>0.251</v>
      </c>
      <c r="AJ194" s="422">
        <v>0.26</v>
      </c>
      <c r="AK194" s="422">
        <v>0.13400000000000001</v>
      </c>
      <c r="AL194" s="422">
        <v>0.21099999999999999</v>
      </c>
      <c r="AM194" s="422">
        <v>0.20899999999999999</v>
      </c>
      <c r="AN194" s="422">
        <v>0.156</v>
      </c>
      <c r="AO194" s="422">
        <v>0.24299999999999999</v>
      </c>
      <c r="AP194" s="422">
        <v>0.17699999999999999</v>
      </c>
      <c r="AQ194" s="422">
        <v>0.21199999999999999</v>
      </c>
      <c r="AR194" s="422">
        <v>0.25700000000000001</v>
      </c>
      <c r="AS194" s="422">
        <v>0.21199999999999999</v>
      </c>
      <c r="AT194" s="422">
        <v>0.154</v>
      </c>
      <c r="AU194" s="422">
        <v>0.156</v>
      </c>
      <c r="AV194" s="422">
        <v>0.23599999999999999</v>
      </c>
      <c r="AW194" s="422">
        <v>0.23899999999999999</v>
      </c>
      <c r="AX194" s="422">
        <v>0.45900000000000002</v>
      </c>
      <c r="AY194" s="422">
        <v>0.22900000000000001</v>
      </c>
      <c r="AZ194" s="422">
        <v>0.17499999999999999</v>
      </c>
      <c r="BA194" s="422">
        <v>0.20100000000000001</v>
      </c>
      <c r="BB194" s="422">
        <v>0.221</v>
      </c>
      <c r="BC194" s="422">
        <v>0.13900000000000001</v>
      </c>
      <c r="BD194" s="422">
        <v>0.21199999999999999</v>
      </c>
      <c r="BE194" s="422">
        <v>9.2999999999999999E-2</v>
      </c>
    </row>
    <row r="195" spans="1:57" s="382" customFormat="1" ht="15" x14ac:dyDescent="0.3">
      <c r="A195" s="275"/>
      <c r="C195" s="383" t="s">
        <v>115</v>
      </c>
      <c r="D195" s="424">
        <v>8.1522606313228607E-2</v>
      </c>
      <c r="E195" s="422">
        <v>7.0284187793731689E-2</v>
      </c>
      <c r="F195" s="422">
        <v>0.15731252729892731</v>
      </c>
      <c r="G195" s="422">
        <v>8.6900874972343445E-2</v>
      </c>
      <c r="H195" s="422">
        <v>0.18117055296897888</v>
      </c>
      <c r="I195" s="422">
        <v>0.16751626133918762</v>
      </c>
      <c r="J195" s="422">
        <v>0.15976837277412415</v>
      </c>
      <c r="K195" s="422">
        <v>9.1654360294342041E-2</v>
      </c>
      <c r="L195" s="422">
        <v>4.4238001108169556E-2</v>
      </c>
      <c r="M195" s="422">
        <v>0.15497776865959167</v>
      </c>
      <c r="N195" s="422">
        <v>0.13313961029052734</v>
      </c>
      <c r="O195" s="422">
        <v>8.4594748914241791E-2</v>
      </c>
      <c r="P195" s="422">
        <v>8.4904685616493225E-2</v>
      </c>
      <c r="Q195" s="422">
        <v>0.15372282266616821</v>
      </c>
      <c r="R195" s="422">
        <v>9.0179532766342163E-2</v>
      </c>
      <c r="S195" s="422">
        <v>9.1747552156448364E-2</v>
      </c>
      <c r="T195" s="422">
        <v>0.10210518538951874</v>
      </c>
      <c r="U195" s="422">
        <v>7.5048789381980896E-2</v>
      </c>
      <c r="V195" s="422">
        <v>5.7841651141643524E-2</v>
      </c>
      <c r="W195" s="422">
        <v>0.1202458068728447</v>
      </c>
      <c r="X195" s="422">
        <v>0.12041112780570984</v>
      </c>
      <c r="Y195" s="422">
        <v>0.1592496931552887</v>
      </c>
      <c r="Z195" s="422">
        <v>0.12355758249759674</v>
      </c>
      <c r="AA195" s="422">
        <v>0.16350483894348145</v>
      </c>
      <c r="AB195" s="422">
        <v>6.471000611782074E-2</v>
      </c>
      <c r="AC195" s="422">
        <v>0.11688853800296783</v>
      </c>
      <c r="AD195" s="422">
        <v>5.9632215648889542E-2</v>
      </c>
      <c r="AE195" s="65">
        <f>'User Add-in Location'!B199</f>
        <v>0</v>
      </c>
      <c r="AF195" s="65">
        <f>'User Add-in Location'!C199</f>
        <v>0</v>
      </c>
      <c r="AG195" s="422">
        <v>9.1999999999999998E-2</v>
      </c>
      <c r="AH195" s="422">
        <v>7.2999999999999995E-2</v>
      </c>
      <c r="AI195" s="422">
        <v>0.155</v>
      </c>
      <c r="AJ195" s="422">
        <v>0.14599999999999999</v>
      </c>
      <c r="AK195" s="422">
        <v>7.0000000000000007E-2</v>
      </c>
      <c r="AL195" s="422">
        <v>0.127</v>
      </c>
      <c r="AM195" s="422">
        <v>0.112</v>
      </c>
      <c r="AN195" s="422">
        <v>7.0999999999999994E-2</v>
      </c>
      <c r="AO195" s="422">
        <v>0.13500000000000001</v>
      </c>
      <c r="AP195" s="422">
        <v>0.106</v>
      </c>
      <c r="AQ195" s="422">
        <v>0.13</v>
      </c>
      <c r="AR195" s="422">
        <v>0.14399999999999999</v>
      </c>
      <c r="AS195" s="422">
        <v>0.14299999999999999</v>
      </c>
      <c r="AT195" s="422">
        <v>8.5999999999999993E-2</v>
      </c>
      <c r="AU195" s="422">
        <v>9.2999999999999999E-2</v>
      </c>
      <c r="AV195" s="422">
        <v>0.115</v>
      </c>
      <c r="AW195" s="422">
        <v>0.128</v>
      </c>
      <c r="AX195" s="422">
        <v>0.33400000000000002</v>
      </c>
      <c r="AY195" s="422">
        <v>0.128</v>
      </c>
      <c r="AZ195" s="422">
        <v>0.104</v>
      </c>
      <c r="BA195" s="422">
        <v>0.108</v>
      </c>
      <c r="BB195" s="422">
        <v>0.125</v>
      </c>
      <c r="BC195" s="422">
        <v>6.5000000000000002E-2</v>
      </c>
      <c r="BD195" s="422">
        <v>0.13300000000000001</v>
      </c>
      <c r="BE195" s="422">
        <v>3.4000000000000002E-2</v>
      </c>
    </row>
    <row r="196" spans="1:57" s="382" customFormat="1" ht="15" x14ac:dyDescent="0.3">
      <c r="A196" s="275"/>
      <c r="C196" s="383" t="s">
        <v>503</v>
      </c>
      <c r="D196" s="424">
        <v>0.1189974844455719</v>
      </c>
      <c r="E196" s="422">
        <v>0.12072815001010895</v>
      </c>
      <c r="F196" s="422">
        <v>0.19649821519851685</v>
      </c>
      <c r="G196" s="422">
        <v>0.11577810347080231</v>
      </c>
      <c r="H196" s="422">
        <v>0.23826588690280914</v>
      </c>
      <c r="I196" s="422">
        <v>0.19340534508228302</v>
      </c>
      <c r="J196" s="422">
        <v>0.19781205058097839</v>
      </c>
      <c r="K196" s="422">
        <v>0.15288297832012177</v>
      </c>
      <c r="L196" s="422">
        <v>0</v>
      </c>
      <c r="M196" s="422">
        <v>0.19886726140975952</v>
      </c>
      <c r="N196" s="422">
        <v>0.17569643259048462</v>
      </c>
      <c r="O196" s="422">
        <v>0.14069116115570068</v>
      </c>
      <c r="P196" s="422">
        <v>0.11843212693929672</v>
      </c>
      <c r="Q196" s="422">
        <v>0.22236503660678864</v>
      </c>
      <c r="R196" s="422">
        <v>0.13514021039009094</v>
      </c>
      <c r="S196" s="422">
        <v>0.12553201615810394</v>
      </c>
      <c r="T196" s="422">
        <v>0.12918630242347717</v>
      </c>
      <c r="U196" s="422">
        <v>0.1286541223526001</v>
      </c>
      <c r="V196" s="422">
        <v>0.12093009054660797</v>
      </c>
      <c r="W196" s="422">
        <v>0.15132486820220947</v>
      </c>
      <c r="X196" s="422">
        <v>0.16935563087463379</v>
      </c>
      <c r="Y196" s="422">
        <v>0.20804065465927124</v>
      </c>
      <c r="Z196" s="422">
        <v>0.18749329447746277</v>
      </c>
      <c r="AA196" s="422">
        <v>0.2272801399230957</v>
      </c>
      <c r="AB196" s="422">
        <v>9.8223000764846802E-2</v>
      </c>
      <c r="AC196" s="422">
        <v>0.17477104067802429</v>
      </c>
      <c r="AD196" s="422">
        <v>0.11418352276086807</v>
      </c>
      <c r="AE196" s="65">
        <f>'User Add-in Location'!B200</f>
        <v>0</v>
      </c>
      <c r="AF196" s="65">
        <f>'User Add-in Location'!C200</f>
        <v>0</v>
      </c>
      <c r="AG196" s="422">
        <v>0.13</v>
      </c>
      <c r="AH196" s="422">
        <v>9.1999999999999998E-2</v>
      </c>
      <c r="AI196" s="422">
        <v>0.182</v>
      </c>
      <c r="AJ196" s="422">
        <v>0.219</v>
      </c>
      <c r="AK196" s="422">
        <v>9.5000000000000001E-2</v>
      </c>
      <c r="AL196" s="422">
        <v>0.17499999999999999</v>
      </c>
      <c r="AM196" s="422">
        <v>0.16700000000000001</v>
      </c>
      <c r="AN196" s="422">
        <v>0.106</v>
      </c>
      <c r="AO196" s="422">
        <v>0.2</v>
      </c>
      <c r="AP196" s="422">
        <v>0.13800000000000001</v>
      </c>
      <c r="AQ196" s="422">
        <v>0.16900000000000001</v>
      </c>
      <c r="AR196" s="422">
        <v>0.20300000000000001</v>
      </c>
      <c r="AS196" s="422">
        <v>0.187</v>
      </c>
      <c r="AT196" s="422">
        <v>0.13300000000000001</v>
      </c>
      <c r="AU196" s="422">
        <v>0.108</v>
      </c>
      <c r="AV196" s="422">
        <v>0.185</v>
      </c>
      <c r="AW196" s="422">
        <v>0.193</v>
      </c>
      <c r="AX196" s="422">
        <v>0.42299999999999999</v>
      </c>
      <c r="AY196" s="422">
        <v>0.18</v>
      </c>
      <c r="AZ196" s="422">
        <v>0.14499999999999999</v>
      </c>
      <c r="BA196" s="422">
        <v>0.17399999999999999</v>
      </c>
      <c r="BB196" s="422">
        <v>0.17399999999999999</v>
      </c>
      <c r="BC196" s="422">
        <v>9.8000000000000004E-2</v>
      </c>
      <c r="BD196" s="422">
        <v>0.18099999999999999</v>
      </c>
      <c r="BE196" s="422">
        <v>6.6000000000000003E-2</v>
      </c>
    </row>
    <row r="197" spans="1:57" s="382" customFormat="1" ht="15" x14ac:dyDescent="0.3">
      <c r="A197" s="275"/>
      <c r="C197" s="383" t="s">
        <v>117</v>
      </c>
      <c r="D197" s="424">
        <v>8.3106324076652527E-2</v>
      </c>
      <c r="E197" s="422">
        <v>7.8020989894866943E-2</v>
      </c>
      <c r="F197" s="422">
        <v>0.13944205641746521</v>
      </c>
      <c r="G197" s="422">
        <v>8.7123341858386993E-2</v>
      </c>
      <c r="H197" s="422">
        <v>0.19663506746292114</v>
      </c>
      <c r="I197" s="422">
        <v>0.14978982508182526</v>
      </c>
      <c r="J197" s="422">
        <v>0.16307759284973145</v>
      </c>
      <c r="K197" s="422">
        <v>0.13431957364082336</v>
      </c>
      <c r="L197" s="422">
        <v>4.6421945095062256E-2</v>
      </c>
      <c r="M197" s="422">
        <v>0.15704450011253357</v>
      </c>
      <c r="N197" s="422">
        <v>0.13171309232711792</v>
      </c>
      <c r="O197" s="422">
        <v>9.3449778854846954E-2</v>
      </c>
      <c r="P197" s="422">
        <v>7.9058989882469177E-2</v>
      </c>
      <c r="Q197" s="422">
        <v>0.15271472930908203</v>
      </c>
      <c r="R197" s="422">
        <v>9.6419759094715118E-2</v>
      </c>
      <c r="S197" s="422">
        <v>8.2246601581573486E-2</v>
      </c>
      <c r="T197" s="422">
        <v>9.4585120677947998E-2</v>
      </c>
      <c r="U197" s="422">
        <v>9.2123046517372131E-2</v>
      </c>
      <c r="V197" s="422">
        <v>8.7507441639900208E-2</v>
      </c>
      <c r="W197" s="422">
        <v>0.13477215170860291</v>
      </c>
      <c r="X197" s="422">
        <v>0.1103978157043457</v>
      </c>
      <c r="Y197" s="422">
        <v>0.18634095788002014</v>
      </c>
      <c r="Z197" s="422">
        <v>0.15367132425308228</v>
      </c>
      <c r="AA197" s="422">
        <v>0.17233195900917053</v>
      </c>
      <c r="AB197" s="422">
        <v>5.5534705519676208E-2</v>
      </c>
      <c r="AC197" s="422">
        <v>0.11145585030317307</v>
      </c>
      <c r="AD197" s="422">
        <v>6.4428478479385376E-2</v>
      </c>
      <c r="AE197" s="65">
        <f>'User Add-in Location'!B201</f>
        <v>0</v>
      </c>
      <c r="AF197" s="65">
        <f>'User Add-in Location'!C201</f>
        <v>0</v>
      </c>
      <c r="AG197" s="422">
        <v>0.08</v>
      </c>
      <c r="AH197" s="422">
        <v>7.0999999999999994E-2</v>
      </c>
      <c r="AI197" s="422">
        <v>0.22900000000000001</v>
      </c>
      <c r="AJ197" s="422">
        <v>0.193</v>
      </c>
      <c r="AK197" s="422">
        <v>6.9000000000000006E-2</v>
      </c>
      <c r="AL197" s="422">
        <v>0.13700000000000001</v>
      </c>
      <c r="AM197" s="422">
        <v>0.128</v>
      </c>
      <c r="AN197" s="422">
        <v>6.7000000000000004E-2</v>
      </c>
      <c r="AO197" s="422">
        <v>0.16500000000000001</v>
      </c>
      <c r="AP197" s="422">
        <v>0.11</v>
      </c>
      <c r="AQ197" s="422">
        <v>0.13400000000000001</v>
      </c>
      <c r="AR197" s="422">
        <v>0.161</v>
      </c>
      <c r="AS197" s="422">
        <v>0.16500000000000001</v>
      </c>
      <c r="AT197" s="422">
        <v>0.106</v>
      </c>
      <c r="AU197" s="422">
        <v>7.6999999999999999E-2</v>
      </c>
      <c r="AV197" s="422">
        <v>0.121</v>
      </c>
      <c r="AW197" s="422">
        <v>0.15</v>
      </c>
      <c r="AX197" s="422">
        <v>0.35299999999999998</v>
      </c>
      <c r="AY197" s="422">
        <v>0.13</v>
      </c>
      <c r="AZ197" s="422">
        <v>0.14399999999999999</v>
      </c>
      <c r="BA197" s="422">
        <v>0.13400000000000001</v>
      </c>
      <c r="BB197" s="422">
        <v>0.14799999999999999</v>
      </c>
      <c r="BC197" s="422">
        <v>0.10100000000000001</v>
      </c>
      <c r="BD197" s="422">
        <v>0.121</v>
      </c>
      <c r="BE197" s="422">
        <v>4.3999999999999997E-2</v>
      </c>
    </row>
    <row r="198" spans="1:57" s="382" customFormat="1" ht="15" x14ac:dyDescent="0.3">
      <c r="A198" s="275"/>
      <c r="C198" s="383" t="s">
        <v>504</v>
      </c>
      <c r="D198" s="424">
        <v>0.1262056827545166</v>
      </c>
      <c r="E198" s="422">
        <v>0</v>
      </c>
      <c r="F198" s="422">
        <v>0.17465542256832123</v>
      </c>
      <c r="G198" s="422">
        <v>0.10894099622964859</v>
      </c>
      <c r="H198" s="422">
        <v>0.22592216730117798</v>
      </c>
      <c r="I198" s="422">
        <v>0.16214773058891296</v>
      </c>
      <c r="J198" s="422">
        <v>0.16870647668838501</v>
      </c>
      <c r="K198" s="422">
        <v>0.15537196397781372</v>
      </c>
      <c r="L198" s="422">
        <v>2.8163693845272064E-2</v>
      </c>
      <c r="M198" s="422">
        <v>0.17269238829612732</v>
      </c>
      <c r="N198" s="422">
        <v>0.14244638383388519</v>
      </c>
      <c r="O198" s="422">
        <v>7.1968674659729004E-2</v>
      </c>
      <c r="P198" s="422">
        <v>0.11194542795419693</v>
      </c>
      <c r="Q198" s="422">
        <v>0.19765865802764893</v>
      </c>
      <c r="R198" s="422">
        <v>0.13070425391197205</v>
      </c>
      <c r="S198" s="422">
        <v>0.10937447845935822</v>
      </c>
      <c r="T198" s="422">
        <v>0.1207892894744873</v>
      </c>
      <c r="U198" s="422">
        <v>0.11965151131153107</v>
      </c>
      <c r="V198" s="422">
        <v>0.11250635236501694</v>
      </c>
      <c r="W198" s="422">
        <v>0.10927410423755646</v>
      </c>
      <c r="X198" s="422">
        <v>0.14522884786128998</v>
      </c>
      <c r="Y198" s="422">
        <v>0.17233827710151672</v>
      </c>
      <c r="Z198" s="422">
        <v>0.1760002076625824</v>
      </c>
      <c r="AA198" s="422">
        <v>0.18574249744415283</v>
      </c>
      <c r="AB198" s="422">
        <v>7.345397025346756E-2</v>
      </c>
      <c r="AC198" s="422">
        <v>0.14442156255245209</v>
      </c>
      <c r="AD198" s="422">
        <v>7.0093460381031036E-2</v>
      </c>
      <c r="AE198" s="65">
        <f>'User Add-in Location'!B202</f>
        <v>0</v>
      </c>
      <c r="AF198" s="65">
        <f>'User Add-in Location'!C202</f>
        <v>0</v>
      </c>
      <c r="AG198" s="422">
        <v>0.13600000000000001</v>
      </c>
      <c r="AH198" s="422">
        <v>0.08</v>
      </c>
      <c r="AI198" s="422">
        <v>0.17799999999999999</v>
      </c>
      <c r="AJ198" s="422">
        <v>0.184</v>
      </c>
      <c r="AK198" s="422">
        <v>7.2999999999999995E-2</v>
      </c>
      <c r="AL198" s="422">
        <v>0.14699999999999999</v>
      </c>
      <c r="AM198" s="422">
        <v>0.128</v>
      </c>
      <c r="AN198" s="422">
        <v>9.4E-2</v>
      </c>
      <c r="AO198" s="422">
        <v>0.16700000000000001</v>
      </c>
      <c r="AP198" s="422">
        <v>0.126</v>
      </c>
      <c r="AQ198" s="422">
        <v>7.3999999999999996E-2</v>
      </c>
      <c r="AR198" s="422">
        <v>0.17199999999999999</v>
      </c>
      <c r="AS198" s="422">
        <v>0.122</v>
      </c>
      <c r="AT198" s="422">
        <v>0.13600000000000001</v>
      </c>
      <c r="AU198" s="422">
        <v>9.9000000000000005E-2</v>
      </c>
      <c r="AV198" s="422">
        <v>0.156</v>
      </c>
      <c r="AW198" s="422">
        <v>0.156</v>
      </c>
      <c r="AX198" s="422">
        <v>0.33100000000000002</v>
      </c>
      <c r="AY198" s="422">
        <v>0.14099999999999999</v>
      </c>
      <c r="AZ198" s="422">
        <v>0.11899999999999999</v>
      </c>
      <c r="BA198" s="422">
        <v>0.13700000000000001</v>
      </c>
      <c r="BB198" s="422">
        <v>0.128</v>
      </c>
      <c r="BC198" s="422">
        <v>7.2999999999999995E-2</v>
      </c>
      <c r="BD198" s="422">
        <v>0.16500000000000001</v>
      </c>
      <c r="BE198" s="422">
        <v>5.5E-2</v>
      </c>
    </row>
    <row r="199" spans="1:57" s="382" customFormat="1" ht="15" x14ac:dyDescent="0.3">
      <c r="A199" s="275"/>
      <c r="C199" s="383" t="s">
        <v>119</v>
      </c>
      <c r="D199" s="424">
        <v>0.12244455516338348</v>
      </c>
      <c r="E199" s="422">
        <v>7.7028974890708923E-2</v>
      </c>
      <c r="F199" s="422">
        <v>0.18282629549503326</v>
      </c>
      <c r="G199" s="422">
        <v>0.13810797035694122</v>
      </c>
      <c r="H199" s="422">
        <v>0.2366940975189209</v>
      </c>
      <c r="I199" s="422">
        <v>0.22259064018726349</v>
      </c>
      <c r="J199" s="422">
        <v>0.17948919534683228</v>
      </c>
      <c r="K199" s="422">
        <v>0.15458545088768005</v>
      </c>
      <c r="L199" s="422">
        <v>7.3116473853588104E-2</v>
      </c>
      <c r="M199" s="422">
        <v>0.17954769730567932</v>
      </c>
      <c r="N199" s="422">
        <v>0.18867510557174683</v>
      </c>
      <c r="O199" s="422">
        <v>0.11996394395828247</v>
      </c>
      <c r="P199" s="422">
        <v>0.12720641493797302</v>
      </c>
      <c r="Q199" s="422">
        <v>0.23326484858989716</v>
      </c>
      <c r="R199" s="422">
        <v>0.14502677321434021</v>
      </c>
      <c r="S199" s="422">
        <v>0.12857341766357422</v>
      </c>
      <c r="T199" s="422">
        <v>0.13525965809822083</v>
      </c>
      <c r="U199" s="422">
        <v>0.1224360466003418</v>
      </c>
      <c r="V199" s="422">
        <v>0.12188777327537537</v>
      </c>
      <c r="W199" s="422">
        <v>0.14838993549346924</v>
      </c>
      <c r="X199" s="422">
        <v>0.15428227186203003</v>
      </c>
      <c r="Y199" s="422">
        <v>0.19519272446632385</v>
      </c>
      <c r="Z199" s="422">
        <v>0.17504501342773438</v>
      </c>
      <c r="AA199" s="422">
        <v>0.20915353298187256</v>
      </c>
      <c r="AB199" s="422">
        <v>9.871239960193634E-2</v>
      </c>
      <c r="AC199" s="422">
        <v>0.17297154664993286</v>
      </c>
      <c r="AD199" s="422">
        <v>0.12182376533746719</v>
      </c>
      <c r="AE199" s="65">
        <f>'User Add-in Location'!B203</f>
        <v>0</v>
      </c>
      <c r="AF199" s="65">
        <f>'User Add-in Location'!C203</f>
        <v>0</v>
      </c>
      <c r="AG199" s="422">
        <v>0.15</v>
      </c>
      <c r="AH199" s="422">
        <v>0</v>
      </c>
      <c r="AI199" s="422">
        <v>0.16400000000000001</v>
      </c>
      <c r="AJ199" s="422">
        <v>0.20499999999999999</v>
      </c>
      <c r="AK199" s="422">
        <v>0.11</v>
      </c>
      <c r="AL199" s="422">
        <v>0.19</v>
      </c>
      <c r="AM199" s="422">
        <v>0.16700000000000001</v>
      </c>
      <c r="AN199" s="422">
        <v>0.126</v>
      </c>
      <c r="AO199" s="422">
        <v>0.185</v>
      </c>
      <c r="AP199" s="422">
        <v>0.16700000000000001</v>
      </c>
      <c r="AQ199" s="422">
        <v>0.156</v>
      </c>
      <c r="AR199" s="422">
        <v>0.219</v>
      </c>
      <c r="AS199" s="422">
        <v>0.17100000000000001</v>
      </c>
      <c r="AT199" s="422">
        <v>0.11600000000000001</v>
      </c>
      <c r="AU199" s="422">
        <v>0.124</v>
      </c>
      <c r="AV199" s="422">
        <v>0.183</v>
      </c>
      <c r="AW199" s="422">
        <v>0.219</v>
      </c>
      <c r="AX199" s="422">
        <v>0.38900000000000001</v>
      </c>
      <c r="AY199" s="422">
        <v>0.21</v>
      </c>
      <c r="AZ199" s="422">
        <v>0.14399999999999999</v>
      </c>
      <c r="BA199" s="422">
        <v>0.17199999999999999</v>
      </c>
      <c r="BB199" s="422">
        <v>0.17</v>
      </c>
      <c r="BC199" s="422">
        <v>0.11600000000000001</v>
      </c>
      <c r="BD199" s="422">
        <v>0.17100000000000001</v>
      </c>
      <c r="BE199" s="422">
        <v>7.4999999999999997E-2</v>
      </c>
    </row>
    <row r="200" spans="1:57" s="382" customFormat="1" ht="15" x14ac:dyDescent="0.3">
      <c r="A200" s="275"/>
      <c r="C200" s="383" t="s">
        <v>505</v>
      </c>
      <c r="D200" s="424">
        <v>0.16844363510608673</v>
      </c>
      <c r="E200" s="422">
        <v>0.12579163908958435</v>
      </c>
      <c r="F200" s="422">
        <v>0.2669370174407959</v>
      </c>
      <c r="G200" s="422">
        <v>0.15119434893131256</v>
      </c>
      <c r="H200" s="422">
        <v>0.26744905114173889</v>
      </c>
      <c r="I200" s="422">
        <v>0.28615888953208923</v>
      </c>
      <c r="J200" s="422">
        <v>0.2412574291229248</v>
      </c>
      <c r="K200" s="422">
        <v>0.21470242738723755</v>
      </c>
      <c r="L200" s="422">
        <v>8.1826590001583099E-2</v>
      </c>
      <c r="M200" s="422">
        <v>0.26127925515174866</v>
      </c>
      <c r="N200" s="422">
        <v>0.24686667323112488</v>
      </c>
      <c r="O200" s="422">
        <v>0.18395550549030304</v>
      </c>
      <c r="P200" s="422">
        <v>0.16453522443771362</v>
      </c>
      <c r="Q200" s="422">
        <v>0.28073534369468689</v>
      </c>
      <c r="R200" s="422">
        <v>0.18622224032878876</v>
      </c>
      <c r="S200" s="422">
        <v>0.1772303581237793</v>
      </c>
      <c r="T200" s="422">
        <v>0.18031129240989685</v>
      </c>
      <c r="U200" s="422">
        <v>0.15232174098491669</v>
      </c>
      <c r="V200" s="422">
        <v>0.15615320205688477</v>
      </c>
      <c r="W200" s="422">
        <v>0.20788873732089996</v>
      </c>
      <c r="X200" s="422">
        <v>0.22185179591178894</v>
      </c>
      <c r="Y200" s="422">
        <v>0.28214854001998901</v>
      </c>
      <c r="Z200" s="422">
        <v>0.23209723830223083</v>
      </c>
      <c r="AA200" s="422">
        <v>0.29292041063308716</v>
      </c>
      <c r="AB200" s="422">
        <v>0.12728601694107056</v>
      </c>
      <c r="AC200" s="422">
        <v>0.23551227152347565</v>
      </c>
      <c r="AD200" s="422">
        <v>0.15369859337806702</v>
      </c>
      <c r="AE200" s="65">
        <f>'User Add-in Location'!B204</f>
        <v>0</v>
      </c>
      <c r="AF200" s="65">
        <f>'User Add-in Location'!C204</f>
        <v>0</v>
      </c>
      <c r="AG200" s="422">
        <v>0.185</v>
      </c>
      <c r="AH200" s="422">
        <v>0.13</v>
      </c>
      <c r="AI200" s="422">
        <v>0.27300000000000002</v>
      </c>
      <c r="AJ200" s="422">
        <v>0.26200000000000001</v>
      </c>
      <c r="AK200" s="422">
        <v>0.13500000000000001</v>
      </c>
      <c r="AL200" s="422">
        <v>0.222</v>
      </c>
      <c r="AM200" s="422">
        <v>0.24199999999999999</v>
      </c>
      <c r="AN200" s="422">
        <v>0.14399999999999999</v>
      </c>
      <c r="AO200" s="422">
        <v>0.255</v>
      </c>
      <c r="AP200" s="422">
        <v>0.16500000000000001</v>
      </c>
      <c r="AQ200" s="422">
        <v>0.224</v>
      </c>
      <c r="AR200" s="422">
        <v>0.25800000000000001</v>
      </c>
      <c r="AS200" s="422">
        <v>0.253</v>
      </c>
      <c r="AT200" s="422">
        <v>0.16800000000000001</v>
      </c>
      <c r="AU200" s="422">
        <v>0.16500000000000001</v>
      </c>
      <c r="AV200" s="422">
        <v>0.22500000000000001</v>
      </c>
      <c r="AW200" s="422">
        <v>0.23300000000000001</v>
      </c>
      <c r="AX200" s="422">
        <v>0.42699999999999999</v>
      </c>
      <c r="AY200" s="422">
        <v>0.246</v>
      </c>
      <c r="AZ200" s="422">
        <v>0.184</v>
      </c>
      <c r="BA200" s="422">
        <v>0.22800000000000001</v>
      </c>
      <c r="BB200" s="422">
        <v>0.219</v>
      </c>
      <c r="BC200" s="422">
        <v>0.13800000000000001</v>
      </c>
      <c r="BD200" s="422">
        <v>0.22800000000000001</v>
      </c>
      <c r="BE200" s="422">
        <v>9.4E-2</v>
      </c>
    </row>
    <row r="201" spans="1:57" s="382" customFormat="1" ht="15" x14ac:dyDescent="0.3">
      <c r="A201" s="275"/>
      <c r="C201" s="383" t="s">
        <v>506</v>
      </c>
      <c r="D201" s="424">
        <v>0.18322959542274475</v>
      </c>
      <c r="E201" s="422">
        <v>0.1935962438583374</v>
      </c>
      <c r="F201" s="422">
        <v>0.28919330239295959</v>
      </c>
      <c r="G201" s="422">
        <v>0.19330579042434692</v>
      </c>
      <c r="H201" s="422">
        <v>0.29936426877975464</v>
      </c>
      <c r="I201" s="422">
        <v>0.29819521307945251</v>
      </c>
      <c r="J201" s="422">
        <v>0.29025518894195557</v>
      </c>
      <c r="K201" s="422">
        <v>0.2481377124786377</v>
      </c>
      <c r="L201" s="422">
        <v>8.308236300945282E-2</v>
      </c>
      <c r="M201" s="422">
        <v>0.29952752590179443</v>
      </c>
      <c r="N201" s="422">
        <v>0.27828839421272278</v>
      </c>
      <c r="O201" s="422">
        <v>0.19907131791114807</v>
      </c>
      <c r="P201" s="422">
        <v>0.19359377026557922</v>
      </c>
      <c r="Q201" s="422">
        <v>0.30369925498962402</v>
      </c>
      <c r="R201" s="422">
        <v>0.20657289028167725</v>
      </c>
      <c r="S201" s="422">
        <v>0.19845327734947205</v>
      </c>
      <c r="T201" s="422">
        <v>0.19119261205196381</v>
      </c>
      <c r="U201" s="422">
        <v>0.20042237639427185</v>
      </c>
      <c r="V201" s="422">
        <v>0.17707586288452148</v>
      </c>
      <c r="W201" s="422">
        <v>0.24060943722724915</v>
      </c>
      <c r="X201" s="422">
        <v>0.24757009744644165</v>
      </c>
      <c r="Y201" s="422">
        <v>0.31660875678062439</v>
      </c>
      <c r="Z201" s="422">
        <v>0.24356311559677124</v>
      </c>
      <c r="AA201" s="422">
        <v>0.29411202669143677</v>
      </c>
      <c r="AB201" s="422">
        <v>0.15413376688957214</v>
      </c>
      <c r="AC201" s="422">
        <v>0.26232796907424927</v>
      </c>
      <c r="AD201" s="422">
        <v>0.20605580508708954</v>
      </c>
      <c r="AE201" s="65">
        <f>'User Add-in Location'!B205</f>
        <v>0</v>
      </c>
      <c r="AF201" s="65">
        <f>'User Add-in Location'!C205</f>
        <v>0</v>
      </c>
      <c r="AG201" s="422">
        <v>0.20300000000000001</v>
      </c>
      <c r="AH201" s="422">
        <v>9.5000000000000001E-2</v>
      </c>
      <c r="AI201" s="422">
        <v>0.312</v>
      </c>
      <c r="AJ201" s="422">
        <v>0.30099999999999999</v>
      </c>
      <c r="AK201" s="422">
        <v>0.17299999999999999</v>
      </c>
      <c r="AL201" s="422">
        <v>0.26</v>
      </c>
      <c r="AM201" s="422">
        <v>0.28299999999999997</v>
      </c>
      <c r="AN201" s="422">
        <v>0.16600000000000001</v>
      </c>
      <c r="AO201" s="422">
        <v>0.27700000000000002</v>
      </c>
      <c r="AP201" s="422">
        <v>0.21</v>
      </c>
      <c r="AQ201" s="422">
        <v>0.27900000000000003</v>
      </c>
      <c r="AR201" s="422">
        <v>0.29899999999999999</v>
      </c>
      <c r="AS201" s="422">
        <v>0.28999999999999998</v>
      </c>
      <c r="AT201" s="422">
        <v>0.19800000000000001</v>
      </c>
      <c r="AU201" s="422">
        <v>0.19</v>
      </c>
      <c r="AV201" s="422">
        <v>0.26600000000000001</v>
      </c>
      <c r="AW201" s="422">
        <v>0.25600000000000001</v>
      </c>
      <c r="AX201" s="422">
        <v>0.47299999999999998</v>
      </c>
      <c r="AY201" s="422">
        <v>0.27700000000000002</v>
      </c>
      <c r="AZ201" s="422">
        <v>0.224</v>
      </c>
      <c r="BA201" s="422">
        <v>0.24099999999999999</v>
      </c>
      <c r="BB201" s="422">
        <v>0.23699999999999999</v>
      </c>
      <c r="BC201" s="422">
        <v>0.16500000000000001</v>
      </c>
      <c r="BD201" s="422">
        <v>0.24299999999999999</v>
      </c>
      <c r="BE201" s="422">
        <v>0.115</v>
      </c>
    </row>
    <row r="202" spans="1:57" s="382" customFormat="1" ht="15" x14ac:dyDescent="0.3">
      <c r="A202" s="275"/>
      <c r="C202" s="383" t="s">
        <v>120</v>
      </c>
      <c r="D202" s="424">
        <v>0.13705578446388245</v>
      </c>
      <c r="E202" s="422">
        <v>0.10882732272148132</v>
      </c>
      <c r="F202" s="422">
        <v>0.21825411915779114</v>
      </c>
      <c r="G202" s="422">
        <v>0.11841282248497009</v>
      </c>
      <c r="H202" s="422">
        <v>0.21157951653003693</v>
      </c>
      <c r="I202" s="422">
        <v>0.21461197733879089</v>
      </c>
      <c r="J202" s="422">
        <v>0.22984540462493896</v>
      </c>
      <c r="K202" s="422">
        <v>0.1252131462097168</v>
      </c>
      <c r="L202" s="422">
        <v>5.8372329920530319E-2</v>
      </c>
      <c r="M202" s="422">
        <v>0.21680405735969543</v>
      </c>
      <c r="N202" s="422">
        <v>0.18723976612091064</v>
      </c>
      <c r="O202" s="422">
        <v>0.12715476751327515</v>
      </c>
      <c r="P202" s="422">
        <v>0.11615265905857086</v>
      </c>
      <c r="Q202" s="422">
        <v>0.21894222497940063</v>
      </c>
      <c r="R202" s="422">
        <v>0.12887722253799438</v>
      </c>
      <c r="S202" s="422">
        <v>0.13168257474899292</v>
      </c>
      <c r="T202" s="422">
        <v>0.14349478483200073</v>
      </c>
      <c r="U202" s="422">
        <v>0.132630854845047</v>
      </c>
      <c r="V202" s="422">
        <v>0.12029866874217987</v>
      </c>
      <c r="W202" s="422">
        <v>0.15303343534469604</v>
      </c>
      <c r="X202" s="422">
        <v>0.15897254645824432</v>
      </c>
      <c r="Y202" s="422">
        <v>0.24070978164672852</v>
      </c>
      <c r="Z202" s="422">
        <v>0.1738518625497818</v>
      </c>
      <c r="AA202" s="422">
        <v>0.24756315350532532</v>
      </c>
      <c r="AB202" s="422">
        <v>0.10091674327850342</v>
      </c>
      <c r="AC202" s="422">
        <v>0.17410552501678467</v>
      </c>
      <c r="AD202" s="422">
        <v>0.10854503512382507</v>
      </c>
      <c r="AE202" s="65">
        <f>'User Add-in Location'!B206</f>
        <v>0</v>
      </c>
      <c r="AF202" s="65">
        <f>'User Add-in Location'!C206</f>
        <v>0</v>
      </c>
      <c r="AG202" s="422">
        <v>0.14000000000000001</v>
      </c>
      <c r="AH202" s="422">
        <v>0</v>
      </c>
      <c r="AI202" s="422">
        <v>0.193</v>
      </c>
      <c r="AJ202" s="422">
        <v>0.20599999999999999</v>
      </c>
      <c r="AK202" s="422">
        <v>8.5999999999999993E-2</v>
      </c>
      <c r="AL202" s="422">
        <v>0.20499999999999999</v>
      </c>
      <c r="AM202" s="422">
        <v>0.20499999999999999</v>
      </c>
      <c r="AN202" s="422">
        <v>0.113</v>
      </c>
      <c r="AO202" s="422">
        <v>0.183</v>
      </c>
      <c r="AP202" s="422">
        <v>0.13800000000000001</v>
      </c>
      <c r="AQ202" s="422">
        <v>0.14699999999999999</v>
      </c>
      <c r="AR202" s="422">
        <v>0.20799999999999999</v>
      </c>
      <c r="AS202" s="422">
        <v>0.20300000000000001</v>
      </c>
      <c r="AT202" s="422">
        <v>0.153</v>
      </c>
      <c r="AU202" s="422">
        <v>0.115</v>
      </c>
      <c r="AV202" s="422">
        <v>0.189</v>
      </c>
      <c r="AW202" s="422">
        <v>0.21099999999999999</v>
      </c>
      <c r="AX202" s="422">
        <v>0.35199999999999998</v>
      </c>
      <c r="AY202" s="422">
        <v>0.16500000000000001</v>
      </c>
      <c r="AZ202" s="422">
        <v>0.13400000000000001</v>
      </c>
      <c r="BA202" s="422">
        <v>0.16</v>
      </c>
      <c r="BB202" s="422">
        <v>0.153</v>
      </c>
      <c r="BC202" s="422">
        <v>0.1</v>
      </c>
      <c r="BD202" s="422">
        <v>0.159</v>
      </c>
      <c r="BE202" s="422">
        <v>6.6000000000000003E-2</v>
      </c>
    </row>
    <row r="203" spans="1:57" s="382" customFormat="1" ht="15" x14ac:dyDescent="0.3">
      <c r="A203" s="275"/>
      <c r="C203" s="383" t="s">
        <v>507</v>
      </c>
      <c r="D203" s="424">
        <v>0.23944258689880371</v>
      </c>
      <c r="E203" s="422">
        <v>0.22477257251739502</v>
      </c>
      <c r="F203" s="422">
        <v>0.36533847451210022</v>
      </c>
      <c r="G203" s="422">
        <v>0.22180438041687012</v>
      </c>
      <c r="H203" s="422">
        <v>0.39479988813400269</v>
      </c>
      <c r="I203" s="422">
        <v>0.37909385561943054</v>
      </c>
      <c r="J203" s="422">
        <v>0.34569558501243591</v>
      </c>
      <c r="K203" s="422">
        <v>0.28201135993003845</v>
      </c>
      <c r="L203" s="422">
        <v>0.11104565858840942</v>
      </c>
      <c r="M203" s="422">
        <v>0.36904668807983398</v>
      </c>
      <c r="N203" s="422">
        <v>0.35126972198486328</v>
      </c>
      <c r="O203" s="422">
        <v>0.24790924787521362</v>
      </c>
      <c r="P203" s="422">
        <v>0.21149048209190369</v>
      </c>
      <c r="Q203" s="422">
        <v>0.38862302899360657</v>
      </c>
      <c r="R203" s="422">
        <v>0.21730071306228638</v>
      </c>
      <c r="S203" s="422">
        <v>0.22205619513988495</v>
      </c>
      <c r="T203" s="422">
        <v>0.24877393245697021</v>
      </c>
      <c r="U203" s="422">
        <v>0.22665989398956299</v>
      </c>
      <c r="V203" s="422">
        <v>0.22945226728916168</v>
      </c>
      <c r="W203" s="422">
        <v>0.28321459889411926</v>
      </c>
      <c r="X203" s="422">
        <v>0.30500665307044983</v>
      </c>
      <c r="Y203" s="422">
        <v>0.36056554317474365</v>
      </c>
      <c r="Z203" s="422">
        <v>0.32985728979110718</v>
      </c>
      <c r="AA203" s="422">
        <v>0.37004131078720093</v>
      </c>
      <c r="AB203" s="422">
        <v>0.1780647486448288</v>
      </c>
      <c r="AC203" s="422">
        <v>0.30986407399177551</v>
      </c>
      <c r="AD203" s="422">
        <v>0.21018531918525696</v>
      </c>
      <c r="AE203" s="65">
        <f>'User Add-in Location'!B207</f>
        <v>0</v>
      </c>
      <c r="AF203" s="65">
        <f>'User Add-in Location'!C207</f>
        <v>0</v>
      </c>
      <c r="AG203" s="422">
        <v>0.23499999999999999</v>
      </c>
      <c r="AH203" s="422">
        <v>0.189</v>
      </c>
      <c r="AI203" s="422">
        <v>0.32500000000000001</v>
      </c>
      <c r="AJ203" s="422">
        <v>0.36799999999999999</v>
      </c>
      <c r="AK203" s="422">
        <v>0.193</v>
      </c>
      <c r="AL203" s="422">
        <v>0.315</v>
      </c>
      <c r="AM203" s="422">
        <v>0.30199999999999999</v>
      </c>
      <c r="AN203" s="422">
        <v>0.19900000000000001</v>
      </c>
      <c r="AO203" s="422">
        <v>0.34499999999999997</v>
      </c>
      <c r="AP203" s="422">
        <v>0.23899999999999999</v>
      </c>
      <c r="AQ203" s="422">
        <v>0.25800000000000001</v>
      </c>
      <c r="AR203" s="422">
        <v>0.34699999999999998</v>
      </c>
      <c r="AS203" s="422">
        <v>0.32600000000000001</v>
      </c>
      <c r="AT203" s="422">
        <v>0.246</v>
      </c>
      <c r="AU203" s="422">
        <v>0.20499999999999999</v>
      </c>
      <c r="AV203" s="422">
        <v>0.316</v>
      </c>
      <c r="AW203" s="422">
        <v>0.33700000000000002</v>
      </c>
      <c r="AX203" s="422">
        <v>0.58499999999999996</v>
      </c>
      <c r="AY203" s="422">
        <v>0.32600000000000001</v>
      </c>
      <c r="AZ203" s="422">
        <v>0.248</v>
      </c>
      <c r="BA203" s="422">
        <v>0.32600000000000001</v>
      </c>
      <c r="BB203" s="422">
        <v>0.3</v>
      </c>
      <c r="BC203" s="422">
        <v>0.192</v>
      </c>
      <c r="BD203" s="422">
        <v>0.29099999999999998</v>
      </c>
      <c r="BE203" s="422">
        <v>0.13500000000000001</v>
      </c>
    </row>
    <row r="204" spans="1:57" s="382" customFormat="1" ht="15" x14ac:dyDescent="0.3">
      <c r="A204" s="275"/>
      <c r="C204" s="383" t="s">
        <v>508</v>
      </c>
      <c r="D204" s="424">
        <v>0.17559882998466492</v>
      </c>
      <c r="E204" s="422">
        <v>0.16427381336688995</v>
      </c>
      <c r="F204" s="422">
        <v>0.27977609634399414</v>
      </c>
      <c r="G204" s="422">
        <v>0.16360071301460266</v>
      </c>
      <c r="H204" s="422">
        <v>0.29922479391098022</v>
      </c>
      <c r="I204" s="422">
        <v>0.27801424264907837</v>
      </c>
      <c r="J204" s="422">
        <v>0.26982057094573975</v>
      </c>
      <c r="K204" s="422">
        <v>0.23269391059875488</v>
      </c>
      <c r="L204" s="422">
        <v>9.3799740076065063E-2</v>
      </c>
      <c r="M204" s="422">
        <v>0.28070777654647827</v>
      </c>
      <c r="N204" s="422">
        <v>0.25561428070068359</v>
      </c>
      <c r="O204" s="422">
        <v>0.20017318427562714</v>
      </c>
      <c r="P204" s="422">
        <v>0.1719212532043457</v>
      </c>
      <c r="Q204" s="422">
        <v>0.29516905546188354</v>
      </c>
      <c r="R204" s="422">
        <v>0.19727863371372223</v>
      </c>
      <c r="S204" s="422">
        <v>0.17515335977077484</v>
      </c>
      <c r="T204" s="422">
        <v>0.18559050559997559</v>
      </c>
      <c r="U204" s="422">
        <v>0.17944799363613129</v>
      </c>
      <c r="V204" s="422">
        <v>0.16586896777153015</v>
      </c>
      <c r="W204" s="422">
        <v>0.22994667291641235</v>
      </c>
      <c r="X204" s="422">
        <v>0.23613294959068298</v>
      </c>
      <c r="Y204" s="422">
        <v>0.29645818471908569</v>
      </c>
      <c r="Z204" s="422">
        <v>0.24805867671966553</v>
      </c>
      <c r="AA204" s="422">
        <v>0.29294490814208984</v>
      </c>
      <c r="AB204" s="422">
        <v>0.13643406331539154</v>
      </c>
      <c r="AC204" s="422">
        <v>0.24229484796524048</v>
      </c>
      <c r="AD204" s="422">
        <v>0.16404804587364197</v>
      </c>
      <c r="AE204" s="65">
        <f>'User Add-in Location'!B208</f>
        <v>0</v>
      </c>
      <c r="AF204" s="65">
        <f>'User Add-in Location'!C208</f>
        <v>0</v>
      </c>
      <c r="AG204" s="422">
        <v>0.19600000000000001</v>
      </c>
      <c r="AH204" s="422">
        <v>0.13500000000000001</v>
      </c>
      <c r="AI204" s="422">
        <v>0.26600000000000001</v>
      </c>
      <c r="AJ204" s="422">
        <v>0.28699999999999998</v>
      </c>
      <c r="AK204" s="422">
        <v>0.14299999999999999</v>
      </c>
      <c r="AL204" s="422">
        <v>0.249</v>
      </c>
      <c r="AM204" s="422">
        <v>0.251</v>
      </c>
      <c r="AN204" s="422">
        <v>0.14699999999999999</v>
      </c>
      <c r="AO204" s="422">
        <v>0.27500000000000002</v>
      </c>
      <c r="AP204" s="422">
        <v>0.17799999999999999</v>
      </c>
      <c r="AQ204" s="422">
        <v>0.24</v>
      </c>
      <c r="AR204" s="422">
        <v>0.28699999999999998</v>
      </c>
      <c r="AS204" s="422">
        <v>0.26900000000000002</v>
      </c>
      <c r="AT204" s="422">
        <v>0.17899999999999999</v>
      </c>
      <c r="AU204" s="422">
        <v>0.17599999999999999</v>
      </c>
      <c r="AV204" s="422">
        <v>0.26</v>
      </c>
      <c r="AW204" s="422">
        <v>0.248</v>
      </c>
      <c r="AX204" s="422">
        <v>0.46400000000000002</v>
      </c>
      <c r="AY204" s="422">
        <v>0.245</v>
      </c>
      <c r="AZ204" s="422">
        <v>0.20100000000000001</v>
      </c>
      <c r="BA204" s="422">
        <v>0.24199999999999999</v>
      </c>
      <c r="BB204" s="422">
        <v>0.22700000000000001</v>
      </c>
      <c r="BC204" s="422">
        <v>0.158</v>
      </c>
      <c r="BD204" s="422">
        <v>0.23200000000000001</v>
      </c>
      <c r="BE204" s="422">
        <v>9.7000000000000003E-2</v>
      </c>
    </row>
    <row r="205" spans="1:57" s="382" customFormat="1" ht="15" x14ac:dyDescent="0.3">
      <c r="A205" s="275"/>
      <c r="C205" s="383" t="s">
        <v>48</v>
      </c>
      <c r="D205" s="424">
        <v>0.26787382364273071</v>
      </c>
      <c r="E205" s="422">
        <v>0.29362332820892334</v>
      </c>
      <c r="F205" s="422">
        <v>0.39252197742462158</v>
      </c>
      <c r="G205" s="422">
        <v>0.31059432029724121</v>
      </c>
      <c r="H205" s="422">
        <v>0.43444430828094482</v>
      </c>
      <c r="I205" s="422">
        <v>0.4322318434715271</v>
      </c>
      <c r="J205" s="422">
        <v>0.34698507189750671</v>
      </c>
      <c r="K205" s="422">
        <v>0.32032841444015503</v>
      </c>
      <c r="L205" s="422">
        <v>0.10087834298610687</v>
      </c>
      <c r="M205" s="422">
        <v>0.42370465397834778</v>
      </c>
      <c r="N205" s="422">
        <v>0.43069547414779663</v>
      </c>
      <c r="O205" s="422">
        <v>0.33155107498168945</v>
      </c>
      <c r="P205" s="422">
        <v>0.28975456953048706</v>
      </c>
      <c r="Q205" s="422">
        <v>0.46909219026565552</v>
      </c>
      <c r="R205" s="422">
        <v>0.34102591872215271</v>
      </c>
      <c r="S205" s="422">
        <v>0.30507534742355347</v>
      </c>
      <c r="T205" s="422">
        <v>0.32388490438461304</v>
      </c>
      <c r="U205" s="422">
        <v>0.30099552869796753</v>
      </c>
      <c r="V205" s="422">
        <v>0.29566746950149536</v>
      </c>
      <c r="W205" s="422">
        <v>0.37814748287200928</v>
      </c>
      <c r="X205" s="422">
        <v>0.31128406524658203</v>
      </c>
      <c r="Y205" s="422">
        <v>0.32734116911888123</v>
      </c>
      <c r="Z205" s="422">
        <v>0.39598220586776733</v>
      </c>
      <c r="AA205" s="422">
        <v>0.41615670919418335</v>
      </c>
      <c r="AB205" s="422">
        <v>0.2570030689239502</v>
      </c>
      <c r="AC205" s="422">
        <v>0.39250025153160095</v>
      </c>
      <c r="AD205" s="422">
        <v>0.27951464056968689</v>
      </c>
      <c r="AE205" s="65">
        <f>'User Add-in Location'!B209</f>
        <v>0</v>
      </c>
      <c r="AF205" s="65">
        <f>'User Add-in Location'!C209</f>
        <v>0</v>
      </c>
      <c r="AG205" s="422">
        <v>0.34</v>
      </c>
      <c r="AH205" s="422">
        <v>0.223</v>
      </c>
      <c r="AI205" s="422">
        <v>0.32800000000000001</v>
      </c>
      <c r="AJ205" s="422">
        <v>0.436</v>
      </c>
      <c r="AK205" s="422">
        <v>0.192</v>
      </c>
      <c r="AL205" s="422">
        <v>0.35299999999999998</v>
      </c>
      <c r="AM205" s="422">
        <v>0.41299999999999998</v>
      </c>
      <c r="AN205" s="422">
        <v>0.251</v>
      </c>
      <c r="AO205" s="422">
        <v>0.41499999999999998</v>
      </c>
      <c r="AP205" s="422">
        <v>0.28000000000000003</v>
      </c>
      <c r="AQ205" s="422">
        <v>0.36499999999999999</v>
      </c>
      <c r="AR205" s="422">
        <v>0.41199999999999998</v>
      </c>
      <c r="AS205" s="422">
        <v>0.35099999999999998</v>
      </c>
      <c r="AT205" s="422">
        <v>0.317</v>
      </c>
      <c r="AU205" s="422">
        <v>0.28399999999999997</v>
      </c>
      <c r="AV205" s="422">
        <v>0.374</v>
      </c>
      <c r="AW205" s="422">
        <v>0.38100000000000001</v>
      </c>
      <c r="AX205" s="422">
        <v>0.63500000000000001</v>
      </c>
      <c r="AY205" s="422">
        <v>0.38700000000000001</v>
      </c>
      <c r="AZ205" s="422">
        <v>0.34300000000000003</v>
      </c>
      <c r="BA205" s="422">
        <v>0.33</v>
      </c>
      <c r="BB205" s="422">
        <v>0.34699999999999998</v>
      </c>
      <c r="BC205" s="422">
        <v>0.25</v>
      </c>
      <c r="BD205" s="422">
        <v>0.36899999999999999</v>
      </c>
      <c r="BE205" s="422">
        <v>0.193</v>
      </c>
    </row>
    <row r="206" spans="1:57" s="382" customFormat="1" x14ac:dyDescent="0.2">
      <c r="A206" s="27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422"/>
      <c r="AH206" s="422"/>
      <c r="AI206" s="422"/>
      <c r="AJ206" s="422"/>
      <c r="AK206" s="422"/>
      <c r="AL206" s="422"/>
      <c r="AM206" s="422"/>
      <c r="AN206" s="422"/>
      <c r="AO206" s="422"/>
      <c r="AP206" s="422"/>
      <c r="AQ206" s="422"/>
      <c r="AR206" s="422"/>
      <c r="AS206" s="422"/>
      <c r="AT206" s="422"/>
      <c r="AU206" s="422"/>
      <c r="AV206" s="422"/>
      <c r="AW206" s="422"/>
      <c r="AX206" s="422"/>
      <c r="AY206" s="422"/>
      <c r="AZ206" s="422"/>
      <c r="BA206" s="422"/>
      <c r="BB206" s="422"/>
      <c r="BC206" s="422"/>
      <c r="BD206" s="422"/>
      <c r="BE206" s="422"/>
    </row>
    <row r="207" spans="1:57" x14ac:dyDescent="0.2">
      <c r="C207" s="439" t="str">
        <f>CONCATENATE("Source:  IMPLAN™, using ",D2," state data.")</f>
        <v>Source:  IMPLAN™, using 2014 state data.</v>
      </c>
      <c r="D207" s="440"/>
      <c r="E207" s="440"/>
      <c r="F207" s="440"/>
      <c r="G207" s="440"/>
      <c r="H207" s="440"/>
      <c r="AG207" s="422"/>
      <c r="AH207" s="422"/>
      <c r="AI207" s="422"/>
      <c r="AJ207" s="422"/>
      <c r="AK207" s="422"/>
      <c r="AL207" s="422"/>
      <c r="AM207" s="422"/>
      <c r="AN207" s="422"/>
      <c r="AO207" s="422"/>
      <c r="AP207" s="422"/>
      <c r="AQ207" s="422"/>
      <c r="AR207" s="422"/>
      <c r="AS207" s="422"/>
      <c r="AT207" s="422"/>
      <c r="AU207" s="422"/>
      <c r="AV207" s="422"/>
      <c r="AW207" s="422"/>
      <c r="AX207" s="422"/>
      <c r="AY207" s="422"/>
      <c r="AZ207" s="422"/>
      <c r="BA207" s="422"/>
      <c r="BB207" s="422"/>
      <c r="BC207" s="422"/>
      <c r="BD207" s="422"/>
      <c r="BE207" s="422"/>
    </row>
    <row r="208" spans="1:57" x14ac:dyDescent="0.2">
      <c r="AG208" s="422"/>
      <c r="AH208" s="422"/>
      <c r="AI208" s="422"/>
      <c r="AJ208" s="422"/>
      <c r="AK208" s="422"/>
      <c r="AL208" s="422"/>
      <c r="AM208" s="422"/>
      <c r="AN208" s="422"/>
      <c r="AO208" s="422"/>
      <c r="AP208" s="422"/>
      <c r="AQ208" s="422"/>
      <c r="AR208" s="422"/>
      <c r="AS208" s="422"/>
      <c r="AT208" s="422"/>
      <c r="AU208" s="422"/>
      <c r="AV208" s="422"/>
      <c r="AW208" s="422"/>
      <c r="AX208" s="422"/>
      <c r="AY208" s="422"/>
      <c r="AZ208" s="422"/>
      <c r="BA208" s="422"/>
      <c r="BB208" s="422"/>
      <c r="BC208" s="422"/>
      <c r="BD208" s="422"/>
      <c r="BE208" s="422"/>
    </row>
    <row r="209" spans="2:57" x14ac:dyDescent="0.2">
      <c r="AG209" s="422"/>
      <c r="AH209" s="422"/>
      <c r="AI209" s="422"/>
      <c r="AJ209" s="422"/>
      <c r="AK209" s="422"/>
      <c r="AL209" s="422"/>
      <c r="AM209" s="422"/>
      <c r="AN209" s="422"/>
      <c r="AO209" s="422"/>
      <c r="AP209" s="422"/>
      <c r="AQ209" s="422"/>
      <c r="AR209" s="422"/>
      <c r="AS209" s="422"/>
      <c r="AT209" s="422"/>
      <c r="AU209" s="422"/>
      <c r="AV209" s="422"/>
      <c r="AW209" s="422"/>
      <c r="AX209" s="422"/>
      <c r="AY209" s="422"/>
      <c r="AZ209" s="422"/>
      <c r="BA209" s="422"/>
      <c r="BB209" s="422"/>
      <c r="BC209" s="422"/>
      <c r="BD209" s="422"/>
      <c r="BE209" s="422"/>
    </row>
    <row r="210" spans="2:57" x14ac:dyDescent="0.2">
      <c r="C210" s="1" t="s">
        <v>100</v>
      </c>
      <c r="AG210" s="422"/>
      <c r="AH210" s="422"/>
      <c r="AI210" s="422"/>
      <c r="AJ210" s="422"/>
      <c r="AK210" s="422"/>
      <c r="AL210" s="422"/>
      <c r="AM210" s="422"/>
      <c r="AN210" s="422"/>
      <c r="AO210" s="422"/>
      <c r="AP210" s="422"/>
      <c r="AQ210" s="422"/>
      <c r="AR210" s="422"/>
      <c r="AS210" s="422"/>
      <c r="AT210" s="422"/>
      <c r="AU210" s="422"/>
      <c r="AV210" s="422"/>
      <c r="AW210" s="422"/>
      <c r="AX210" s="422"/>
      <c r="AY210" s="422"/>
      <c r="AZ210" s="422"/>
      <c r="BA210" s="422"/>
      <c r="BB210" s="422"/>
      <c r="BC210" s="422"/>
      <c r="BD210" s="422"/>
      <c r="BE210" s="422"/>
    </row>
    <row r="211" spans="2:57" x14ac:dyDescent="0.2">
      <c r="D211" s="387" t="s">
        <v>198</v>
      </c>
      <c r="E211" s="368"/>
      <c r="F211" s="368"/>
      <c r="G211" s="368"/>
      <c r="H211" s="387" t="s">
        <v>199</v>
      </c>
      <c r="I211" s="368"/>
      <c r="J211" s="368"/>
      <c r="K211" s="368"/>
      <c r="L211" s="388" t="s">
        <v>200</v>
      </c>
      <c r="M211" s="368"/>
      <c r="N211" s="368"/>
      <c r="O211" s="368"/>
      <c r="P211" s="388" t="s">
        <v>501</v>
      </c>
      <c r="Q211" s="368"/>
      <c r="R211" s="368"/>
      <c r="S211" s="368"/>
      <c r="AG211" s="422"/>
      <c r="AH211" s="422"/>
      <c r="AI211" s="422"/>
      <c r="AJ211" s="422"/>
      <c r="AK211" s="422"/>
      <c r="AL211" s="422"/>
      <c r="AM211" s="422"/>
      <c r="AN211" s="422"/>
      <c r="AO211" s="422"/>
      <c r="AP211" s="422"/>
      <c r="AQ211" s="422"/>
      <c r="AR211" s="422"/>
      <c r="AS211" s="422"/>
      <c r="AT211" s="422"/>
      <c r="AU211" s="422"/>
      <c r="AV211" s="422"/>
      <c r="AW211" s="422"/>
      <c r="AX211" s="422"/>
      <c r="AY211" s="422"/>
      <c r="AZ211" s="422"/>
      <c r="BA211" s="422"/>
      <c r="BB211" s="422"/>
      <c r="BC211" s="422"/>
      <c r="BD211" s="422"/>
      <c r="BE211" s="422"/>
    </row>
    <row r="212" spans="2:57" x14ac:dyDescent="0.2">
      <c r="D212" s="368" t="s">
        <v>111</v>
      </c>
      <c r="E212" s="368" t="s">
        <v>112</v>
      </c>
      <c r="F212" s="368" t="s">
        <v>113</v>
      </c>
      <c r="G212" s="368" t="s">
        <v>0</v>
      </c>
      <c r="H212" s="368" t="s">
        <v>111</v>
      </c>
      <c r="I212" s="368" t="s">
        <v>112</v>
      </c>
      <c r="J212" s="368" t="s">
        <v>113</v>
      </c>
      <c r="K212" s="368" t="s">
        <v>0</v>
      </c>
      <c r="L212" s="368" t="s">
        <v>111</v>
      </c>
      <c r="M212" s="368" t="s">
        <v>112</v>
      </c>
      <c r="N212" s="368" t="s">
        <v>113</v>
      </c>
      <c r="O212" s="368" t="s">
        <v>0</v>
      </c>
      <c r="P212" s="368" t="s">
        <v>111</v>
      </c>
      <c r="Q212" s="368" t="s">
        <v>112</v>
      </c>
      <c r="R212" s="368" t="s">
        <v>113</v>
      </c>
      <c r="S212" s="368" t="s">
        <v>0</v>
      </c>
      <c r="U212" s="368" t="s">
        <v>123</v>
      </c>
      <c r="AG212" s="422"/>
      <c r="AH212" s="422"/>
      <c r="AI212" s="422"/>
      <c r="AJ212" s="422"/>
      <c r="AK212" s="422"/>
      <c r="AL212" s="422"/>
      <c r="AM212" s="422"/>
      <c r="AN212" s="422"/>
      <c r="AO212" s="422"/>
      <c r="AP212" s="422"/>
      <c r="AQ212" s="422"/>
      <c r="AR212" s="422"/>
      <c r="AS212" s="422"/>
      <c r="AT212" s="422"/>
      <c r="AU212" s="422"/>
      <c r="AV212" s="422"/>
      <c r="AW212" s="422"/>
      <c r="AX212" s="422"/>
      <c r="AY212" s="422"/>
      <c r="AZ212" s="422"/>
      <c r="BA212" s="422"/>
      <c r="BB212" s="422"/>
      <c r="BC212" s="422"/>
      <c r="BD212" s="422"/>
      <c r="BE212" s="422"/>
    </row>
    <row r="213" spans="2:57" ht="15" x14ac:dyDescent="0.2">
      <c r="B213">
        <v>2</v>
      </c>
      <c r="C213" s="6" t="s">
        <v>44</v>
      </c>
      <c r="D213" s="65">
        <f>HLOOKUP(Calculations!$E$1,Multipliers!$D$4:$BE$18,$B213)</f>
        <v>6.0869999999999997</v>
      </c>
      <c r="E213" s="65">
        <f>HLOOKUP(Calculations!$E$1,Multipliers!$D$21:$BE$35,B213)</f>
        <v>0.90800000000000003</v>
      </c>
      <c r="F213" s="65">
        <f>HLOOKUP(Calculations!$E$1,Multipliers!$D$38:$BE$52,$B213)</f>
        <v>0.66900000000000004</v>
      </c>
      <c r="G213" s="65">
        <f t="shared" ref="G213:G226" si="0">SUM(D213:F213)</f>
        <v>7.6639999999999997</v>
      </c>
      <c r="H213" s="65">
        <f>HLOOKUP(Calculations!E$1,Multipliers!$D$55:$BE$69,B213)</f>
        <v>0.19500000000000001</v>
      </c>
      <c r="I213" s="65">
        <f>HLOOKUP(Calculations!$E$1,Multipliers!$D$72:$BE$86,$B213)</f>
        <v>4.2999999999999997E-2</v>
      </c>
      <c r="J213" s="65">
        <f>HLOOKUP(Calculations!$E$1,Multipliers!$D$89:$BE$103,$B213)</f>
        <v>0.03</v>
      </c>
      <c r="K213" s="65">
        <f t="shared" ref="K213:K226" si="1">SUM(H213:J213)</f>
        <v>0.26800000000000002</v>
      </c>
      <c r="L213" s="65">
        <f>HLOOKUP(Calculations!$E$1,Multipliers!$D$106:$BE$120,$B213)</f>
        <v>1</v>
      </c>
      <c r="M213" s="65">
        <f>HLOOKUP(Calculations!$E$1,Multipliers!$D$123:$BE$137,$B213)</f>
        <v>0.19800000000000001</v>
      </c>
      <c r="N213" s="65">
        <f>HLOOKUP(Calculations!$E$1,Multipliers!$D$140:$BE$154,$B213)</f>
        <v>0.1</v>
      </c>
      <c r="O213" s="65">
        <f t="shared" ref="O213:O226" si="2">SUM(L213:N213)</f>
        <v>1.298</v>
      </c>
      <c r="P213" s="65">
        <f>HLOOKUP(Calculations!$E$1,Multipliers!$D$157:$BE$171,$B213)</f>
        <v>0.53</v>
      </c>
      <c r="Q213" s="65">
        <f>HLOOKUP(Calculations!$E$1,Multipliers!$D$174:$BE$188,$B213)</f>
        <v>0.10100000000000001</v>
      </c>
      <c r="R213" s="65">
        <f>HLOOKUP(Calculations!$E$1,Multipliers!$D$191:$BE$205,$B213)</f>
        <v>5.7000000000000002E-2</v>
      </c>
      <c r="S213" s="65">
        <f t="shared" ref="S213" si="3">SUM(P213:R213)</f>
        <v>0.68800000000000006</v>
      </c>
      <c r="U213" s="65">
        <f>HLOOKUP(Calculations!$E$1,'Household Exp'!$D$3:$BE$17,$B213)</f>
        <v>3.9891255794072527E-3</v>
      </c>
      <c r="AG213" s="422"/>
      <c r="AH213" s="422"/>
      <c r="AI213" s="422"/>
      <c r="AJ213" s="422"/>
      <c r="AK213" s="422"/>
      <c r="AL213" s="422"/>
      <c r="AM213" s="422"/>
      <c r="AN213" s="422"/>
      <c r="AO213" s="422"/>
      <c r="AP213" s="422"/>
      <c r="AQ213" s="422"/>
      <c r="AR213" s="422"/>
      <c r="AS213" s="422"/>
      <c r="AT213" s="422"/>
      <c r="AU213" s="422"/>
      <c r="AV213" s="422"/>
      <c r="AW213" s="422"/>
      <c r="AX213" s="422"/>
      <c r="AY213" s="422"/>
      <c r="AZ213" s="422"/>
      <c r="BA213" s="422"/>
      <c r="BB213" s="422"/>
      <c r="BC213" s="422"/>
      <c r="BD213" s="422"/>
      <c r="BE213" s="422"/>
    </row>
    <row r="214" spans="2:57" ht="15" x14ac:dyDescent="0.2">
      <c r="B214">
        <v>3</v>
      </c>
      <c r="C214" s="6" t="s">
        <v>114</v>
      </c>
      <c r="D214" s="65">
        <f>HLOOKUP(Calculations!$E$1,Multipliers!$D$4:$BE$18,$B214)</f>
        <v>1.6919999999999999</v>
      </c>
      <c r="E214" s="65">
        <f>HLOOKUP(Calculations!$E$1,Multipliers!$D$21:$BE$35,B214)</f>
        <v>0.88800000000000001</v>
      </c>
      <c r="F214" s="65">
        <f>HLOOKUP(Calculations!$E$1,Multipliers!$D$38:$BE$52,$B214)</f>
        <v>0.79300000000000004</v>
      </c>
      <c r="G214" s="65">
        <f t="shared" si="0"/>
        <v>3.3730000000000002</v>
      </c>
      <c r="H214" s="65">
        <f>HLOOKUP(Calculations!E$1,Multipliers!$D$55:$BE$69,B214)</f>
        <v>0.186</v>
      </c>
      <c r="I214" s="65">
        <f>HLOOKUP(Calculations!$E$1,Multipliers!$D$72:$BE$86,$B214)</f>
        <v>5.8000000000000003E-2</v>
      </c>
      <c r="J214" s="65">
        <f>HLOOKUP(Calculations!$E$1,Multipliers!$D$89:$BE$103,$B214)</f>
        <v>3.1E-2</v>
      </c>
      <c r="K214" s="65">
        <f t="shared" si="1"/>
        <v>0.27500000000000002</v>
      </c>
      <c r="L214" s="65">
        <f>HLOOKUP(Calculations!E$1,Multipliers!$D$106:$BE$120,B214)</f>
        <v>1</v>
      </c>
      <c r="M214" s="65">
        <f>HLOOKUP(Calculations!$E$1,Multipliers!$D$123:$BE$137,$B214)</f>
        <v>0.254</v>
      </c>
      <c r="N214" s="65">
        <f>HLOOKUP(Calculations!$E$1,Multipliers!$D$140:$BE$154,$B214)</f>
        <v>0.10299999999999999</v>
      </c>
      <c r="O214" s="65">
        <f t="shared" si="2"/>
        <v>1.357</v>
      </c>
      <c r="P214" s="65">
        <f>HLOOKUP(Calculations!$E$1,Multipliers!$D$157:$BE$171,$B214)</f>
        <v>0.67800000000000005</v>
      </c>
      <c r="Q214" s="65">
        <f>HLOOKUP(Calculations!$E$1,Multipliers!$D$174:$BE$188,$B214)</f>
        <v>0.151</v>
      </c>
      <c r="R214" s="65">
        <f>HLOOKUP(Calculations!$E$1,Multipliers!$D$191:$BE$205,$B214)</f>
        <v>5.8999999999999997E-2</v>
      </c>
      <c r="S214" s="65">
        <f t="shared" ref="S214:S226" si="4">SUM(P214:R214)</f>
        <v>0.88800000000000012</v>
      </c>
      <c r="U214" s="65">
        <f>HLOOKUP(Calculations!$E$1,'Household Exp'!$D$3:$BE$17,$B214)</f>
        <v>2.7073449336075241E-5</v>
      </c>
      <c r="AG214" s="422"/>
      <c r="AH214" s="422"/>
      <c r="AI214" s="422"/>
      <c r="AJ214" s="422"/>
      <c r="AK214" s="422"/>
      <c r="AL214" s="422"/>
      <c r="AM214" s="422"/>
      <c r="AN214" s="422"/>
      <c r="AO214" s="422"/>
      <c r="AP214" s="422"/>
      <c r="AQ214" s="422"/>
      <c r="AR214" s="422"/>
      <c r="AS214" s="422"/>
      <c r="AT214" s="422"/>
      <c r="AU214" s="422"/>
      <c r="AV214" s="422"/>
      <c r="AW214" s="422"/>
      <c r="AX214" s="422"/>
      <c r="AY214" s="422"/>
      <c r="AZ214" s="422"/>
      <c r="BA214" s="422"/>
      <c r="BB214" s="422"/>
      <c r="BC214" s="422"/>
      <c r="BD214" s="422"/>
      <c r="BE214" s="422"/>
    </row>
    <row r="215" spans="2:57" ht="15" x14ac:dyDescent="0.2">
      <c r="B215">
        <v>4</v>
      </c>
      <c r="C215" s="6" t="s">
        <v>45</v>
      </c>
      <c r="D215" s="65">
        <f>HLOOKUP(Calculations!$E$1,Multipliers!$D$4:$BE$18,$B215)</f>
        <v>5.1479999999999997</v>
      </c>
      <c r="E215" s="65">
        <f>HLOOKUP(Calculations!$E$1,Multipliers!$D$21:$BE$35,B215)</f>
        <v>1.91</v>
      </c>
      <c r="F215" s="65">
        <f>HLOOKUP(Calculations!$E$1,Multipliers!$D$38:$BE$52,$B215)</f>
        <v>1.2090000000000001</v>
      </c>
      <c r="G215" s="65">
        <f t="shared" si="0"/>
        <v>8.2669999999999995</v>
      </c>
      <c r="H215" s="65">
        <f>HLOOKUP(Calculations!E$1,Multipliers!$D$55:$BE$69,B215)</f>
        <v>0.30599999999999999</v>
      </c>
      <c r="I215" s="65">
        <f>HLOOKUP(Calculations!$E$1,Multipliers!$D$72:$BE$86,$B215)</f>
        <v>7.9000000000000001E-2</v>
      </c>
      <c r="J215" s="65">
        <f>HLOOKUP(Calculations!$E$1,Multipliers!$D$89:$BE$103,$B215)</f>
        <v>4.9000000000000002E-2</v>
      </c>
      <c r="K215" s="65">
        <f t="shared" si="1"/>
        <v>0.434</v>
      </c>
      <c r="L215" s="65">
        <f>HLOOKUP(Calculations!E$1,Multipliers!$D$106:$BE$120,B215)</f>
        <v>1</v>
      </c>
      <c r="M215" s="65">
        <f>HLOOKUP(Calculations!$E$1,Multipliers!$D$123:$BE$137,$B215)</f>
        <v>0.26300000000000001</v>
      </c>
      <c r="N215" s="65">
        <f>HLOOKUP(Calculations!$E$1,Multipliers!$D$140:$BE$154,$B215)</f>
        <v>0.16300000000000001</v>
      </c>
      <c r="O215" s="65">
        <f t="shared" si="2"/>
        <v>1.4259999999999999</v>
      </c>
      <c r="P215" s="65">
        <f>HLOOKUP(Calculations!$E$1,Multipliers!$D$157:$BE$171,$B215)</f>
        <v>0.48</v>
      </c>
      <c r="Q215" s="65">
        <f>HLOOKUP(Calculations!$E$1,Multipliers!$D$174:$BE$188,$B215)</f>
        <v>0.14599999999999999</v>
      </c>
      <c r="R215" s="65">
        <f>HLOOKUP(Calculations!$E$1,Multipliers!$D$191:$BE$205,$B215)</f>
        <v>9.2999999999999999E-2</v>
      </c>
      <c r="S215" s="65">
        <f t="shared" si="4"/>
        <v>0.71899999999999997</v>
      </c>
      <c r="U215" s="65">
        <f>HLOOKUP(Calculations!$E$1,'Household Exp'!$D$3:$BE$17,$B215)</f>
        <v>0</v>
      </c>
      <c r="AG215" s="422"/>
      <c r="AH215" s="422"/>
      <c r="AI215" s="422"/>
      <c r="AJ215" s="422"/>
      <c r="AK215" s="422"/>
      <c r="AL215" s="422"/>
      <c r="AM215" s="422"/>
      <c r="AN215" s="422"/>
      <c r="AO215" s="422"/>
      <c r="AP215" s="422"/>
      <c r="AQ215" s="422"/>
      <c r="AR215" s="422"/>
      <c r="AS215" s="422"/>
      <c r="AT215" s="422"/>
      <c r="AU215" s="422"/>
      <c r="AV215" s="422"/>
      <c r="AW215" s="422"/>
      <c r="AX215" s="422"/>
      <c r="AY215" s="422"/>
      <c r="AZ215" s="422"/>
      <c r="BA215" s="422"/>
      <c r="BB215" s="422"/>
      <c r="BC215" s="422"/>
      <c r="BD215" s="422"/>
      <c r="BE215" s="422"/>
    </row>
    <row r="216" spans="2:57" ht="15" x14ac:dyDescent="0.2">
      <c r="B216">
        <v>5</v>
      </c>
      <c r="C216" s="6" t="s">
        <v>115</v>
      </c>
      <c r="D216" s="65">
        <f>HLOOKUP(Calculations!$E$1,Multipliers!$D$4:$BE$18,$B216)</f>
        <v>0.7</v>
      </c>
      <c r="E216" s="65">
        <f>HLOOKUP(Calculations!$E$1,Multipliers!$D$21:$BE$35,B216)</f>
        <v>1.575</v>
      </c>
      <c r="F216" s="65">
        <f>HLOOKUP(Calculations!$E$1,Multipliers!$D$38:$BE$52,$B216)</f>
        <v>0.44900000000000001</v>
      </c>
      <c r="G216" s="65">
        <f t="shared" si="0"/>
        <v>2.7239999999999998</v>
      </c>
      <c r="H216" s="65">
        <f>HLOOKUP(Calculations!E$1,Multipliers!$D$55:$BE$69,B216)</f>
        <v>5.1999999999999998E-2</v>
      </c>
      <c r="I216" s="65">
        <f>HLOOKUP(Calculations!$E$1,Multipliers!$D$72:$BE$86,$B216)</f>
        <v>0.09</v>
      </c>
      <c r="J216" s="65">
        <f>HLOOKUP(Calculations!$E$1,Multipliers!$D$89:$BE$103,$B216)</f>
        <v>1.7999999999999999E-2</v>
      </c>
      <c r="K216" s="65">
        <f t="shared" si="1"/>
        <v>0.15999999999999998</v>
      </c>
      <c r="L216" s="65">
        <f>HLOOKUP(Calculations!E$1,Multipliers!$D$106:$BE$120,B216)</f>
        <v>1</v>
      </c>
      <c r="M216" s="65">
        <f>HLOOKUP(Calculations!$E$1,Multipliers!$D$123:$BE$137,$B216)</f>
        <v>0.39200000000000002</v>
      </c>
      <c r="N216" s="65">
        <f>HLOOKUP(Calculations!$E$1,Multipliers!$D$140:$BE$154,$B216)</f>
        <v>0.06</v>
      </c>
      <c r="O216" s="65">
        <f t="shared" si="2"/>
        <v>1.452</v>
      </c>
      <c r="P216" s="65">
        <f>HLOOKUP(Calculations!$E$1,Multipliers!$D$157:$BE$171,$B216)</f>
        <v>0.13</v>
      </c>
      <c r="Q216" s="65">
        <f>HLOOKUP(Calculations!$E$1,Multipliers!$D$174:$BE$188,$B216)</f>
        <v>0.21099999999999999</v>
      </c>
      <c r="R216" s="65">
        <f>HLOOKUP(Calculations!$E$1,Multipliers!$D$191:$BE$205,$B216)</f>
        <v>3.4000000000000002E-2</v>
      </c>
      <c r="S216" s="65">
        <f t="shared" si="4"/>
        <v>0.375</v>
      </c>
      <c r="U216" s="65">
        <f>HLOOKUP(Calculations!$E$1,'Household Exp'!$D$3:$BE$17,$B216)</f>
        <v>3.7161545013766603E-2</v>
      </c>
      <c r="AG216" s="422"/>
      <c r="AH216" s="422"/>
      <c r="AI216" s="422"/>
      <c r="AJ216" s="422"/>
      <c r="AK216" s="422"/>
      <c r="AL216" s="422"/>
      <c r="AM216" s="422"/>
      <c r="AN216" s="422"/>
      <c r="AO216" s="422"/>
      <c r="AP216" s="422"/>
      <c r="AQ216" s="422"/>
      <c r="AR216" s="422"/>
      <c r="AS216" s="422"/>
      <c r="AT216" s="422"/>
      <c r="AU216" s="422"/>
      <c r="AV216" s="422"/>
      <c r="AW216" s="422"/>
      <c r="AX216" s="422"/>
      <c r="AY216" s="422"/>
      <c r="AZ216" s="422"/>
      <c r="BA216" s="422"/>
      <c r="BB216" s="422"/>
      <c r="BC216" s="422"/>
      <c r="BD216" s="422"/>
      <c r="BE216" s="422"/>
    </row>
    <row r="217" spans="2:57" ht="15" x14ac:dyDescent="0.2">
      <c r="B217">
        <v>6</v>
      </c>
      <c r="C217" s="6" t="s">
        <v>116</v>
      </c>
      <c r="D217" s="65">
        <f>HLOOKUP(Calculations!$E$1,Multipliers!$D$4:$BE$18,$B217)</f>
        <v>3.6240000000000001</v>
      </c>
      <c r="E217" s="65">
        <f>HLOOKUP(Calculations!$E$1,Multipliers!$D$21:$BE$35,B217)</f>
        <v>1.1080000000000001</v>
      </c>
      <c r="F217" s="65">
        <f>HLOOKUP(Calculations!$E$1,Multipliers!$D$38:$BE$52,$B217)</f>
        <v>0.874</v>
      </c>
      <c r="G217" s="65">
        <f t="shared" si="0"/>
        <v>5.6059999999999999</v>
      </c>
      <c r="H217" s="65">
        <f>HLOOKUP(Calculations!E$1,Multipliers!$D$55:$BE$69,B217)</f>
        <v>0.217</v>
      </c>
      <c r="I217" s="65">
        <f>HLOOKUP(Calculations!$E$1,Multipliers!$D$72:$BE$86,$B217)</f>
        <v>5.5E-2</v>
      </c>
      <c r="J217" s="65">
        <f>HLOOKUP(Calculations!$E$1,Multipliers!$D$89:$BE$103,$B217)</f>
        <v>3.5000000000000003E-2</v>
      </c>
      <c r="K217" s="65">
        <f t="shared" si="1"/>
        <v>0.30700000000000005</v>
      </c>
      <c r="L217" s="65">
        <f>HLOOKUP(Calculations!E$1,Multipliers!$D$106:$BE$120,B217)</f>
        <v>1</v>
      </c>
      <c r="M217" s="65">
        <f>HLOOKUP(Calculations!$E$1,Multipliers!$D$123:$BE$137,$B217)</f>
        <v>0.22700000000000001</v>
      </c>
      <c r="N217" s="65">
        <f>HLOOKUP(Calculations!$E$1,Multipliers!$D$140:$BE$154,$B217)</f>
        <v>0.115</v>
      </c>
      <c r="O217" s="65">
        <f t="shared" si="2"/>
        <v>1.3420000000000001</v>
      </c>
      <c r="P217" s="65">
        <f>HLOOKUP(Calculations!$E$1,Multipliers!$D$157:$BE$171,$B217)</f>
        <v>0.30599999999999999</v>
      </c>
      <c r="Q217" s="65">
        <f>HLOOKUP(Calculations!$E$1,Multipliers!$D$174:$BE$188,$B217)</f>
        <v>0.11</v>
      </c>
      <c r="R217" s="65">
        <f>HLOOKUP(Calculations!$E$1,Multipliers!$D$191:$BE$205,$B217)</f>
        <v>6.6000000000000003E-2</v>
      </c>
      <c r="S217" s="65">
        <f t="shared" si="4"/>
        <v>0.48199999999999998</v>
      </c>
      <c r="U217" s="65">
        <f>HLOOKUP(Calculations!$E$1,'Household Exp'!$D$3:$BE$17,$B217)</f>
        <v>1.0115736886280189E-7</v>
      </c>
      <c r="AG217" s="422"/>
      <c r="AH217" s="422"/>
      <c r="AI217" s="422"/>
      <c r="AJ217" s="422"/>
      <c r="AK217" s="422"/>
      <c r="AL217" s="422"/>
      <c r="AM217" s="422"/>
      <c r="AN217" s="422"/>
      <c r="AO217" s="422"/>
      <c r="AP217" s="422"/>
      <c r="AQ217" s="422"/>
      <c r="AR217" s="422"/>
      <c r="AS217" s="422"/>
      <c r="AT217" s="422"/>
      <c r="AU217" s="422"/>
      <c r="AV217" s="422"/>
      <c r="AW217" s="422"/>
      <c r="AX217" s="422"/>
      <c r="AY217" s="422"/>
      <c r="AZ217" s="422"/>
      <c r="BA217" s="422"/>
      <c r="BB217" s="422"/>
      <c r="BC217" s="422"/>
      <c r="BD217" s="422"/>
      <c r="BE217" s="422"/>
    </row>
    <row r="218" spans="2:57" ht="15" x14ac:dyDescent="0.2">
      <c r="B218">
        <v>7</v>
      </c>
      <c r="C218" s="6" t="s">
        <v>117</v>
      </c>
      <c r="D218" s="65">
        <f>HLOOKUP(Calculations!$E$1,Multipliers!$D$4:$BE$18,$B218)</f>
        <v>2.3330000000000002</v>
      </c>
      <c r="E218" s="65">
        <f>HLOOKUP(Calculations!$E$1,Multipliers!$D$21:$BE$35,B218)</f>
        <v>1.379</v>
      </c>
      <c r="F218" s="65">
        <f>HLOOKUP(Calculations!$E$1,Multipliers!$D$38:$BE$52,$B218)</f>
        <v>0.59</v>
      </c>
      <c r="G218" s="65">
        <f t="shared" si="0"/>
        <v>4.3020000000000005</v>
      </c>
      <c r="H218" s="65">
        <f>HLOOKUP(Calculations!E$1,Multipliers!$D$55:$BE$69,B218)</f>
        <v>0.113</v>
      </c>
      <c r="I218" s="65">
        <f>HLOOKUP(Calculations!$E$1,Multipliers!$D$72:$BE$86,$B218)</f>
        <v>7.0999999999999994E-2</v>
      </c>
      <c r="J218" s="65">
        <f>HLOOKUP(Calculations!$E$1,Multipliers!$D$89:$BE$103,$B218)</f>
        <v>2.3E-2</v>
      </c>
      <c r="K218" s="65">
        <f t="shared" si="1"/>
        <v>0.20699999999999999</v>
      </c>
      <c r="L218" s="65">
        <f>HLOOKUP(Calculations!E$1,Multipliers!$D$106:$BE$120,B218)</f>
        <v>1</v>
      </c>
      <c r="M218" s="65">
        <f>HLOOKUP(Calculations!$E$1,Multipliers!$D$123:$BE$137,$B218)</f>
        <v>0.28000000000000003</v>
      </c>
      <c r="N218" s="65">
        <f>HLOOKUP(Calculations!$E$1,Multipliers!$D$140:$BE$154,$B218)</f>
        <v>7.8E-2</v>
      </c>
      <c r="O218" s="65">
        <f t="shared" si="2"/>
        <v>1.3580000000000001</v>
      </c>
      <c r="P218" s="65">
        <f>HLOOKUP(Calculations!$E$1,Multipliers!$D$157:$BE$171,$B218)</f>
        <v>0.13</v>
      </c>
      <c r="Q218" s="65">
        <f>HLOOKUP(Calculations!$E$1,Multipliers!$D$174:$BE$188,$B218)</f>
        <v>0.14000000000000001</v>
      </c>
      <c r="R218" s="65">
        <f>HLOOKUP(Calculations!$E$1,Multipliers!$D$191:$BE$205,$B218)</f>
        <v>4.3999999999999997E-2</v>
      </c>
      <c r="S218" s="65">
        <f t="shared" si="4"/>
        <v>0.314</v>
      </c>
      <c r="U218" s="65">
        <f>HLOOKUP(Calculations!$E$1,'Household Exp'!$D$3:$BE$17,$B218)</f>
        <v>2.3315833561549723E-6</v>
      </c>
      <c r="AG218" s="422"/>
      <c r="AH218" s="422"/>
      <c r="AI218" s="422"/>
      <c r="AJ218" s="422"/>
      <c r="AK218" s="422"/>
      <c r="AL218" s="422"/>
      <c r="AM218" s="422"/>
      <c r="AN218" s="422"/>
      <c r="AO218" s="422"/>
      <c r="AP218" s="422"/>
      <c r="AQ218" s="422"/>
      <c r="AR218" s="422"/>
      <c r="AS218" s="422"/>
      <c r="AT218" s="422"/>
      <c r="AU218" s="422"/>
      <c r="AV218" s="422"/>
      <c r="AW218" s="422"/>
      <c r="AX218" s="422"/>
      <c r="AY218" s="422"/>
      <c r="AZ218" s="422"/>
      <c r="BA218" s="422"/>
      <c r="BB218" s="422"/>
      <c r="BC218" s="422"/>
      <c r="BD218" s="422"/>
      <c r="BE218" s="422"/>
    </row>
    <row r="219" spans="2:57" ht="15" x14ac:dyDescent="0.2">
      <c r="B219">
        <v>8</v>
      </c>
      <c r="C219" s="6" t="s">
        <v>118</v>
      </c>
      <c r="D219" s="65">
        <f>HLOOKUP(Calculations!$E$1,Multipliers!$D$4:$BE$18,$B219)</f>
        <v>5.032</v>
      </c>
      <c r="E219" s="65">
        <f>HLOOKUP(Calculations!$E$1,Multipliers!$D$21:$BE$35,B219)</f>
        <v>1.5880000000000001</v>
      </c>
      <c r="F219" s="65">
        <f>HLOOKUP(Calculations!$E$1,Multipliers!$D$38:$BE$52,$B219)</f>
        <v>0.72899999999999998</v>
      </c>
      <c r="G219" s="65">
        <f t="shared" si="0"/>
        <v>7.3490000000000002</v>
      </c>
      <c r="H219" s="65">
        <f>HLOOKUP(Calculations!E$1,Multipliers!$D$55:$BE$69,B219)</f>
        <v>0.14399999999999999</v>
      </c>
      <c r="I219" s="65">
        <f>HLOOKUP(Calculations!$E$1,Multipliers!$D$72:$BE$86,$B219)</f>
        <v>8.1000000000000003E-2</v>
      </c>
      <c r="J219" s="65">
        <f>HLOOKUP(Calculations!$E$1,Multipliers!$D$89:$BE$103,$B219)</f>
        <v>2.9000000000000001E-2</v>
      </c>
      <c r="K219" s="65">
        <f t="shared" si="1"/>
        <v>0.254</v>
      </c>
      <c r="L219" s="65">
        <f>HLOOKUP(Calculations!E$1,Multipliers!$D$106:$BE$120,B219)</f>
        <v>1</v>
      </c>
      <c r="M219" s="65">
        <f>HLOOKUP(Calculations!$E$1,Multipliers!$D$123:$BE$137,$B219)</f>
        <v>0.29099999999999998</v>
      </c>
      <c r="N219" s="65">
        <f>HLOOKUP(Calculations!$E$1,Multipliers!$D$140:$BE$154,$B219)</f>
        <v>9.6000000000000002E-2</v>
      </c>
      <c r="O219" s="65">
        <f t="shared" si="2"/>
        <v>1.387</v>
      </c>
      <c r="P219" s="65">
        <f>HLOOKUP(Calculations!$E$1,Multipliers!$D$157:$BE$171,$B219)</f>
        <v>0.185</v>
      </c>
      <c r="Q219" s="65">
        <f>HLOOKUP(Calculations!$E$1,Multipliers!$D$174:$BE$188,$B219)</f>
        <v>0.154</v>
      </c>
      <c r="R219" s="65">
        <f>HLOOKUP(Calculations!$E$1,Multipliers!$D$191:$BE$205,$B219)</f>
        <v>5.5E-2</v>
      </c>
      <c r="S219" s="65">
        <f t="shared" si="4"/>
        <v>0.39399999999999996</v>
      </c>
      <c r="U219" s="65">
        <f>HLOOKUP(Calculations!$E$1,'Household Exp'!$D$3:$BE$17,$B219)</f>
        <v>3.1135596668867438E-9</v>
      </c>
      <c r="AG219" s="422"/>
      <c r="AH219" s="422"/>
      <c r="AI219" s="422"/>
      <c r="AJ219" s="422"/>
      <c r="AK219" s="422"/>
      <c r="AL219" s="422"/>
      <c r="AM219" s="422"/>
      <c r="AN219" s="422"/>
      <c r="AO219" s="422"/>
      <c r="AP219" s="422"/>
      <c r="AQ219" s="422"/>
      <c r="AR219" s="422"/>
      <c r="AS219" s="422"/>
      <c r="AT219" s="422"/>
      <c r="AU219" s="422"/>
      <c r="AV219" s="422"/>
      <c r="AW219" s="422"/>
      <c r="AX219" s="422"/>
      <c r="AY219" s="422"/>
      <c r="AZ219" s="422"/>
      <c r="BA219" s="422"/>
      <c r="BB219" s="422"/>
      <c r="BC219" s="422"/>
      <c r="BD219" s="422"/>
      <c r="BE219" s="422"/>
    </row>
    <row r="220" spans="2:57" ht="15" x14ac:dyDescent="0.2">
      <c r="B220">
        <v>9</v>
      </c>
      <c r="C220" s="6" t="s">
        <v>119</v>
      </c>
      <c r="D220" s="65">
        <f>HLOOKUP(Calculations!$E$1,Multipliers!$D$4:$BE$18,$B220)</f>
        <v>2.1110000000000002</v>
      </c>
      <c r="E220" s="65">
        <f>HLOOKUP(Calculations!$E$1,Multipliers!$D$21:$BE$35,B220)</f>
        <v>1.712</v>
      </c>
      <c r="F220" s="65">
        <f>HLOOKUP(Calculations!$E$1,Multipliers!$D$38:$BE$52,$B220)</f>
        <v>0.97899999999999998</v>
      </c>
      <c r="G220" s="65">
        <f t="shared" si="0"/>
        <v>4.8020000000000005</v>
      </c>
      <c r="H220" s="65">
        <f>HLOOKUP(Calculations!E$1,Multipliers!$D$55:$BE$69,B220)</f>
        <v>0.20599999999999999</v>
      </c>
      <c r="I220" s="65">
        <f>HLOOKUP(Calculations!$E$1,Multipliers!$D$72:$BE$86,$B220)</f>
        <v>0.10199999999999999</v>
      </c>
      <c r="J220" s="65">
        <f>HLOOKUP(Calculations!$E$1,Multipliers!$D$89:$BE$103,$B220)</f>
        <v>3.9E-2</v>
      </c>
      <c r="K220" s="65">
        <f t="shared" si="1"/>
        <v>0.34699999999999998</v>
      </c>
      <c r="L220" s="65">
        <f>HLOOKUP(Calculations!E$1,Multipliers!$D$106:$BE$120,B220)</f>
        <v>1</v>
      </c>
      <c r="M220" s="65">
        <f>HLOOKUP(Calculations!$E$1,Multipliers!$D$123:$BE$137,$B220)</f>
        <v>0.41099999999999998</v>
      </c>
      <c r="N220" s="65">
        <f>HLOOKUP(Calculations!$E$1,Multipliers!$D$140:$BE$154,$B220)</f>
        <v>0.13</v>
      </c>
      <c r="O220" s="65">
        <f t="shared" si="2"/>
        <v>1.5409999999999999</v>
      </c>
      <c r="P220" s="65">
        <f>HLOOKUP(Calculations!$E$1,Multipliers!$D$157:$BE$171,$B220)</f>
        <v>0.45300000000000001</v>
      </c>
      <c r="Q220" s="65">
        <f>HLOOKUP(Calculations!$E$1,Multipliers!$D$174:$BE$188,$B220)</f>
        <v>0.224</v>
      </c>
      <c r="R220" s="65">
        <f>HLOOKUP(Calculations!$E$1,Multipliers!$D$191:$BE$205,$B220)</f>
        <v>7.4999999999999997E-2</v>
      </c>
      <c r="S220" s="65">
        <f t="shared" si="4"/>
        <v>0.752</v>
      </c>
      <c r="U220" s="65">
        <f>HLOOKUP(Calculations!$E$1,'Household Exp'!$D$3:$BE$17,$B220)</f>
        <v>5.4995100851340302E-2</v>
      </c>
      <c r="AG220" s="422"/>
      <c r="AH220" s="422"/>
      <c r="AI220" s="422"/>
      <c r="AJ220" s="422"/>
      <c r="AK220" s="422"/>
      <c r="AL220" s="422"/>
      <c r="AM220" s="422"/>
      <c r="AN220" s="422"/>
      <c r="AO220" s="422"/>
      <c r="AP220" s="422"/>
      <c r="AQ220" s="422"/>
      <c r="AR220" s="422"/>
      <c r="AS220" s="422"/>
      <c r="AT220" s="422"/>
      <c r="AU220" s="422"/>
      <c r="AV220" s="422"/>
      <c r="AW220" s="422"/>
      <c r="AX220" s="422"/>
      <c r="AY220" s="422"/>
      <c r="AZ220" s="422"/>
      <c r="BA220" s="422"/>
      <c r="BB220" s="422"/>
      <c r="BC220" s="422"/>
      <c r="BD220" s="422"/>
      <c r="BE220" s="422"/>
    </row>
    <row r="221" spans="2:57" ht="15" x14ac:dyDescent="0.2">
      <c r="B221">
        <v>10</v>
      </c>
      <c r="C221" s="6" t="s">
        <v>46</v>
      </c>
      <c r="D221" s="65">
        <f>HLOOKUP(Calculations!$E$1,Multipliers!$D$4:$BE$18,$B221)</f>
        <v>3.5230000000000001</v>
      </c>
      <c r="E221" s="65">
        <f>HLOOKUP(Calculations!$E$1,Multipliers!$D$21:$BE$35,B221)</f>
        <v>1.51</v>
      </c>
      <c r="F221" s="65">
        <f>HLOOKUP(Calculations!$E$1,Multipliers!$D$38:$BE$52,$B221)</f>
        <v>1.101</v>
      </c>
      <c r="G221" s="65">
        <f t="shared" si="0"/>
        <v>6.1340000000000003</v>
      </c>
      <c r="H221" s="65">
        <f>HLOOKUP(Calculations!E$1,Multipliers!$D$55:$BE$69,B221)</f>
        <v>0.315</v>
      </c>
      <c r="I221" s="65">
        <f>HLOOKUP(Calculations!$E$1,Multipliers!$D$72:$BE$86,$B221)</f>
        <v>7.3999999999999996E-2</v>
      </c>
      <c r="J221" s="65">
        <f>HLOOKUP(Calculations!$E$1,Multipliers!$D$89:$BE$103,$B221)</f>
        <v>4.9000000000000002E-2</v>
      </c>
      <c r="K221" s="65">
        <f t="shared" si="1"/>
        <v>0.438</v>
      </c>
      <c r="L221" s="65">
        <f>HLOOKUP(Calculations!E$1,Multipliers!$D$106:$BE$120,B221)</f>
        <v>1</v>
      </c>
      <c r="M221" s="65">
        <f>HLOOKUP(Calculations!$E$1,Multipliers!$D$123:$BE$137,$B221)</f>
        <v>0.24399999999999999</v>
      </c>
      <c r="N221" s="65">
        <f>HLOOKUP(Calculations!$E$1,Multipliers!$D$140:$BE$154,$B221)</f>
        <v>0.16500000000000001</v>
      </c>
      <c r="O221" s="65">
        <f t="shared" si="2"/>
        <v>1.409</v>
      </c>
      <c r="P221" s="65">
        <f>HLOOKUP(Calculations!$E$1,Multipliers!$D$157:$BE$171,$B221)</f>
        <v>0.64700000000000002</v>
      </c>
      <c r="Q221" s="65">
        <f>HLOOKUP(Calculations!$E$1,Multipliers!$D$174:$BE$188,$B221)</f>
        <v>0.14099999999999999</v>
      </c>
      <c r="R221" s="65">
        <f>HLOOKUP(Calculations!$E$1,Multipliers!$D$191:$BE$205,$B221)</f>
        <v>9.4E-2</v>
      </c>
      <c r="S221" s="65">
        <f t="shared" si="4"/>
        <v>0.88200000000000001</v>
      </c>
      <c r="U221" s="65">
        <f>HLOOKUP(Calculations!$E$1,'Household Exp'!$D$3:$BE$17,$B221)</f>
        <v>4.2292843003780459E-2</v>
      </c>
      <c r="AG221" s="422"/>
      <c r="AH221" s="422"/>
      <c r="AI221" s="422"/>
      <c r="AJ221" s="422"/>
      <c r="AK221" s="422"/>
      <c r="AL221" s="422"/>
      <c r="AM221" s="422"/>
      <c r="AN221" s="422"/>
      <c r="AO221" s="422"/>
      <c r="AP221" s="422"/>
      <c r="AQ221" s="422"/>
      <c r="AR221" s="422"/>
      <c r="AS221" s="422"/>
      <c r="AT221" s="422"/>
      <c r="AU221" s="422"/>
      <c r="AV221" s="422"/>
      <c r="AW221" s="422"/>
      <c r="AX221" s="422"/>
      <c r="AY221" s="422"/>
      <c r="AZ221" s="422"/>
      <c r="BA221" s="422"/>
      <c r="BB221" s="422"/>
      <c r="BC221" s="422"/>
      <c r="BD221" s="422"/>
      <c r="BE221" s="422"/>
    </row>
    <row r="222" spans="2:57" ht="15" x14ac:dyDescent="0.2">
      <c r="B222">
        <v>11</v>
      </c>
      <c r="C222" s="6" t="s">
        <v>47</v>
      </c>
      <c r="D222" s="65">
        <f>HLOOKUP(Calculations!$E$1,Multipliers!$D$4:$BE$18,$B222)</f>
        <v>12.39</v>
      </c>
      <c r="E222" s="65">
        <f>HLOOKUP(Calculations!$E$1,Multipliers!$D$21:$BE$35,B222)</f>
        <v>1.71</v>
      </c>
      <c r="F222" s="65">
        <f>HLOOKUP(Calculations!$E$1,Multipliers!$D$38:$BE$52,$B222)</f>
        <v>1.466</v>
      </c>
      <c r="G222" s="65">
        <f t="shared" si="0"/>
        <v>15.566000000000001</v>
      </c>
      <c r="H222" s="65">
        <f>HLOOKUP(Calculations!E$1,Multipliers!$D$55:$BE$69,B222)</f>
        <v>0.4</v>
      </c>
      <c r="I222" s="65">
        <f>HLOOKUP(Calculations!$E$1,Multipliers!$D$72:$BE$86,$B222)</f>
        <v>7.3999999999999996E-2</v>
      </c>
      <c r="J222" s="65">
        <f>HLOOKUP(Calculations!$E$1,Multipliers!$D$89:$BE$103,$B222)</f>
        <v>0.06</v>
      </c>
      <c r="K222" s="65">
        <f t="shared" si="1"/>
        <v>0.53400000000000003</v>
      </c>
      <c r="L222" s="65">
        <f>HLOOKUP(Calculations!E$1,Multipliers!$D$106:$BE$120,B222)</f>
        <v>1</v>
      </c>
      <c r="M222" s="65">
        <f>HLOOKUP(Calculations!$E$1,Multipliers!$D$123:$BE$137,$B222)</f>
        <v>0.26500000000000001</v>
      </c>
      <c r="N222" s="65">
        <f>HLOOKUP(Calculations!$E$1,Multipliers!$D$140:$BE$154,$B222)</f>
        <v>0.2</v>
      </c>
      <c r="O222" s="65">
        <f t="shared" si="2"/>
        <v>1.4650000000000001</v>
      </c>
      <c r="P222" s="65">
        <f>HLOOKUP(Calculations!$E$1,Multipliers!$D$157:$BE$171,$B222)</f>
        <v>0.64100000000000001</v>
      </c>
      <c r="Q222" s="65">
        <f>HLOOKUP(Calculations!$E$1,Multipliers!$D$174:$BE$188,$B222)</f>
        <v>0.14899999999999999</v>
      </c>
      <c r="R222" s="65">
        <f>HLOOKUP(Calculations!$E$1,Multipliers!$D$191:$BE$205,$B222)</f>
        <v>0.115</v>
      </c>
      <c r="S222" s="65">
        <f t="shared" si="4"/>
        <v>0.90500000000000003</v>
      </c>
      <c r="U222" s="65">
        <f>HLOOKUP(Calculations!$E$1,'Household Exp'!$D$3:$BE$17,$B222)</f>
        <v>0.11536867431151465</v>
      </c>
      <c r="AG222" s="422"/>
      <c r="AH222" s="422"/>
      <c r="AI222" s="422"/>
      <c r="AJ222" s="422"/>
      <c r="AK222" s="422"/>
      <c r="AL222" s="422"/>
      <c r="AM222" s="422"/>
      <c r="AN222" s="422"/>
      <c r="AO222" s="422"/>
      <c r="AP222" s="422"/>
      <c r="AQ222" s="422"/>
      <c r="AR222" s="422"/>
      <c r="AS222" s="422"/>
      <c r="AT222" s="422"/>
      <c r="AU222" s="422"/>
      <c r="AV222" s="422"/>
      <c r="AW222" s="422"/>
      <c r="AX222" s="422"/>
      <c r="AY222" s="422"/>
      <c r="AZ222" s="422"/>
      <c r="BA222" s="422"/>
      <c r="BB222" s="422"/>
      <c r="BC222" s="422"/>
      <c r="BD222" s="422"/>
      <c r="BE222" s="422"/>
    </row>
    <row r="223" spans="2:57" ht="15" x14ac:dyDescent="0.2">
      <c r="B223">
        <v>12</v>
      </c>
      <c r="C223" s="6" t="s">
        <v>120</v>
      </c>
      <c r="D223" s="65">
        <f>HLOOKUP(Calculations!$E$1,Multipliers!$D$4:$BE$18,$B223)</f>
        <v>5.6959999999999997</v>
      </c>
      <c r="E223" s="65">
        <f>HLOOKUP(Calculations!$E$1,Multipliers!$D$21:$BE$35,B223)</f>
        <v>2.2930000000000001</v>
      </c>
      <c r="F223" s="65">
        <f>HLOOKUP(Calculations!$E$1,Multipliers!$D$38:$BE$52,$B223)</f>
        <v>0.85599999999999998</v>
      </c>
      <c r="G223" s="65">
        <f t="shared" si="0"/>
        <v>8.8450000000000006</v>
      </c>
      <c r="H223" s="65">
        <f>HLOOKUP(Calculations!E$1,Multipliers!$D$55:$BE$69,B223)</f>
        <v>0.18</v>
      </c>
      <c r="I223" s="65">
        <f>HLOOKUP(Calculations!$E$1,Multipliers!$D$72:$BE$86,$B223)</f>
        <v>9.1999999999999998E-2</v>
      </c>
      <c r="J223" s="65">
        <f>HLOOKUP(Calculations!$E$1,Multipliers!$D$89:$BE$103,$B223)</f>
        <v>3.4000000000000002E-2</v>
      </c>
      <c r="K223" s="65">
        <f t="shared" si="1"/>
        <v>0.30600000000000005</v>
      </c>
      <c r="L223" s="65">
        <f>HLOOKUP(Calculations!E$1,Multipliers!$D$106:$BE$120,B223)</f>
        <v>1</v>
      </c>
      <c r="M223" s="65">
        <f>HLOOKUP(Calculations!$E$1,Multipliers!$D$123:$BE$137,$B223)</f>
        <v>0.37</v>
      </c>
      <c r="N223" s="65">
        <f>HLOOKUP(Calculations!$E$1,Multipliers!$D$140:$BE$154,$B223)</f>
        <v>0.115</v>
      </c>
      <c r="O223" s="65">
        <f t="shared" si="2"/>
        <v>1.4850000000000001</v>
      </c>
      <c r="P223" s="65">
        <f>HLOOKUP(Calculations!$E$1,Multipliers!$D$157:$BE$171,$B223)</f>
        <v>0.53900000000000003</v>
      </c>
      <c r="Q223" s="65">
        <f>HLOOKUP(Calculations!$E$1,Multipliers!$D$174:$BE$188,$B223)</f>
        <v>0.20300000000000001</v>
      </c>
      <c r="R223" s="65">
        <f>HLOOKUP(Calculations!$E$1,Multipliers!$D$191:$BE$205,$B223)</f>
        <v>6.6000000000000003E-2</v>
      </c>
      <c r="S223" s="65">
        <f t="shared" si="4"/>
        <v>0.80800000000000005</v>
      </c>
      <c r="U223" s="65">
        <f>HLOOKUP(Calculations!$E$1,'Household Exp'!$D$3:$BE$17,$B223)</f>
        <v>0.13304344274062907</v>
      </c>
      <c r="AG223" s="422"/>
      <c r="AH223" s="422"/>
      <c r="AI223" s="422"/>
      <c r="AJ223" s="422"/>
      <c r="AK223" s="422"/>
      <c r="AL223" s="422"/>
      <c r="AM223" s="422"/>
      <c r="AN223" s="422"/>
      <c r="AO223" s="422"/>
      <c r="AP223" s="422"/>
      <c r="AQ223" s="422"/>
      <c r="AR223" s="422"/>
      <c r="AS223" s="422"/>
      <c r="AT223" s="422"/>
      <c r="AU223" s="422"/>
      <c r="AV223" s="422"/>
      <c r="AW223" s="422"/>
      <c r="AX223" s="422"/>
      <c r="AY223" s="422"/>
      <c r="AZ223" s="422"/>
      <c r="BA223" s="422"/>
      <c r="BB223" s="422"/>
      <c r="BC223" s="422"/>
      <c r="BD223" s="422"/>
      <c r="BE223" s="422"/>
    </row>
    <row r="224" spans="2:57" ht="15" x14ac:dyDescent="0.2">
      <c r="B224">
        <v>13</v>
      </c>
      <c r="C224" s="6" t="s">
        <v>121</v>
      </c>
      <c r="D224" s="65">
        <f>HLOOKUP(Calculations!$E$1,Multipliers!$D$4:$BE$18,$B224)</f>
        <v>6.6980000000000004</v>
      </c>
      <c r="E224" s="65">
        <f>HLOOKUP(Calculations!$E$1,Multipliers!$D$21:$BE$35,B224)</f>
        <v>1.843</v>
      </c>
      <c r="F224" s="65">
        <f>HLOOKUP(Calculations!$E$1,Multipliers!$D$38:$BE$52,$B224)</f>
        <v>1.599</v>
      </c>
      <c r="G224" s="65">
        <f t="shared" si="0"/>
        <v>10.14</v>
      </c>
      <c r="H224" s="65">
        <f>HLOOKUP(Calculations!E$1,Multipliers!$D$55:$BE$69,B224)</f>
        <v>0.46800000000000003</v>
      </c>
      <c r="I224" s="65">
        <f>HLOOKUP(Calculations!$E$1,Multipliers!$D$72:$BE$86,$B224)</f>
        <v>9.0999999999999998E-2</v>
      </c>
      <c r="J224" s="65">
        <f>HLOOKUP(Calculations!$E$1,Multipliers!$D$89:$BE$103,$B224)</f>
        <v>7.0999999999999994E-2</v>
      </c>
      <c r="K224" s="65">
        <f t="shared" si="1"/>
        <v>0.63</v>
      </c>
      <c r="L224" s="65">
        <f>HLOOKUP(Calculations!E$1,Multipliers!$D$106:$BE$120,B224)</f>
        <v>1</v>
      </c>
      <c r="M224" s="65">
        <f>HLOOKUP(Calculations!$E$1,Multipliers!$D$123:$BE$137,$B224)</f>
        <v>0.29799999999999999</v>
      </c>
      <c r="N224" s="65">
        <f>HLOOKUP(Calculations!$E$1,Multipliers!$D$140:$BE$154,$B224)</f>
        <v>0.23599999999999999</v>
      </c>
      <c r="O224" s="65">
        <f t="shared" si="2"/>
        <v>1.534</v>
      </c>
      <c r="P224" s="65">
        <f>HLOOKUP(Calculations!$E$1,Multipliers!$D$157:$BE$171,$B224)</f>
        <v>0.55000000000000004</v>
      </c>
      <c r="Q224" s="65">
        <f>HLOOKUP(Calculations!$E$1,Multipliers!$D$174:$BE$188,$B224)</f>
        <v>0.16700000000000001</v>
      </c>
      <c r="R224" s="65">
        <f>HLOOKUP(Calculations!$E$1,Multipliers!$D$191:$BE$205,$B224)</f>
        <v>0.13500000000000001</v>
      </c>
      <c r="S224" s="65">
        <f t="shared" si="4"/>
        <v>0.85200000000000009</v>
      </c>
      <c r="U224" s="65">
        <f>HLOOKUP(Calculations!$E$1,'Household Exp'!$D$3:$BE$17,$B224)</f>
        <v>0.59607374860948092</v>
      </c>
      <c r="AG224" s="422"/>
      <c r="AH224" s="422"/>
      <c r="AI224" s="422"/>
      <c r="AJ224" s="422"/>
      <c r="AK224" s="422"/>
      <c r="AL224" s="422"/>
      <c r="AM224" s="422"/>
      <c r="AN224" s="422"/>
      <c r="AO224" s="422"/>
      <c r="AP224" s="422"/>
      <c r="AQ224" s="422"/>
      <c r="AR224" s="422"/>
      <c r="AS224" s="422"/>
      <c r="AT224" s="422"/>
      <c r="AU224" s="422"/>
      <c r="AV224" s="422"/>
      <c r="AW224" s="422"/>
      <c r="AX224" s="422"/>
      <c r="AY224" s="422"/>
      <c r="AZ224" s="422"/>
      <c r="BA224" s="422"/>
      <c r="BB224" s="422"/>
      <c r="BC224" s="422"/>
      <c r="BD224" s="422"/>
      <c r="BE224" s="422"/>
    </row>
    <row r="225" spans="2:57" ht="15" x14ac:dyDescent="0.2">
      <c r="B225">
        <v>14</v>
      </c>
      <c r="C225" s="6" t="s">
        <v>122</v>
      </c>
      <c r="D225" s="65">
        <f>HLOOKUP(Calculations!$E$1,Multipliers!$D$4:$BE$18,$B225)</f>
        <v>8.3439999999999994</v>
      </c>
      <c r="E225" s="65">
        <f>HLOOKUP(Calculations!$E$1,Multipliers!$D$21:$BE$35,B225)</f>
        <v>1.722</v>
      </c>
      <c r="F225" s="65">
        <f>HLOOKUP(Calculations!$E$1,Multipliers!$D$38:$BE$52,$B225)</f>
        <v>1.2430000000000001</v>
      </c>
      <c r="G225" s="65">
        <f t="shared" si="0"/>
        <v>11.308999999999999</v>
      </c>
      <c r="H225" s="65">
        <f>HLOOKUP(Calculations!E$1,Multipliers!$D$55:$BE$69,B225)</f>
        <v>0.32500000000000001</v>
      </c>
      <c r="I225" s="65">
        <f>HLOOKUP(Calculations!$E$1,Multipliers!$D$72:$BE$86,$B225)</f>
        <v>7.3999999999999996E-2</v>
      </c>
      <c r="J225" s="65">
        <f>HLOOKUP(Calculations!$E$1,Multipliers!$D$89:$BE$103,$B225)</f>
        <v>5.0999999999999997E-2</v>
      </c>
      <c r="K225" s="65">
        <f t="shared" si="1"/>
        <v>0.45</v>
      </c>
      <c r="L225" s="65">
        <f>HLOOKUP(Calculations!E$1,Multipliers!$D$106:$BE$120,B225)</f>
        <v>1</v>
      </c>
      <c r="M225" s="65">
        <f>HLOOKUP(Calculations!$E$1,Multipliers!$D$123:$BE$137,$B225)</f>
        <v>0.26100000000000001</v>
      </c>
      <c r="N225" s="65">
        <f>HLOOKUP(Calculations!$E$1,Multipliers!$D$140:$BE$154,$B225)</f>
        <v>0.16900000000000001</v>
      </c>
      <c r="O225" s="65">
        <f t="shared" si="2"/>
        <v>1.4300000000000002</v>
      </c>
      <c r="P225" s="65">
        <f>HLOOKUP(Calculations!$E$1,Multipliers!$D$157:$BE$171,$B225)</f>
        <v>0.59799999999999998</v>
      </c>
      <c r="Q225" s="65">
        <f>HLOOKUP(Calculations!$E$1,Multipliers!$D$174:$BE$188,$B225)</f>
        <v>0.14499999999999999</v>
      </c>
      <c r="R225" s="65">
        <f>HLOOKUP(Calculations!$E$1,Multipliers!$D$191:$BE$205,$B225)</f>
        <v>9.7000000000000003E-2</v>
      </c>
      <c r="S225" s="65">
        <f t="shared" si="4"/>
        <v>0.84</v>
      </c>
      <c r="U225" s="65">
        <f>HLOOKUP(Calculations!$E$1,'Household Exp'!$D$3:$BE$17,$B225)</f>
        <v>6.5448973259970827E-3</v>
      </c>
      <c r="AG225" s="422"/>
      <c r="AH225" s="422"/>
      <c r="AI225" s="422"/>
      <c r="AJ225" s="422"/>
      <c r="AK225" s="422"/>
      <c r="AL225" s="422"/>
      <c r="AM225" s="422"/>
      <c r="AN225" s="422"/>
      <c r="AO225" s="422"/>
      <c r="AP225" s="422"/>
      <c r="AQ225" s="422"/>
      <c r="AR225" s="422"/>
      <c r="AS225" s="422"/>
      <c r="AT225" s="422"/>
      <c r="AU225" s="422"/>
      <c r="AV225" s="422"/>
      <c r="AW225" s="422"/>
      <c r="AX225" s="422"/>
      <c r="AY225" s="422"/>
      <c r="AZ225" s="422"/>
      <c r="BA225" s="422"/>
      <c r="BB225" s="422"/>
      <c r="BC225" s="422"/>
      <c r="BD225" s="422"/>
      <c r="BE225" s="422"/>
    </row>
    <row r="226" spans="2:57" ht="15" x14ac:dyDescent="0.2">
      <c r="B226">
        <v>15</v>
      </c>
      <c r="C226" s="6" t="s">
        <v>48</v>
      </c>
      <c r="D226" s="65">
        <f>HLOOKUP(Calculations!$E$1,Multipliers!$D$4:$BE$18,$B226)</f>
        <v>10.039</v>
      </c>
      <c r="E226" s="65">
        <f>HLOOKUP(Calculations!$E$1,Multipliers!$D$21:$BE$35,B226)</f>
        <v>0.40799999999999997</v>
      </c>
      <c r="F226" s="65">
        <f>HLOOKUP(Calculations!$E$1,Multipliers!$D$38:$BE$52,$B226)</f>
        <v>2.194</v>
      </c>
      <c r="G226" s="65">
        <f t="shared" si="0"/>
        <v>12.640999999999998</v>
      </c>
      <c r="H226" s="65">
        <f>HLOOKUP(Calculations!E$1,Multipliers!$D$55:$BE$69,B226)</f>
        <v>0.77</v>
      </c>
      <c r="I226" s="65">
        <f>HLOOKUP(Calculations!$E$1,Multipliers!$D$72:$BE$86,$B226)</f>
        <v>2.3E-2</v>
      </c>
      <c r="J226" s="65">
        <f>HLOOKUP(Calculations!$E$1,Multipliers!$D$89:$BE$103,$B226)</f>
        <v>0.10100000000000001</v>
      </c>
      <c r="K226" s="65">
        <f t="shared" si="1"/>
        <v>0.89400000000000002</v>
      </c>
      <c r="L226" s="65">
        <f>HLOOKUP(Calculations!E$1,Multipliers!$D$106:$BE$120,B226)</f>
        <v>1</v>
      </c>
      <c r="M226" s="65">
        <f>HLOOKUP(Calculations!$E$1,Multipliers!$D$123:$BE$137,$B226)</f>
        <v>8.2000000000000003E-2</v>
      </c>
      <c r="N226" s="65">
        <f>HLOOKUP(Calculations!$E$1,Multipliers!$D$140:$BE$154,$B226)</f>
        <v>0.33600000000000002</v>
      </c>
      <c r="O226" s="65">
        <f t="shared" si="2"/>
        <v>1.4180000000000001</v>
      </c>
      <c r="P226" s="65">
        <f>HLOOKUP(Calculations!$E$1,Multipliers!$D$157:$BE$171,$B226)</f>
        <v>0.9</v>
      </c>
      <c r="Q226" s="65">
        <f>HLOOKUP(Calculations!$E$1,Multipliers!$D$174:$BE$188,$B226)</f>
        <v>4.3999999999999997E-2</v>
      </c>
      <c r="R226" s="65">
        <f>HLOOKUP(Calculations!$E$1,Multipliers!$D$191:$BE$205,$B226)</f>
        <v>0.193</v>
      </c>
      <c r="S226" s="65">
        <f t="shared" si="4"/>
        <v>1.137</v>
      </c>
      <c r="U226" s="65">
        <f>HLOOKUP(Calculations!$E$1,'Household Exp'!$D$3:$BE$17,$B226)</f>
        <v>1.0501113260462873E-2</v>
      </c>
      <c r="AG226" s="422"/>
      <c r="AH226" s="422"/>
      <c r="AI226" s="422"/>
      <c r="AJ226" s="422"/>
      <c r="AK226" s="422"/>
      <c r="AL226" s="422"/>
      <c r="AM226" s="422"/>
      <c r="AN226" s="422"/>
      <c r="AO226" s="422"/>
      <c r="AP226" s="422"/>
      <c r="AQ226" s="422"/>
      <c r="AR226" s="422"/>
      <c r="AS226" s="422"/>
      <c r="AT226" s="422"/>
      <c r="AU226" s="422"/>
      <c r="AV226" s="422"/>
      <c r="AW226" s="422"/>
      <c r="AX226" s="422"/>
      <c r="AY226" s="422"/>
      <c r="AZ226" s="422"/>
      <c r="BA226" s="422"/>
      <c r="BB226" s="422"/>
      <c r="BC226" s="422"/>
      <c r="BD226" s="422"/>
      <c r="BE226" s="422"/>
    </row>
    <row r="227" spans="2:57" x14ac:dyDescent="0.2">
      <c r="AG227" s="422"/>
      <c r="AH227" s="422"/>
      <c r="AI227" s="422"/>
      <c r="AJ227" s="422"/>
      <c r="AK227" s="422"/>
      <c r="AL227" s="422"/>
      <c r="AM227" s="422"/>
      <c r="AN227" s="422"/>
      <c r="AO227" s="422"/>
      <c r="AP227" s="422"/>
      <c r="AQ227" s="422"/>
      <c r="AR227" s="422"/>
      <c r="AS227" s="422"/>
      <c r="AT227" s="422"/>
      <c r="AU227" s="422"/>
      <c r="AV227" s="422"/>
      <c r="AW227" s="422"/>
      <c r="AX227" s="422"/>
      <c r="AY227" s="422"/>
      <c r="AZ227" s="422"/>
      <c r="BA227" s="422"/>
      <c r="BB227" s="422"/>
      <c r="BC227" s="422"/>
      <c r="BD227" s="422"/>
      <c r="BE227" s="422"/>
    </row>
    <row r="228" spans="2:57" x14ac:dyDescent="0.2">
      <c r="AG228" s="422"/>
      <c r="AH228" s="422"/>
      <c r="AI228" s="422"/>
      <c r="AJ228" s="422"/>
      <c r="AK228" s="422"/>
      <c r="AL228" s="422"/>
      <c r="AM228" s="422"/>
      <c r="AN228" s="422"/>
      <c r="AO228" s="422"/>
      <c r="AP228" s="422"/>
      <c r="AQ228" s="422"/>
      <c r="AR228" s="422"/>
      <c r="AS228" s="422"/>
      <c r="AT228" s="422"/>
      <c r="AU228" s="422"/>
      <c r="AV228" s="422"/>
      <c r="AW228" s="422"/>
      <c r="AX228" s="422"/>
      <c r="AY228" s="422"/>
      <c r="AZ228" s="422"/>
      <c r="BA228" s="422"/>
      <c r="BB228" s="422"/>
      <c r="BC228" s="422"/>
      <c r="BD228" s="422"/>
      <c r="BE228" s="422"/>
    </row>
    <row r="229" spans="2:57" x14ac:dyDescent="0.2">
      <c r="AG229" s="422"/>
      <c r="AH229" s="422"/>
      <c r="AI229" s="422"/>
      <c r="AJ229" s="422"/>
      <c r="AK229" s="422"/>
      <c r="AL229" s="422"/>
      <c r="AM229" s="422"/>
      <c r="AN229" s="422"/>
      <c r="AO229" s="422"/>
      <c r="AP229" s="422"/>
      <c r="AQ229" s="422"/>
      <c r="AR229" s="422"/>
      <c r="AS229" s="422"/>
      <c r="AT229" s="422"/>
      <c r="AU229" s="422"/>
      <c r="AV229" s="422"/>
      <c r="AW229" s="422"/>
      <c r="AX229" s="422"/>
      <c r="AY229" s="422"/>
      <c r="AZ229" s="422"/>
      <c r="BA229" s="422"/>
      <c r="BB229" s="422"/>
      <c r="BC229" s="422"/>
      <c r="BD229" s="422"/>
      <c r="BE229" s="422"/>
    </row>
    <row r="230" spans="2:57" x14ac:dyDescent="0.2">
      <c r="AG230" s="422"/>
      <c r="AH230" s="422"/>
      <c r="AI230" s="422"/>
      <c r="AJ230" s="422"/>
      <c r="AK230" s="422"/>
      <c r="AL230" s="422"/>
      <c r="AM230" s="422"/>
      <c r="AN230" s="422"/>
      <c r="AO230" s="422"/>
      <c r="AP230" s="422"/>
      <c r="AQ230" s="422"/>
      <c r="AR230" s="422"/>
      <c r="AS230" s="422"/>
      <c r="AT230" s="422"/>
      <c r="AU230" s="422"/>
      <c r="AV230" s="422"/>
      <c r="AW230" s="422"/>
      <c r="AX230" s="422"/>
      <c r="AY230" s="422"/>
      <c r="AZ230" s="422"/>
      <c r="BA230" s="422"/>
      <c r="BB230" s="422"/>
      <c r="BC230" s="422"/>
      <c r="BD230" s="422"/>
      <c r="BE230" s="422"/>
    </row>
    <row r="231" spans="2:57" x14ac:dyDescent="0.2">
      <c r="AG231" s="422"/>
      <c r="AH231" s="422"/>
      <c r="AI231" s="422"/>
      <c r="AJ231" s="422"/>
      <c r="AK231" s="422"/>
      <c r="AL231" s="422"/>
      <c r="AM231" s="422"/>
      <c r="AN231" s="422"/>
      <c r="AO231" s="422"/>
      <c r="AP231" s="422"/>
      <c r="AQ231" s="422"/>
      <c r="AR231" s="422"/>
      <c r="AS231" s="422"/>
      <c r="AT231" s="422"/>
      <c r="AU231" s="422"/>
      <c r="AV231" s="422"/>
      <c r="AW231" s="422"/>
      <c r="AX231" s="422"/>
      <c r="AY231" s="422"/>
      <c r="AZ231" s="422"/>
      <c r="BA231" s="422"/>
      <c r="BB231" s="422"/>
      <c r="BC231" s="422"/>
      <c r="BD231" s="422"/>
      <c r="BE231" s="422"/>
    </row>
    <row r="232" spans="2:57" x14ac:dyDescent="0.2">
      <c r="AG232" s="422"/>
      <c r="AH232" s="422"/>
      <c r="AI232" s="422"/>
      <c r="AJ232" s="422"/>
      <c r="AK232" s="422"/>
      <c r="AL232" s="422"/>
      <c r="AM232" s="422"/>
      <c r="AN232" s="422"/>
      <c r="AO232" s="422"/>
      <c r="AP232" s="422"/>
      <c r="AQ232" s="422"/>
      <c r="AR232" s="422"/>
      <c r="AS232" s="422"/>
      <c r="AT232" s="422"/>
      <c r="AU232" s="422"/>
      <c r="AV232" s="422"/>
      <c r="AW232" s="422"/>
      <c r="AX232" s="422"/>
      <c r="AY232" s="422"/>
      <c r="AZ232" s="422"/>
      <c r="BA232" s="422"/>
      <c r="BB232" s="422"/>
      <c r="BC232" s="422"/>
      <c r="BD232" s="422"/>
      <c r="BE232" s="422"/>
    </row>
    <row r="233" spans="2:57" x14ac:dyDescent="0.2">
      <c r="AG233" s="422"/>
      <c r="AH233" s="422"/>
      <c r="AI233" s="422"/>
      <c r="AJ233" s="422"/>
      <c r="AK233" s="422"/>
      <c r="AL233" s="422"/>
      <c r="AM233" s="422"/>
      <c r="AN233" s="422"/>
      <c r="AO233" s="422"/>
      <c r="AP233" s="422"/>
      <c r="AQ233" s="422"/>
      <c r="AR233" s="422"/>
      <c r="AS233" s="422"/>
      <c r="AT233" s="422"/>
      <c r="AU233" s="422"/>
      <c r="AV233" s="422"/>
      <c r="AW233" s="422"/>
      <c r="AX233" s="422"/>
      <c r="AY233" s="422"/>
      <c r="AZ233" s="422"/>
      <c r="BA233" s="422"/>
      <c r="BB233" s="422"/>
      <c r="BC233" s="422"/>
      <c r="BD233" s="422"/>
      <c r="BE233" s="422"/>
    </row>
    <row r="234" spans="2:57" x14ac:dyDescent="0.2">
      <c r="AG234" s="422"/>
      <c r="AH234" s="422"/>
      <c r="AI234" s="422"/>
      <c r="AJ234" s="422"/>
      <c r="AK234" s="422"/>
      <c r="AL234" s="422"/>
      <c r="AM234" s="422"/>
      <c r="AN234" s="422"/>
      <c r="AO234" s="422"/>
      <c r="AP234" s="422"/>
      <c r="AQ234" s="422"/>
      <c r="AR234" s="422"/>
      <c r="AS234" s="422"/>
      <c r="AT234" s="422"/>
      <c r="AU234" s="422"/>
      <c r="AV234" s="422"/>
      <c r="AW234" s="422"/>
      <c r="AX234" s="422"/>
      <c r="AY234" s="422"/>
      <c r="AZ234" s="422"/>
      <c r="BA234" s="422"/>
      <c r="BB234" s="422"/>
      <c r="BC234" s="422"/>
      <c r="BD234" s="422"/>
      <c r="BE234" s="422"/>
    </row>
    <row r="235" spans="2:57" x14ac:dyDescent="0.2">
      <c r="AG235" s="422"/>
      <c r="AH235" s="422"/>
      <c r="AI235" s="422"/>
      <c r="AJ235" s="422"/>
      <c r="AK235" s="422"/>
      <c r="AL235" s="422"/>
      <c r="AM235" s="422"/>
      <c r="AN235" s="422"/>
      <c r="AO235" s="422"/>
      <c r="AP235" s="422"/>
      <c r="AQ235" s="422"/>
      <c r="AR235" s="422"/>
      <c r="AS235" s="422"/>
      <c r="AT235" s="422"/>
      <c r="AU235" s="422"/>
      <c r="AV235" s="422"/>
      <c r="AW235" s="422"/>
      <c r="AX235" s="422"/>
      <c r="AY235" s="422"/>
      <c r="AZ235" s="422"/>
      <c r="BA235" s="422"/>
      <c r="BB235" s="422"/>
      <c r="BC235" s="422"/>
      <c r="BD235" s="422"/>
      <c r="BE235" s="422"/>
    </row>
    <row r="236" spans="2:57" x14ac:dyDescent="0.2">
      <c r="AG236" s="422"/>
      <c r="AH236" s="422"/>
      <c r="AI236" s="422"/>
      <c r="AJ236" s="422"/>
      <c r="AK236" s="422"/>
      <c r="AL236" s="422"/>
      <c r="AM236" s="422"/>
      <c r="AN236" s="422"/>
      <c r="AO236" s="422"/>
      <c r="AP236" s="422"/>
      <c r="AQ236" s="422"/>
      <c r="AR236" s="422"/>
      <c r="AS236" s="422"/>
      <c r="AT236" s="422"/>
      <c r="AU236" s="422"/>
      <c r="AV236" s="422"/>
      <c r="AW236" s="422"/>
      <c r="AX236" s="422"/>
      <c r="AY236" s="422"/>
      <c r="AZ236" s="422"/>
      <c r="BA236" s="422"/>
      <c r="BB236" s="422"/>
      <c r="BC236" s="422"/>
      <c r="BD236" s="422"/>
      <c r="BE236" s="422"/>
    </row>
    <row r="237" spans="2:57" x14ac:dyDescent="0.2">
      <c r="AG237" s="422"/>
      <c r="AH237" s="422"/>
      <c r="AI237" s="422"/>
      <c r="AJ237" s="422"/>
      <c r="AK237" s="422"/>
      <c r="AL237" s="422"/>
      <c r="AM237" s="422"/>
      <c r="AN237" s="422"/>
      <c r="AO237" s="422"/>
      <c r="AP237" s="422"/>
      <c r="AQ237" s="422"/>
      <c r="AR237" s="422"/>
      <c r="AS237" s="422"/>
      <c r="AT237" s="422"/>
      <c r="AU237" s="422"/>
      <c r="AV237" s="422"/>
      <c r="AW237" s="422"/>
      <c r="AX237" s="422"/>
      <c r="AY237" s="422"/>
      <c r="AZ237" s="422"/>
      <c r="BA237" s="422"/>
      <c r="BB237" s="422"/>
      <c r="BC237" s="422"/>
      <c r="BD237" s="422"/>
      <c r="BE237" s="422"/>
    </row>
    <row r="238" spans="2:57" x14ac:dyDescent="0.2">
      <c r="AG238" s="422"/>
      <c r="AH238" s="422"/>
      <c r="AI238" s="422"/>
      <c r="AJ238" s="422"/>
      <c r="AK238" s="422"/>
      <c r="AL238" s="422"/>
      <c r="AM238" s="422"/>
      <c r="AN238" s="422"/>
      <c r="AO238" s="422"/>
      <c r="AP238" s="422"/>
      <c r="AQ238" s="422"/>
      <c r="AR238" s="422"/>
      <c r="AS238" s="422"/>
      <c r="AT238" s="422"/>
      <c r="AU238" s="422"/>
      <c r="AV238" s="422"/>
      <c r="AW238" s="422"/>
      <c r="AX238" s="422"/>
      <c r="AY238" s="422"/>
      <c r="AZ238" s="422"/>
      <c r="BA238" s="422"/>
      <c r="BB238" s="422"/>
      <c r="BC238" s="422"/>
      <c r="BD238" s="422"/>
      <c r="BE238" s="422"/>
    </row>
    <row r="239" spans="2:57" x14ac:dyDescent="0.2">
      <c r="AG239" s="422"/>
      <c r="AH239" s="422"/>
      <c r="AI239" s="422"/>
      <c r="AJ239" s="422"/>
      <c r="AK239" s="422"/>
      <c r="AL239" s="422"/>
      <c r="AM239" s="422"/>
      <c r="AN239" s="422"/>
      <c r="AO239" s="422"/>
      <c r="AP239" s="422"/>
      <c r="AQ239" s="422"/>
      <c r="AR239" s="422"/>
      <c r="AS239" s="422"/>
      <c r="AT239" s="422"/>
      <c r="AU239" s="422"/>
      <c r="AV239" s="422"/>
      <c r="AW239" s="422"/>
      <c r="AX239" s="422"/>
      <c r="AY239" s="422"/>
      <c r="AZ239" s="422"/>
      <c r="BA239" s="422"/>
      <c r="BB239" s="422"/>
      <c r="BC239" s="422"/>
      <c r="BD239" s="422"/>
      <c r="BE239" s="422"/>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About JEDI</vt:lpstr>
      <vt:lpstr>FAQ</vt:lpstr>
      <vt:lpstr>Start</vt:lpstr>
      <vt:lpstr>ProjectData</vt:lpstr>
      <vt:lpstr>SummaryResults</vt:lpstr>
      <vt:lpstr>Household Exp</vt:lpstr>
      <vt:lpstr>User Add-in Location</vt:lpstr>
      <vt:lpstr>DefaultData</vt:lpstr>
      <vt:lpstr>Deflators</vt:lpstr>
      <vt:lpstr>Calculations</vt:lpstr>
      <vt:lpstr>Multipliers</vt:lpstr>
      <vt:lpstr>FAQ!_ftnref1</vt:lpstr>
      <vt:lpstr>Detailed_Project_Data_Costs</vt:lpstr>
      <vt:lpstr>Detailed_Wind_Plant_Project_Data_Costs</vt:lpstr>
      <vt:lpstr>Location</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Wind_Plant_Annual_OandM_Costs</vt:lpstr>
      <vt:lpstr>Wind_Plant_Annual_Operating_and_Maintenance_Costs</vt:lpstr>
      <vt:lpstr>Year</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Natural Gas Model</dc:title>
  <dc:subject>Economic Impacts of Developing Gas Power Plants</dc:subject>
  <dc:creator>Marshall Goldberg</dc:creator>
  <cp:keywords>Economic Impacts, Electricity, Gas, Power Generation, Renewables, Energy</cp:keywords>
  <dc:description>This model was developed for the National Renewable Energy Laboratory.</dc:description>
  <cp:lastModifiedBy>Marshall Goldberg</cp:lastModifiedBy>
  <cp:lastPrinted>2014-10-13T22:26:12Z</cp:lastPrinted>
  <dcterms:created xsi:type="dcterms:W3CDTF">2002-09-23T21:39:43Z</dcterms:created>
  <dcterms:modified xsi:type="dcterms:W3CDTF">2017-04-18T13:38:05Z</dcterms:modified>
  <cp:category>Models</cp:category>
</cp:coreProperties>
</file>